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ONITORING" sheetId="2" r:id="rId5"/>
    <sheet state="hidden" name="MONITORING HARIAN" sheetId="3" r:id="rId6"/>
    <sheet state="hidden" name="MONITORING BULANAN" sheetId="4" r:id="rId7"/>
  </sheets>
  <definedNames/>
  <calcPr/>
  <extLst>
    <ext uri="GoogleSheetsCustomDataVersion2">
      <go:sheetsCustomData xmlns:go="http://customooxmlschemas.google.com/" r:id="rId8" roundtripDataChecksum="BqdXx2VL05xaSqxD2OWfc/fvqvdJgJ7puDU2dEbQKE8="/>
    </ext>
  </extLst>
</workbook>
</file>

<file path=xl/sharedStrings.xml><?xml version="1.0" encoding="utf-8"?>
<sst xmlns="http://schemas.openxmlformats.org/spreadsheetml/2006/main" count="684" uniqueCount="105">
  <si>
    <t>ID_INSPEKSI_JTM_T2</t>
  </si>
  <si>
    <t>TANGGAL</t>
  </si>
  <si>
    <t>KOORDINAT</t>
  </si>
  <si>
    <t>PETUGAS</t>
  </si>
  <si>
    <t>UP3</t>
  </si>
  <si>
    <t>ULP</t>
  </si>
  <si>
    <t>GARDU INDUK</t>
  </si>
  <si>
    <t>PENYULANG</t>
  </si>
  <si>
    <t>SECTION</t>
  </si>
  <si>
    <t>ZONA</t>
  </si>
  <si>
    <t>NO TIANG</t>
  </si>
  <si>
    <t>KONSTRUKSI</t>
  </si>
  <si>
    <t>ASET MENEMPEL</t>
  </si>
  <si>
    <t>NAMA ASET MENEMPEL</t>
  </si>
  <si>
    <t>METODE</t>
  </si>
  <si>
    <t>JENIS PERALATAN</t>
  </si>
  <si>
    <t>SUHU FASA R</t>
  </si>
  <si>
    <t>SUHU FASA S</t>
  </si>
  <si>
    <t>SUHU FASA T</t>
  </si>
  <si>
    <t>SUHU SEKITAR (AMBIENT)</t>
  </si>
  <si>
    <t>HI SUTM  - 1</t>
  </si>
  <si>
    <t>TEMUAN LAIN</t>
  </si>
  <si>
    <t>JENIS PERALATAN (2)</t>
  </si>
  <si>
    <t>SUHU FASA R (2)</t>
  </si>
  <si>
    <t>SUHU FASA S (2)</t>
  </si>
  <si>
    <t>SUHU FASA T (2)</t>
  </si>
  <si>
    <t>SUHU SEKITAR (AMBIENT) - 2</t>
  </si>
  <si>
    <t>HI SUTM - 2</t>
  </si>
  <si>
    <t xml:space="preserve">FOTO </t>
  </si>
  <si>
    <t>FOTO TEMUAN LAIN</t>
  </si>
  <si>
    <t>CATATAN</t>
  </si>
  <si>
    <t>STATUS PEMELIHARAAN</t>
  </si>
  <si>
    <t>TANGGAL PEMELIHARAAN</t>
  </si>
  <si>
    <t>FOTO PEMELIHARAAN 1</t>
  </si>
  <si>
    <t>FOTO PEMELIHARAAN 2</t>
  </si>
  <si>
    <t>REALISASI INSPEKSI SUTM T2 HARIAN UP3 BANDUNG</t>
  </si>
  <si>
    <t>2026 - TARGET BULANAN</t>
  </si>
  <si>
    <t>JAN (KUM)</t>
  </si>
  <si>
    <t>INSPEKSI SUTM T2</t>
  </si>
  <si>
    <t>PANJANG JTM/ULP</t>
  </si>
  <si>
    <t>REALISASI GANGGUAN SEMUA ZONA 2024 - BULAN</t>
  </si>
  <si>
    <t>NO</t>
  </si>
  <si>
    <t>UNIT</t>
  </si>
  <si>
    <t>TOTAL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</si>
  <si>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</si>
  <si>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</si>
  <si>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</si>
  <si>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</si>
  <si>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</si>
  <si>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</si>
  <si>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</si>
  <si>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</si>
  <si>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</si>
  <si>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</si>
  <si>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</si>
  <si>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</si>
  <si>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TARGET SEMESTER 1</t>
  </si>
  <si>
    <t>TARGET BULANAN</t>
  </si>
  <si>
    <t>TARGET MINGGUAN</t>
  </si>
  <si>
    <t>TARGET HARIAN</t>
  </si>
  <si>
    <t>BANDUNG SELATAN</t>
  </si>
  <si>
    <t>BANDUNG BARAT</t>
  </si>
  <si>
    <t>BANDUNG UTARA</t>
  </si>
  <si>
    <t>BANDUNG TIMUR</t>
  </si>
  <si>
    <t>CIJAWURA</t>
  </si>
  <si>
    <t>UJUNGBERUNG</t>
  </si>
  <si>
    <t>UJUNG BERUNG</t>
  </si>
  <si>
    <t>KOPO</t>
  </si>
  <si>
    <t>PRIMA PRIANGAN</t>
  </si>
  <si>
    <t>UP3 BANDUNG</t>
  </si>
  <si>
    <t>2026 - TARGET KUMULATIF</t>
  </si>
  <si>
    <t>2024 - REALISASI BULANAN</t>
  </si>
  <si>
    <t>FEB (KUM)</t>
  </si>
  <si>
    <t>FGTM / 100 KMS ( Z1+Z2)</t>
  </si>
  <si>
    <t>REALISASI GANGGUAN SEMUA ZONA 2024 - KUMULATIF</t>
  </si>
  <si>
    <t>2026 - REALISASI BULANAN</t>
  </si>
  <si>
    <t>2024 - REALISASI KUMULATIF</t>
  </si>
  <si>
    <t>MAR (KUM)</t>
  </si>
  <si>
    <t>2026 - REALISASI KUMULATIF</t>
  </si>
  <si>
    <t>APR (KUM)</t>
  </si>
  <si>
    <t>2026 - PENCAPAIAN BULANAN</t>
  </si>
  <si>
    <t>MEI (KUM)</t>
  </si>
  <si>
    <t>2026 - PENCAPAIAN KUMULATIF BULANAN</t>
  </si>
  <si>
    <t>JUNI(KUM)</t>
  </si>
  <si>
    <t>JULI (KUM)</t>
  </si>
  <si>
    <t>AGUS (KUM)</t>
  </si>
  <si>
    <t>SEP (KUM)</t>
  </si>
  <si>
    <t>OKT (KUM)</t>
  </si>
  <si>
    <t>NOV (KUM)</t>
  </si>
  <si>
    <t>DES (KUM)</t>
  </si>
  <si>
    <t>JANUARI</t>
  </si>
  <si>
    <t>KOMULATIF</t>
  </si>
  <si>
    <t>FEBRUARI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</si>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</sst>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m/d/yyyy"/>
    <numFmt numFmtId="166" formatCode="dd&quot;/&quot;mm"/>
    <numFmt numFmtId="167" formatCode="dd/mm/yyyy"/>
  </numFmts>
  <fonts count="12">
    <font>
      <sz val="11.0"/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31869B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b/>
      <sz val="11.0"/>
      <color rgb="FF6AA84F"/>
      <name val="Calibri"/>
    </font>
    <font/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1869B"/>
        <bgColor rgb="FF31869B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00B050"/>
        <bgColor rgb="FF00B050"/>
      </patternFill>
    </fill>
  </fills>
  <borders count="15">
    <border/>
    <border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vertical="bottom"/>
    </xf>
    <xf borderId="2" fillId="3" fontId="7" numFmtId="0" xfId="0" applyAlignment="1" applyBorder="1" applyFill="1" applyFont="1">
      <alignment horizontal="center" vertical="center"/>
    </xf>
    <xf borderId="2" fillId="3" fontId="8" numFmtId="166" xfId="0" applyAlignment="1" applyBorder="1" applyFont="1" applyNumberFormat="1">
      <alignment horizontal="center" shrinkToFit="0" textRotation="90" vertical="center" wrapText="1"/>
    </xf>
    <xf borderId="2" fillId="3" fontId="8" numFmtId="167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center"/>
    </xf>
    <xf borderId="2" fillId="4" fontId="8" numFmtId="167" xfId="0" applyAlignment="1" applyBorder="1" applyFill="1" applyFont="1" applyNumberFormat="1">
      <alignment horizontal="center" shrinkToFit="0" vertical="center" wrapText="1"/>
    </xf>
    <xf borderId="2" fillId="3" fontId="8" numFmtId="167" xfId="0" applyAlignment="1" applyBorder="1" applyFont="1" applyNumberFormat="1">
      <alignment horizontal="center" shrinkToFit="0" textRotation="90" vertical="center" wrapText="1"/>
    </xf>
    <xf borderId="2" fillId="3" fontId="7" numFmtId="0" xfId="0" applyAlignment="1" applyBorder="1" applyFont="1">
      <alignment horizontal="center"/>
    </xf>
    <xf borderId="0" fillId="5" fontId="4" numFmtId="0" xfId="0" applyFill="1" applyFont="1"/>
    <xf borderId="2" fillId="3" fontId="7" numFmtId="0" xfId="0" applyAlignment="1" applyBorder="1" applyFont="1">
      <alignment horizontal="center" shrinkToFit="0" wrapText="1"/>
    </xf>
    <xf borderId="0" fillId="5" fontId="4" numFmtId="0" xfId="0" applyAlignment="1" applyFont="1">
      <alignment vertical="center"/>
    </xf>
    <xf borderId="2" fillId="6" fontId="7" numFmtId="0" xfId="0" applyAlignment="1" applyBorder="1" applyFill="1" applyFont="1">
      <alignment horizontal="center" vertical="center"/>
    </xf>
    <xf borderId="0" fillId="3" fontId="7" numFmtId="167" xfId="0" applyAlignment="1" applyFont="1" applyNumberFormat="1">
      <alignment horizontal="center" vertical="center"/>
    </xf>
    <xf borderId="0" fillId="3" fontId="7" numFmtId="0" xfId="0" applyAlignment="1" applyFont="1">
      <alignment horizontal="center" vertical="center"/>
    </xf>
    <xf borderId="0" fillId="3" fontId="4" numFmtId="0" xfId="0" applyAlignment="1" applyFont="1">
      <alignment vertical="center"/>
    </xf>
    <xf borderId="2" fillId="3" fontId="7" numFmtId="0" xfId="0" applyAlignment="1" applyBorder="1" applyFont="1">
      <alignment horizontal="center" vertical="bottom"/>
    </xf>
    <xf borderId="2" fillId="3" fontId="7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bottom"/>
    </xf>
    <xf borderId="2" fillId="5" fontId="9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bottom"/>
    </xf>
    <xf borderId="2" fillId="0" fontId="5" numFmtId="1" xfId="0" applyAlignment="1" applyBorder="1" applyFont="1" applyNumberFormat="1">
      <alignment horizontal="center"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center" readingOrder="0" vertical="bottom"/>
    </xf>
    <xf borderId="0" fillId="5" fontId="4" numFmtId="1" xfId="0" applyAlignment="1" applyFont="1" applyNumberFormat="1">
      <alignment horizontal="center" vertical="bottom"/>
    </xf>
    <xf borderId="2" fillId="6" fontId="7" numFmtId="0" xfId="0" applyAlignment="1" applyBorder="1" applyFont="1">
      <alignment horizontal="center" vertical="bottom"/>
    </xf>
    <xf borderId="2" fillId="6" fontId="7" numFmtId="0" xfId="0" applyAlignment="1" applyBorder="1" applyFont="1">
      <alignment vertical="bottom"/>
    </xf>
    <xf borderId="2" fillId="0" fontId="5" numFmtId="2" xfId="0" applyAlignment="1" applyBorder="1" applyFont="1" applyNumberFormat="1">
      <alignment horizontal="center" vertical="bottom"/>
    </xf>
    <xf borderId="3" fillId="0" fontId="5" numFmtId="2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4" fillId="0" fontId="5" numFmtId="2" xfId="0" applyAlignment="1" applyBorder="1" applyFont="1" applyNumberFormat="1">
      <alignment horizontal="center" vertical="bottom"/>
    </xf>
    <xf borderId="5" fillId="0" fontId="5" numFmtId="2" xfId="0" applyAlignment="1" applyBorder="1" applyFont="1" applyNumberFormat="1">
      <alignment horizontal="center" vertical="bottom"/>
    </xf>
    <xf borderId="2" fillId="7" fontId="4" numFmtId="0" xfId="0" applyAlignment="1" applyBorder="1" applyFill="1" applyFont="1">
      <alignment vertical="bottom"/>
    </xf>
    <xf borderId="2" fillId="7" fontId="9" numFmtId="0" xfId="0" applyAlignment="1" applyBorder="1" applyFont="1">
      <alignment vertical="bottom"/>
    </xf>
    <xf borderId="2" fillId="7" fontId="9" numFmtId="0" xfId="0" applyAlignment="1" applyBorder="1" applyFont="1">
      <alignment horizontal="center" vertical="bottom"/>
    </xf>
    <xf borderId="2" fillId="8" fontId="9" numFmtId="0" xfId="0" applyAlignment="1" applyBorder="1" applyFill="1" applyFont="1">
      <alignment horizontal="center" vertical="bottom"/>
    </xf>
    <xf borderId="2" fillId="9" fontId="9" numFmtId="0" xfId="0" applyAlignment="1" applyBorder="1" applyFill="1" applyFont="1">
      <alignment horizontal="center" vertical="bottom"/>
    </xf>
    <xf borderId="2" fillId="9" fontId="4" numFmtId="0" xfId="0" applyAlignment="1" applyBorder="1" applyFont="1">
      <alignment vertical="bottom"/>
    </xf>
    <xf borderId="2" fillId="9" fontId="9" numFmtId="0" xfId="0" applyAlignment="1" applyBorder="1" applyFont="1">
      <alignment vertical="bottom"/>
    </xf>
    <xf borderId="2" fillId="9" fontId="5" numFmtId="1" xfId="0" applyAlignment="1" applyBorder="1" applyFont="1" applyNumberFormat="1">
      <alignment horizontal="center" vertical="bottom"/>
    </xf>
    <xf borderId="2" fillId="9" fontId="5" numFmtId="0" xfId="0" applyAlignment="1" applyBorder="1" applyFont="1">
      <alignment horizontal="center" vertical="bottom"/>
    </xf>
    <xf borderId="0" fillId="9" fontId="5" numFmtId="1" xfId="0" applyAlignment="1" applyFont="1" applyNumberFormat="1">
      <alignment horizontal="center" vertical="bottom"/>
    </xf>
    <xf borderId="2" fillId="10" fontId="4" numFmtId="0" xfId="0" applyAlignment="1" applyBorder="1" applyFill="1" applyFont="1">
      <alignment vertical="bottom"/>
    </xf>
    <xf borderId="2" fillId="10" fontId="9" numFmtId="0" xfId="0" applyAlignment="1" applyBorder="1" applyFont="1">
      <alignment vertical="bottom"/>
    </xf>
    <xf borderId="4" fillId="11" fontId="5" numFmtId="2" xfId="0" applyAlignment="1" applyBorder="1" applyFill="1" applyFont="1" applyNumberFormat="1">
      <alignment horizontal="center" vertical="bottom"/>
    </xf>
    <xf borderId="5" fillId="11" fontId="5" numFmtId="2" xfId="0" applyAlignment="1" applyBorder="1" applyFont="1" applyNumberFormat="1">
      <alignment horizontal="center" vertical="bottom"/>
    </xf>
    <xf borderId="0" fillId="11" fontId="4" numFmtId="0" xfId="0" applyAlignment="1" applyFont="1">
      <alignment vertical="bottom"/>
    </xf>
    <xf borderId="0" fillId="11" fontId="4" numFmtId="0" xfId="0" applyAlignment="1" applyFont="1">
      <alignment horizontal="right" vertical="bottom"/>
    </xf>
    <xf borderId="2" fillId="11" fontId="4" numFmtId="0" xfId="0" applyAlignment="1" applyBorder="1" applyFont="1">
      <alignment vertical="bottom"/>
    </xf>
    <xf borderId="2" fillId="11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2" fillId="3" fontId="8" numFmtId="166" xfId="0" applyAlignment="1" applyBorder="1" applyFont="1" applyNumberFormat="1">
      <alignment horizontal="center" shrinkToFit="0" textRotation="90" vertical="center" wrapText="1"/>
    </xf>
    <xf borderId="2" fillId="3" fontId="4" numFmtId="167" xfId="0" applyAlignment="1" applyBorder="1" applyFont="1" applyNumberFormat="1">
      <alignment vertical="center"/>
    </xf>
    <xf borderId="2" fillId="4" fontId="8" numFmtId="167" xfId="0" applyAlignment="1" applyBorder="1" applyFont="1" applyNumberFormat="1">
      <alignment horizontal="center" shrinkToFit="0" textRotation="90" vertical="center" wrapText="1"/>
    </xf>
    <xf borderId="2" fillId="4" fontId="4" numFmtId="167" xfId="0" applyAlignment="1" applyBorder="1" applyFont="1" applyNumberFormat="1">
      <alignment vertical="center"/>
    </xf>
    <xf borderId="0" fillId="0" fontId="4" numFmtId="0" xfId="0" applyFont="1"/>
    <xf borderId="2" fillId="0" fontId="4" numFmtId="2" xfId="0" applyAlignment="1" applyBorder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4" numFmtId="2" xfId="0" applyAlignment="1" applyFont="1" applyNumberFormat="1">
      <alignment vertical="bottom"/>
    </xf>
    <xf borderId="0" fillId="0" fontId="4" numFmtId="1" xfId="0" applyAlignment="1" applyFont="1" applyNumberFormat="1">
      <alignment horizontal="right" vertical="bottom"/>
    </xf>
    <xf borderId="2" fillId="11" fontId="5" numFmtId="1" xfId="0" applyAlignment="1" applyBorder="1" applyFont="1" applyNumberFormat="1">
      <alignment horizontal="center" vertical="bottom"/>
    </xf>
    <xf borderId="2" fillId="9" fontId="5" numFmtId="2" xfId="0" applyAlignment="1" applyBorder="1" applyFont="1" applyNumberFormat="1">
      <alignment horizontal="center" vertical="bottom"/>
    </xf>
    <xf borderId="2" fillId="9" fontId="4" numFmtId="2" xfId="0" applyAlignment="1" applyBorder="1" applyFont="1" applyNumberFormat="1">
      <alignment vertical="bottom"/>
    </xf>
    <xf borderId="0" fillId="11" fontId="4" numFmtId="2" xfId="0" applyAlignment="1" applyFont="1" applyNumberFormat="1">
      <alignment vertical="bottom"/>
    </xf>
    <xf borderId="0" fillId="11" fontId="4" numFmtId="1" xfId="0" applyAlignment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4" numFmtId="1" xfId="0" applyAlignment="1" applyFont="1" applyNumberFormat="1">
      <alignment vertical="center"/>
    </xf>
    <xf borderId="2" fillId="0" fontId="5" numFmtId="3" xfId="0" applyAlignment="1" applyBorder="1" applyFont="1" applyNumberFormat="1">
      <alignment horizontal="center" vertical="bottom"/>
    </xf>
    <xf borderId="2" fillId="10" fontId="5" numFmtId="3" xfId="0" applyAlignment="1" applyBorder="1" applyFont="1" applyNumberFormat="1">
      <alignment horizontal="center" vertical="bottom"/>
    </xf>
    <xf borderId="2" fillId="10" fontId="5" numFmtId="2" xfId="0" applyAlignment="1" applyBorder="1" applyFont="1" applyNumberFormat="1">
      <alignment horizontal="center" vertical="bottom"/>
    </xf>
    <xf borderId="2" fillId="10" fontId="4" numFmtId="2" xfId="0" applyAlignment="1" applyBorder="1" applyFont="1" applyNumberFormat="1">
      <alignment vertical="bottom"/>
    </xf>
    <xf borderId="2" fillId="5" fontId="4" numFmtId="0" xfId="0" applyAlignment="1" applyBorder="1" applyFont="1">
      <alignment vertical="bottom"/>
    </xf>
    <xf borderId="0" fillId="0" fontId="5" numFmtId="3" xfId="0" applyAlignment="1" applyFont="1" applyNumberFormat="1">
      <alignment horizontal="center" vertical="bottom"/>
    </xf>
    <xf borderId="2" fillId="11" fontId="5" numFmtId="3" xfId="0" applyAlignment="1" applyBorder="1" applyFont="1" applyNumberFormat="1">
      <alignment horizontal="center" vertical="bottom"/>
    </xf>
    <xf borderId="2" fillId="12" fontId="5" numFmtId="10" xfId="0" applyAlignment="1" applyBorder="1" applyFill="1" applyFont="1" applyNumberFormat="1">
      <alignment horizontal="center" vertical="bottom"/>
    </xf>
    <xf borderId="2" fillId="13" fontId="5" numFmtId="10" xfId="0" applyAlignment="1" applyBorder="1" applyFill="1" applyFont="1" applyNumberFormat="1">
      <alignment horizontal="center" vertical="bottom"/>
    </xf>
    <xf borderId="2" fillId="10" fontId="5" numFmtId="10" xfId="0" applyAlignment="1" applyBorder="1" applyFont="1" applyNumberFormat="1">
      <alignment horizontal="center" vertical="bottom"/>
    </xf>
    <xf borderId="2" fillId="14" fontId="9" numFmtId="0" xfId="0" applyAlignment="1" applyBorder="1" applyFill="1" applyFont="1">
      <alignment horizontal="center" vertical="bottom"/>
    </xf>
    <xf borderId="2" fillId="3" fontId="4" numFmtId="166" xfId="0" applyAlignment="1" applyBorder="1" applyFont="1" applyNumberFormat="1">
      <alignment vertical="center"/>
    </xf>
    <xf borderId="6" fillId="15" fontId="8" numFmtId="167" xfId="0" applyAlignment="1" applyBorder="1" applyFill="1" applyFont="1" applyNumberFormat="1">
      <alignment horizontal="center" shrinkToFit="0" vertical="center" wrapText="1"/>
    </xf>
    <xf borderId="6" fillId="15" fontId="8" numFmtId="167" xfId="0" applyAlignment="1" applyBorder="1" applyFont="1" applyNumberFormat="1">
      <alignment horizontal="center" shrinkToFit="0" textRotation="90" vertical="center" wrapText="1"/>
    </xf>
    <xf borderId="6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6" fillId="5" fontId="9" numFmtId="0" xfId="0" applyAlignment="1" applyBorder="1" applyFont="1">
      <alignment horizontal="center" vertical="bottom"/>
    </xf>
    <xf borderId="6" fillId="9" fontId="4" numFmtId="0" xfId="0" applyAlignment="1" applyBorder="1" applyFont="1">
      <alignment vertical="bottom"/>
    </xf>
    <xf borderId="6" fillId="9" fontId="9" numFmtId="0" xfId="0" applyAlignment="1" applyBorder="1" applyFont="1">
      <alignment vertical="bottom"/>
    </xf>
    <xf borderId="6" fillId="9" fontId="9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8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11" fillId="0" fontId="5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1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right" vertical="bottom"/>
    </xf>
    <xf borderId="12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vertical="bottom"/>
    </xf>
    <xf borderId="14" fillId="0" fontId="4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center"/>
    </xf>
    <xf borderId="12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2" width="8.71"/>
    <col customWidth="1" min="33" max="33" width="28.0"/>
    <col customWidth="1" min="34" max="34" width="8.71"/>
    <col customWidth="1" min="35" max="35" width="25.71"/>
    <col customWidth="1" min="36" max="36" width="5.43"/>
    <col customWidth="1" min="37" max="5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>
      <c r="A2" s="4" t="str">
        <f>IFERROR(__xludf.DUMMYFUNCTION("IMPORTRANGE(""1BXUGPQhK_7Jy6l35je9xKzSAqbY7gh5t7pnDndVjlIU"",""Sheet1!A3462:AI"")"),"4d6ebabe")</f>
        <v>4d6ebabe</v>
      </c>
      <c r="B2" s="5">
        <f>IFERROR(__xludf.DUMMYFUNCTION("""COMPUTED_VALUE"""),46030.82928240741)</f>
        <v>46030.82928</v>
      </c>
      <c r="C2" s="4" t="str">
        <f>IFERROR(__xludf.DUMMYFUNCTION("""COMPUTED_VALUE"""),"-6.899172, 107.641158")</f>
        <v>-6.899172, 107.641158</v>
      </c>
      <c r="D2" s="4" t="str">
        <f>IFERROR(__xludf.DUMMYFUNCTION("""COMPUTED_VALUE"""),"Sandi angga")</f>
        <v>Sandi angga</v>
      </c>
      <c r="E2" s="4" t="str">
        <f>IFERROR(__xludf.DUMMYFUNCTION("""COMPUTED_VALUE"""),"BANDUNG")</f>
        <v>BANDUNG</v>
      </c>
      <c r="F2" s="4" t="str">
        <f>IFERROR(__xludf.DUMMYFUNCTION("""COMPUTED_VALUE"""),"BANDUNG TIMUR")</f>
        <v>BANDUNG TIMUR</v>
      </c>
      <c r="G2" s="4" t="str">
        <f>IFERROR(__xludf.DUMMYFUNCTION("""COMPUTED_VALUE"""),"KIARACONDONG")</f>
        <v>KIARACONDONG</v>
      </c>
      <c r="H2" s="4" t="str">
        <f>IFERROR(__xludf.DUMMYFUNCTION("""COMPUTED_VALUE"""),"KPO")</f>
        <v>KPO</v>
      </c>
      <c r="I2" s="4" t="str">
        <f>IFERROR(__xludf.DUMMYFUNCTION("""COMPUTED_VALUE"""),"AHN-LBS BKNA")</f>
        <v>AHN-LBS BKNA</v>
      </c>
      <c r="J2" s="4" t="str">
        <f>IFERROR(__xludf.DUMMYFUNCTION("""COMPUTED_VALUE"""),"ZONA 2")</f>
        <v>ZONA 2</v>
      </c>
      <c r="K2" s="4" t="str">
        <f>IFERROR(__xludf.DUMMYFUNCTION("""COMPUTED_VALUE"""),"001")</f>
        <v>001</v>
      </c>
      <c r="L2" s="4" t="str">
        <f>IFERROR(__xludf.DUMMYFUNCTION("""COMPUTED_VALUE"""),"TM - 11B/H (Kabel Naik)")</f>
        <v>TM - 11B/H (Kabel Naik)</v>
      </c>
      <c r="M2" s="4" t="str">
        <f>IFERROR(__xludf.DUMMYFUNCTION("""COMPUTED_VALUE"""),"Tidak Ada")</f>
        <v>Tidak Ada</v>
      </c>
      <c r="N2" s="4"/>
      <c r="O2" s="4" t="str">
        <f>IFERROR(__xludf.DUMMYFUNCTION("""COMPUTED_VALUE"""),"PEMBANDING SEJENIS")</f>
        <v>PEMBANDING SEJENIS</v>
      </c>
      <c r="P2" s="4" t="str">
        <f>IFERROR(__xludf.DUMMYFUNCTION("""COMPUTED_VALUE"""),"TERMINASI")</f>
        <v>TERMINASI</v>
      </c>
      <c r="Q2" s="4">
        <f>IFERROR(__xludf.DUMMYFUNCTION("""COMPUTED_VALUE"""),24.0)</f>
        <v>24</v>
      </c>
      <c r="R2" s="4">
        <f>IFERROR(__xludf.DUMMYFUNCTION("""COMPUTED_VALUE"""),24.0)</f>
        <v>24</v>
      </c>
      <c r="S2" s="4">
        <f>IFERROR(__xludf.DUMMYFUNCTION("""COMPUTED_VALUE"""),23.0)</f>
        <v>23</v>
      </c>
      <c r="T2" s="4"/>
      <c r="U2" s="4" t="str">
        <f>IFERROR(__xludf.DUMMYFUNCTION("""COMPUTED_VALUE"""),"BAIK")</f>
        <v>BAIK</v>
      </c>
      <c r="V2" s="4" t="str">
        <f>IFERROR(__xludf.DUMMYFUNCTION("""COMPUTED_VALUE"""),"Tidak Ada")</f>
        <v>Tidak Ada</v>
      </c>
      <c r="W2" s="4"/>
      <c r="X2" s="4"/>
      <c r="Y2" s="4"/>
      <c r="Z2" s="4"/>
      <c r="AA2" s="4"/>
      <c r="AB2" s="4"/>
      <c r="AC2" s="4" t="str">
        <f>IFERROR(__xludf.DUMMYFUNCTION("""COMPUTED_VALUE"""),"INSPEKSI SUTM - T2_Images/4d6ebabe.FOTO.065620.jpg")</f>
        <v>INSPEKSI SUTM - T2_Images/4d6ebabe.FOTO.065620.jpg</v>
      </c>
      <c r="AD2" s="4"/>
      <c r="AE2" s="4"/>
      <c r="AF2" s="4" t="str">
        <f>IFERROR(__xludf.DUMMYFUNCTION("""COMPUTED_VALUE"""),"BELUM")</f>
        <v>BELUM</v>
      </c>
      <c r="AG2" s="6">
        <f>IFERROR(__xludf.DUMMYFUNCTION("""COMPUTED_VALUE"""),46030.0)</f>
        <v>46030</v>
      </c>
      <c r="AH2" s="4"/>
      <c r="AI2" s="4"/>
    </row>
    <row r="3">
      <c r="A3" s="4" t="str">
        <f>IFERROR(__xludf.DUMMYFUNCTION("""COMPUTED_VALUE"""),"4baa5ae8")</f>
        <v>4baa5ae8</v>
      </c>
      <c r="B3" s="5">
        <f>IFERROR(__xludf.DUMMYFUNCTION("""COMPUTED_VALUE"""),46030.83037037037)</f>
        <v>46030.83037</v>
      </c>
      <c r="C3" s="4" t="str">
        <f>IFERROR(__xludf.DUMMYFUNCTION("""COMPUTED_VALUE"""),"-6.899181, 107.641173")</f>
        <v>-6.899181, 107.641173</v>
      </c>
      <c r="D3" s="4" t="str">
        <f>IFERROR(__xludf.DUMMYFUNCTION("""COMPUTED_VALUE"""),"Sandi angga")</f>
        <v>Sandi angga</v>
      </c>
      <c r="E3" s="4" t="str">
        <f>IFERROR(__xludf.DUMMYFUNCTION("""COMPUTED_VALUE"""),"BANDUNG")</f>
        <v>BANDUNG</v>
      </c>
      <c r="F3" s="4" t="str">
        <f>IFERROR(__xludf.DUMMYFUNCTION("""COMPUTED_VALUE"""),"BANDUNG TIMUR")</f>
        <v>BANDUNG TIMUR</v>
      </c>
      <c r="G3" s="4" t="str">
        <f>IFERROR(__xludf.DUMMYFUNCTION("""COMPUTED_VALUE"""),"KIARACONDONG")</f>
        <v>KIARACONDONG</v>
      </c>
      <c r="H3" s="4" t="str">
        <f>IFERROR(__xludf.DUMMYFUNCTION("""COMPUTED_VALUE"""),"KPO")</f>
        <v>KPO</v>
      </c>
      <c r="I3" s="4" t="str">
        <f>IFERROR(__xludf.DUMMYFUNCTION("""COMPUTED_VALUE"""),"AHN-LBS BKNA")</f>
        <v>AHN-LBS BKNA</v>
      </c>
      <c r="J3" s="4" t="str">
        <f>IFERROR(__xludf.DUMMYFUNCTION("""COMPUTED_VALUE"""),"ZONA 2")</f>
        <v>ZONA 2</v>
      </c>
      <c r="K3" s="4" t="str">
        <f>IFERROR(__xludf.DUMMYFUNCTION("""COMPUTED_VALUE"""),"002")</f>
        <v>002</v>
      </c>
      <c r="L3" s="4" t="str">
        <f>IFERROR(__xludf.DUMMYFUNCTION("""COMPUTED_VALUE"""),"TM - 8B/H (Percabangan)")</f>
        <v>TM - 8B/H (Percabangan)</v>
      </c>
      <c r="M3" s="4" t="str">
        <f>IFERROR(__xludf.DUMMYFUNCTION("""COMPUTED_VALUE"""),"Tidak Ada")</f>
        <v>Tidak Ada</v>
      </c>
      <c r="N3" s="4"/>
      <c r="O3" s="4" t="str">
        <f>IFERROR(__xludf.DUMMYFUNCTION("""COMPUTED_VALUE"""),"PEMBANDING SEJENIS")</f>
        <v>PEMBANDING SEJENIS</v>
      </c>
      <c r="P3" s="4" t="str">
        <f>IFERROR(__xludf.DUMMYFUNCTION("""COMPUTED_VALUE"""),"KONEKTOR/JUMPER")</f>
        <v>KONEKTOR/JUMPER</v>
      </c>
      <c r="Q3" s="4">
        <f>IFERROR(__xludf.DUMMYFUNCTION("""COMPUTED_VALUE"""),21.0)</f>
        <v>21</v>
      </c>
      <c r="R3" s="4">
        <f>IFERROR(__xludf.DUMMYFUNCTION("""COMPUTED_VALUE"""),22.0)</f>
        <v>22</v>
      </c>
      <c r="S3" s="4">
        <f>IFERROR(__xludf.DUMMYFUNCTION("""COMPUTED_VALUE"""),23.0)</f>
        <v>23</v>
      </c>
      <c r="T3" s="4"/>
      <c r="U3" s="4" t="str">
        <f>IFERROR(__xludf.DUMMYFUNCTION("""COMPUTED_VALUE"""),"BAIK")</f>
        <v>BAIK</v>
      </c>
      <c r="V3" s="4" t="str">
        <f>IFERROR(__xludf.DUMMYFUNCTION("""COMPUTED_VALUE"""),"Tidak Ada")</f>
        <v>Tidak Ada</v>
      </c>
      <c r="W3" s="4"/>
      <c r="X3" s="4"/>
      <c r="Y3" s="4"/>
      <c r="Z3" s="4"/>
      <c r="AA3" s="4"/>
      <c r="AB3" s="4"/>
      <c r="AC3" s="4" t="str">
        <f>IFERROR(__xludf.DUMMYFUNCTION("""COMPUTED_VALUE"""),"INSPEKSI SUTM - T2_Images/4baa5ae8.FOTO.065735.jpg")</f>
        <v>INSPEKSI SUTM - T2_Images/4baa5ae8.FOTO.065735.jpg</v>
      </c>
      <c r="AD3" s="4"/>
      <c r="AE3" s="4"/>
      <c r="AF3" s="4" t="str">
        <f>IFERROR(__xludf.DUMMYFUNCTION("""COMPUTED_VALUE"""),"BELUM")</f>
        <v>BELUM</v>
      </c>
      <c r="AG3" s="6">
        <f>IFERROR(__xludf.DUMMYFUNCTION("""COMPUTED_VALUE"""),46030.0)</f>
        <v>46030</v>
      </c>
      <c r="AH3" s="4"/>
      <c r="AI3" s="4"/>
    </row>
    <row r="4">
      <c r="A4" s="4" t="str">
        <f>IFERROR(__xludf.DUMMYFUNCTION("""COMPUTED_VALUE"""),"0ac7e555")</f>
        <v>0ac7e555</v>
      </c>
      <c r="B4" s="5">
        <f>IFERROR(__xludf.DUMMYFUNCTION("""COMPUTED_VALUE"""),46030.83112268519)</f>
        <v>46030.83112</v>
      </c>
      <c r="C4" s="4" t="str">
        <f>IFERROR(__xludf.DUMMYFUNCTION("""COMPUTED_VALUE"""),"-6.899185, 107.641169")</f>
        <v>-6.899185, 107.641169</v>
      </c>
      <c r="D4" s="4" t="str">
        <f>IFERROR(__xludf.DUMMYFUNCTION("""COMPUTED_VALUE"""),"Sandi angga")</f>
        <v>Sandi angga</v>
      </c>
      <c r="E4" s="4" t="str">
        <f>IFERROR(__xludf.DUMMYFUNCTION("""COMPUTED_VALUE"""),"BANDUNG")</f>
        <v>BANDUNG</v>
      </c>
      <c r="F4" s="4" t="str">
        <f>IFERROR(__xludf.DUMMYFUNCTION("""COMPUTED_VALUE"""),"BANDUNG TIMUR")</f>
        <v>BANDUNG TIMUR</v>
      </c>
      <c r="G4" s="4" t="str">
        <f>IFERROR(__xludf.DUMMYFUNCTION("""COMPUTED_VALUE"""),"KIARACONDONG")</f>
        <v>KIARACONDONG</v>
      </c>
      <c r="H4" s="4" t="str">
        <f>IFERROR(__xludf.DUMMYFUNCTION("""COMPUTED_VALUE"""),"KPO")</f>
        <v>KPO</v>
      </c>
      <c r="I4" s="4" t="str">
        <f>IFERROR(__xludf.DUMMYFUNCTION("""COMPUTED_VALUE"""),"AHN-LBS BKNA")</f>
        <v>AHN-LBS BKNA</v>
      </c>
      <c r="J4" s="4" t="str">
        <f>IFERROR(__xludf.DUMMYFUNCTION("""COMPUTED_VALUE"""),"ZONA 2")</f>
        <v>ZONA 2</v>
      </c>
      <c r="K4" s="4" t="str">
        <f>IFERROR(__xludf.DUMMYFUNCTION("""COMPUTED_VALUE"""),"003")</f>
        <v>003</v>
      </c>
      <c r="L4" s="4" t="str">
        <f>IFERROR(__xludf.DUMMYFUNCTION("""COMPUTED_VALUE"""),"TM - 1B/H (Tumpu)")</f>
        <v>TM - 1B/H (Tumpu)</v>
      </c>
      <c r="M4" s="4" t="str">
        <f>IFERROR(__xludf.DUMMYFUNCTION("""COMPUTED_VALUE"""),"Tidak Ada")</f>
        <v>Tidak Ada</v>
      </c>
      <c r="N4" s="4"/>
      <c r="O4" s="4" t="str">
        <f>IFERROR(__xludf.DUMMYFUNCTION("""COMPUTED_VALUE"""),"PEMBANDING SEJENIS")</f>
        <v>PEMBANDING SEJENIS</v>
      </c>
      <c r="P4" s="4" t="str">
        <f>IFERROR(__xludf.DUMMYFUNCTION("""COMPUTED_VALUE"""),"ARRESTER")</f>
        <v>ARRESTER</v>
      </c>
      <c r="Q4" s="4">
        <f>IFERROR(__xludf.DUMMYFUNCTION("""COMPUTED_VALUE"""),23.0)</f>
        <v>23</v>
      </c>
      <c r="R4" s="4">
        <f>IFERROR(__xludf.DUMMYFUNCTION("""COMPUTED_VALUE"""),23.0)</f>
        <v>23</v>
      </c>
      <c r="S4" s="4">
        <f>IFERROR(__xludf.DUMMYFUNCTION("""COMPUTED_VALUE"""),23.0)</f>
        <v>23</v>
      </c>
      <c r="T4" s="4"/>
      <c r="U4" s="4" t="str">
        <f>IFERROR(__xludf.DUMMYFUNCTION("""COMPUTED_VALUE"""),"BAIK")</f>
        <v>BAIK</v>
      </c>
      <c r="V4" s="4" t="str">
        <f>IFERROR(__xludf.DUMMYFUNCTION("""COMPUTED_VALUE"""),"Tidak Ada")</f>
        <v>Tidak Ada</v>
      </c>
      <c r="W4" s="4"/>
      <c r="X4" s="4"/>
      <c r="Y4" s="4"/>
      <c r="Z4" s="4"/>
      <c r="AA4" s="4"/>
      <c r="AB4" s="4"/>
      <c r="AC4" s="4" t="str">
        <f>IFERROR(__xludf.DUMMYFUNCTION("""COMPUTED_VALUE"""),"INSPEKSI SUTM - T2_Images/0ac7e555.FOTO.065926.jpg")</f>
        <v>INSPEKSI SUTM - T2_Images/0ac7e555.FOTO.065926.jpg</v>
      </c>
      <c r="AD4" s="4"/>
      <c r="AE4" s="4"/>
      <c r="AF4" s="4" t="str">
        <f>IFERROR(__xludf.DUMMYFUNCTION("""COMPUTED_VALUE"""),"BELUM")</f>
        <v>BELUM</v>
      </c>
      <c r="AG4" s="6">
        <f>IFERROR(__xludf.DUMMYFUNCTION("""COMPUTED_VALUE"""),46030.0)</f>
        <v>46030</v>
      </c>
      <c r="AH4" s="4"/>
      <c r="AI4" s="4"/>
    </row>
    <row r="5">
      <c r="A5" s="4" t="str">
        <f>IFERROR(__xludf.DUMMYFUNCTION("""COMPUTED_VALUE"""),"b36afe8f")</f>
        <v>b36afe8f</v>
      </c>
      <c r="B5" s="5">
        <f>IFERROR(__xludf.DUMMYFUNCTION("""COMPUTED_VALUE"""),46030.83253472222)</f>
        <v>46030.83253</v>
      </c>
      <c r="C5" s="4" t="str">
        <f>IFERROR(__xludf.DUMMYFUNCTION("""COMPUTED_VALUE"""),"-6.899196, 107.641165")</f>
        <v>-6.899196, 107.641165</v>
      </c>
      <c r="D5" s="4" t="str">
        <f>IFERROR(__xludf.DUMMYFUNCTION("""COMPUTED_VALUE"""),"Sandi angga")</f>
        <v>Sandi angga</v>
      </c>
      <c r="E5" s="4" t="str">
        <f>IFERROR(__xludf.DUMMYFUNCTION("""COMPUTED_VALUE"""),"BANDUNG")</f>
        <v>BANDUNG</v>
      </c>
      <c r="F5" s="4" t="str">
        <f>IFERROR(__xludf.DUMMYFUNCTION("""COMPUTED_VALUE"""),"BANDUNG TIMUR")</f>
        <v>BANDUNG TIMUR</v>
      </c>
      <c r="G5" s="4" t="str">
        <f>IFERROR(__xludf.DUMMYFUNCTION("""COMPUTED_VALUE"""),"KIARACONDONG")</f>
        <v>KIARACONDONG</v>
      </c>
      <c r="H5" s="4" t="str">
        <f>IFERROR(__xludf.DUMMYFUNCTION("""COMPUTED_VALUE"""),"KPO")</f>
        <v>KPO</v>
      </c>
      <c r="I5" s="4" t="str">
        <f>IFERROR(__xludf.DUMMYFUNCTION("""COMPUTED_VALUE"""),"AHN-LBS BKNA")</f>
        <v>AHN-LBS BKNA</v>
      </c>
      <c r="J5" s="4" t="str">
        <f>IFERROR(__xludf.DUMMYFUNCTION("""COMPUTED_VALUE"""),"ZONA 2")</f>
        <v>ZONA 2</v>
      </c>
      <c r="K5" s="4" t="str">
        <f>IFERROR(__xludf.DUMMYFUNCTION("""COMPUTED_VALUE"""),"005")</f>
        <v>005</v>
      </c>
      <c r="L5" s="4" t="str">
        <f>IFERROR(__xludf.DUMMYFUNCTION("""COMPUTED_VALUE"""),"TM - 1B/H (Tumpu)")</f>
        <v>TM - 1B/H (Tumpu)</v>
      </c>
      <c r="M5" s="4" t="str">
        <f>IFERROR(__xludf.DUMMYFUNCTION("""COMPUTED_VALUE"""),"Tidak Ada")</f>
        <v>Tidak Ada</v>
      </c>
      <c r="N5" s="4"/>
      <c r="O5" s="4" t="str">
        <f>IFERROR(__xludf.DUMMYFUNCTION("""COMPUTED_VALUE"""),"PEMBANDING SEJENIS")</f>
        <v>PEMBANDING SEJENIS</v>
      </c>
      <c r="P5" s="4" t="str">
        <f>IFERROR(__xludf.DUMMYFUNCTION("""COMPUTED_VALUE"""),"ARRESTER")</f>
        <v>ARRESTER</v>
      </c>
      <c r="Q5" s="4">
        <f>IFERROR(__xludf.DUMMYFUNCTION("""COMPUTED_VALUE"""),23.0)</f>
        <v>23</v>
      </c>
      <c r="R5" s="4">
        <f>IFERROR(__xludf.DUMMYFUNCTION("""COMPUTED_VALUE"""),24.0)</f>
        <v>24</v>
      </c>
      <c r="S5" s="4">
        <f>IFERROR(__xludf.DUMMYFUNCTION("""COMPUTED_VALUE"""),23.0)</f>
        <v>23</v>
      </c>
      <c r="T5" s="4"/>
      <c r="U5" s="4" t="str">
        <f>IFERROR(__xludf.DUMMYFUNCTION("""COMPUTED_VALUE"""),"BAIK")</f>
        <v>BAIK</v>
      </c>
      <c r="V5" s="4" t="str">
        <f>IFERROR(__xludf.DUMMYFUNCTION("""COMPUTED_VALUE"""),"Tidak Ada")</f>
        <v>Tidak Ada</v>
      </c>
      <c r="W5" s="4"/>
      <c r="X5" s="4"/>
      <c r="Y5" s="4"/>
      <c r="Z5" s="4"/>
      <c r="AA5" s="4"/>
      <c r="AB5" s="4"/>
      <c r="AC5" s="4" t="str">
        <f>IFERROR(__xludf.DUMMYFUNCTION("""COMPUTED_VALUE"""),"INSPEKSI SUTM - T2_Images/b36afe8f.FOTO.070042.jpg")</f>
        <v>INSPEKSI SUTM - T2_Images/b36afe8f.FOTO.070042.jpg</v>
      </c>
      <c r="AD5" s="4"/>
      <c r="AE5" s="4"/>
      <c r="AF5" s="4" t="str">
        <f>IFERROR(__xludf.DUMMYFUNCTION("""COMPUTED_VALUE"""),"BELUM")</f>
        <v>BELUM</v>
      </c>
      <c r="AG5" s="6">
        <f>IFERROR(__xludf.DUMMYFUNCTION("""COMPUTED_VALUE"""),46030.0)</f>
        <v>46030</v>
      </c>
      <c r="AH5" s="4"/>
      <c r="AI5" s="4"/>
    </row>
    <row r="6">
      <c r="A6" s="4" t="str">
        <f>IFERROR(__xludf.DUMMYFUNCTION("""COMPUTED_VALUE"""),"f4f70283")</f>
        <v>f4f70283</v>
      </c>
      <c r="B6" s="5">
        <f>IFERROR(__xludf.DUMMYFUNCTION("""COMPUTED_VALUE"""),46030.83445601852)</f>
        <v>46030.83446</v>
      </c>
      <c r="C6" s="4" t="str">
        <f>IFERROR(__xludf.DUMMYFUNCTION("""COMPUTED_VALUE"""),"-6.899181, 107.641188")</f>
        <v>-6.899181, 107.641188</v>
      </c>
      <c r="D6" s="4" t="str">
        <f>IFERROR(__xludf.DUMMYFUNCTION("""COMPUTED_VALUE"""),"Sandi angga")</f>
        <v>Sandi angga</v>
      </c>
      <c r="E6" s="4" t="str">
        <f>IFERROR(__xludf.DUMMYFUNCTION("""COMPUTED_VALUE"""),"BANDUNG")</f>
        <v>BANDUNG</v>
      </c>
      <c r="F6" s="4" t="str">
        <f>IFERROR(__xludf.DUMMYFUNCTION("""COMPUTED_VALUE"""),"BANDUNG TIMUR")</f>
        <v>BANDUNG TIMUR</v>
      </c>
      <c r="G6" s="4" t="str">
        <f>IFERROR(__xludf.DUMMYFUNCTION("""COMPUTED_VALUE"""),"KIARACONDONG")</f>
        <v>KIARACONDONG</v>
      </c>
      <c r="H6" s="4" t="str">
        <f>IFERROR(__xludf.DUMMYFUNCTION("""COMPUTED_VALUE"""),"KPO")</f>
        <v>KPO</v>
      </c>
      <c r="I6" s="4" t="str">
        <f>IFERROR(__xludf.DUMMYFUNCTION("""COMPUTED_VALUE"""),"AHN-LBS BKNA")</f>
        <v>AHN-LBS BKNA</v>
      </c>
      <c r="J6" s="4" t="str">
        <f>IFERROR(__xludf.DUMMYFUNCTION("""COMPUTED_VALUE"""),"ZONA 2")</f>
        <v>ZONA 2</v>
      </c>
      <c r="K6" s="4" t="str">
        <f>IFERROR(__xludf.DUMMYFUNCTION("""COMPUTED_VALUE"""),"006")</f>
        <v>006</v>
      </c>
      <c r="L6" s="4" t="str">
        <f>IFERROR(__xludf.DUMMYFUNCTION("""COMPUTED_VALUE"""),"TM - 4B/H (Afspan)")</f>
        <v>TM - 4B/H (Afspan)</v>
      </c>
      <c r="M6" s="4" t="str">
        <f>IFERROR(__xludf.DUMMYFUNCTION("""COMPUTED_VALUE"""),"Tidak Ada")</f>
        <v>Tidak Ada</v>
      </c>
      <c r="N6" s="4"/>
      <c r="O6" s="4" t="str">
        <f>IFERROR(__xludf.DUMMYFUNCTION("""COMPUTED_VALUE"""),"PEMBANDING SEJENIS")</f>
        <v>PEMBANDING SEJENIS</v>
      </c>
      <c r="P6" s="4" t="str">
        <f>IFERROR(__xludf.DUMMYFUNCTION("""COMPUTED_VALUE"""),"KONEKTOR/JUMPER")</f>
        <v>KONEKTOR/JUMPER</v>
      </c>
      <c r="Q6" s="4">
        <f>IFERROR(__xludf.DUMMYFUNCTION("""COMPUTED_VALUE"""),23.0)</f>
        <v>23</v>
      </c>
      <c r="R6" s="4">
        <f>IFERROR(__xludf.DUMMYFUNCTION("""COMPUTED_VALUE"""),23.0)</f>
        <v>23</v>
      </c>
      <c r="S6" s="4">
        <f>IFERROR(__xludf.DUMMYFUNCTION("""COMPUTED_VALUE"""),24.0)</f>
        <v>24</v>
      </c>
      <c r="T6" s="4"/>
      <c r="U6" s="4" t="str">
        <f>IFERROR(__xludf.DUMMYFUNCTION("""COMPUTED_VALUE"""),"BAIK")</f>
        <v>BAIK</v>
      </c>
      <c r="V6" s="4" t="str">
        <f>IFERROR(__xludf.DUMMYFUNCTION("""COMPUTED_VALUE"""),"Tidak Ada")</f>
        <v>Tidak Ada</v>
      </c>
      <c r="W6" s="4"/>
      <c r="X6" s="4"/>
      <c r="Y6" s="4"/>
      <c r="Z6" s="4"/>
      <c r="AA6" s="4"/>
      <c r="AB6" s="4"/>
      <c r="AC6" s="4" t="str">
        <f>IFERROR(__xludf.DUMMYFUNCTION("""COMPUTED_VALUE"""),"INSPEKSI SUTM - T2_Images/f4f70283.FOTO.070323.jpg")</f>
        <v>INSPEKSI SUTM - T2_Images/f4f70283.FOTO.070323.jpg</v>
      </c>
      <c r="AD6" s="4"/>
      <c r="AE6" s="4"/>
      <c r="AF6" s="4" t="str">
        <f>IFERROR(__xludf.DUMMYFUNCTION("""COMPUTED_VALUE"""),"BELUM")</f>
        <v>BELUM</v>
      </c>
      <c r="AG6" s="6">
        <f>IFERROR(__xludf.DUMMYFUNCTION("""COMPUTED_VALUE"""),46030.0)</f>
        <v>46030</v>
      </c>
      <c r="AH6" s="4"/>
      <c r="AI6" s="4"/>
    </row>
    <row r="7">
      <c r="A7" s="4" t="str">
        <f>IFERROR(__xludf.DUMMYFUNCTION("""COMPUTED_VALUE"""),"b9e878ad")</f>
        <v>b9e878ad</v>
      </c>
      <c r="B7" s="5">
        <f>IFERROR(__xludf.DUMMYFUNCTION("""COMPUTED_VALUE"""),46030.83511574074)</f>
        <v>46030.83512</v>
      </c>
      <c r="C7" s="4" t="str">
        <f>IFERROR(__xludf.DUMMYFUNCTION("""COMPUTED_VALUE"""),"-6.899196, 107.641191")</f>
        <v>-6.899196, 107.641191</v>
      </c>
      <c r="D7" s="4" t="str">
        <f>IFERROR(__xludf.DUMMYFUNCTION("""COMPUTED_VALUE"""),"Sandi angga")</f>
        <v>Sandi angga</v>
      </c>
      <c r="E7" s="4" t="str">
        <f>IFERROR(__xludf.DUMMYFUNCTION("""COMPUTED_VALUE"""),"BANDUNG")</f>
        <v>BANDUNG</v>
      </c>
      <c r="F7" s="4" t="str">
        <f>IFERROR(__xludf.DUMMYFUNCTION("""COMPUTED_VALUE"""),"BANDUNG TIMUR")</f>
        <v>BANDUNG TIMUR</v>
      </c>
      <c r="G7" s="4" t="str">
        <f>IFERROR(__xludf.DUMMYFUNCTION("""COMPUTED_VALUE"""),"KIARACONDONG")</f>
        <v>KIARACONDONG</v>
      </c>
      <c r="H7" s="4" t="str">
        <f>IFERROR(__xludf.DUMMYFUNCTION("""COMPUTED_VALUE"""),"KPO")</f>
        <v>KPO</v>
      </c>
      <c r="I7" s="4" t="str">
        <f>IFERROR(__xludf.DUMMYFUNCTION("""COMPUTED_VALUE"""),"AHN-LBS BKNA")</f>
        <v>AHN-LBS BKNA</v>
      </c>
      <c r="J7" s="4" t="str">
        <f>IFERROR(__xludf.DUMMYFUNCTION("""COMPUTED_VALUE"""),"ZONA 2")</f>
        <v>ZONA 2</v>
      </c>
      <c r="K7" s="4" t="str">
        <f>IFERROR(__xludf.DUMMYFUNCTION("""COMPUTED_VALUE"""),"012")</f>
        <v>012</v>
      </c>
      <c r="L7" s="4" t="str">
        <f>IFERROR(__xludf.DUMMYFUNCTION("""COMPUTED_VALUE"""),"TM - 8B/H (Percabangan)")</f>
        <v>TM - 8B/H (Percabangan)</v>
      </c>
      <c r="M7" s="4" t="str">
        <f>IFERROR(__xludf.DUMMYFUNCTION("""COMPUTED_VALUE"""),"Tidak Ada")</f>
        <v>Tidak Ada</v>
      </c>
      <c r="N7" s="4"/>
      <c r="O7" s="4" t="str">
        <f>IFERROR(__xludf.DUMMYFUNCTION("""COMPUTED_VALUE"""),"PEMBANDING SEJENIS")</f>
        <v>PEMBANDING SEJENIS</v>
      </c>
      <c r="P7" s="4" t="str">
        <f>IFERROR(__xludf.DUMMYFUNCTION("""COMPUTED_VALUE"""),"KONEKTOR/JUMPER")</f>
        <v>KONEKTOR/JUMPER</v>
      </c>
      <c r="Q7" s="4">
        <f>IFERROR(__xludf.DUMMYFUNCTION("""COMPUTED_VALUE"""),20.0)</f>
        <v>20</v>
      </c>
      <c r="R7" s="4">
        <f>IFERROR(__xludf.DUMMYFUNCTION("""COMPUTED_VALUE"""),20.0)</f>
        <v>20</v>
      </c>
      <c r="S7" s="4">
        <f>IFERROR(__xludf.DUMMYFUNCTION("""COMPUTED_VALUE"""),19.0)</f>
        <v>19</v>
      </c>
      <c r="T7" s="4"/>
      <c r="U7" s="4" t="str">
        <f>IFERROR(__xludf.DUMMYFUNCTION("""COMPUTED_VALUE"""),"BAIK")</f>
        <v>BAIK</v>
      </c>
      <c r="V7" s="4" t="str">
        <f>IFERROR(__xludf.DUMMYFUNCTION("""COMPUTED_VALUE"""),"Tidak Ada")</f>
        <v>Tidak Ada</v>
      </c>
      <c r="W7" s="4"/>
      <c r="X7" s="4"/>
      <c r="Y7" s="4"/>
      <c r="Z7" s="4"/>
      <c r="AA7" s="4"/>
      <c r="AB7" s="4"/>
      <c r="AC7" s="4" t="str">
        <f>IFERROR(__xludf.DUMMYFUNCTION("""COMPUTED_VALUE"""),"INSPEKSI SUTM - T2_Images/b9e878ad.FOTO.070425.jpg")</f>
        <v>INSPEKSI SUTM - T2_Images/b9e878ad.FOTO.070425.jpg</v>
      </c>
      <c r="AD7" s="4"/>
      <c r="AE7" s="4"/>
      <c r="AF7" s="4" t="str">
        <f>IFERROR(__xludf.DUMMYFUNCTION("""COMPUTED_VALUE"""),"BELUM")</f>
        <v>BELUM</v>
      </c>
      <c r="AG7" s="6">
        <f>IFERROR(__xludf.DUMMYFUNCTION("""COMPUTED_VALUE"""),46030.0)</f>
        <v>46030</v>
      </c>
      <c r="AH7" s="4"/>
      <c r="AI7" s="4"/>
    </row>
    <row r="8">
      <c r="A8" s="4" t="str">
        <f>IFERROR(__xludf.DUMMYFUNCTION("""COMPUTED_VALUE"""),"4549d0b7")</f>
        <v>4549d0b7</v>
      </c>
      <c r="B8" s="5">
        <f>IFERROR(__xludf.DUMMYFUNCTION("""COMPUTED_VALUE"""),46030.83592592592)</f>
        <v>46030.83593</v>
      </c>
      <c r="C8" s="4" t="str">
        <f>IFERROR(__xludf.DUMMYFUNCTION("""COMPUTED_VALUE"""),"-6.899193, 107.641196")</f>
        <v>-6.899193, 107.641196</v>
      </c>
      <c r="D8" s="4" t="str">
        <f>IFERROR(__xludf.DUMMYFUNCTION("""COMPUTED_VALUE"""),"Sandi angga")</f>
        <v>Sandi angga</v>
      </c>
      <c r="E8" s="4" t="str">
        <f>IFERROR(__xludf.DUMMYFUNCTION("""COMPUTED_VALUE"""),"BANDUNG")</f>
        <v>BANDUNG</v>
      </c>
      <c r="F8" s="4" t="str">
        <f>IFERROR(__xludf.DUMMYFUNCTION("""COMPUTED_VALUE"""),"BANDUNG TIMUR")</f>
        <v>BANDUNG TIMUR</v>
      </c>
      <c r="G8" s="4" t="str">
        <f>IFERROR(__xludf.DUMMYFUNCTION("""COMPUTED_VALUE"""),"KIARACONDONG")</f>
        <v>KIARACONDONG</v>
      </c>
      <c r="H8" s="4" t="str">
        <f>IFERROR(__xludf.DUMMYFUNCTION("""COMPUTED_VALUE"""),"KPO")</f>
        <v>KPO</v>
      </c>
      <c r="I8" s="4" t="str">
        <f>IFERROR(__xludf.DUMMYFUNCTION("""COMPUTED_VALUE"""),"AHN-LBS BKNA")</f>
        <v>AHN-LBS BKNA</v>
      </c>
      <c r="J8" s="4" t="str">
        <f>IFERROR(__xludf.DUMMYFUNCTION("""COMPUTED_VALUE"""),"ZONA 2")</f>
        <v>ZONA 2</v>
      </c>
      <c r="K8" s="4" t="str">
        <f>IFERROR(__xludf.DUMMYFUNCTION("""COMPUTED_VALUE"""),"014")</f>
        <v>014</v>
      </c>
      <c r="L8" s="4" t="str">
        <f>IFERROR(__xludf.DUMMYFUNCTION("""COMPUTED_VALUE"""),"TM - 8B/H (Percabangan)")</f>
        <v>TM - 8B/H (Percabangan)</v>
      </c>
      <c r="M8" s="4" t="str">
        <f>IFERROR(__xludf.DUMMYFUNCTION("""COMPUTED_VALUE"""),"Tidak Ada")</f>
        <v>Tidak Ada</v>
      </c>
      <c r="N8" s="4"/>
      <c r="O8" s="4" t="str">
        <f>IFERROR(__xludf.DUMMYFUNCTION("""COMPUTED_VALUE"""),"PEMBANDING SEJENIS")</f>
        <v>PEMBANDING SEJENIS</v>
      </c>
      <c r="P8" s="4" t="str">
        <f>IFERROR(__xludf.DUMMYFUNCTION("""COMPUTED_VALUE"""),"KONEKTOR/JUMPER")</f>
        <v>KONEKTOR/JUMPER</v>
      </c>
      <c r="Q8" s="4">
        <f>IFERROR(__xludf.DUMMYFUNCTION("""COMPUTED_VALUE"""),23.0)</f>
        <v>23</v>
      </c>
      <c r="R8" s="4">
        <f>IFERROR(__xludf.DUMMYFUNCTION("""COMPUTED_VALUE"""),23.0)</f>
        <v>23</v>
      </c>
      <c r="S8" s="4">
        <f>IFERROR(__xludf.DUMMYFUNCTION("""COMPUTED_VALUE"""),23.0)</f>
        <v>23</v>
      </c>
      <c r="T8" s="4"/>
      <c r="U8" s="4" t="str">
        <f>IFERROR(__xludf.DUMMYFUNCTION("""COMPUTED_VALUE"""),"BAIK")</f>
        <v>BAIK</v>
      </c>
      <c r="V8" s="4" t="str">
        <f>IFERROR(__xludf.DUMMYFUNCTION("""COMPUTED_VALUE"""),"Tidak Ada")</f>
        <v>Tidak Ada</v>
      </c>
      <c r="W8" s="4"/>
      <c r="X8" s="4"/>
      <c r="Y8" s="4"/>
      <c r="Z8" s="4"/>
      <c r="AA8" s="4"/>
      <c r="AB8" s="4"/>
      <c r="AC8" s="4" t="str">
        <f>IFERROR(__xludf.DUMMYFUNCTION("""COMPUTED_VALUE"""),"INSPEKSI SUTM - T2_Images/4549d0b7.FOTO.070617.jpg")</f>
        <v>INSPEKSI SUTM - T2_Images/4549d0b7.FOTO.070617.jpg</v>
      </c>
      <c r="AD8" s="4"/>
      <c r="AE8" s="4"/>
      <c r="AF8" s="4" t="str">
        <f>IFERROR(__xludf.DUMMYFUNCTION("""COMPUTED_VALUE"""),"BELUM")</f>
        <v>BELUM</v>
      </c>
      <c r="AG8" s="6">
        <f>IFERROR(__xludf.DUMMYFUNCTION("""COMPUTED_VALUE"""),46030.0)</f>
        <v>46030</v>
      </c>
      <c r="AH8" s="4"/>
      <c r="AI8" s="4"/>
    </row>
    <row r="9">
      <c r="A9" s="4" t="str">
        <f>IFERROR(__xludf.DUMMYFUNCTION("""COMPUTED_VALUE"""),"0f9ba3b7")</f>
        <v>0f9ba3b7</v>
      </c>
      <c r="B9" s="5">
        <f>IFERROR(__xludf.DUMMYFUNCTION("""COMPUTED_VALUE"""),46030.837696759256)</f>
        <v>46030.8377</v>
      </c>
      <c r="C9" s="4" t="str">
        <f>IFERROR(__xludf.DUMMYFUNCTION("""COMPUTED_VALUE"""),"-6.899178, 107.641207")</f>
        <v>-6.899178, 107.641207</v>
      </c>
      <c r="D9" s="4" t="str">
        <f>IFERROR(__xludf.DUMMYFUNCTION("""COMPUTED_VALUE"""),"Sandi angga")</f>
        <v>Sandi angga</v>
      </c>
      <c r="E9" s="4" t="str">
        <f>IFERROR(__xludf.DUMMYFUNCTION("""COMPUTED_VALUE"""),"BANDUNG")</f>
        <v>BANDUNG</v>
      </c>
      <c r="F9" s="4" t="str">
        <f>IFERROR(__xludf.DUMMYFUNCTION("""COMPUTED_VALUE"""),"BANDUNG TIMUR")</f>
        <v>BANDUNG TIMUR</v>
      </c>
      <c r="G9" s="4" t="str">
        <f>IFERROR(__xludf.DUMMYFUNCTION("""COMPUTED_VALUE"""),"KIARACONDONG")</f>
        <v>KIARACONDONG</v>
      </c>
      <c r="H9" s="4" t="str">
        <f>IFERROR(__xludf.DUMMYFUNCTION("""COMPUTED_VALUE"""),"KPO")</f>
        <v>KPO</v>
      </c>
      <c r="I9" s="4" t="str">
        <f>IFERROR(__xludf.DUMMYFUNCTION("""COMPUTED_VALUE"""),"AHN-LBS BKNA")</f>
        <v>AHN-LBS BKNA</v>
      </c>
      <c r="J9" s="4" t="str">
        <f>IFERROR(__xludf.DUMMYFUNCTION("""COMPUTED_VALUE"""),"ZONA 2")</f>
        <v>ZONA 2</v>
      </c>
      <c r="K9" s="4" t="str">
        <f>IFERROR(__xludf.DUMMYFUNCTION("""COMPUTED_VALUE"""),"014R04")</f>
        <v>014R04</v>
      </c>
      <c r="L9" s="4" t="str">
        <f>IFERROR(__xludf.DUMMYFUNCTION("""COMPUTED_VALUE"""),"TM - 4B/H (Afspan)")</f>
        <v>TM - 4B/H (Afspan)</v>
      </c>
      <c r="M9" s="4" t="str">
        <f>IFERROR(__xludf.DUMMYFUNCTION("""COMPUTED_VALUE"""),"Tidak Ada")</f>
        <v>Tidak Ada</v>
      </c>
      <c r="N9" s="4"/>
      <c r="O9" s="4" t="str">
        <f>IFERROR(__xludf.DUMMYFUNCTION("""COMPUTED_VALUE"""),"PEMBANDING SEJENIS")</f>
        <v>PEMBANDING SEJENIS</v>
      </c>
      <c r="P9" s="4" t="str">
        <f>IFERROR(__xludf.DUMMYFUNCTION("""COMPUTED_VALUE"""),"KONEKTOR/JUMPER")</f>
        <v>KONEKTOR/JUMPER</v>
      </c>
      <c r="Q9" s="4">
        <f>IFERROR(__xludf.DUMMYFUNCTION("""COMPUTED_VALUE"""),20.0)</f>
        <v>20</v>
      </c>
      <c r="R9" s="4">
        <f>IFERROR(__xludf.DUMMYFUNCTION("""COMPUTED_VALUE"""),20.0)</f>
        <v>20</v>
      </c>
      <c r="S9" s="4">
        <f>IFERROR(__xludf.DUMMYFUNCTION("""COMPUTED_VALUE"""),20.0)</f>
        <v>20</v>
      </c>
      <c r="T9" s="4"/>
      <c r="U9" s="4" t="str">
        <f>IFERROR(__xludf.DUMMYFUNCTION("""COMPUTED_VALUE"""),"BAIK")</f>
        <v>BAIK</v>
      </c>
      <c r="V9" s="4" t="str">
        <f>IFERROR(__xludf.DUMMYFUNCTION("""COMPUTED_VALUE"""),"Tidak Ada")</f>
        <v>Tidak Ada</v>
      </c>
      <c r="W9" s="4"/>
      <c r="X9" s="4"/>
      <c r="Y9" s="4"/>
      <c r="Z9" s="4"/>
      <c r="AA9" s="4"/>
      <c r="AB9" s="4"/>
      <c r="AC9" s="4" t="str">
        <f>IFERROR(__xludf.DUMMYFUNCTION("""COMPUTED_VALUE"""),"INSPEKSI SUTM - T2_Images/0f9ba3b7.FOTO.070808.jpg")</f>
        <v>INSPEKSI SUTM - T2_Images/0f9ba3b7.FOTO.070808.jpg</v>
      </c>
      <c r="AD9" s="4"/>
      <c r="AE9" s="4"/>
      <c r="AF9" s="4" t="str">
        <f>IFERROR(__xludf.DUMMYFUNCTION("""COMPUTED_VALUE"""),"BELUM")</f>
        <v>BELUM</v>
      </c>
      <c r="AG9" s="6">
        <f>IFERROR(__xludf.DUMMYFUNCTION("""COMPUTED_VALUE"""),46030.0)</f>
        <v>46030</v>
      </c>
      <c r="AH9" s="4"/>
      <c r="AI9" s="4"/>
    </row>
    <row r="10">
      <c r="A10" s="4" t="str">
        <f>IFERROR(__xludf.DUMMYFUNCTION("""COMPUTED_VALUE"""),"2d9a7f56")</f>
        <v>2d9a7f56</v>
      </c>
      <c r="B10" s="5">
        <f>IFERROR(__xludf.DUMMYFUNCTION("""COMPUTED_VALUE"""),46030.838958333334)</f>
        <v>46030.83896</v>
      </c>
      <c r="C10" s="4" t="str">
        <f>IFERROR(__xludf.DUMMYFUNCTION("""COMPUTED_VALUE"""),"-6.899182, 107.641199")</f>
        <v>-6.899182, 107.641199</v>
      </c>
      <c r="D10" s="4" t="str">
        <f>IFERROR(__xludf.DUMMYFUNCTION("""COMPUTED_VALUE"""),"Sandi angga")</f>
        <v>Sandi angga</v>
      </c>
      <c r="E10" s="4" t="str">
        <f>IFERROR(__xludf.DUMMYFUNCTION("""COMPUTED_VALUE"""),"BANDUNG")</f>
        <v>BANDUNG</v>
      </c>
      <c r="F10" s="4" t="str">
        <f>IFERROR(__xludf.DUMMYFUNCTION("""COMPUTED_VALUE"""),"BANDUNG TIMUR")</f>
        <v>BANDUNG TIMUR</v>
      </c>
      <c r="G10" s="4" t="str">
        <f>IFERROR(__xludf.DUMMYFUNCTION("""COMPUTED_VALUE"""),"KIARACONDONG")</f>
        <v>KIARACONDONG</v>
      </c>
      <c r="H10" s="4" t="str">
        <f>IFERROR(__xludf.DUMMYFUNCTION("""COMPUTED_VALUE"""),"KPO")</f>
        <v>KPO</v>
      </c>
      <c r="I10" s="4" t="str">
        <f>IFERROR(__xludf.DUMMYFUNCTION("""COMPUTED_VALUE"""),"AHN-LBS BKNA")</f>
        <v>AHN-LBS BKNA</v>
      </c>
      <c r="J10" s="4" t="str">
        <f>IFERROR(__xludf.DUMMYFUNCTION("""COMPUTED_VALUE"""),"ZONA 2")</f>
        <v>ZONA 2</v>
      </c>
      <c r="K10" s="4" t="str">
        <f>IFERROR(__xludf.DUMMYFUNCTION("""COMPUTED_VALUE"""),"017")</f>
        <v>017</v>
      </c>
      <c r="L10" s="4" t="str">
        <f>IFERROR(__xludf.DUMMYFUNCTION("""COMPUTED_VALUE"""),"TM - 16B/H (REC/SSO/LBS)")</f>
        <v>TM - 16B/H (REC/SSO/LBS)</v>
      </c>
      <c r="M10" s="4" t="str">
        <f>IFERROR(__xludf.DUMMYFUNCTION("""COMPUTED_VALUE"""),"LBS")</f>
        <v>LBS</v>
      </c>
      <c r="N10" s="4" t="str">
        <f>IFERROR(__xludf.DUMMYFUNCTION("""COMPUTED_VALUE"""),"BKNA")</f>
        <v>BKNA</v>
      </c>
      <c r="O10" s="4" t="str">
        <f>IFERROR(__xludf.DUMMYFUNCTION("""COMPUTED_VALUE"""),"PEMBANDING SEJENIS")</f>
        <v>PEMBANDING SEJENIS</v>
      </c>
      <c r="P10" s="4" t="str">
        <f>IFERROR(__xludf.DUMMYFUNCTION("""COMPUTED_VALUE"""),"KONEKTOR/JUMPER")</f>
        <v>KONEKTOR/JUMPER</v>
      </c>
      <c r="Q10" s="4">
        <f>IFERROR(__xludf.DUMMYFUNCTION("""COMPUTED_VALUE"""),22.0)</f>
        <v>22</v>
      </c>
      <c r="R10" s="4">
        <f>IFERROR(__xludf.DUMMYFUNCTION("""COMPUTED_VALUE"""),21.0)</f>
        <v>21</v>
      </c>
      <c r="S10" s="4">
        <f>IFERROR(__xludf.DUMMYFUNCTION("""COMPUTED_VALUE"""),21.0)</f>
        <v>21</v>
      </c>
      <c r="T10" s="4"/>
      <c r="U10" s="4" t="str">
        <f>IFERROR(__xludf.DUMMYFUNCTION("""COMPUTED_VALUE"""),"BAIK")</f>
        <v>BAIK</v>
      </c>
      <c r="V10" s="4" t="str">
        <f>IFERROR(__xludf.DUMMYFUNCTION("""COMPUTED_VALUE"""),"Tidak Ada")</f>
        <v>Tidak Ada</v>
      </c>
      <c r="W10" s="4"/>
      <c r="X10" s="4"/>
      <c r="Y10" s="4"/>
      <c r="Z10" s="4"/>
      <c r="AA10" s="4"/>
      <c r="AB10" s="4"/>
      <c r="AC10" s="4" t="str">
        <f>IFERROR(__xludf.DUMMYFUNCTION("""COMPUTED_VALUE"""),"INSPEKSI SUTM - T2_Images/2d9a7f56.FOTO.071139.jpg")</f>
        <v>INSPEKSI SUTM - T2_Images/2d9a7f56.FOTO.071139.jpg</v>
      </c>
      <c r="AD10" s="4"/>
      <c r="AE10" s="4"/>
      <c r="AF10" s="4" t="str">
        <f>IFERROR(__xludf.DUMMYFUNCTION("""COMPUTED_VALUE"""),"BELUM")</f>
        <v>BELUM</v>
      </c>
      <c r="AG10" s="6">
        <f>IFERROR(__xludf.DUMMYFUNCTION("""COMPUTED_VALUE"""),46030.0)</f>
        <v>46030</v>
      </c>
      <c r="AH10" s="4"/>
      <c r="AI10" s="4"/>
    </row>
    <row r="11">
      <c r="A11" s="4" t="str">
        <f>IFERROR(__xludf.DUMMYFUNCTION("""COMPUTED_VALUE"""),"5382c293")</f>
        <v>5382c293</v>
      </c>
      <c r="B11" s="5">
        <f>IFERROR(__xludf.DUMMYFUNCTION("""COMPUTED_VALUE"""),46030.84315972222)</f>
        <v>46030.84316</v>
      </c>
      <c r="C11" s="4" t="str">
        <f>IFERROR(__xludf.DUMMYFUNCTION("""COMPUTED_VALUE"""),"-6.899181, 107.641227")</f>
        <v>-6.899181, 107.641227</v>
      </c>
      <c r="D11" s="4" t="str">
        <f>IFERROR(__xludf.DUMMYFUNCTION("""COMPUTED_VALUE"""),"Sandi angga")</f>
        <v>Sandi angga</v>
      </c>
      <c r="E11" s="4" t="str">
        <f>IFERROR(__xludf.DUMMYFUNCTION("""COMPUTED_VALUE"""),"BANDUNG")</f>
        <v>BANDUNG</v>
      </c>
      <c r="F11" s="4" t="str">
        <f>IFERROR(__xludf.DUMMYFUNCTION("""COMPUTED_VALUE"""),"BANDUNG TIMUR")</f>
        <v>BANDUNG TIMUR</v>
      </c>
      <c r="G11" s="4" t="str">
        <f>IFERROR(__xludf.DUMMYFUNCTION("""COMPUTED_VALUE"""),"KIARACONDONG")</f>
        <v>KIARACONDONG</v>
      </c>
      <c r="H11" s="4" t="str">
        <f>IFERROR(__xludf.DUMMYFUNCTION("""COMPUTED_VALUE"""),"KPO")</f>
        <v>KPO</v>
      </c>
      <c r="I11" s="4" t="str">
        <f>IFERROR(__xludf.DUMMYFUNCTION("""COMPUTED_VALUE"""),"LBS BKNA-RAT")</f>
        <v>LBS BKNA-RAT</v>
      </c>
      <c r="J11" s="4" t="str">
        <f>IFERROR(__xludf.DUMMYFUNCTION("""COMPUTED_VALUE"""),"ZONA 2")</f>
        <v>ZONA 2</v>
      </c>
      <c r="K11" s="4" t="str">
        <f>IFERROR(__xludf.DUMMYFUNCTION("""COMPUTED_VALUE"""),"019")</f>
        <v>019</v>
      </c>
      <c r="L11" s="4" t="str">
        <f>IFERROR(__xludf.DUMMYFUNCTION("""COMPUTED_VALUE"""),"TM - 13B/H (Kabel Naik Pada Tiang Tumpu)")</f>
        <v>TM - 13B/H (Kabel Naik Pada Tiang Tumpu)</v>
      </c>
      <c r="M11" s="4" t="str">
        <f>IFERROR(__xludf.DUMMYFUNCTION("""COMPUTED_VALUE"""),"Tidak Ada")</f>
        <v>Tidak Ada</v>
      </c>
      <c r="N11" s="4"/>
      <c r="O11" s="4" t="str">
        <f>IFERROR(__xludf.DUMMYFUNCTION("""COMPUTED_VALUE"""),"PEMBANDING SEJENIS")</f>
        <v>PEMBANDING SEJENIS</v>
      </c>
      <c r="P11" s="4" t="str">
        <f>IFERROR(__xludf.DUMMYFUNCTION("""COMPUTED_VALUE"""),"TERMINASI")</f>
        <v>TERMINASI</v>
      </c>
      <c r="Q11" s="4">
        <f>IFERROR(__xludf.DUMMYFUNCTION("""COMPUTED_VALUE"""),23.0)</f>
        <v>23</v>
      </c>
      <c r="R11" s="4">
        <f>IFERROR(__xludf.DUMMYFUNCTION("""COMPUTED_VALUE"""),23.0)</f>
        <v>23</v>
      </c>
      <c r="S11" s="4">
        <f>IFERROR(__xludf.DUMMYFUNCTION("""COMPUTED_VALUE"""),23.0)</f>
        <v>23</v>
      </c>
      <c r="T11" s="4"/>
      <c r="U11" s="4" t="str">
        <f>IFERROR(__xludf.DUMMYFUNCTION("""COMPUTED_VALUE"""),"BAIK")</f>
        <v>BAIK</v>
      </c>
      <c r="V11" s="4" t="str">
        <f>IFERROR(__xludf.DUMMYFUNCTION("""COMPUTED_VALUE"""),"Tidak Ada")</f>
        <v>Tidak Ada</v>
      </c>
      <c r="W11" s="4"/>
      <c r="X11" s="4"/>
      <c r="Y11" s="4"/>
      <c r="Z11" s="4"/>
      <c r="AA11" s="4"/>
      <c r="AB11" s="4"/>
      <c r="AC11" s="4" t="str">
        <f>IFERROR(__xludf.DUMMYFUNCTION("""COMPUTED_VALUE"""),"INSPEKSI SUTM - T2_Images/5382c293.FOTO.071629.jpg")</f>
        <v>INSPEKSI SUTM - T2_Images/5382c293.FOTO.071629.jpg</v>
      </c>
      <c r="AD11" s="4"/>
      <c r="AE11" s="4"/>
      <c r="AF11" s="4" t="str">
        <f>IFERROR(__xludf.DUMMYFUNCTION("""COMPUTED_VALUE"""),"BELUM")</f>
        <v>BELUM</v>
      </c>
      <c r="AG11" s="6">
        <f>IFERROR(__xludf.DUMMYFUNCTION("""COMPUTED_VALUE"""),46030.0)</f>
        <v>46030</v>
      </c>
      <c r="AH11" s="4"/>
      <c r="AI11" s="4"/>
    </row>
    <row r="12">
      <c r="A12" s="4" t="str">
        <f>IFERROR(__xludf.DUMMYFUNCTION("""COMPUTED_VALUE"""),"e9745e21")</f>
        <v>e9745e21</v>
      </c>
      <c r="B12" s="5">
        <f>IFERROR(__xludf.DUMMYFUNCTION("""COMPUTED_VALUE"""),46030.844814814816)</f>
        <v>46030.84481</v>
      </c>
      <c r="C12" s="4" t="str">
        <f>IFERROR(__xludf.DUMMYFUNCTION("""COMPUTED_VALUE"""),"-6.899156, 107.641230")</f>
        <v>-6.899156, 107.641230</v>
      </c>
      <c r="D12" s="4" t="str">
        <f>IFERROR(__xludf.DUMMYFUNCTION("""COMPUTED_VALUE"""),"Sandi angga")</f>
        <v>Sandi angga</v>
      </c>
      <c r="E12" s="4" t="str">
        <f>IFERROR(__xludf.DUMMYFUNCTION("""COMPUTED_VALUE"""),"BANDUNG")</f>
        <v>BANDUNG</v>
      </c>
      <c r="F12" s="4" t="str">
        <f>IFERROR(__xludf.DUMMYFUNCTION("""COMPUTED_VALUE"""),"BANDUNG TIMUR")</f>
        <v>BANDUNG TIMUR</v>
      </c>
      <c r="G12" s="4" t="str">
        <f>IFERROR(__xludf.DUMMYFUNCTION("""COMPUTED_VALUE"""),"KIARACONDONG")</f>
        <v>KIARACONDONG</v>
      </c>
      <c r="H12" s="4" t="str">
        <f>IFERROR(__xludf.DUMMYFUNCTION("""COMPUTED_VALUE"""),"KPO")</f>
        <v>KPO</v>
      </c>
      <c r="I12" s="4" t="str">
        <f>IFERROR(__xludf.DUMMYFUNCTION("""COMPUTED_VALUE"""),"LBS BKNA-RAT")</f>
        <v>LBS BKNA-RAT</v>
      </c>
      <c r="J12" s="4" t="str">
        <f>IFERROR(__xludf.DUMMYFUNCTION("""COMPUTED_VALUE"""),"ZONA 2")</f>
        <v>ZONA 2</v>
      </c>
      <c r="K12" s="4" t="str">
        <f>IFERROR(__xludf.DUMMYFUNCTION("""COMPUTED_VALUE"""),"031")</f>
        <v>031</v>
      </c>
      <c r="L12" s="4" t="str">
        <f>IFERROR(__xludf.DUMMYFUNCTION("""COMPUTED_VALUE"""),"TM - 4B/H (Afspan)")</f>
        <v>TM - 4B/H (Afspan)</v>
      </c>
      <c r="M12" s="4" t="str">
        <f>IFERROR(__xludf.DUMMYFUNCTION("""COMPUTED_VALUE"""),"Tidak Ada")</f>
        <v>Tidak Ada</v>
      </c>
      <c r="N12" s="4"/>
      <c r="O12" s="4" t="str">
        <f>IFERROR(__xludf.DUMMYFUNCTION("""COMPUTED_VALUE"""),"PEMBANDING SEJENIS")</f>
        <v>PEMBANDING SEJENIS</v>
      </c>
      <c r="P12" s="4" t="str">
        <f>IFERROR(__xludf.DUMMYFUNCTION("""COMPUTED_VALUE"""),"KONEKTOR/JUMPER")</f>
        <v>KONEKTOR/JUMPER</v>
      </c>
      <c r="Q12" s="4">
        <f>IFERROR(__xludf.DUMMYFUNCTION("""COMPUTED_VALUE"""),25.0)</f>
        <v>25</v>
      </c>
      <c r="R12" s="4">
        <f>IFERROR(__xludf.DUMMYFUNCTION("""COMPUTED_VALUE"""),25.0)</f>
        <v>25</v>
      </c>
      <c r="S12" s="4">
        <f>IFERROR(__xludf.DUMMYFUNCTION("""COMPUTED_VALUE"""),25.0)</f>
        <v>25</v>
      </c>
      <c r="T12" s="4"/>
      <c r="U12" s="4" t="str">
        <f>IFERROR(__xludf.DUMMYFUNCTION("""COMPUTED_VALUE"""),"BAIK")</f>
        <v>BAIK</v>
      </c>
      <c r="V12" s="4" t="str">
        <f>IFERROR(__xludf.DUMMYFUNCTION("""COMPUTED_VALUE"""),"Tidak Ada")</f>
        <v>Tidak Ada</v>
      </c>
      <c r="W12" s="4"/>
      <c r="X12" s="4"/>
      <c r="Y12" s="4"/>
      <c r="Z12" s="4"/>
      <c r="AA12" s="4"/>
      <c r="AB12" s="4"/>
      <c r="AC12" s="4" t="str">
        <f>IFERROR(__xludf.DUMMYFUNCTION("""COMPUTED_VALUE"""),"INSPEKSI SUTM - T2_Images/e9745e21.FOTO.072142.jpg")</f>
        <v>INSPEKSI SUTM - T2_Images/e9745e21.FOTO.072142.jpg</v>
      </c>
      <c r="AD12" s="4"/>
      <c r="AE12" s="4"/>
      <c r="AF12" s="4" t="str">
        <f>IFERROR(__xludf.DUMMYFUNCTION("""COMPUTED_VALUE"""),"BELUM")</f>
        <v>BELUM</v>
      </c>
      <c r="AG12" s="6">
        <f>IFERROR(__xludf.DUMMYFUNCTION("""COMPUTED_VALUE"""),46030.0)</f>
        <v>46030</v>
      </c>
      <c r="AH12" s="4"/>
      <c r="AI12" s="4"/>
    </row>
    <row r="13">
      <c r="A13" s="4" t="str">
        <f>IFERROR(__xludf.DUMMYFUNCTION("""COMPUTED_VALUE"""),"01375cec")</f>
        <v>01375cec</v>
      </c>
      <c r="B13" s="5">
        <f>IFERROR(__xludf.DUMMYFUNCTION("""COMPUTED_VALUE"""),46030.847974537035)</f>
        <v>46030.84797</v>
      </c>
      <c r="C13" s="4" t="str">
        <f>IFERROR(__xludf.DUMMYFUNCTION("""COMPUTED_VALUE"""),"-6.899160, 107.641251")</f>
        <v>-6.899160, 107.641251</v>
      </c>
      <c r="D13" s="4" t="str">
        <f>IFERROR(__xludf.DUMMYFUNCTION("""COMPUTED_VALUE"""),"Sandi angga")</f>
        <v>Sandi angga</v>
      </c>
      <c r="E13" s="4" t="str">
        <f>IFERROR(__xludf.DUMMYFUNCTION("""COMPUTED_VALUE"""),"BANDUNG")</f>
        <v>BANDUNG</v>
      </c>
      <c r="F13" s="4" t="str">
        <f>IFERROR(__xludf.DUMMYFUNCTION("""COMPUTED_VALUE"""),"BANDUNG TIMUR")</f>
        <v>BANDUNG TIMUR</v>
      </c>
      <c r="G13" s="4" t="str">
        <f>IFERROR(__xludf.DUMMYFUNCTION("""COMPUTED_VALUE"""),"KIARACONDONG")</f>
        <v>KIARACONDONG</v>
      </c>
      <c r="H13" s="4" t="str">
        <f>IFERROR(__xludf.DUMMYFUNCTION("""COMPUTED_VALUE"""),"KPO")</f>
        <v>KPO</v>
      </c>
      <c r="I13" s="4" t="str">
        <f>IFERROR(__xludf.DUMMYFUNCTION("""COMPUTED_VALUE"""),"LBS BKNA-RAT")</f>
        <v>LBS BKNA-RAT</v>
      </c>
      <c r="J13" s="4" t="str">
        <f>IFERROR(__xludf.DUMMYFUNCTION("""COMPUTED_VALUE"""),"ZONA 2")</f>
        <v>ZONA 2</v>
      </c>
      <c r="K13" s="4" t="str">
        <f>IFERROR(__xludf.DUMMYFUNCTION("""COMPUTED_VALUE"""),"036")</f>
        <v>036</v>
      </c>
      <c r="L13" s="4" t="str">
        <f>IFERROR(__xludf.DUMMYFUNCTION("""COMPUTED_VALUE"""),"TM - 4B/H (Afspan)")</f>
        <v>TM - 4B/H (Afspan)</v>
      </c>
      <c r="M13" s="4" t="str">
        <f>IFERROR(__xludf.DUMMYFUNCTION("""COMPUTED_VALUE"""),"Tidak Ada")</f>
        <v>Tidak Ada</v>
      </c>
      <c r="N13" s="4"/>
      <c r="O13" s="4" t="str">
        <f>IFERROR(__xludf.DUMMYFUNCTION("""COMPUTED_VALUE"""),"PEMBANDING SEJENIS")</f>
        <v>PEMBANDING SEJENIS</v>
      </c>
      <c r="P13" s="4" t="str">
        <f>IFERROR(__xludf.DUMMYFUNCTION("""COMPUTED_VALUE"""),"KONEKTOR/JUMPER")</f>
        <v>KONEKTOR/JUMPER</v>
      </c>
      <c r="Q13" s="4">
        <f>IFERROR(__xludf.DUMMYFUNCTION("""COMPUTED_VALUE"""),24.0)</f>
        <v>24</v>
      </c>
      <c r="R13" s="4">
        <f>IFERROR(__xludf.DUMMYFUNCTION("""COMPUTED_VALUE"""),23.0)</f>
        <v>23</v>
      </c>
      <c r="S13" s="4">
        <f>IFERROR(__xludf.DUMMYFUNCTION("""COMPUTED_VALUE"""),24.0)</f>
        <v>24</v>
      </c>
      <c r="T13" s="4"/>
      <c r="U13" s="4" t="str">
        <f>IFERROR(__xludf.DUMMYFUNCTION("""COMPUTED_VALUE"""),"BAIK")</f>
        <v>BAIK</v>
      </c>
      <c r="V13" s="4" t="str">
        <f>IFERROR(__xludf.DUMMYFUNCTION("""COMPUTED_VALUE"""),"Tidak Ada")</f>
        <v>Tidak Ada</v>
      </c>
      <c r="W13" s="4"/>
      <c r="X13" s="4"/>
      <c r="Y13" s="4"/>
      <c r="Z13" s="4"/>
      <c r="AA13" s="4"/>
      <c r="AB13" s="4"/>
      <c r="AC13" s="4" t="str">
        <f>IFERROR(__xludf.DUMMYFUNCTION("""COMPUTED_VALUE"""),"INSPEKSI SUTM - T2_Images/01375cec.FOTO.072330.jpg")</f>
        <v>INSPEKSI SUTM - T2_Images/01375cec.FOTO.072330.jpg</v>
      </c>
      <c r="AD13" s="4"/>
      <c r="AE13" s="4"/>
      <c r="AF13" s="4" t="str">
        <f>IFERROR(__xludf.DUMMYFUNCTION("""COMPUTED_VALUE"""),"BELUM")</f>
        <v>BELUM</v>
      </c>
      <c r="AG13" s="6">
        <f>IFERROR(__xludf.DUMMYFUNCTION("""COMPUTED_VALUE"""),46030.0)</f>
        <v>46030</v>
      </c>
      <c r="AH13" s="4"/>
      <c r="AI13" s="4"/>
    </row>
    <row r="14">
      <c r="A14" s="4" t="str">
        <f>IFERROR(__xludf.DUMMYFUNCTION("""COMPUTED_VALUE"""),"7e44f421")</f>
        <v>7e44f421</v>
      </c>
      <c r="B14" s="5">
        <f>IFERROR(__xludf.DUMMYFUNCTION("""COMPUTED_VALUE"""),46031.807071759256)</f>
        <v>46031.80707</v>
      </c>
      <c r="C14" s="4" t="str">
        <f>IFERROR(__xludf.DUMMYFUNCTION("""COMPUTED_VALUE"""),"-6.899169, 107.641248")</f>
        <v>-6.899169, 107.641248</v>
      </c>
      <c r="D14" s="4" t="str">
        <f>IFERROR(__xludf.DUMMYFUNCTION("""COMPUTED_VALUE"""),"Ssndi angga")</f>
        <v>Ssndi angga</v>
      </c>
      <c r="E14" s="4" t="str">
        <f>IFERROR(__xludf.DUMMYFUNCTION("""COMPUTED_VALUE"""),"BANDUNG")</f>
        <v>BANDUNG</v>
      </c>
      <c r="F14" s="4" t="str">
        <f>IFERROR(__xludf.DUMMYFUNCTION("""COMPUTED_VALUE"""),"BANDUNG TIMUR")</f>
        <v>BANDUNG TIMUR</v>
      </c>
      <c r="G14" s="4" t="str">
        <f>IFERROR(__xludf.DUMMYFUNCTION("""COMPUTED_VALUE"""),"KIARACONDONG")</f>
        <v>KIARACONDONG</v>
      </c>
      <c r="H14" s="4" t="str">
        <f>IFERROR(__xludf.DUMMYFUNCTION("""COMPUTED_VALUE"""),"KPO")</f>
        <v>KPO</v>
      </c>
      <c r="I14" s="4" t="str">
        <f>IFERROR(__xludf.DUMMYFUNCTION("""COMPUTED_VALUE"""),"LBS BKNA-RAT")</f>
        <v>LBS BKNA-RAT</v>
      </c>
      <c r="J14" s="4" t="str">
        <f>IFERROR(__xludf.DUMMYFUNCTION("""COMPUTED_VALUE"""),"ZONA 2")</f>
        <v>ZONA 2</v>
      </c>
      <c r="K14" s="4" t="str">
        <f>IFERROR(__xludf.DUMMYFUNCTION("""COMPUTED_VALUE"""),"041")</f>
        <v>041</v>
      </c>
      <c r="L14" s="4" t="str">
        <f>IFERROR(__xludf.DUMMYFUNCTION("""COMPUTED_VALUE"""),"TM - 8B/H (Percabangan)")</f>
        <v>TM - 8B/H (Percabangan)</v>
      </c>
      <c r="M14" s="4" t="str">
        <f>IFERROR(__xludf.DUMMYFUNCTION("""COMPUTED_VALUE"""),"Tidak Ada")</f>
        <v>Tidak Ada</v>
      </c>
      <c r="N14" s="4"/>
      <c r="O14" s="4" t="str">
        <f>IFERROR(__xludf.DUMMYFUNCTION("""COMPUTED_VALUE"""),"PEMBANDING SEJENIS")</f>
        <v>PEMBANDING SEJENIS</v>
      </c>
      <c r="P14" s="4" t="str">
        <f>IFERROR(__xludf.DUMMYFUNCTION("""COMPUTED_VALUE"""),"KONEKTOR/JUMPER")</f>
        <v>KONEKTOR/JUMPER</v>
      </c>
      <c r="Q14" s="4">
        <f>IFERROR(__xludf.DUMMYFUNCTION("""COMPUTED_VALUE"""),23.0)</f>
        <v>23</v>
      </c>
      <c r="R14" s="4">
        <f>IFERROR(__xludf.DUMMYFUNCTION("""COMPUTED_VALUE"""),23.0)</f>
        <v>23</v>
      </c>
      <c r="S14" s="4">
        <f>IFERROR(__xludf.DUMMYFUNCTION("""COMPUTED_VALUE"""),22.0)</f>
        <v>22</v>
      </c>
      <c r="T14" s="4"/>
      <c r="U14" s="4" t="str">
        <f>IFERROR(__xludf.DUMMYFUNCTION("""COMPUTED_VALUE"""),"BAIK")</f>
        <v>BAIK</v>
      </c>
      <c r="V14" s="4" t="str">
        <f>IFERROR(__xludf.DUMMYFUNCTION("""COMPUTED_VALUE"""),"Tidak Ada")</f>
        <v>Tidak Ada</v>
      </c>
      <c r="W14" s="4"/>
      <c r="X14" s="4"/>
      <c r="Y14" s="4"/>
      <c r="Z14" s="4"/>
      <c r="AA14" s="4"/>
      <c r="AB14" s="4"/>
      <c r="AC14" s="4" t="str">
        <f>IFERROR(__xludf.DUMMYFUNCTION("""COMPUTED_VALUE"""),"INSPEKSI SUTM - T2_Images/7e44f421.FOTO.072712.jpg")</f>
        <v>INSPEKSI SUTM - T2_Images/7e44f421.FOTO.072712.jpg</v>
      </c>
      <c r="AD14" s="4"/>
      <c r="AE14" s="4"/>
      <c r="AF14" s="4" t="str">
        <f>IFERROR(__xludf.DUMMYFUNCTION("""COMPUTED_VALUE"""),"BELUM")</f>
        <v>BELUM</v>
      </c>
      <c r="AG14" s="6">
        <f>IFERROR(__xludf.DUMMYFUNCTION("""COMPUTED_VALUE"""),46031.0)</f>
        <v>46031</v>
      </c>
      <c r="AH14" s="4"/>
      <c r="AI14" s="4"/>
    </row>
    <row r="15">
      <c r="A15" s="4" t="str">
        <f>IFERROR(__xludf.DUMMYFUNCTION("""COMPUTED_VALUE"""),"409cc280")</f>
        <v>409cc280</v>
      </c>
      <c r="B15" s="5">
        <f>IFERROR(__xludf.DUMMYFUNCTION("""COMPUTED_VALUE"""),46031.809375)</f>
        <v>46031.80938</v>
      </c>
      <c r="C15" s="4" t="str">
        <f>IFERROR(__xludf.DUMMYFUNCTION("""COMPUTED_VALUE"""),"-6.899189, 107.641263")</f>
        <v>-6.899189, 107.641263</v>
      </c>
      <c r="D15" s="4" t="str">
        <f>IFERROR(__xludf.DUMMYFUNCTION("""COMPUTED_VALUE"""),"Sandi angga")</f>
        <v>Sandi angga</v>
      </c>
      <c r="E15" s="4" t="str">
        <f>IFERROR(__xludf.DUMMYFUNCTION("""COMPUTED_VALUE"""),"BANDUNG")</f>
        <v>BANDUNG</v>
      </c>
      <c r="F15" s="4" t="str">
        <f>IFERROR(__xludf.DUMMYFUNCTION("""COMPUTED_VALUE"""),"BANDUNG TIMUR")</f>
        <v>BANDUNG TIMUR</v>
      </c>
      <c r="G15" s="4" t="str">
        <f>IFERROR(__xludf.DUMMYFUNCTION("""COMPUTED_VALUE"""),"KIARACONDONG")</f>
        <v>KIARACONDONG</v>
      </c>
      <c r="H15" s="4" t="str">
        <f>IFERROR(__xludf.DUMMYFUNCTION("""COMPUTED_VALUE"""),"KPO")</f>
        <v>KPO</v>
      </c>
      <c r="I15" s="4" t="str">
        <f>IFERROR(__xludf.DUMMYFUNCTION("""COMPUTED_VALUE"""),"LBS BKNA-RAT")</f>
        <v>LBS BKNA-RAT</v>
      </c>
      <c r="J15" s="4" t="str">
        <f>IFERROR(__xludf.DUMMYFUNCTION("""COMPUTED_VALUE"""),"ZONA 2")</f>
        <v>ZONA 2</v>
      </c>
      <c r="K15" s="4" t="str">
        <f>IFERROR(__xludf.DUMMYFUNCTION("""COMPUTED_VALUE"""),"041L07")</f>
        <v>041L07</v>
      </c>
      <c r="L15" s="4" t="str">
        <f>IFERROR(__xludf.DUMMYFUNCTION("""COMPUTED_VALUE"""),"TM - 8B/H (Percabangan)")</f>
        <v>TM - 8B/H (Percabangan)</v>
      </c>
      <c r="M15" s="4" t="str">
        <f>IFERROR(__xludf.DUMMYFUNCTION("""COMPUTED_VALUE"""),"Gardu")</f>
        <v>Gardu</v>
      </c>
      <c r="N15" s="4" t="str">
        <f>IFERROR(__xludf.DUMMYFUNCTION("""COMPUTED_VALUE"""),"BRC")</f>
        <v>BRC</v>
      </c>
      <c r="O15" s="4" t="str">
        <f>IFERROR(__xludf.DUMMYFUNCTION("""COMPUTED_VALUE"""),"PEMBANDING SEJENIS")</f>
        <v>PEMBANDING SEJENIS</v>
      </c>
      <c r="P15" s="4" t="str">
        <f>IFERROR(__xludf.DUMMYFUNCTION("""COMPUTED_VALUE"""),"KONEKTOR/JUMPER")</f>
        <v>KONEKTOR/JUMPER</v>
      </c>
      <c r="Q15" s="4">
        <f>IFERROR(__xludf.DUMMYFUNCTION("""COMPUTED_VALUE"""),25.0)</f>
        <v>25</v>
      </c>
      <c r="R15" s="4">
        <f>IFERROR(__xludf.DUMMYFUNCTION("""COMPUTED_VALUE"""),24.0)</f>
        <v>24</v>
      </c>
      <c r="S15" s="4">
        <f>IFERROR(__xludf.DUMMYFUNCTION("""COMPUTED_VALUE"""),24.0)</f>
        <v>24</v>
      </c>
      <c r="T15" s="4"/>
      <c r="U15" s="4" t="str">
        <f>IFERROR(__xludf.DUMMYFUNCTION("""COMPUTED_VALUE"""),"BAIK")</f>
        <v>BAIK</v>
      </c>
      <c r="V15" s="4" t="str">
        <f>IFERROR(__xludf.DUMMYFUNCTION("""COMPUTED_VALUE"""),"Tidak Ada")</f>
        <v>Tidak Ada</v>
      </c>
      <c r="W15" s="4"/>
      <c r="X15" s="4"/>
      <c r="Y15" s="4"/>
      <c r="Z15" s="4"/>
      <c r="AA15" s="4"/>
      <c r="AB15" s="4"/>
      <c r="AC15" s="4" t="str">
        <f>IFERROR(__xludf.DUMMYFUNCTION("""COMPUTED_VALUE"""),"INSPEKSI SUTM - T2_Images/409cc280.FOTO.072930.jpg")</f>
        <v>INSPEKSI SUTM - T2_Images/409cc280.FOTO.072930.jpg</v>
      </c>
      <c r="AD15" s="4"/>
      <c r="AE15" s="4"/>
      <c r="AF15" s="4" t="str">
        <f>IFERROR(__xludf.DUMMYFUNCTION("""COMPUTED_VALUE"""),"BELUM")</f>
        <v>BELUM</v>
      </c>
      <c r="AG15" s="6">
        <f>IFERROR(__xludf.DUMMYFUNCTION("""COMPUTED_VALUE"""),46031.0)</f>
        <v>46031</v>
      </c>
      <c r="AH15" s="4"/>
      <c r="AI15" s="4"/>
    </row>
    <row r="16">
      <c r="A16" s="4" t="str">
        <f>IFERROR(__xludf.DUMMYFUNCTION("""COMPUTED_VALUE"""),"dfa78c97")</f>
        <v>dfa78c97</v>
      </c>
      <c r="B16" s="5">
        <f>IFERROR(__xludf.DUMMYFUNCTION("""COMPUTED_VALUE"""),46031.81269675926)</f>
        <v>46031.8127</v>
      </c>
      <c r="C16" s="4" t="str">
        <f>IFERROR(__xludf.DUMMYFUNCTION("""COMPUTED_VALUE"""),"-6.899202, 107.641241")</f>
        <v>-6.899202, 107.641241</v>
      </c>
      <c r="D16" s="4" t="str">
        <f>IFERROR(__xludf.DUMMYFUNCTION("""COMPUTED_VALUE"""),"Sandi angga")</f>
        <v>Sandi angga</v>
      </c>
      <c r="E16" s="4" t="str">
        <f>IFERROR(__xludf.DUMMYFUNCTION("""COMPUTED_VALUE"""),"BANDUNG")</f>
        <v>BANDUNG</v>
      </c>
      <c r="F16" s="4" t="str">
        <f>IFERROR(__xludf.DUMMYFUNCTION("""COMPUTED_VALUE"""),"BANDUNG TIMUR")</f>
        <v>BANDUNG TIMUR</v>
      </c>
      <c r="G16" s="4" t="str">
        <f>IFERROR(__xludf.DUMMYFUNCTION("""COMPUTED_VALUE"""),"KIARACONDONG")</f>
        <v>KIARACONDONG</v>
      </c>
      <c r="H16" s="4" t="str">
        <f>IFERROR(__xludf.DUMMYFUNCTION("""COMPUTED_VALUE"""),"KPO")</f>
        <v>KPO</v>
      </c>
      <c r="I16" s="4" t="str">
        <f>IFERROR(__xludf.DUMMYFUNCTION("""COMPUTED_VALUE"""),"LBS BKNA-RAT")</f>
        <v>LBS BKNA-RAT</v>
      </c>
      <c r="J16" s="4" t="str">
        <f>IFERROR(__xludf.DUMMYFUNCTION("""COMPUTED_VALUE"""),"ZONA 2")</f>
        <v>ZONA 2</v>
      </c>
      <c r="K16" s="4" t="str">
        <f>IFERROR(__xludf.DUMMYFUNCTION("""COMPUTED_VALUE"""),"041L07R01")</f>
        <v>041L07R01</v>
      </c>
      <c r="L16" s="4" t="str">
        <f>IFERROR(__xludf.DUMMYFUNCTION("""COMPUTED_VALUE"""),"TM - 4B/H (Afspan)")</f>
        <v>TM - 4B/H (Afspan)</v>
      </c>
      <c r="M16" s="4" t="str">
        <f>IFERROR(__xludf.DUMMYFUNCTION("""COMPUTED_VALUE"""),"Tidak Ada")</f>
        <v>Tidak Ada</v>
      </c>
      <c r="N16" s="4"/>
      <c r="O16" s="4" t="str">
        <f>IFERROR(__xludf.DUMMYFUNCTION("""COMPUTED_VALUE"""),"PEMBANDING SEJENIS")</f>
        <v>PEMBANDING SEJENIS</v>
      </c>
      <c r="P16" s="4" t="str">
        <f>IFERROR(__xludf.DUMMYFUNCTION("""COMPUTED_VALUE"""),"KONEKTOR/JUMPER")</f>
        <v>KONEKTOR/JUMPER</v>
      </c>
      <c r="Q16" s="4">
        <f>IFERROR(__xludf.DUMMYFUNCTION("""COMPUTED_VALUE"""),24.0)</f>
        <v>24</v>
      </c>
      <c r="R16" s="4">
        <f>IFERROR(__xludf.DUMMYFUNCTION("""COMPUTED_VALUE"""),24.0)</f>
        <v>24</v>
      </c>
      <c r="S16" s="4">
        <f>IFERROR(__xludf.DUMMYFUNCTION("""COMPUTED_VALUE"""),24.0)</f>
        <v>24</v>
      </c>
      <c r="T16" s="4"/>
      <c r="U16" s="4" t="str">
        <f>IFERROR(__xludf.DUMMYFUNCTION("""COMPUTED_VALUE"""),"BAIK")</f>
        <v>BAIK</v>
      </c>
      <c r="V16" s="4" t="str">
        <f>IFERROR(__xludf.DUMMYFUNCTION("""COMPUTED_VALUE"""),"Tidak Ada")</f>
        <v>Tidak Ada</v>
      </c>
      <c r="W16" s="4"/>
      <c r="X16" s="4"/>
      <c r="Y16" s="4"/>
      <c r="Z16" s="4"/>
      <c r="AA16" s="4"/>
      <c r="AB16" s="4"/>
      <c r="AC16" s="4" t="str">
        <f>IFERROR(__xludf.DUMMYFUNCTION("""COMPUTED_VALUE"""),"INSPEKSI SUTM - T2_Images/dfa78c97.FOTO.073828.jpg")</f>
        <v>INSPEKSI SUTM - T2_Images/dfa78c97.FOTO.073828.jpg</v>
      </c>
      <c r="AD16" s="4"/>
      <c r="AE16" s="4"/>
      <c r="AF16" s="4" t="str">
        <f>IFERROR(__xludf.DUMMYFUNCTION("""COMPUTED_VALUE"""),"BELUM")</f>
        <v>BELUM</v>
      </c>
      <c r="AG16" s="6">
        <f>IFERROR(__xludf.DUMMYFUNCTION("""COMPUTED_VALUE"""),46031.0)</f>
        <v>46031</v>
      </c>
      <c r="AH16" s="4"/>
      <c r="AI16" s="4"/>
    </row>
    <row r="17">
      <c r="A17" s="4" t="str">
        <f>IFERROR(__xludf.DUMMYFUNCTION("""COMPUTED_VALUE"""),"9f7a1c38")</f>
        <v>9f7a1c38</v>
      </c>
      <c r="B17" s="5">
        <f>IFERROR(__xludf.DUMMYFUNCTION("""COMPUTED_VALUE"""),46031.81439814815)</f>
        <v>46031.8144</v>
      </c>
      <c r="C17" s="4" t="str">
        <f>IFERROR(__xludf.DUMMYFUNCTION("""COMPUTED_VALUE"""),"-6.952244, 107.800936")</f>
        <v>-6.952244, 107.800936</v>
      </c>
      <c r="D17" s="4" t="str">
        <f>IFERROR(__xludf.DUMMYFUNCTION("""COMPUTED_VALUE"""),"Sandi angga")</f>
        <v>Sandi angga</v>
      </c>
      <c r="E17" s="4" t="str">
        <f>IFERROR(__xludf.DUMMYFUNCTION("""COMPUTED_VALUE"""),"BANDUNG")</f>
        <v>BANDUNG</v>
      </c>
      <c r="F17" s="4" t="str">
        <f>IFERROR(__xludf.DUMMYFUNCTION("""COMPUTED_VALUE"""),"BANDUNG TIMUR")</f>
        <v>BANDUNG TIMUR</v>
      </c>
      <c r="G17" s="4" t="str">
        <f>IFERROR(__xludf.DUMMYFUNCTION("""COMPUTED_VALUE"""),"KIARACONDONG")</f>
        <v>KIARACONDONG</v>
      </c>
      <c r="H17" s="4" t="str">
        <f>IFERROR(__xludf.DUMMYFUNCTION("""COMPUTED_VALUE"""),"KPO")</f>
        <v>KPO</v>
      </c>
      <c r="I17" s="4" t="str">
        <f>IFERROR(__xludf.DUMMYFUNCTION("""COMPUTED_VALUE"""),"LBS BKNA-RAT")</f>
        <v>LBS BKNA-RAT</v>
      </c>
      <c r="J17" s="4" t="str">
        <f>IFERROR(__xludf.DUMMYFUNCTION("""COMPUTED_VALUE"""),"ZONA 2")</f>
        <v>ZONA 2</v>
      </c>
      <c r="K17" s="4" t="str">
        <f>IFERROR(__xludf.DUMMYFUNCTION("""COMPUTED_VALUE"""),"041L08")</f>
        <v>041L08</v>
      </c>
      <c r="L17" s="4" t="str">
        <f>IFERROR(__xludf.DUMMYFUNCTION("""COMPUTED_VALUE"""),"TM - 8B/H (Percabangan)")</f>
        <v>TM - 8B/H (Percabangan)</v>
      </c>
      <c r="M17" s="4" t="str">
        <f>IFERROR(__xludf.DUMMYFUNCTION("""COMPUTED_VALUE"""),"Tidak Ada")</f>
        <v>Tidak Ada</v>
      </c>
      <c r="N17" s="4"/>
      <c r="O17" s="4" t="str">
        <f>IFERROR(__xludf.DUMMYFUNCTION("""COMPUTED_VALUE"""),"PEMBANDING SEJENIS")</f>
        <v>PEMBANDING SEJENIS</v>
      </c>
      <c r="P17" s="4" t="str">
        <f>IFERROR(__xludf.DUMMYFUNCTION("""COMPUTED_VALUE"""),"KONEKTOR/JUMPER")</f>
        <v>KONEKTOR/JUMPER</v>
      </c>
      <c r="Q17" s="4">
        <f>IFERROR(__xludf.DUMMYFUNCTION("""COMPUTED_VALUE"""),24.0)</f>
        <v>24</v>
      </c>
      <c r="R17" s="4">
        <f>IFERROR(__xludf.DUMMYFUNCTION("""COMPUTED_VALUE"""),25.0)</f>
        <v>25</v>
      </c>
      <c r="S17" s="4">
        <f>IFERROR(__xludf.DUMMYFUNCTION("""COMPUTED_VALUE"""),24.0)</f>
        <v>24</v>
      </c>
      <c r="T17" s="4"/>
      <c r="U17" s="4" t="str">
        <f>IFERROR(__xludf.DUMMYFUNCTION("""COMPUTED_VALUE"""),"BAIK")</f>
        <v>BAIK</v>
      </c>
      <c r="V17" s="4" t="str">
        <f>IFERROR(__xludf.DUMMYFUNCTION("""COMPUTED_VALUE"""),"Tidak Ada")</f>
        <v>Tidak Ada</v>
      </c>
      <c r="W17" s="4"/>
      <c r="X17" s="4"/>
      <c r="Y17" s="4"/>
      <c r="Z17" s="4"/>
      <c r="AA17" s="4"/>
      <c r="AB17" s="4"/>
      <c r="AC17" s="4" t="str">
        <f>IFERROR(__xludf.DUMMYFUNCTION("""COMPUTED_VALUE"""),"INSPEKSI SUTM - T2_Images/9f7a1c38.FOTO.073839.jpg")</f>
        <v>INSPEKSI SUTM - T2_Images/9f7a1c38.FOTO.073839.jpg</v>
      </c>
      <c r="AD17" s="4"/>
      <c r="AE17" s="4"/>
      <c r="AF17" s="4" t="str">
        <f>IFERROR(__xludf.DUMMYFUNCTION("""COMPUTED_VALUE"""),"BELUM")</f>
        <v>BELUM</v>
      </c>
      <c r="AG17" s="6">
        <f>IFERROR(__xludf.DUMMYFUNCTION("""COMPUTED_VALUE"""),46031.0)</f>
        <v>46031</v>
      </c>
      <c r="AH17" s="4"/>
      <c r="AI17" s="4"/>
    </row>
    <row r="18">
      <c r="A18" s="4" t="str">
        <f>IFERROR(__xludf.DUMMYFUNCTION("""COMPUTED_VALUE"""),"c343748b")</f>
        <v>c343748b</v>
      </c>
      <c r="B18" s="5">
        <f>IFERROR(__xludf.DUMMYFUNCTION("""COMPUTED_VALUE"""),46031.81560185185)</f>
        <v>46031.8156</v>
      </c>
      <c r="C18" s="4" t="str">
        <f>IFERROR(__xludf.DUMMYFUNCTION("""COMPUTED_VALUE"""),"-6.899184, 107.641239")</f>
        <v>-6.899184, 107.641239</v>
      </c>
      <c r="D18" s="4" t="str">
        <f>IFERROR(__xludf.DUMMYFUNCTION("""COMPUTED_VALUE"""),"Sandi angga")</f>
        <v>Sandi angga</v>
      </c>
      <c r="E18" s="4" t="str">
        <f>IFERROR(__xludf.DUMMYFUNCTION("""COMPUTED_VALUE"""),"BANDUNG")</f>
        <v>BANDUNG</v>
      </c>
      <c r="F18" s="4" t="str">
        <f>IFERROR(__xludf.DUMMYFUNCTION("""COMPUTED_VALUE"""),"BANDUNG TIMUR")</f>
        <v>BANDUNG TIMUR</v>
      </c>
      <c r="G18" s="4" t="str">
        <f>IFERROR(__xludf.DUMMYFUNCTION("""COMPUTED_VALUE"""),"KIARACONDONG")</f>
        <v>KIARACONDONG</v>
      </c>
      <c r="H18" s="4" t="str">
        <f>IFERROR(__xludf.DUMMYFUNCTION("""COMPUTED_VALUE"""),"KPO")</f>
        <v>KPO</v>
      </c>
      <c r="I18" s="4" t="str">
        <f>IFERROR(__xludf.DUMMYFUNCTION("""COMPUTED_VALUE"""),"LBS BKNA-RAT")</f>
        <v>LBS BKNA-RAT</v>
      </c>
      <c r="J18" s="4" t="str">
        <f>IFERROR(__xludf.DUMMYFUNCTION("""COMPUTED_VALUE"""),"ZONA 2")</f>
        <v>ZONA 2</v>
      </c>
      <c r="K18" s="4" t="str">
        <f>IFERROR(__xludf.DUMMYFUNCTION("""COMPUTED_VALUE"""),"041L08L03")</f>
        <v>041L08L03</v>
      </c>
      <c r="L18" s="4" t="str">
        <f>IFERROR(__xludf.DUMMYFUNCTION("""COMPUTED_VALUE"""),"TM - 7B/H (Afspan 90 Derajat)")</f>
        <v>TM - 7B/H (Afspan 90 Derajat)</v>
      </c>
      <c r="M18" s="4" t="str">
        <f>IFERROR(__xludf.DUMMYFUNCTION("""COMPUTED_VALUE"""),"Tidak Ada")</f>
        <v>Tidak Ada</v>
      </c>
      <c r="N18" s="4"/>
      <c r="O18" s="4" t="str">
        <f>IFERROR(__xludf.DUMMYFUNCTION("""COMPUTED_VALUE"""),"PEMBANDING SEJENIS")</f>
        <v>PEMBANDING SEJENIS</v>
      </c>
      <c r="P18" s="4" t="str">
        <f>IFERROR(__xludf.DUMMYFUNCTION("""COMPUTED_VALUE"""),"KONEKTOR/JUMPER")</f>
        <v>KONEKTOR/JUMPER</v>
      </c>
      <c r="Q18" s="4">
        <f>IFERROR(__xludf.DUMMYFUNCTION("""COMPUTED_VALUE"""),25.0)</f>
        <v>25</v>
      </c>
      <c r="R18" s="4">
        <f>IFERROR(__xludf.DUMMYFUNCTION("""COMPUTED_VALUE"""),25.0)</f>
        <v>25</v>
      </c>
      <c r="S18" s="4">
        <f>IFERROR(__xludf.DUMMYFUNCTION("""COMPUTED_VALUE"""),24.0)</f>
        <v>24</v>
      </c>
      <c r="T18" s="4"/>
      <c r="U18" s="4" t="str">
        <f>IFERROR(__xludf.DUMMYFUNCTION("""COMPUTED_VALUE"""),"BAIK")</f>
        <v>BAIK</v>
      </c>
      <c r="V18" s="4" t="str">
        <f>IFERROR(__xludf.DUMMYFUNCTION("""COMPUTED_VALUE"""),"Tidak Ada")</f>
        <v>Tidak Ada</v>
      </c>
      <c r="W18" s="4"/>
      <c r="X18" s="4"/>
      <c r="Y18" s="4"/>
      <c r="Z18" s="4"/>
      <c r="AA18" s="4"/>
      <c r="AB18" s="4"/>
      <c r="AC18" s="4" t="str">
        <f>IFERROR(__xludf.DUMMYFUNCTION("""COMPUTED_VALUE"""),"INSPEKSI SUTM - T2_Images/c343748b.FOTO.073847.jpg")</f>
        <v>INSPEKSI SUTM - T2_Images/c343748b.FOTO.073847.jpg</v>
      </c>
      <c r="AD18" s="4"/>
      <c r="AE18" s="4"/>
      <c r="AF18" s="4" t="str">
        <f>IFERROR(__xludf.DUMMYFUNCTION("""COMPUTED_VALUE"""),"BELUM")</f>
        <v>BELUM</v>
      </c>
      <c r="AG18" s="6">
        <f>IFERROR(__xludf.DUMMYFUNCTION("""COMPUTED_VALUE"""),46031.0)</f>
        <v>46031</v>
      </c>
      <c r="AH18" s="4"/>
      <c r="AI18" s="4"/>
    </row>
    <row r="19">
      <c r="A19" s="4" t="str">
        <f>IFERROR(__xludf.DUMMYFUNCTION("""COMPUTED_VALUE"""),"f3fd9701")</f>
        <v>f3fd9701</v>
      </c>
      <c r="B19" s="5">
        <f>IFERROR(__xludf.DUMMYFUNCTION("""COMPUTED_VALUE"""),46031.81630787037)</f>
        <v>46031.81631</v>
      </c>
      <c r="C19" s="4" t="str">
        <f>IFERROR(__xludf.DUMMYFUNCTION("""COMPUTED_VALUE"""),"-6.899161, 107.641241")</f>
        <v>-6.899161, 107.641241</v>
      </c>
      <c r="D19" s="4" t="str">
        <f>IFERROR(__xludf.DUMMYFUNCTION("""COMPUTED_VALUE"""),"Sandi angga")</f>
        <v>Sandi angga</v>
      </c>
      <c r="E19" s="4" t="str">
        <f>IFERROR(__xludf.DUMMYFUNCTION("""COMPUTED_VALUE"""),"BANDUNG")</f>
        <v>BANDUNG</v>
      </c>
      <c r="F19" s="4" t="str">
        <f>IFERROR(__xludf.DUMMYFUNCTION("""COMPUTED_VALUE"""),"BANDUNG TIMUR")</f>
        <v>BANDUNG TIMUR</v>
      </c>
      <c r="G19" s="4" t="str">
        <f>IFERROR(__xludf.DUMMYFUNCTION("""COMPUTED_VALUE"""),"KIARACONDONG")</f>
        <v>KIARACONDONG</v>
      </c>
      <c r="H19" s="4" t="str">
        <f>IFERROR(__xludf.DUMMYFUNCTION("""COMPUTED_VALUE"""),"KPO")</f>
        <v>KPO</v>
      </c>
      <c r="I19" s="4" t="str">
        <f>IFERROR(__xludf.DUMMYFUNCTION("""COMPUTED_VALUE"""),"LBS BKNA-RAT")</f>
        <v>LBS BKNA-RAT</v>
      </c>
      <c r="J19" s="4" t="str">
        <f>IFERROR(__xludf.DUMMYFUNCTION("""COMPUTED_VALUE"""),"ZONA 2")</f>
        <v>ZONA 2</v>
      </c>
      <c r="K19" s="4" t="str">
        <f>IFERROR(__xludf.DUMMYFUNCTION("""COMPUTED_VALUE"""),"041L08L04")</f>
        <v>041L08L04</v>
      </c>
      <c r="L19" s="4" t="str">
        <f>IFERROR(__xludf.DUMMYFUNCTION("""COMPUTED_VALUE"""),"TM - 7B/H (Afspan 90 Derajat)")</f>
        <v>TM - 7B/H (Afspan 90 Derajat)</v>
      </c>
      <c r="M19" s="4" t="str">
        <f>IFERROR(__xludf.DUMMYFUNCTION("""COMPUTED_VALUE"""),"Tidak Ada")</f>
        <v>Tidak Ada</v>
      </c>
      <c r="N19" s="4"/>
      <c r="O19" s="4" t="str">
        <f>IFERROR(__xludf.DUMMYFUNCTION("""COMPUTED_VALUE"""),"PEMBANDING SEJENIS")</f>
        <v>PEMBANDING SEJENIS</v>
      </c>
      <c r="P19" s="4" t="str">
        <f>IFERROR(__xludf.DUMMYFUNCTION("""COMPUTED_VALUE"""),"KONEKTOR/JUMPER")</f>
        <v>KONEKTOR/JUMPER</v>
      </c>
      <c r="Q19" s="4">
        <f>IFERROR(__xludf.DUMMYFUNCTION("""COMPUTED_VALUE"""),24.0)</f>
        <v>24</v>
      </c>
      <c r="R19" s="4">
        <f>IFERROR(__xludf.DUMMYFUNCTION("""COMPUTED_VALUE"""),25.0)</f>
        <v>25</v>
      </c>
      <c r="S19" s="4">
        <f>IFERROR(__xludf.DUMMYFUNCTION("""COMPUTED_VALUE"""),26.0)</f>
        <v>26</v>
      </c>
      <c r="T19" s="4"/>
      <c r="U19" s="4" t="str">
        <f>IFERROR(__xludf.DUMMYFUNCTION("""COMPUTED_VALUE"""),"BAIK")</f>
        <v>BAIK</v>
      </c>
      <c r="V19" s="4" t="str">
        <f>IFERROR(__xludf.DUMMYFUNCTION("""COMPUTED_VALUE"""),"Tidak Ada")</f>
        <v>Tidak Ada</v>
      </c>
      <c r="W19" s="4"/>
      <c r="X19" s="4"/>
      <c r="Y19" s="4"/>
      <c r="Z19" s="4"/>
      <c r="AA19" s="4"/>
      <c r="AB19" s="4"/>
      <c r="AC19" s="4" t="str">
        <f>IFERROR(__xludf.DUMMYFUNCTION("""COMPUTED_VALUE"""),"INSPEKSI SUTM - T2_Images/f3fd9701.FOTO.073856.jpg")</f>
        <v>INSPEKSI SUTM - T2_Images/f3fd9701.FOTO.073856.jpg</v>
      </c>
      <c r="AD19" s="4"/>
      <c r="AE19" s="4"/>
      <c r="AF19" s="4" t="str">
        <f>IFERROR(__xludf.DUMMYFUNCTION("""COMPUTED_VALUE"""),"BELUM")</f>
        <v>BELUM</v>
      </c>
      <c r="AG19" s="6">
        <f>IFERROR(__xludf.DUMMYFUNCTION("""COMPUTED_VALUE"""),46031.0)</f>
        <v>46031</v>
      </c>
      <c r="AH19" s="4"/>
      <c r="AI19" s="4"/>
    </row>
    <row r="20">
      <c r="A20" s="4" t="str">
        <f>IFERROR(__xludf.DUMMYFUNCTION("""COMPUTED_VALUE"""),"1c8bdfd9")</f>
        <v>1c8bdfd9</v>
      </c>
      <c r="B20" s="5">
        <f>IFERROR(__xludf.DUMMYFUNCTION("""COMPUTED_VALUE"""),46031.81693287037)</f>
        <v>46031.81693</v>
      </c>
      <c r="C20" s="4" t="str">
        <f>IFERROR(__xludf.DUMMYFUNCTION("""COMPUTED_VALUE"""),"-6.899162, 107.641241")</f>
        <v>-6.899162, 107.641241</v>
      </c>
      <c r="D20" s="4" t="str">
        <f>IFERROR(__xludf.DUMMYFUNCTION("""COMPUTED_VALUE"""),"Sandi angga")</f>
        <v>Sandi angga</v>
      </c>
      <c r="E20" s="4" t="str">
        <f>IFERROR(__xludf.DUMMYFUNCTION("""COMPUTED_VALUE"""),"BANDUNG")</f>
        <v>BANDUNG</v>
      </c>
      <c r="F20" s="4" t="str">
        <f>IFERROR(__xludf.DUMMYFUNCTION("""COMPUTED_VALUE"""),"BANDUNG TIMUR")</f>
        <v>BANDUNG TIMUR</v>
      </c>
      <c r="G20" s="4" t="str">
        <f>IFERROR(__xludf.DUMMYFUNCTION("""COMPUTED_VALUE"""),"KIARACONDONG")</f>
        <v>KIARACONDONG</v>
      </c>
      <c r="H20" s="4" t="str">
        <f>IFERROR(__xludf.DUMMYFUNCTION("""COMPUTED_VALUE"""),"KPO")</f>
        <v>KPO</v>
      </c>
      <c r="I20" s="4" t="str">
        <f>IFERROR(__xludf.DUMMYFUNCTION("""COMPUTED_VALUE"""),"LBS BKNA-RAT")</f>
        <v>LBS BKNA-RAT</v>
      </c>
      <c r="J20" s="4" t="str">
        <f>IFERROR(__xludf.DUMMYFUNCTION("""COMPUTED_VALUE"""),"ZONA 2")</f>
        <v>ZONA 2</v>
      </c>
      <c r="K20" s="4" t="str">
        <f>IFERROR(__xludf.DUMMYFUNCTION("""COMPUTED_VALUE"""),"041L08L07")</f>
        <v>041L08L07</v>
      </c>
      <c r="L20" s="4" t="str">
        <f>IFERROR(__xludf.DUMMYFUNCTION("""COMPUTED_VALUE"""),"TM - 1B/H (Tumpu)")</f>
        <v>TM - 1B/H (Tumpu)</v>
      </c>
      <c r="M20" s="4" t="str">
        <f>IFERROR(__xludf.DUMMYFUNCTION("""COMPUTED_VALUE"""),"Tidak Ada")</f>
        <v>Tidak Ada</v>
      </c>
      <c r="N20" s="4"/>
      <c r="O20" s="4" t="str">
        <f>IFERROR(__xludf.DUMMYFUNCTION("""COMPUTED_VALUE"""),"PEMBANDING SEJENIS")</f>
        <v>PEMBANDING SEJENIS</v>
      </c>
      <c r="P20" s="4" t="str">
        <f>IFERROR(__xludf.DUMMYFUNCTION("""COMPUTED_VALUE"""),"ARRESTER")</f>
        <v>ARRESTER</v>
      </c>
      <c r="Q20" s="4">
        <f>IFERROR(__xludf.DUMMYFUNCTION("""COMPUTED_VALUE"""),24.0)</f>
        <v>24</v>
      </c>
      <c r="R20" s="4">
        <f>IFERROR(__xludf.DUMMYFUNCTION("""COMPUTED_VALUE"""),24.0)</f>
        <v>24</v>
      </c>
      <c r="S20" s="4">
        <f>IFERROR(__xludf.DUMMYFUNCTION("""COMPUTED_VALUE"""),24.0)</f>
        <v>24</v>
      </c>
      <c r="T20" s="4"/>
      <c r="U20" s="4" t="str">
        <f>IFERROR(__xludf.DUMMYFUNCTION("""COMPUTED_VALUE"""),"BAIK")</f>
        <v>BAIK</v>
      </c>
      <c r="V20" s="4" t="str">
        <f>IFERROR(__xludf.DUMMYFUNCTION("""COMPUTED_VALUE"""),"Tidak Ada")</f>
        <v>Tidak Ada</v>
      </c>
      <c r="W20" s="4"/>
      <c r="X20" s="4"/>
      <c r="Y20" s="4"/>
      <c r="Z20" s="4"/>
      <c r="AA20" s="4"/>
      <c r="AB20" s="4"/>
      <c r="AC20" s="4" t="str">
        <f>IFERROR(__xludf.DUMMYFUNCTION("""COMPUTED_VALUE"""),"INSPEKSI SUTM - T2_Images/1c8bdfd9.FOTO.073909.jpg")</f>
        <v>INSPEKSI SUTM - T2_Images/1c8bdfd9.FOTO.073909.jpg</v>
      </c>
      <c r="AD20" s="4"/>
      <c r="AE20" s="4"/>
      <c r="AF20" s="4" t="str">
        <f>IFERROR(__xludf.DUMMYFUNCTION("""COMPUTED_VALUE"""),"BELUM")</f>
        <v>BELUM</v>
      </c>
      <c r="AG20" s="6">
        <f>IFERROR(__xludf.DUMMYFUNCTION("""COMPUTED_VALUE"""),46031.0)</f>
        <v>46031</v>
      </c>
      <c r="AH20" s="4"/>
      <c r="AI20" s="4"/>
    </row>
    <row r="21" ht="15.75" customHeight="1">
      <c r="A21" s="4" t="str">
        <f>IFERROR(__xludf.DUMMYFUNCTION("""COMPUTED_VALUE"""),"a6aa7890")</f>
        <v>a6aa7890</v>
      </c>
      <c r="B21" s="5">
        <f>IFERROR(__xludf.DUMMYFUNCTION("""COMPUTED_VALUE"""),46031.81769675926)</f>
        <v>46031.8177</v>
      </c>
      <c r="C21" s="4" t="str">
        <f>IFERROR(__xludf.DUMMYFUNCTION("""COMPUTED_VALUE"""),"-6.899161, 107.641239")</f>
        <v>-6.899161, 107.641239</v>
      </c>
      <c r="D21" s="4" t="str">
        <f>IFERROR(__xludf.DUMMYFUNCTION("""COMPUTED_VALUE"""),"Sandi angga")</f>
        <v>Sandi angga</v>
      </c>
      <c r="E21" s="4" t="str">
        <f>IFERROR(__xludf.DUMMYFUNCTION("""COMPUTED_VALUE"""),"BANDUNG")</f>
        <v>BANDUNG</v>
      </c>
      <c r="F21" s="4" t="str">
        <f>IFERROR(__xludf.DUMMYFUNCTION("""COMPUTED_VALUE"""),"BANDUNG TIMUR")</f>
        <v>BANDUNG TIMUR</v>
      </c>
      <c r="G21" s="4" t="str">
        <f>IFERROR(__xludf.DUMMYFUNCTION("""COMPUTED_VALUE"""),"KIARACONDONG")</f>
        <v>KIARACONDONG</v>
      </c>
      <c r="H21" s="4" t="str">
        <f>IFERROR(__xludf.DUMMYFUNCTION("""COMPUTED_VALUE"""),"KPO")</f>
        <v>KPO</v>
      </c>
      <c r="I21" s="4" t="str">
        <f>IFERROR(__xludf.DUMMYFUNCTION("""COMPUTED_VALUE"""),"LBS BKNA-RAT")</f>
        <v>LBS BKNA-RAT</v>
      </c>
      <c r="J21" s="4" t="str">
        <f>IFERROR(__xludf.DUMMYFUNCTION("""COMPUTED_VALUE"""),"ZONA 2")</f>
        <v>ZONA 2</v>
      </c>
      <c r="K21" s="4" t="str">
        <f>IFERROR(__xludf.DUMMYFUNCTION("""COMPUTED_VALUE"""),"041L08L011")</f>
        <v>041L08L011</v>
      </c>
      <c r="L21" s="4" t="str">
        <f>IFERROR(__xludf.DUMMYFUNCTION("""COMPUTED_VALUE"""),"TM - 1B/H (Tumpu)")</f>
        <v>TM - 1B/H (Tumpu)</v>
      </c>
      <c r="M21" s="4" t="str">
        <f>IFERROR(__xludf.DUMMYFUNCTION("""COMPUTED_VALUE"""),"Tidak Ada")</f>
        <v>Tidak Ada</v>
      </c>
      <c r="N21" s="4"/>
      <c r="O21" s="4" t="str">
        <f>IFERROR(__xludf.DUMMYFUNCTION("""COMPUTED_VALUE"""),"PEMBANDING SEJENIS")</f>
        <v>PEMBANDING SEJENIS</v>
      </c>
      <c r="P21" s="4" t="str">
        <f>IFERROR(__xludf.DUMMYFUNCTION("""COMPUTED_VALUE"""),"ARRESTER")</f>
        <v>ARRESTER</v>
      </c>
      <c r="Q21" s="4">
        <f>IFERROR(__xludf.DUMMYFUNCTION("""COMPUTED_VALUE"""),25.0)</f>
        <v>25</v>
      </c>
      <c r="R21" s="4">
        <f>IFERROR(__xludf.DUMMYFUNCTION("""COMPUTED_VALUE"""),25.0)</f>
        <v>25</v>
      </c>
      <c r="S21" s="4">
        <f>IFERROR(__xludf.DUMMYFUNCTION("""COMPUTED_VALUE"""),25.0)</f>
        <v>25</v>
      </c>
      <c r="T21" s="4"/>
      <c r="U21" s="4" t="str">
        <f>IFERROR(__xludf.DUMMYFUNCTION("""COMPUTED_VALUE"""),"BAIK")</f>
        <v>BAIK</v>
      </c>
      <c r="V21" s="4" t="str">
        <f>IFERROR(__xludf.DUMMYFUNCTION("""COMPUTED_VALUE"""),"Tidak Ada")</f>
        <v>Tidak Ada</v>
      </c>
      <c r="W21" s="4"/>
      <c r="X21" s="4"/>
      <c r="Y21" s="4"/>
      <c r="Z21" s="4"/>
      <c r="AA21" s="4"/>
      <c r="AB21" s="4"/>
      <c r="AC21" s="4" t="str">
        <f>IFERROR(__xludf.DUMMYFUNCTION("""COMPUTED_VALUE"""),"INSPEKSI SUTM - T2_Images/a6aa7890.FOTO.074032.jpg")</f>
        <v>INSPEKSI SUTM - T2_Images/a6aa7890.FOTO.074032.jpg</v>
      </c>
      <c r="AD21" s="4"/>
      <c r="AE21" s="4"/>
      <c r="AF21" s="4" t="str">
        <f>IFERROR(__xludf.DUMMYFUNCTION("""COMPUTED_VALUE"""),"BELUM")</f>
        <v>BELUM</v>
      </c>
      <c r="AG21" s="6">
        <f>IFERROR(__xludf.DUMMYFUNCTION("""COMPUTED_VALUE"""),46031.0)</f>
        <v>46031</v>
      </c>
      <c r="AH21" s="4"/>
      <c r="AI21" s="4"/>
    </row>
    <row r="22" ht="15.75" customHeight="1">
      <c r="A22" s="4" t="str">
        <f>IFERROR(__xludf.DUMMYFUNCTION("""COMPUTED_VALUE"""),"040855b4")</f>
        <v>040855b4</v>
      </c>
      <c r="B22" s="5">
        <f>IFERROR(__xludf.DUMMYFUNCTION("""COMPUTED_VALUE"""),46031.81859953704)</f>
        <v>46031.8186</v>
      </c>
      <c r="C22" s="4" t="str">
        <f>IFERROR(__xludf.DUMMYFUNCTION("""COMPUTED_VALUE"""),"-6.899148, 107.641140")</f>
        <v>-6.899148, 107.641140</v>
      </c>
      <c r="D22" s="4" t="str">
        <f>IFERROR(__xludf.DUMMYFUNCTION("""COMPUTED_VALUE"""),"Sandi angga")</f>
        <v>Sandi angga</v>
      </c>
      <c r="E22" s="4" t="str">
        <f>IFERROR(__xludf.DUMMYFUNCTION("""COMPUTED_VALUE"""),"BANDUNG")</f>
        <v>BANDUNG</v>
      </c>
      <c r="F22" s="4" t="str">
        <f>IFERROR(__xludf.DUMMYFUNCTION("""COMPUTED_VALUE"""),"BANDUNG TIMUR")</f>
        <v>BANDUNG TIMUR</v>
      </c>
      <c r="G22" s="4" t="str">
        <f>IFERROR(__xludf.DUMMYFUNCTION("""COMPUTED_VALUE"""),"KIARACONDONG")</f>
        <v>KIARACONDONG</v>
      </c>
      <c r="H22" s="4" t="str">
        <f>IFERROR(__xludf.DUMMYFUNCTION("""COMPUTED_VALUE"""),"KPO")</f>
        <v>KPO</v>
      </c>
      <c r="I22" s="4" t="str">
        <f>IFERROR(__xludf.DUMMYFUNCTION("""COMPUTED_VALUE"""),"LBS BKNA-RAT")</f>
        <v>LBS BKNA-RAT</v>
      </c>
      <c r="J22" s="4" t="str">
        <f>IFERROR(__xludf.DUMMYFUNCTION("""COMPUTED_VALUE"""),"ZONA 2")</f>
        <v>ZONA 2</v>
      </c>
      <c r="K22" s="4" t="str">
        <f>IFERROR(__xludf.DUMMYFUNCTION("""COMPUTED_VALUE"""),"041L08L012")</f>
        <v>041L08L012</v>
      </c>
      <c r="L22" s="4" t="str">
        <f>IFERROR(__xludf.DUMMYFUNCTION("""COMPUTED_VALUE"""),"TM - 8B/H (Percabangan)")</f>
        <v>TM - 8B/H (Percabangan)</v>
      </c>
      <c r="M22" s="4" t="str">
        <f>IFERROR(__xludf.DUMMYFUNCTION("""COMPUTED_VALUE"""),"Tidak Ada")</f>
        <v>Tidak Ada</v>
      </c>
      <c r="N22" s="4"/>
      <c r="O22" s="4" t="str">
        <f>IFERROR(__xludf.DUMMYFUNCTION("""COMPUTED_VALUE"""),"PEMBANDING SEJENIS")</f>
        <v>PEMBANDING SEJENIS</v>
      </c>
      <c r="P22" s="4" t="str">
        <f>IFERROR(__xludf.DUMMYFUNCTION("""COMPUTED_VALUE"""),"KONEKTOR/JUMPER")</f>
        <v>KONEKTOR/JUMPER</v>
      </c>
      <c r="Q22" s="4">
        <f>IFERROR(__xludf.DUMMYFUNCTION("""COMPUTED_VALUE"""),25.0)</f>
        <v>25</v>
      </c>
      <c r="R22" s="4">
        <f>IFERROR(__xludf.DUMMYFUNCTION("""COMPUTED_VALUE"""),25.0)</f>
        <v>25</v>
      </c>
      <c r="S22" s="4">
        <f>IFERROR(__xludf.DUMMYFUNCTION("""COMPUTED_VALUE"""),25.0)</f>
        <v>25</v>
      </c>
      <c r="T22" s="4"/>
      <c r="U22" s="4" t="str">
        <f>IFERROR(__xludf.DUMMYFUNCTION("""COMPUTED_VALUE"""),"BAIK")</f>
        <v>BAIK</v>
      </c>
      <c r="V22" s="4" t="str">
        <f>IFERROR(__xludf.DUMMYFUNCTION("""COMPUTED_VALUE"""),"Tidak Ada")</f>
        <v>Tidak Ada</v>
      </c>
      <c r="W22" s="4"/>
      <c r="X22" s="4"/>
      <c r="Y22" s="4"/>
      <c r="Z22" s="4"/>
      <c r="AA22" s="4"/>
      <c r="AB22" s="4"/>
      <c r="AC22" s="4" t="str">
        <f>IFERROR(__xludf.DUMMYFUNCTION("""COMPUTED_VALUE"""),"INSPEKSI SUTM - T2_Images/040855b4.FOTO.074126.jpg")</f>
        <v>INSPEKSI SUTM - T2_Images/040855b4.FOTO.074126.jpg</v>
      </c>
      <c r="AD22" s="4"/>
      <c r="AE22" s="4"/>
      <c r="AF22" s="4" t="str">
        <f>IFERROR(__xludf.DUMMYFUNCTION("""COMPUTED_VALUE"""),"BELUM")</f>
        <v>BELUM</v>
      </c>
      <c r="AG22" s="6">
        <f>IFERROR(__xludf.DUMMYFUNCTION("""COMPUTED_VALUE"""),46031.0)</f>
        <v>46031</v>
      </c>
      <c r="AH22" s="4"/>
      <c r="AI22" s="4"/>
    </row>
    <row r="23" ht="15.75" customHeight="1">
      <c r="A23" s="4" t="str">
        <f>IFERROR(__xludf.DUMMYFUNCTION("""COMPUTED_VALUE"""),"ef8b16e4")</f>
        <v>ef8b16e4</v>
      </c>
      <c r="B23" s="5">
        <f>IFERROR(__xludf.DUMMYFUNCTION("""COMPUTED_VALUE"""),46031.819340277776)</f>
        <v>46031.81934</v>
      </c>
      <c r="C23" s="4" t="str">
        <f>IFERROR(__xludf.DUMMYFUNCTION("""COMPUTED_VALUE"""),"-6.899149, 107.641130")</f>
        <v>-6.899149, 107.641130</v>
      </c>
      <c r="D23" s="4" t="str">
        <f>IFERROR(__xludf.DUMMYFUNCTION("""COMPUTED_VALUE"""),"Sandi angga")</f>
        <v>Sandi angga</v>
      </c>
      <c r="E23" s="4" t="str">
        <f>IFERROR(__xludf.DUMMYFUNCTION("""COMPUTED_VALUE"""),"BANDUNG")</f>
        <v>BANDUNG</v>
      </c>
      <c r="F23" s="4" t="str">
        <f>IFERROR(__xludf.DUMMYFUNCTION("""COMPUTED_VALUE"""),"BANDUNG TIMUR")</f>
        <v>BANDUNG TIMUR</v>
      </c>
      <c r="G23" s="4" t="str">
        <f>IFERROR(__xludf.DUMMYFUNCTION("""COMPUTED_VALUE"""),"KIARACONDONG")</f>
        <v>KIARACONDONG</v>
      </c>
      <c r="H23" s="4" t="str">
        <f>IFERROR(__xludf.DUMMYFUNCTION("""COMPUTED_VALUE"""),"KPO")</f>
        <v>KPO</v>
      </c>
      <c r="I23" s="4" t="str">
        <f>IFERROR(__xludf.DUMMYFUNCTION("""COMPUTED_VALUE"""),"LBS BKNA-RAT")</f>
        <v>LBS BKNA-RAT</v>
      </c>
      <c r="J23" s="4" t="str">
        <f>IFERROR(__xludf.DUMMYFUNCTION("""COMPUTED_VALUE"""),"ZONA 2")</f>
        <v>ZONA 2</v>
      </c>
      <c r="K23" s="4" t="str">
        <f>IFERROR(__xludf.DUMMYFUNCTION("""COMPUTED_VALUE"""),"041L08L012L02")</f>
        <v>041L08L012L02</v>
      </c>
      <c r="L23" s="4" t="str">
        <f>IFERROR(__xludf.DUMMYFUNCTION("""COMPUTED_VALUE"""),"TM - 14B/H (Akhir)")</f>
        <v>TM - 14B/H (Akhir)</v>
      </c>
      <c r="M23" s="4" t="str">
        <f>IFERROR(__xludf.DUMMYFUNCTION("""COMPUTED_VALUE"""),"Tidak Ada")</f>
        <v>Tidak Ada</v>
      </c>
      <c r="N23" s="4"/>
      <c r="O23" s="4" t="str">
        <f>IFERROR(__xludf.DUMMYFUNCTION("""COMPUTED_VALUE"""),"PEMBANDING SEJENIS")</f>
        <v>PEMBANDING SEJENIS</v>
      </c>
      <c r="P23" s="4" t="str">
        <f>IFERROR(__xludf.DUMMYFUNCTION("""COMPUTED_VALUE"""),"TERMINASI")</f>
        <v>TERMINASI</v>
      </c>
      <c r="Q23" s="4">
        <f>IFERROR(__xludf.DUMMYFUNCTION("""COMPUTED_VALUE"""),25.0)</f>
        <v>25</v>
      </c>
      <c r="R23" s="4">
        <f>IFERROR(__xludf.DUMMYFUNCTION("""COMPUTED_VALUE"""),25.0)</f>
        <v>25</v>
      </c>
      <c r="S23" s="4">
        <f>IFERROR(__xludf.DUMMYFUNCTION("""COMPUTED_VALUE"""),25.0)</f>
        <v>25</v>
      </c>
      <c r="T23" s="4"/>
      <c r="U23" s="4" t="str">
        <f>IFERROR(__xludf.DUMMYFUNCTION("""COMPUTED_VALUE"""),"BAIK")</f>
        <v>BAIK</v>
      </c>
      <c r="V23" s="4" t="str">
        <f>IFERROR(__xludf.DUMMYFUNCTION("""COMPUTED_VALUE"""),"Tidak Ada")</f>
        <v>Tidak Ada</v>
      </c>
      <c r="W23" s="4"/>
      <c r="X23" s="4"/>
      <c r="Y23" s="4"/>
      <c r="Z23" s="4"/>
      <c r="AA23" s="4"/>
      <c r="AB23" s="4"/>
      <c r="AC23" s="4" t="str">
        <f>IFERROR(__xludf.DUMMYFUNCTION("""COMPUTED_VALUE"""),"INSPEKSI SUTM - T2_Images/ef8b16e4.FOTO.074316.jpg")</f>
        <v>INSPEKSI SUTM - T2_Images/ef8b16e4.FOTO.074316.jpg</v>
      </c>
      <c r="AD23" s="4"/>
      <c r="AE23" s="4"/>
      <c r="AF23" s="4" t="str">
        <f>IFERROR(__xludf.DUMMYFUNCTION("""COMPUTED_VALUE"""),"BELUM")</f>
        <v>BELUM</v>
      </c>
      <c r="AG23" s="6">
        <f>IFERROR(__xludf.DUMMYFUNCTION("""COMPUTED_VALUE"""),46031.0)</f>
        <v>46031</v>
      </c>
      <c r="AH23" s="4"/>
      <c r="AI23" s="4"/>
    </row>
    <row r="24" ht="15.75" customHeight="1">
      <c r="A24" s="4" t="str">
        <f>IFERROR(__xludf.DUMMYFUNCTION("""COMPUTED_VALUE"""),"5211a791")</f>
        <v>5211a791</v>
      </c>
      <c r="B24" s="5">
        <f>IFERROR(__xludf.DUMMYFUNCTION("""COMPUTED_VALUE"""),46031.821238425924)</f>
        <v>46031.82124</v>
      </c>
      <c r="C24" s="4" t="str">
        <f>IFERROR(__xludf.DUMMYFUNCTION("""COMPUTED_VALUE"""),"-6.899167, 107.641126")</f>
        <v>-6.899167, 107.641126</v>
      </c>
      <c r="D24" s="4" t="str">
        <f>IFERROR(__xludf.DUMMYFUNCTION("""COMPUTED_VALUE"""),"Sandi angga")</f>
        <v>Sandi angga</v>
      </c>
      <c r="E24" s="4" t="str">
        <f>IFERROR(__xludf.DUMMYFUNCTION("""COMPUTED_VALUE"""),"BANDUNG")</f>
        <v>BANDUNG</v>
      </c>
      <c r="F24" s="4" t="str">
        <f>IFERROR(__xludf.DUMMYFUNCTION("""COMPUTED_VALUE"""),"BANDUNG TIMUR")</f>
        <v>BANDUNG TIMUR</v>
      </c>
      <c r="G24" s="4" t="str">
        <f>IFERROR(__xludf.DUMMYFUNCTION("""COMPUTED_VALUE"""),"KIARACONDONG")</f>
        <v>KIARACONDONG</v>
      </c>
      <c r="H24" s="4" t="str">
        <f>IFERROR(__xludf.DUMMYFUNCTION("""COMPUTED_VALUE"""),"KPO")</f>
        <v>KPO</v>
      </c>
      <c r="I24" s="4" t="str">
        <f>IFERROR(__xludf.DUMMYFUNCTION("""COMPUTED_VALUE"""),"LBS BKNA-RAT")</f>
        <v>LBS BKNA-RAT</v>
      </c>
      <c r="J24" s="4" t="str">
        <f>IFERROR(__xludf.DUMMYFUNCTION("""COMPUTED_VALUE"""),"ZONA 2")</f>
        <v>ZONA 2</v>
      </c>
      <c r="K24" s="4" t="str">
        <f>IFERROR(__xludf.DUMMYFUNCTION("""COMPUTED_VALUE"""),"041L08L012R06")</f>
        <v>041L08L012R06</v>
      </c>
      <c r="L24" s="4" t="str">
        <f>IFERROR(__xludf.DUMMYFUNCTION("""COMPUTED_VALUE"""),"TM - 4B/H (Afspan)")</f>
        <v>TM - 4B/H (Afspan)</v>
      </c>
      <c r="M24" s="4" t="str">
        <f>IFERROR(__xludf.DUMMYFUNCTION("""COMPUTED_VALUE"""),"Gardu")</f>
        <v>Gardu</v>
      </c>
      <c r="N24" s="4" t="str">
        <f>IFERROR(__xludf.DUMMYFUNCTION("""COMPUTED_VALUE"""),"CLD")</f>
        <v>CLD</v>
      </c>
      <c r="O24" s="4" t="str">
        <f>IFERROR(__xludf.DUMMYFUNCTION("""COMPUTED_VALUE"""),"PEMBANDING SEJENIS")</f>
        <v>PEMBANDING SEJENIS</v>
      </c>
      <c r="P24" s="4" t="str">
        <f>IFERROR(__xludf.DUMMYFUNCTION("""COMPUTED_VALUE"""),"KONEKTOR/JUMPER")</f>
        <v>KONEKTOR/JUMPER</v>
      </c>
      <c r="Q24" s="4">
        <f>IFERROR(__xludf.DUMMYFUNCTION("""COMPUTED_VALUE"""),26.0)</f>
        <v>26</v>
      </c>
      <c r="R24" s="4">
        <f>IFERROR(__xludf.DUMMYFUNCTION("""COMPUTED_VALUE"""),25.0)</f>
        <v>25</v>
      </c>
      <c r="S24" s="4">
        <f>IFERROR(__xludf.DUMMYFUNCTION("""COMPUTED_VALUE"""),26.0)</f>
        <v>26</v>
      </c>
      <c r="T24" s="4"/>
      <c r="U24" s="4" t="str">
        <f>IFERROR(__xludf.DUMMYFUNCTION("""COMPUTED_VALUE"""),"BAIK")</f>
        <v>BAIK</v>
      </c>
      <c r="V24" s="4" t="str">
        <f>IFERROR(__xludf.DUMMYFUNCTION("""COMPUTED_VALUE"""),"Tidak Ada")</f>
        <v>Tidak Ada</v>
      </c>
      <c r="W24" s="4"/>
      <c r="X24" s="4"/>
      <c r="Y24" s="4"/>
      <c r="Z24" s="4"/>
      <c r="AA24" s="4"/>
      <c r="AB24" s="4"/>
      <c r="AC24" s="4" t="str">
        <f>IFERROR(__xludf.DUMMYFUNCTION("""COMPUTED_VALUE"""),"INSPEKSI SUTM - T2_Images/5211a791.FOTO.074604.jpg")</f>
        <v>INSPEKSI SUTM - T2_Images/5211a791.FOTO.074604.jpg</v>
      </c>
      <c r="AD24" s="4"/>
      <c r="AE24" s="4"/>
      <c r="AF24" s="4" t="str">
        <f>IFERROR(__xludf.DUMMYFUNCTION("""COMPUTED_VALUE"""),"BELUM")</f>
        <v>BELUM</v>
      </c>
      <c r="AG24" s="6">
        <f>IFERROR(__xludf.DUMMYFUNCTION("""COMPUTED_VALUE"""),46031.0)</f>
        <v>46031</v>
      </c>
      <c r="AH24" s="4"/>
      <c r="AI24" s="4"/>
    </row>
    <row r="25" ht="15.75" customHeight="1">
      <c r="A25" s="4" t="str">
        <f>IFERROR(__xludf.DUMMYFUNCTION("""COMPUTED_VALUE"""),"9e60e4ac")</f>
        <v>9e60e4ac</v>
      </c>
      <c r="B25" s="5">
        <f>IFERROR(__xludf.DUMMYFUNCTION("""COMPUTED_VALUE"""),46031.82394675926)</f>
        <v>46031.82395</v>
      </c>
      <c r="C25" s="4" t="str">
        <f>IFERROR(__xludf.DUMMYFUNCTION("""COMPUTED_VALUE"""),"-6.899179, 107.641120")</f>
        <v>-6.899179, 107.641120</v>
      </c>
      <c r="D25" s="4" t="str">
        <f>IFERROR(__xludf.DUMMYFUNCTION("""COMPUTED_VALUE"""),"Sandi angga")</f>
        <v>Sandi angga</v>
      </c>
      <c r="E25" s="4" t="str">
        <f>IFERROR(__xludf.DUMMYFUNCTION("""COMPUTED_VALUE"""),"BANDUNG")</f>
        <v>BANDUNG</v>
      </c>
      <c r="F25" s="4" t="str">
        <f>IFERROR(__xludf.DUMMYFUNCTION("""COMPUTED_VALUE"""),"BANDUNG TIMUR")</f>
        <v>BANDUNG TIMUR</v>
      </c>
      <c r="G25" s="4" t="str">
        <f>IFERROR(__xludf.DUMMYFUNCTION("""COMPUTED_VALUE"""),"KIARACONDONG")</f>
        <v>KIARACONDONG</v>
      </c>
      <c r="H25" s="4" t="str">
        <f>IFERROR(__xludf.DUMMYFUNCTION("""COMPUTED_VALUE"""),"KPO")</f>
        <v>KPO</v>
      </c>
      <c r="I25" s="4" t="str">
        <f>IFERROR(__xludf.DUMMYFUNCTION("""COMPUTED_VALUE"""),"LBS BKNA-RAT")</f>
        <v>LBS BKNA-RAT</v>
      </c>
      <c r="J25" s="4" t="str">
        <f>IFERROR(__xludf.DUMMYFUNCTION("""COMPUTED_VALUE"""),"ZONA 2")</f>
        <v>ZONA 2</v>
      </c>
      <c r="K25" s="4" t="str">
        <f>IFERROR(__xludf.DUMMYFUNCTION("""COMPUTED_VALUE"""),"041L08L012R06")</f>
        <v>041L08L012R06</v>
      </c>
      <c r="L25" s="4" t="str">
        <f>IFERROR(__xludf.DUMMYFUNCTION("""COMPUTED_VALUE"""),"TM - 4B/H (Afspan)")</f>
        <v>TM - 4B/H (Afspan)</v>
      </c>
      <c r="M25" s="4" t="str">
        <f>IFERROR(__xludf.DUMMYFUNCTION("""COMPUTED_VALUE"""),"Gardu")</f>
        <v>Gardu</v>
      </c>
      <c r="N25" s="4" t="str">
        <f>IFERROR(__xludf.DUMMYFUNCTION("""COMPUTED_VALUE"""),"CLD")</f>
        <v>CLD</v>
      </c>
      <c r="O25" s="4" t="str">
        <f>IFERROR(__xludf.DUMMYFUNCTION("""COMPUTED_VALUE"""),"PEMBANDING SEJENIS")</f>
        <v>PEMBANDING SEJENIS</v>
      </c>
      <c r="P25" s="4" t="str">
        <f>IFERROR(__xludf.DUMMYFUNCTION("""COMPUTED_VALUE"""),"KONEKTOR/JUMPER")</f>
        <v>KONEKTOR/JUMPER</v>
      </c>
      <c r="Q25" s="4">
        <f>IFERROR(__xludf.DUMMYFUNCTION("""COMPUTED_VALUE"""),26.0)</f>
        <v>26</v>
      </c>
      <c r="R25" s="4">
        <f>IFERROR(__xludf.DUMMYFUNCTION("""COMPUTED_VALUE"""),25.0)</f>
        <v>25</v>
      </c>
      <c r="S25" s="4">
        <f>IFERROR(__xludf.DUMMYFUNCTION("""COMPUTED_VALUE"""),26.0)</f>
        <v>26</v>
      </c>
      <c r="T25" s="4"/>
      <c r="U25" s="4" t="str">
        <f>IFERROR(__xludf.DUMMYFUNCTION("""COMPUTED_VALUE"""),"BAIK")</f>
        <v>BAIK</v>
      </c>
      <c r="V25" s="4" t="str">
        <f>IFERROR(__xludf.DUMMYFUNCTION("""COMPUTED_VALUE"""),"Tidak Ada")</f>
        <v>Tidak Ada</v>
      </c>
      <c r="W25" s="4"/>
      <c r="X25" s="4"/>
      <c r="Y25" s="4"/>
      <c r="Z25" s="4"/>
      <c r="AA25" s="4"/>
      <c r="AB25" s="4"/>
      <c r="AC25" s="4" t="str">
        <f>IFERROR(__xludf.DUMMYFUNCTION("""COMPUTED_VALUE"""),"INSPEKSI SUTM - T2_Images/9e60e4ac.FOTO.075013.jpg")</f>
        <v>INSPEKSI SUTM - T2_Images/9e60e4ac.FOTO.075013.jpg</v>
      </c>
      <c r="AD25" s="4"/>
      <c r="AE25" s="4"/>
      <c r="AF25" s="4" t="str">
        <f>IFERROR(__xludf.DUMMYFUNCTION("""COMPUTED_VALUE"""),"BELUM")</f>
        <v>BELUM</v>
      </c>
      <c r="AG25" s="6">
        <f>IFERROR(__xludf.DUMMYFUNCTION("""COMPUTED_VALUE"""),46031.0)</f>
        <v>46031</v>
      </c>
      <c r="AH25" s="4"/>
      <c r="AI25" s="4"/>
    </row>
    <row r="26" ht="15.75" customHeight="1">
      <c r="A26" s="4" t="str">
        <f>IFERROR(__xludf.DUMMYFUNCTION("""COMPUTED_VALUE"""),"e2037199")</f>
        <v>e2037199</v>
      </c>
      <c r="B26" s="5">
        <f>IFERROR(__xludf.DUMMYFUNCTION("""COMPUTED_VALUE"""),46031.82561342593)</f>
        <v>46031.82561</v>
      </c>
      <c r="C26" s="4" t="str">
        <f>IFERROR(__xludf.DUMMYFUNCTION("""COMPUTED_VALUE"""),"-6.899183, 107.641113")</f>
        <v>-6.899183, 107.641113</v>
      </c>
      <c r="D26" s="4" t="str">
        <f>IFERROR(__xludf.DUMMYFUNCTION("""COMPUTED_VALUE"""),"Sandi angga")</f>
        <v>Sandi angga</v>
      </c>
      <c r="E26" s="4" t="str">
        <f>IFERROR(__xludf.DUMMYFUNCTION("""COMPUTED_VALUE"""),"BANDUNG")</f>
        <v>BANDUNG</v>
      </c>
      <c r="F26" s="4" t="str">
        <f>IFERROR(__xludf.DUMMYFUNCTION("""COMPUTED_VALUE"""),"BANDUNG TIMUR")</f>
        <v>BANDUNG TIMUR</v>
      </c>
      <c r="G26" s="4" t="str">
        <f>IFERROR(__xludf.DUMMYFUNCTION("""COMPUTED_VALUE"""),"KIARACONDONG")</f>
        <v>KIARACONDONG</v>
      </c>
      <c r="H26" s="4" t="str">
        <f>IFERROR(__xludf.DUMMYFUNCTION("""COMPUTED_VALUE"""),"KPO")</f>
        <v>KPO</v>
      </c>
      <c r="I26" s="4" t="str">
        <f>IFERROR(__xludf.DUMMYFUNCTION("""COMPUTED_VALUE"""),"LBS BKNA-RAT")</f>
        <v>LBS BKNA-RAT</v>
      </c>
      <c r="J26" s="4" t="str">
        <f>IFERROR(__xludf.DUMMYFUNCTION("""COMPUTED_VALUE"""),"ZONA 2")</f>
        <v>ZONA 2</v>
      </c>
      <c r="K26" s="4" t="str">
        <f>IFERROR(__xludf.DUMMYFUNCTION("""COMPUTED_VALUE"""),"041L017")</f>
        <v>041L017</v>
      </c>
      <c r="L26" s="4" t="str">
        <f>IFERROR(__xludf.DUMMYFUNCTION("""COMPUTED_VALUE"""),"TM - 14B/H (Akhir)")</f>
        <v>TM - 14B/H (Akhir)</v>
      </c>
      <c r="M26" s="4" t="str">
        <f>IFERROR(__xludf.DUMMYFUNCTION("""COMPUTED_VALUE"""),"Tidak Ada")</f>
        <v>Tidak Ada</v>
      </c>
      <c r="N26" s="4"/>
      <c r="O26" s="4" t="str">
        <f>IFERROR(__xludf.DUMMYFUNCTION("""COMPUTED_VALUE"""),"PEMBANDING SEJENIS")</f>
        <v>PEMBANDING SEJENIS</v>
      </c>
      <c r="P26" s="4" t="str">
        <f>IFERROR(__xludf.DUMMYFUNCTION("""COMPUTED_VALUE"""),"TERMINASI")</f>
        <v>TERMINASI</v>
      </c>
      <c r="Q26" s="4">
        <f>IFERROR(__xludf.DUMMYFUNCTION("""COMPUTED_VALUE"""),24.0)</f>
        <v>24</v>
      </c>
      <c r="R26" s="4">
        <f>IFERROR(__xludf.DUMMYFUNCTION("""COMPUTED_VALUE"""),24.0)</f>
        <v>24</v>
      </c>
      <c r="S26" s="4">
        <f>IFERROR(__xludf.DUMMYFUNCTION("""COMPUTED_VALUE"""),24.0)</f>
        <v>24</v>
      </c>
      <c r="T26" s="4"/>
      <c r="U26" s="4" t="str">
        <f>IFERROR(__xludf.DUMMYFUNCTION("""COMPUTED_VALUE"""),"BAIK")</f>
        <v>BAIK</v>
      </c>
      <c r="V26" s="4" t="str">
        <f>IFERROR(__xludf.DUMMYFUNCTION("""COMPUTED_VALUE"""),"Tidak Ada")</f>
        <v>Tidak Ada</v>
      </c>
      <c r="W26" s="4"/>
      <c r="X26" s="4"/>
      <c r="Y26" s="4"/>
      <c r="Z26" s="4"/>
      <c r="AA26" s="4"/>
      <c r="AB26" s="4"/>
      <c r="AC26" s="4" t="str">
        <f>IFERROR(__xludf.DUMMYFUNCTION("""COMPUTED_VALUE"""),"INSPEKSI SUTM - T2_Images/e2037199.FOTO.075144.jpg")</f>
        <v>INSPEKSI SUTM - T2_Images/e2037199.FOTO.075144.jpg</v>
      </c>
      <c r="AD26" s="4"/>
      <c r="AE26" s="4"/>
      <c r="AF26" s="4" t="str">
        <f>IFERROR(__xludf.DUMMYFUNCTION("""COMPUTED_VALUE"""),"BELUM")</f>
        <v>BELUM</v>
      </c>
      <c r="AG26" s="6">
        <f>IFERROR(__xludf.DUMMYFUNCTION("""COMPUTED_VALUE"""),46031.0)</f>
        <v>46031</v>
      </c>
      <c r="AH26" s="4"/>
      <c r="AI26" s="4"/>
    </row>
    <row r="27" ht="15.75" customHeight="1">
      <c r="A27" s="4" t="str">
        <f>IFERROR(__xludf.DUMMYFUNCTION("""COMPUTED_VALUE"""),"53af7c37")</f>
        <v>53af7c37</v>
      </c>
      <c r="B27" s="5">
        <f>IFERROR(__xludf.DUMMYFUNCTION("""COMPUTED_VALUE"""),46031.910844907405)</f>
        <v>46031.91084</v>
      </c>
      <c r="C27" s="4" t="str">
        <f>IFERROR(__xludf.DUMMYFUNCTION("""COMPUTED_VALUE"""),"-6.899141, 107.641137")</f>
        <v>-6.899141, 107.641137</v>
      </c>
      <c r="D27" s="4" t="str">
        <f>IFERROR(__xludf.DUMMYFUNCTION("""COMPUTED_VALUE"""),"Sandi angga")</f>
        <v>Sandi angga</v>
      </c>
      <c r="E27" s="4" t="str">
        <f>IFERROR(__xludf.DUMMYFUNCTION("""COMPUTED_VALUE"""),"BANDUNG")</f>
        <v>BANDUNG</v>
      </c>
      <c r="F27" s="4" t="str">
        <f>IFERROR(__xludf.DUMMYFUNCTION("""COMPUTED_VALUE"""),"BANDUNG TIMUR")</f>
        <v>BANDUNG TIMUR</v>
      </c>
      <c r="G27" s="4" t="str">
        <f>IFERROR(__xludf.DUMMYFUNCTION("""COMPUTED_VALUE"""),"KIARACONDONG")</f>
        <v>KIARACONDONG</v>
      </c>
      <c r="H27" s="4" t="str">
        <f>IFERROR(__xludf.DUMMYFUNCTION("""COMPUTED_VALUE"""),"KPO")</f>
        <v>KPO</v>
      </c>
      <c r="I27" s="4" t="str">
        <f>IFERROR(__xludf.DUMMYFUNCTION("""COMPUTED_VALUE"""),"LBS BKNA-RAT")</f>
        <v>LBS BKNA-RAT</v>
      </c>
      <c r="J27" s="4" t="str">
        <f>IFERROR(__xludf.DUMMYFUNCTION("""COMPUTED_VALUE"""),"ZONA 2")</f>
        <v>ZONA 2</v>
      </c>
      <c r="K27" s="4" t="str">
        <f>IFERROR(__xludf.DUMMYFUNCTION("""COMPUTED_VALUE"""),"049")</f>
        <v>049</v>
      </c>
      <c r="L27" s="4" t="str">
        <f>IFERROR(__xludf.DUMMYFUNCTION("""COMPUTED_VALUE"""),"TM - 4B/H (Afspan)")</f>
        <v>TM - 4B/H (Afspan)</v>
      </c>
      <c r="M27" s="4" t="str">
        <f>IFERROR(__xludf.DUMMYFUNCTION("""COMPUTED_VALUE"""),"Tidak Ada")</f>
        <v>Tidak Ada</v>
      </c>
      <c r="N27" s="4"/>
      <c r="O27" s="4" t="str">
        <f>IFERROR(__xludf.DUMMYFUNCTION("""COMPUTED_VALUE"""),"PEMBANDING SEJENIS")</f>
        <v>PEMBANDING SEJENIS</v>
      </c>
      <c r="P27" s="4" t="str">
        <f>IFERROR(__xludf.DUMMYFUNCTION("""COMPUTED_VALUE"""),"KONEKTOR/JUMPER")</f>
        <v>KONEKTOR/JUMPER</v>
      </c>
      <c r="Q27" s="4">
        <f>IFERROR(__xludf.DUMMYFUNCTION("""COMPUTED_VALUE"""),24.0)</f>
        <v>24</v>
      </c>
      <c r="R27" s="4">
        <f>IFERROR(__xludf.DUMMYFUNCTION("""COMPUTED_VALUE"""),23.0)</f>
        <v>23</v>
      </c>
      <c r="S27" s="4">
        <f>IFERROR(__xludf.DUMMYFUNCTION("""COMPUTED_VALUE"""),24.0)</f>
        <v>24</v>
      </c>
      <c r="T27" s="4"/>
      <c r="U27" s="4" t="str">
        <f>IFERROR(__xludf.DUMMYFUNCTION("""COMPUTED_VALUE"""),"BAIK")</f>
        <v>BAIK</v>
      </c>
      <c r="V27" s="4" t="str">
        <f>IFERROR(__xludf.DUMMYFUNCTION("""COMPUTED_VALUE"""),"Tidak Ada")</f>
        <v>Tidak Ada</v>
      </c>
      <c r="W27" s="4"/>
      <c r="X27" s="4"/>
      <c r="Y27" s="4"/>
      <c r="Z27" s="4"/>
      <c r="AA27" s="4"/>
      <c r="AB27" s="4"/>
      <c r="AC27" s="4" t="str">
        <f>IFERROR(__xludf.DUMMYFUNCTION("""COMPUTED_VALUE"""),"INSPEKSI SUTM - T2_Images/53af7c37.FOTO.145233.jpg")</f>
        <v>INSPEKSI SUTM - T2_Images/53af7c37.FOTO.145233.jpg</v>
      </c>
      <c r="AD27" s="4"/>
      <c r="AE27" s="4"/>
      <c r="AF27" s="4" t="str">
        <f>IFERROR(__xludf.DUMMYFUNCTION("""COMPUTED_VALUE"""),"BELUM")</f>
        <v>BELUM</v>
      </c>
      <c r="AG27" s="6">
        <f>IFERROR(__xludf.DUMMYFUNCTION("""COMPUTED_VALUE"""),46031.0)</f>
        <v>46031</v>
      </c>
      <c r="AH27" s="4"/>
      <c r="AI27" s="4"/>
    </row>
    <row r="28" ht="15.75" customHeight="1">
      <c r="A28" s="4" t="str">
        <f>IFERROR(__xludf.DUMMYFUNCTION("""COMPUTED_VALUE"""),"046b84f0")</f>
        <v>046b84f0</v>
      </c>
      <c r="B28" s="5">
        <f>IFERROR(__xludf.DUMMYFUNCTION("""COMPUTED_VALUE"""),46031.91165509259)</f>
        <v>46031.91166</v>
      </c>
      <c r="C28" s="4" t="str">
        <f>IFERROR(__xludf.DUMMYFUNCTION("""COMPUTED_VALUE"""),"-6.899128, 107.641144")</f>
        <v>-6.899128, 107.641144</v>
      </c>
      <c r="D28" s="4" t="str">
        <f>IFERROR(__xludf.DUMMYFUNCTION("""COMPUTED_VALUE"""),"Sandi angga")</f>
        <v>Sandi angga</v>
      </c>
      <c r="E28" s="4" t="str">
        <f>IFERROR(__xludf.DUMMYFUNCTION("""COMPUTED_VALUE"""),"BANDUNG")</f>
        <v>BANDUNG</v>
      </c>
      <c r="F28" s="4" t="str">
        <f>IFERROR(__xludf.DUMMYFUNCTION("""COMPUTED_VALUE"""),"BANDUNG TIMUR")</f>
        <v>BANDUNG TIMUR</v>
      </c>
      <c r="G28" s="4" t="str">
        <f>IFERROR(__xludf.DUMMYFUNCTION("""COMPUTED_VALUE"""),"KIARACONDONG")</f>
        <v>KIARACONDONG</v>
      </c>
      <c r="H28" s="4" t="str">
        <f>IFERROR(__xludf.DUMMYFUNCTION("""COMPUTED_VALUE"""),"KPO")</f>
        <v>KPO</v>
      </c>
      <c r="I28" s="4" t="str">
        <f>IFERROR(__xludf.DUMMYFUNCTION("""COMPUTED_VALUE"""),"LBS BKNA-RAT")</f>
        <v>LBS BKNA-RAT</v>
      </c>
      <c r="J28" s="4" t="str">
        <f>IFERROR(__xludf.DUMMYFUNCTION("""COMPUTED_VALUE"""),"ZONA 2")</f>
        <v>ZONA 2</v>
      </c>
      <c r="K28" s="4" t="str">
        <f>IFERROR(__xludf.DUMMYFUNCTION("""COMPUTED_VALUE"""),"052")</f>
        <v>052</v>
      </c>
      <c r="L28" s="4" t="str">
        <f>IFERROR(__xludf.DUMMYFUNCTION("""COMPUTED_VALUE"""),"TM - 13B/H (Kabel Naik Pada Tiang Tumpu)")</f>
        <v>TM - 13B/H (Kabel Naik Pada Tiang Tumpu)</v>
      </c>
      <c r="M28" s="4" t="str">
        <f>IFERROR(__xludf.DUMMYFUNCTION("""COMPUTED_VALUE"""),"Gardu")</f>
        <v>Gardu</v>
      </c>
      <c r="N28" s="4" t="str">
        <f>IFERROR(__xludf.DUMMYFUNCTION("""COMPUTED_VALUE"""),"BKR")</f>
        <v>BKR</v>
      </c>
      <c r="O28" s="4" t="str">
        <f>IFERROR(__xludf.DUMMYFUNCTION("""COMPUTED_VALUE"""),"PEMBANDING SEJENIS")</f>
        <v>PEMBANDING SEJENIS</v>
      </c>
      <c r="P28" s="4" t="str">
        <f>IFERROR(__xludf.DUMMYFUNCTION("""COMPUTED_VALUE"""),"TERMINASI")</f>
        <v>TERMINASI</v>
      </c>
      <c r="Q28" s="4">
        <f>IFERROR(__xludf.DUMMYFUNCTION("""COMPUTED_VALUE"""),23.0)</f>
        <v>23</v>
      </c>
      <c r="R28" s="4">
        <f>IFERROR(__xludf.DUMMYFUNCTION("""COMPUTED_VALUE"""),22.0)</f>
        <v>22</v>
      </c>
      <c r="S28" s="4">
        <f>IFERROR(__xludf.DUMMYFUNCTION("""COMPUTED_VALUE"""),21.0)</f>
        <v>21</v>
      </c>
      <c r="T28" s="4"/>
      <c r="U28" s="4" t="str">
        <f>IFERROR(__xludf.DUMMYFUNCTION("""COMPUTED_VALUE"""),"BAIK")</f>
        <v>BAIK</v>
      </c>
      <c r="V28" s="4" t="str">
        <f>IFERROR(__xludf.DUMMYFUNCTION("""COMPUTED_VALUE"""),"Tidak Ada")</f>
        <v>Tidak Ada</v>
      </c>
      <c r="W28" s="4"/>
      <c r="X28" s="4"/>
      <c r="Y28" s="4"/>
      <c r="Z28" s="4"/>
      <c r="AA28" s="4"/>
      <c r="AB28" s="4"/>
      <c r="AC28" s="4" t="str">
        <f>IFERROR(__xludf.DUMMYFUNCTION("""COMPUTED_VALUE"""),"INSPEKSI SUTM - T2_Images/046b84f0.FOTO.145339.jpg")</f>
        <v>INSPEKSI SUTM - T2_Images/046b84f0.FOTO.145339.jpg</v>
      </c>
      <c r="AD28" s="4"/>
      <c r="AE28" s="4"/>
      <c r="AF28" s="4" t="str">
        <f>IFERROR(__xludf.DUMMYFUNCTION("""COMPUTED_VALUE"""),"BELUM")</f>
        <v>BELUM</v>
      </c>
      <c r="AG28" s="6">
        <f>IFERROR(__xludf.DUMMYFUNCTION("""COMPUTED_VALUE"""),46031.0)</f>
        <v>46031</v>
      </c>
      <c r="AH28" s="4"/>
      <c r="AI28" s="4"/>
    </row>
    <row r="29" ht="15.75" customHeight="1">
      <c r="A29" s="4" t="str">
        <f>IFERROR(__xludf.DUMMYFUNCTION("""COMPUTED_VALUE"""),"abac2e3b")</f>
        <v>abac2e3b</v>
      </c>
      <c r="B29" s="5">
        <f>IFERROR(__xludf.DUMMYFUNCTION("""COMPUTED_VALUE"""),46031.91226851852)</f>
        <v>46031.91227</v>
      </c>
      <c r="C29" s="4" t="str">
        <f>IFERROR(__xludf.DUMMYFUNCTION("""COMPUTED_VALUE"""),"-6.899127, 107.641139")</f>
        <v>-6.899127, 107.641139</v>
      </c>
      <c r="D29" s="4" t="str">
        <f>IFERROR(__xludf.DUMMYFUNCTION("""COMPUTED_VALUE"""),"Sandi angga")</f>
        <v>Sandi angga</v>
      </c>
      <c r="E29" s="4" t="str">
        <f>IFERROR(__xludf.DUMMYFUNCTION("""COMPUTED_VALUE"""),"BANDUNG")</f>
        <v>BANDUNG</v>
      </c>
      <c r="F29" s="4" t="str">
        <f>IFERROR(__xludf.DUMMYFUNCTION("""COMPUTED_VALUE"""),"BANDUNG TIMUR")</f>
        <v>BANDUNG TIMUR</v>
      </c>
      <c r="G29" s="4" t="str">
        <f>IFERROR(__xludf.DUMMYFUNCTION("""COMPUTED_VALUE"""),"KIARACONDONG")</f>
        <v>KIARACONDONG</v>
      </c>
      <c r="H29" s="4" t="str">
        <f>IFERROR(__xludf.DUMMYFUNCTION("""COMPUTED_VALUE"""),"KPO")</f>
        <v>KPO</v>
      </c>
      <c r="I29" s="4" t="str">
        <f>IFERROR(__xludf.DUMMYFUNCTION("""COMPUTED_VALUE"""),"LBS BKNA-RAT")</f>
        <v>LBS BKNA-RAT</v>
      </c>
      <c r="J29" s="4" t="str">
        <f>IFERROR(__xludf.DUMMYFUNCTION("""COMPUTED_VALUE"""),"ZONA 2")</f>
        <v>ZONA 2</v>
      </c>
      <c r="K29" s="4" t="str">
        <f>IFERROR(__xludf.DUMMYFUNCTION("""COMPUTED_VALUE"""),"053")</f>
        <v>053</v>
      </c>
      <c r="L29" s="4" t="str">
        <f>IFERROR(__xludf.DUMMYFUNCTION("""COMPUTED_VALUE"""),"TM - 1B/H (Tumpu)")</f>
        <v>TM - 1B/H (Tumpu)</v>
      </c>
      <c r="M29" s="4" t="str">
        <f>IFERROR(__xludf.DUMMYFUNCTION("""COMPUTED_VALUE"""),"Tidak Ada")</f>
        <v>Tidak Ada</v>
      </c>
      <c r="N29" s="4"/>
      <c r="O29" s="4" t="str">
        <f>IFERROR(__xludf.DUMMYFUNCTION("""COMPUTED_VALUE"""),"PEMBANDING SEJENIS")</f>
        <v>PEMBANDING SEJENIS</v>
      </c>
      <c r="P29" s="4" t="str">
        <f>IFERROR(__xludf.DUMMYFUNCTION("""COMPUTED_VALUE"""),"KONEKTOR/JUMPER")</f>
        <v>KONEKTOR/JUMPER</v>
      </c>
      <c r="Q29" s="4">
        <f>IFERROR(__xludf.DUMMYFUNCTION("""COMPUTED_VALUE"""),23.0)</f>
        <v>23</v>
      </c>
      <c r="R29" s="4">
        <f>IFERROR(__xludf.DUMMYFUNCTION("""COMPUTED_VALUE"""),24.0)</f>
        <v>24</v>
      </c>
      <c r="S29" s="4">
        <f>IFERROR(__xludf.DUMMYFUNCTION("""COMPUTED_VALUE"""),23.0)</f>
        <v>23</v>
      </c>
      <c r="T29" s="4"/>
      <c r="U29" s="4" t="str">
        <f>IFERROR(__xludf.DUMMYFUNCTION("""COMPUTED_VALUE"""),"BAIK")</f>
        <v>BAIK</v>
      </c>
      <c r="V29" s="4" t="str">
        <f>IFERROR(__xludf.DUMMYFUNCTION("""COMPUTED_VALUE"""),"Tidak Ada")</f>
        <v>Tidak Ada</v>
      </c>
      <c r="W29" s="4"/>
      <c r="X29" s="4"/>
      <c r="Y29" s="4"/>
      <c r="Z29" s="4"/>
      <c r="AA29" s="4"/>
      <c r="AB29" s="4"/>
      <c r="AC29" s="4" t="str">
        <f>IFERROR(__xludf.DUMMYFUNCTION("""COMPUTED_VALUE"""),"INSPEKSI SUTM - T2_Images/abac2e3b.FOTO.145449.jpg")</f>
        <v>INSPEKSI SUTM - T2_Images/abac2e3b.FOTO.145449.jpg</v>
      </c>
      <c r="AD29" s="4"/>
      <c r="AE29" s="4"/>
      <c r="AF29" s="4" t="str">
        <f>IFERROR(__xludf.DUMMYFUNCTION("""COMPUTED_VALUE"""),"BELUM")</f>
        <v>BELUM</v>
      </c>
      <c r="AG29" s="6">
        <f>IFERROR(__xludf.DUMMYFUNCTION("""COMPUTED_VALUE"""),46031.0)</f>
        <v>46031</v>
      </c>
      <c r="AH29" s="4"/>
      <c r="AI29" s="4"/>
    </row>
    <row r="30" ht="15.75" customHeight="1">
      <c r="A30" s="4" t="str">
        <f>IFERROR(__xludf.DUMMYFUNCTION("""COMPUTED_VALUE"""),"688825c5")</f>
        <v>688825c5</v>
      </c>
      <c r="B30" s="5">
        <f>IFERROR(__xludf.DUMMYFUNCTION("""COMPUTED_VALUE"""),46032.7647337963)</f>
        <v>46032.76473</v>
      </c>
      <c r="C30" s="4" t="str">
        <f>IFERROR(__xludf.DUMMYFUNCTION("""COMPUTED_VALUE"""),"-6.963705, 107.646505")</f>
        <v>-6.963705, 107.646505</v>
      </c>
      <c r="D30" s="4" t="str">
        <f>IFERROR(__xludf.DUMMYFUNCTION("""COMPUTED_VALUE"""),"Alam deril")</f>
        <v>Alam deril</v>
      </c>
      <c r="E30" s="4" t="str">
        <f>IFERROR(__xludf.DUMMYFUNCTION("""COMPUTED_VALUE"""),"BANDUNG")</f>
        <v>BANDUNG</v>
      </c>
      <c r="F30" s="4" t="str">
        <f>IFERROR(__xludf.DUMMYFUNCTION("""COMPUTED_VALUE"""),"BANDUNG UTARA")</f>
        <v>BANDUNG UTARA</v>
      </c>
      <c r="G30" s="4" t="str">
        <f>IFERROR(__xludf.DUMMYFUNCTION("""COMPUTED_VALUE"""),"BENGKOK")</f>
        <v>BENGKOK</v>
      </c>
      <c r="H30" s="4" t="str">
        <f>IFERROR(__xludf.DUMMYFUNCTION("""COMPUTED_VALUE"""),"CGDG")</f>
        <v>CGDG</v>
      </c>
      <c r="I30" s="4" t="str">
        <f>IFERROR(__xludf.DUMMYFUNCTION("""COMPUTED_VALUE"""),"BNK-LBS BKRC")</f>
        <v>BNK-LBS BKRC</v>
      </c>
      <c r="J30" s="4" t="str">
        <f>IFERROR(__xludf.DUMMYFUNCTION("""COMPUTED_VALUE"""),"ZONA 2")</f>
        <v>ZONA 2</v>
      </c>
      <c r="K30" s="4" t="str">
        <f>IFERROR(__xludf.DUMMYFUNCTION("""COMPUTED_VALUE"""),"001")</f>
        <v>001</v>
      </c>
      <c r="L30" s="4" t="str">
        <f>IFERROR(__xludf.DUMMYFUNCTION("""COMPUTED_VALUE"""),"TM - 11B/H (Kabel Naik)")</f>
        <v>TM - 11B/H (Kabel Naik)</v>
      </c>
      <c r="M30" s="4" t="str">
        <f>IFERROR(__xludf.DUMMYFUNCTION("""COMPUTED_VALUE"""),"Tidak Ada")</f>
        <v>Tidak Ada</v>
      </c>
      <c r="N30" s="4"/>
      <c r="O30" s="4" t="str">
        <f>IFERROR(__xludf.DUMMYFUNCTION("""COMPUTED_VALUE"""),"PEMBANDING SEJENIS")</f>
        <v>PEMBANDING SEJENIS</v>
      </c>
      <c r="P30" s="4" t="str">
        <f>IFERROR(__xludf.DUMMYFUNCTION("""COMPUTED_VALUE"""),"TERMINASI")</f>
        <v>TERMINASI</v>
      </c>
      <c r="Q30" s="4">
        <f>IFERROR(__xludf.DUMMYFUNCTION("""COMPUTED_VALUE"""),22.0)</f>
        <v>22</v>
      </c>
      <c r="R30" s="4">
        <f>IFERROR(__xludf.DUMMYFUNCTION("""COMPUTED_VALUE"""),20.0)</f>
        <v>20</v>
      </c>
      <c r="S30" s="4">
        <f>IFERROR(__xludf.DUMMYFUNCTION("""COMPUTED_VALUE"""),22.0)</f>
        <v>22</v>
      </c>
      <c r="T30" s="4"/>
      <c r="U30" s="4" t="str">
        <f>IFERROR(__xludf.DUMMYFUNCTION("""COMPUTED_VALUE"""),"BAIK")</f>
        <v>BAIK</v>
      </c>
      <c r="V30" s="4" t="str">
        <f>IFERROR(__xludf.DUMMYFUNCTION("""COMPUTED_VALUE"""),"Tidak Ada")</f>
        <v>Tidak Ada</v>
      </c>
      <c r="W30" s="4"/>
      <c r="X30" s="4"/>
      <c r="Y30" s="4"/>
      <c r="Z30" s="4"/>
      <c r="AA30" s="4"/>
      <c r="AB30" s="4"/>
      <c r="AC30" s="4" t="str">
        <f>IFERROR(__xludf.DUMMYFUNCTION("""COMPUTED_VALUE"""),"INSPEKSI SUTM - T2_Images/688825c5.FOTO.112226.jpg")</f>
        <v>INSPEKSI SUTM - T2_Images/688825c5.FOTO.112226.jpg</v>
      </c>
      <c r="AD30" s="4"/>
      <c r="AE30" s="4"/>
      <c r="AF30" s="4" t="str">
        <f>IFERROR(__xludf.DUMMYFUNCTION("""COMPUTED_VALUE"""),"BELUM")</f>
        <v>BELUM</v>
      </c>
      <c r="AG30" s="6">
        <f>IFERROR(__xludf.DUMMYFUNCTION("""COMPUTED_VALUE"""),46032.0)</f>
        <v>46032</v>
      </c>
      <c r="AH30" s="4"/>
      <c r="AI30" s="4"/>
    </row>
    <row r="31" ht="15.75" customHeight="1">
      <c r="A31" s="4" t="str">
        <f>IFERROR(__xludf.DUMMYFUNCTION("""COMPUTED_VALUE"""),"2cb0ef6f")</f>
        <v>2cb0ef6f</v>
      </c>
      <c r="B31" s="5">
        <f>IFERROR(__xludf.DUMMYFUNCTION("""COMPUTED_VALUE"""),46032.766180555554)</f>
        <v>46032.76618</v>
      </c>
      <c r="C31" s="4" t="str">
        <f>IFERROR(__xludf.DUMMYFUNCTION("""COMPUTED_VALUE"""),"-6.963642, 107.646444")</f>
        <v>-6.963642, 107.646444</v>
      </c>
      <c r="D31" s="4" t="str">
        <f>IFERROR(__xludf.DUMMYFUNCTION("""COMPUTED_VALUE"""),"Alam deril")</f>
        <v>Alam deril</v>
      </c>
      <c r="E31" s="4" t="str">
        <f>IFERROR(__xludf.DUMMYFUNCTION("""COMPUTED_VALUE"""),"BANDUNG")</f>
        <v>BANDUNG</v>
      </c>
      <c r="F31" s="4" t="str">
        <f>IFERROR(__xludf.DUMMYFUNCTION("""COMPUTED_VALUE"""),"BANDUNG UTARA")</f>
        <v>BANDUNG UTARA</v>
      </c>
      <c r="G31" s="4" t="str">
        <f>IFERROR(__xludf.DUMMYFUNCTION("""COMPUTED_VALUE"""),"BENGKOK")</f>
        <v>BENGKOK</v>
      </c>
      <c r="H31" s="4" t="str">
        <f>IFERROR(__xludf.DUMMYFUNCTION("""COMPUTED_VALUE"""),"CGDG")</f>
        <v>CGDG</v>
      </c>
      <c r="I31" s="4" t="str">
        <f>IFERROR(__xludf.DUMMYFUNCTION("""COMPUTED_VALUE"""),"BNK-LBS BKRC")</f>
        <v>BNK-LBS BKRC</v>
      </c>
      <c r="J31" s="4" t="str">
        <f>IFERROR(__xludf.DUMMYFUNCTION("""COMPUTED_VALUE"""),"ZONA 2")</f>
        <v>ZONA 2</v>
      </c>
      <c r="K31" s="4" t="str">
        <f>IFERROR(__xludf.DUMMYFUNCTION("""COMPUTED_VALUE"""),"001R04")</f>
        <v>001R04</v>
      </c>
      <c r="L31" s="4" t="str">
        <f>IFERROR(__xludf.DUMMYFUNCTION("""COMPUTED_VALUE"""),"TM - 11B/H (Kabel Naik)")</f>
        <v>TM - 11B/H (Kabel Naik)</v>
      </c>
      <c r="M31" s="4" t="str">
        <f>IFERROR(__xludf.DUMMYFUNCTION("""COMPUTED_VALUE"""),"Tidak Ada")</f>
        <v>Tidak Ada</v>
      </c>
      <c r="N31" s="4"/>
      <c r="O31" s="4" t="str">
        <f>IFERROR(__xludf.DUMMYFUNCTION("""COMPUTED_VALUE"""),"PEMBANDING SEJENIS")</f>
        <v>PEMBANDING SEJENIS</v>
      </c>
      <c r="P31" s="4" t="str">
        <f>IFERROR(__xludf.DUMMYFUNCTION("""COMPUTED_VALUE"""),"KONEKTOR/JUMPER")</f>
        <v>KONEKTOR/JUMPER</v>
      </c>
      <c r="Q31" s="4">
        <f>IFERROR(__xludf.DUMMYFUNCTION("""COMPUTED_VALUE"""),20.0)</f>
        <v>20</v>
      </c>
      <c r="R31" s="4">
        <f>IFERROR(__xludf.DUMMYFUNCTION("""COMPUTED_VALUE"""),21.0)</f>
        <v>21</v>
      </c>
      <c r="S31" s="4">
        <f>IFERROR(__xludf.DUMMYFUNCTION("""COMPUTED_VALUE"""),21.0)</f>
        <v>21</v>
      </c>
      <c r="T31" s="4"/>
      <c r="U31" s="4" t="str">
        <f>IFERROR(__xludf.DUMMYFUNCTION("""COMPUTED_VALUE"""),"BAIK")</f>
        <v>BAIK</v>
      </c>
      <c r="V31" s="4" t="str">
        <f>IFERROR(__xludf.DUMMYFUNCTION("""COMPUTED_VALUE"""),"Tidak Ada")</f>
        <v>Tidak Ada</v>
      </c>
      <c r="W31" s="4"/>
      <c r="X31" s="4"/>
      <c r="Y31" s="4"/>
      <c r="Z31" s="4"/>
      <c r="AA31" s="4"/>
      <c r="AB31" s="4"/>
      <c r="AC31" s="4" t="str">
        <f>IFERROR(__xludf.DUMMYFUNCTION("""COMPUTED_VALUE"""),"INSPEKSI SUTM - T2_Images/2cb0ef6f.FOTO.112413.jpg")</f>
        <v>INSPEKSI SUTM - T2_Images/2cb0ef6f.FOTO.112413.jpg</v>
      </c>
      <c r="AD31" s="4"/>
      <c r="AE31" s="4"/>
      <c r="AF31" s="4" t="str">
        <f>IFERROR(__xludf.DUMMYFUNCTION("""COMPUTED_VALUE"""),"BELUM")</f>
        <v>BELUM</v>
      </c>
      <c r="AG31" s="6">
        <f>IFERROR(__xludf.DUMMYFUNCTION("""COMPUTED_VALUE"""),46032.0)</f>
        <v>46032</v>
      </c>
      <c r="AH31" s="4"/>
      <c r="AI31" s="4"/>
    </row>
    <row r="32" ht="15.75" customHeight="1">
      <c r="A32" s="4" t="str">
        <f>IFERROR(__xludf.DUMMYFUNCTION("""COMPUTED_VALUE"""),"7f47c5b1")</f>
        <v>7f47c5b1</v>
      </c>
      <c r="B32" s="5">
        <f>IFERROR(__xludf.DUMMYFUNCTION("""COMPUTED_VALUE"""),46032.768125)</f>
        <v>46032.76813</v>
      </c>
      <c r="C32" s="4" t="str">
        <f>IFERROR(__xludf.DUMMYFUNCTION("""COMPUTED_VALUE"""),"-6.963708, 107.646516")</f>
        <v>-6.963708, 107.646516</v>
      </c>
      <c r="D32" s="4" t="str">
        <f>IFERROR(__xludf.DUMMYFUNCTION("""COMPUTED_VALUE"""),"Alam deril")</f>
        <v>Alam deril</v>
      </c>
      <c r="E32" s="4" t="str">
        <f>IFERROR(__xludf.DUMMYFUNCTION("""COMPUTED_VALUE"""),"BANDUNG")</f>
        <v>BANDUNG</v>
      </c>
      <c r="F32" s="4" t="str">
        <f>IFERROR(__xludf.DUMMYFUNCTION("""COMPUTED_VALUE"""),"BANDUNG UTARA")</f>
        <v>BANDUNG UTARA</v>
      </c>
      <c r="G32" s="4" t="str">
        <f>IFERROR(__xludf.DUMMYFUNCTION("""COMPUTED_VALUE"""),"BENGKOK")</f>
        <v>BENGKOK</v>
      </c>
      <c r="H32" s="4" t="str">
        <f>IFERROR(__xludf.DUMMYFUNCTION("""COMPUTED_VALUE"""),"CGDG")</f>
        <v>CGDG</v>
      </c>
      <c r="I32" s="4" t="str">
        <f>IFERROR(__xludf.DUMMYFUNCTION("""COMPUTED_VALUE"""),"BNK-LBS BKRC")</f>
        <v>BNK-LBS BKRC</v>
      </c>
      <c r="J32" s="4" t="str">
        <f>IFERROR(__xludf.DUMMYFUNCTION("""COMPUTED_VALUE"""),"ZONA 2")</f>
        <v>ZONA 2</v>
      </c>
      <c r="K32" s="4" t="str">
        <f>IFERROR(__xludf.DUMMYFUNCTION("""COMPUTED_VALUE"""),"001R03")</f>
        <v>001R03</v>
      </c>
      <c r="L32" s="4" t="str">
        <f>IFERROR(__xludf.DUMMYFUNCTION("""COMPUTED_VALUE"""),"TM - 11B/H (Kabel Naik)")</f>
        <v>TM - 11B/H (Kabel Naik)</v>
      </c>
      <c r="M32" s="4" t="str">
        <f>IFERROR(__xludf.DUMMYFUNCTION("""COMPUTED_VALUE"""),"Tidak Ada")</f>
        <v>Tidak Ada</v>
      </c>
      <c r="N32" s="4"/>
      <c r="O32" s="4" t="str">
        <f>IFERROR(__xludf.DUMMYFUNCTION("""COMPUTED_VALUE"""),"PEMBANDING SEJENIS")</f>
        <v>PEMBANDING SEJENIS</v>
      </c>
      <c r="P32" s="4" t="str">
        <f>IFERROR(__xludf.DUMMYFUNCTION("""COMPUTED_VALUE"""),"KONEKTOR/JUMPER")</f>
        <v>KONEKTOR/JUMPER</v>
      </c>
      <c r="Q32" s="4">
        <f>IFERROR(__xludf.DUMMYFUNCTION("""COMPUTED_VALUE"""),20.0)</f>
        <v>20</v>
      </c>
      <c r="R32" s="4">
        <f>IFERROR(__xludf.DUMMYFUNCTION("""COMPUTED_VALUE"""),20.0)</f>
        <v>20</v>
      </c>
      <c r="S32" s="4">
        <f>IFERROR(__xludf.DUMMYFUNCTION("""COMPUTED_VALUE"""),21.0)</f>
        <v>21</v>
      </c>
      <c r="T32" s="4"/>
      <c r="U32" s="4" t="str">
        <f>IFERROR(__xludf.DUMMYFUNCTION("""COMPUTED_VALUE"""),"BAIK")</f>
        <v>BAIK</v>
      </c>
      <c r="V32" s="4" t="str">
        <f>IFERROR(__xludf.DUMMYFUNCTION("""COMPUTED_VALUE"""),"Tidak Ada")</f>
        <v>Tidak Ada</v>
      </c>
      <c r="W32" s="4"/>
      <c r="X32" s="4"/>
      <c r="Y32" s="4"/>
      <c r="Z32" s="4"/>
      <c r="AA32" s="4"/>
      <c r="AB32" s="4"/>
      <c r="AC32" s="4" t="str">
        <f>IFERROR(__xludf.DUMMYFUNCTION("""COMPUTED_VALUE"""),"INSPEKSI SUTM - T2_Images/7f47c5b1.FOTO.112654.jpg")</f>
        <v>INSPEKSI SUTM - T2_Images/7f47c5b1.FOTO.112654.jpg</v>
      </c>
      <c r="AD32" s="4"/>
      <c r="AE32" s="4"/>
      <c r="AF32" s="4" t="str">
        <f>IFERROR(__xludf.DUMMYFUNCTION("""COMPUTED_VALUE"""),"BELUM")</f>
        <v>BELUM</v>
      </c>
      <c r="AG32" s="6">
        <f>IFERROR(__xludf.DUMMYFUNCTION("""COMPUTED_VALUE"""),46032.0)</f>
        <v>46032</v>
      </c>
      <c r="AH32" s="4"/>
      <c r="AI32" s="4"/>
    </row>
    <row r="33" ht="15.75" customHeight="1">
      <c r="A33" s="4" t="str">
        <f>IFERROR(__xludf.DUMMYFUNCTION("""COMPUTED_VALUE"""),"f1722127")</f>
        <v>f1722127</v>
      </c>
      <c r="B33" s="5">
        <f>IFERROR(__xludf.DUMMYFUNCTION("""COMPUTED_VALUE"""),46032.77079861111)</f>
        <v>46032.7708</v>
      </c>
      <c r="C33" s="4" t="str">
        <f>IFERROR(__xludf.DUMMYFUNCTION("""COMPUTED_VALUE"""),"-6.963715, 107.646536")</f>
        <v>-6.963715, 107.646536</v>
      </c>
      <c r="D33" s="4" t="str">
        <f>IFERROR(__xludf.DUMMYFUNCTION("""COMPUTED_VALUE"""),"Alam deril")</f>
        <v>Alam deril</v>
      </c>
      <c r="E33" s="4" t="str">
        <f>IFERROR(__xludf.DUMMYFUNCTION("""COMPUTED_VALUE"""),"BANDUNG")</f>
        <v>BANDUNG</v>
      </c>
      <c r="F33" s="4" t="str">
        <f>IFERROR(__xludf.DUMMYFUNCTION("""COMPUTED_VALUE"""),"BANDUNG UTARA")</f>
        <v>BANDUNG UTARA</v>
      </c>
      <c r="G33" s="4" t="str">
        <f>IFERROR(__xludf.DUMMYFUNCTION("""COMPUTED_VALUE"""),"BENGKOK")</f>
        <v>BENGKOK</v>
      </c>
      <c r="H33" s="4" t="str">
        <f>IFERROR(__xludf.DUMMYFUNCTION("""COMPUTED_VALUE"""),"CGDG")</f>
        <v>CGDG</v>
      </c>
      <c r="I33" s="4" t="str">
        <f>IFERROR(__xludf.DUMMYFUNCTION("""COMPUTED_VALUE"""),"BNK-LBS BKRC")</f>
        <v>BNK-LBS BKRC</v>
      </c>
      <c r="J33" s="4" t="str">
        <f>IFERROR(__xludf.DUMMYFUNCTION("""COMPUTED_VALUE"""),"ZONA 2")</f>
        <v>ZONA 2</v>
      </c>
      <c r="K33" s="4" t="str">
        <f>IFERROR(__xludf.DUMMYFUNCTION("""COMPUTED_VALUE"""),"001R05")</f>
        <v>001R05</v>
      </c>
      <c r="L33" s="4" t="str">
        <f>IFERROR(__xludf.DUMMYFUNCTION("""COMPUTED_VALUE"""),"TM - 7B/H (Afspan 90 Derajat)")</f>
        <v>TM - 7B/H (Afspan 90 Derajat)</v>
      </c>
      <c r="M33" s="4" t="str">
        <f>IFERROR(__xludf.DUMMYFUNCTION("""COMPUTED_VALUE"""),"Tidak Ada")</f>
        <v>Tidak Ada</v>
      </c>
      <c r="N33" s="4"/>
      <c r="O33" s="4" t="str">
        <f>IFERROR(__xludf.DUMMYFUNCTION("""COMPUTED_VALUE"""),"PEMBANDING SEJENIS")</f>
        <v>PEMBANDING SEJENIS</v>
      </c>
      <c r="P33" s="4" t="str">
        <f>IFERROR(__xludf.DUMMYFUNCTION("""COMPUTED_VALUE"""),"KONEKTOR/JUMPER")</f>
        <v>KONEKTOR/JUMPER</v>
      </c>
      <c r="Q33" s="4">
        <f>IFERROR(__xludf.DUMMYFUNCTION("""COMPUTED_VALUE"""),20.0)</f>
        <v>20</v>
      </c>
      <c r="R33" s="4">
        <f>IFERROR(__xludf.DUMMYFUNCTION("""COMPUTED_VALUE"""),21.0)</f>
        <v>21</v>
      </c>
      <c r="S33" s="4">
        <f>IFERROR(__xludf.DUMMYFUNCTION("""COMPUTED_VALUE"""),21.0)</f>
        <v>21</v>
      </c>
      <c r="T33" s="4"/>
      <c r="U33" s="4" t="str">
        <f>IFERROR(__xludf.DUMMYFUNCTION("""COMPUTED_VALUE"""),"BAIK")</f>
        <v>BAIK</v>
      </c>
      <c r="V33" s="4" t="str">
        <f>IFERROR(__xludf.DUMMYFUNCTION("""COMPUTED_VALUE"""),"Tidak Ada")</f>
        <v>Tidak Ada</v>
      </c>
      <c r="W33" s="4"/>
      <c r="X33" s="4"/>
      <c r="Y33" s="4"/>
      <c r="Z33" s="4"/>
      <c r="AA33" s="4"/>
      <c r="AB33" s="4"/>
      <c r="AC33" s="4" t="str">
        <f>IFERROR(__xludf.DUMMYFUNCTION("""COMPUTED_VALUE"""),"INSPEKSI SUTM - T2_Images/f1722127.FOTO.113049.jpg")</f>
        <v>INSPEKSI SUTM - T2_Images/f1722127.FOTO.113049.jpg</v>
      </c>
      <c r="AD33" s="4"/>
      <c r="AE33" s="4"/>
      <c r="AF33" s="4" t="str">
        <f>IFERROR(__xludf.DUMMYFUNCTION("""COMPUTED_VALUE"""),"BELUM")</f>
        <v>BELUM</v>
      </c>
      <c r="AG33" s="6">
        <f>IFERROR(__xludf.DUMMYFUNCTION("""COMPUTED_VALUE"""),46032.0)</f>
        <v>46032</v>
      </c>
      <c r="AH33" s="4"/>
      <c r="AI33" s="4"/>
    </row>
    <row r="34" ht="15.75" customHeight="1">
      <c r="A34" s="4" t="str">
        <f>IFERROR(__xludf.DUMMYFUNCTION("""COMPUTED_VALUE"""),"1675fc2d")</f>
        <v>1675fc2d</v>
      </c>
      <c r="B34" s="5">
        <f>IFERROR(__xludf.DUMMYFUNCTION("""COMPUTED_VALUE"""),46032.771574074075)</f>
        <v>46032.77157</v>
      </c>
      <c r="C34" s="4" t="str">
        <f>IFERROR(__xludf.DUMMYFUNCTION("""COMPUTED_VALUE"""),"-6.963715, 107.646545")</f>
        <v>-6.963715, 107.646545</v>
      </c>
      <c r="D34" s="4" t="str">
        <f>IFERROR(__xludf.DUMMYFUNCTION("""COMPUTED_VALUE"""),"Alam deril")</f>
        <v>Alam deril</v>
      </c>
      <c r="E34" s="4" t="str">
        <f>IFERROR(__xludf.DUMMYFUNCTION("""COMPUTED_VALUE"""),"BANDUNG")</f>
        <v>BANDUNG</v>
      </c>
      <c r="F34" s="4" t="str">
        <f>IFERROR(__xludf.DUMMYFUNCTION("""COMPUTED_VALUE"""),"BANDUNG UTARA")</f>
        <v>BANDUNG UTARA</v>
      </c>
      <c r="G34" s="4" t="str">
        <f>IFERROR(__xludf.DUMMYFUNCTION("""COMPUTED_VALUE"""),"BENGKOK")</f>
        <v>BENGKOK</v>
      </c>
      <c r="H34" s="4" t="str">
        <f>IFERROR(__xludf.DUMMYFUNCTION("""COMPUTED_VALUE"""),"CGDG")</f>
        <v>CGDG</v>
      </c>
      <c r="I34" s="4" t="str">
        <f>IFERROR(__xludf.DUMMYFUNCTION("""COMPUTED_VALUE"""),"BNK-LBS BKRC")</f>
        <v>BNK-LBS BKRC</v>
      </c>
      <c r="J34" s="4" t="str">
        <f>IFERROR(__xludf.DUMMYFUNCTION("""COMPUTED_VALUE"""),"ZONA 2")</f>
        <v>ZONA 2</v>
      </c>
      <c r="K34" s="4" t="str">
        <f>IFERROR(__xludf.DUMMYFUNCTION("""COMPUTED_VALUE"""),"001R06")</f>
        <v>001R06</v>
      </c>
      <c r="L34" s="4" t="str">
        <f>IFERROR(__xludf.DUMMYFUNCTION("""COMPUTED_VALUE"""),"TM - 7B/H (Afspan 90 Derajat)")</f>
        <v>TM - 7B/H (Afspan 90 Derajat)</v>
      </c>
      <c r="M34" s="4" t="str">
        <f>IFERROR(__xludf.DUMMYFUNCTION("""COMPUTED_VALUE"""),"Tidak Ada")</f>
        <v>Tidak Ada</v>
      </c>
      <c r="N34" s="4"/>
      <c r="O34" s="4" t="str">
        <f>IFERROR(__xludf.DUMMYFUNCTION("""COMPUTED_VALUE"""),"PEMBANDING SEJENIS")</f>
        <v>PEMBANDING SEJENIS</v>
      </c>
      <c r="P34" s="4" t="str">
        <f>IFERROR(__xludf.DUMMYFUNCTION("""COMPUTED_VALUE"""),"KONEKTOR/JUMPER")</f>
        <v>KONEKTOR/JUMPER</v>
      </c>
      <c r="Q34" s="4">
        <f>IFERROR(__xludf.DUMMYFUNCTION("""COMPUTED_VALUE"""),23.0)</f>
        <v>23</v>
      </c>
      <c r="R34" s="4">
        <f>IFERROR(__xludf.DUMMYFUNCTION("""COMPUTED_VALUE"""),23.0)</f>
        <v>23</v>
      </c>
      <c r="S34" s="4">
        <f>IFERROR(__xludf.DUMMYFUNCTION("""COMPUTED_VALUE"""),21.0)</f>
        <v>21</v>
      </c>
      <c r="T34" s="4"/>
      <c r="U34" s="4" t="str">
        <f>IFERROR(__xludf.DUMMYFUNCTION("""COMPUTED_VALUE"""),"BAIK")</f>
        <v>BAIK</v>
      </c>
      <c r="V34" s="4" t="str">
        <f>IFERROR(__xludf.DUMMYFUNCTION("""COMPUTED_VALUE"""),"Tidak Ada")</f>
        <v>Tidak Ada</v>
      </c>
      <c r="W34" s="4"/>
      <c r="X34" s="4"/>
      <c r="Y34" s="4"/>
      <c r="Z34" s="4"/>
      <c r="AA34" s="4"/>
      <c r="AB34" s="4"/>
      <c r="AC34" s="4" t="str">
        <f>IFERROR(__xludf.DUMMYFUNCTION("""COMPUTED_VALUE"""),"INSPEKSI SUTM - T2_Images/1675fc2d.FOTO.113156.jpg")</f>
        <v>INSPEKSI SUTM - T2_Images/1675fc2d.FOTO.113156.jpg</v>
      </c>
      <c r="AD34" s="4"/>
      <c r="AE34" s="4"/>
      <c r="AF34" s="4" t="str">
        <f>IFERROR(__xludf.DUMMYFUNCTION("""COMPUTED_VALUE"""),"BELUM")</f>
        <v>BELUM</v>
      </c>
      <c r="AG34" s="6">
        <f>IFERROR(__xludf.DUMMYFUNCTION("""COMPUTED_VALUE"""),46032.0)</f>
        <v>46032</v>
      </c>
      <c r="AH34" s="4"/>
      <c r="AI34" s="4"/>
    </row>
    <row r="35" ht="15.75" customHeight="1">
      <c r="A35" s="4" t="str">
        <f>IFERROR(__xludf.DUMMYFUNCTION("""COMPUTED_VALUE"""),"d7af6cde")</f>
        <v>d7af6cde</v>
      </c>
      <c r="B35" s="5">
        <f>IFERROR(__xludf.DUMMYFUNCTION("""COMPUTED_VALUE"""),46032.77234953704)</f>
        <v>46032.77235</v>
      </c>
      <c r="C35" s="4" t="str">
        <f>IFERROR(__xludf.DUMMYFUNCTION("""COMPUTED_VALUE"""),"-6.963717, 107.646521")</f>
        <v>-6.963717, 107.646521</v>
      </c>
      <c r="D35" s="4" t="str">
        <f>IFERROR(__xludf.DUMMYFUNCTION("""COMPUTED_VALUE"""),"Alam deril")</f>
        <v>Alam deril</v>
      </c>
      <c r="E35" s="4" t="str">
        <f>IFERROR(__xludf.DUMMYFUNCTION("""COMPUTED_VALUE"""),"BANDUNG")</f>
        <v>BANDUNG</v>
      </c>
      <c r="F35" s="4" t="str">
        <f>IFERROR(__xludf.DUMMYFUNCTION("""COMPUTED_VALUE"""),"BANDUNG UTARA")</f>
        <v>BANDUNG UTARA</v>
      </c>
      <c r="G35" s="4" t="str">
        <f>IFERROR(__xludf.DUMMYFUNCTION("""COMPUTED_VALUE"""),"BENGKOK")</f>
        <v>BENGKOK</v>
      </c>
      <c r="H35" s="4" t="str">
        <f>IFERROR(__xludf.DUMMYFUNCTION("""COMPUTED_VALUE"""),"CGDG")</f>
        <v>CGDG</v>
      </c>
      <c r="I35" s="4" t="str">
        <f>IFERROR(__xludf.DUMMYFUNCTION("""COMPUTED_VALUE"""),"BNK-LBS BKRC")</f>
        <v>BNK-LBS BKRC</v>
      </c>
      <c r="J35" s="4" t="str">
        <f>IFERROR(__xludf.DUMMYFUNCTION("""COMPUTED_VALUE"""),"ZONA 2")</f>
        <v>ZONA 2</v>
      </c>
      <c r="K35" s="4" t="str">
        <f>IFERROR(__xludf.DUMMYFUNCTION("""COMPUTED_VALUE"""),"004")</f>
        <v>004</v>
      </c>
      <c r="L35" s="4" t="str">
        <f>IFERROR(__xludf.DUMMYFUNCTION("""COMPUTED_VALUE"""),"TM - 7B/H (Afspan 90 Derajat)")</f>
        <v>TM - 7B/H (Afspan 90 Derajat)</v>
      </c>
      <c r="M35" s="4" t="str">
        <f>IFERROR(__xludf.DUMMYFUNCTION("""COMPUTED_VALUE"""),"Tidak Ada")</f>
        <v>Tidak Ada</v>
      </c>
      <c r="N35" s="4"/>
      <c r="O35" s="4" t="str">
        <f>IFERROR(__xludf.DUMMYFUNCTION("""COMPUTED_VALUE"""),"PEMBANDING SEJENIS")</f>
        <v>PEMBANDING SEJENIS</v>
      </c>
      <c r="P35" s="4" t="str">
        <f>IFERROR(__xludf.DUMMYFUNCTION("""COMPUTED_VALUE"""),"KONEKTOR/JUMPER")</f>
        <v>KONEKTOR/JUMPER</v>
      </c>
      <c r="Q35" s="4">
        <f>IFERROR(__xludf.DUMMYFUNCTION("""COMPUTED_VALUE"""),21.0)</f>
        <v>21</v>
      </c>
      <c r="R35" s="4">
        <f>IFERROR(__xludf.DUMMYFUNCTION("""COMPUTED_VALUE"""),19.0)</f>
        <v>19</v>
      </c>
      <c r="S35" s="4">
        <f>IFERROR(__xludf.DUMMYFUNCTION("""COMPUTED_VALUE"""),21.0)</f>
        <v>21</v>
      </c>
      <c r="T35" s="4"/>
      <c r="U35" s="4" t="str">
        <f>IFERROR(__xludf.DUMMYFUNCTION("""COMPUTED_VALUE"""),"BAIK")</f>
        <v>BAIK</v>
      </c>
      <c r="V35" s="4" t="str">
        <f>IFERROR(__xludf.DUMMYFUNCTION("""COMPUTED_VALUE"""),"Tidak Ada")</f>
        <v>Tidak Ada</v>
      </c>
      <c r="W35" s="4"/>
      <c r="X35" s="4"/>
      <c r="Y35" s="4"/>
      <c r="Z35" s="4"/>
      <c r="AA35" s="4"/>
      <c r="AB35" s="4"/>
      <c r="AC35" s="4" t="str">
        <f>IFERROR(__xludf.DUMMYFUNCTION("""COMPUTED_VALUE"""),"INSPEKSI SUTM - T2_Images/d7af6cde.FOTO.113303.jpg")</f>
        <v>INSPEKSI SUTM - T2_Images/d7af6cde.FOTO.113303.jpg</v>
      </c>
      <c r="AD35" s="4"/>
      <c r="AE35" s="4"/>
      <c r="AF35" s="4" t="str">
        <f>IFERROR(__xludf.DUMMYFUNCTION("""COMPUTED_VALUE"""),"BELUM")</f>
        <v>BELUM</v>
      </c>
      <c r="AG35" s="6">
        <f>IFERROR(__xludf.DUMMYFUNCTION("""COMPUTED_VALUE"""),46032.0)</f>
        <v>46032</v>
      </c>
      <c r="AH35" s="4"/>
      <c r="AI35" s="4"/>
    </row>
    <row r="36" ht="15.75" customHeight="1">
      <c r="A36" s="4" t="str">
        <f>IFERROR(__xludf.DUMMYFUNCTION("""COMPUTED_VALUE"""),"f0500f62")</f>
        <v>f0500f62</v>
      </c>
      <c r="B36" s="5">
        <f>IFERROR(__xludf.DUMMYFUNCTION("""COMPUTED_VALUE"""),46032.77313657408)</f>
        <v>46032.77314</v>
      </c>
      <c r="C36" s="4" t="str">
        <f>IFERROR(__xludf.DUMMYFUNCTION("""COMPUTED_VALUE"""),"-6.963712, 107.646532")</f>
        <v>-6.963712, 107.646532</v>
      </c>
      <c r="D36" s="4" t="str">
        <f>IFERROR(__xludf.DUMMYFUNCTION("""COMPUTED_VALUE"""),"Alam deril")</f>
        <v>Alam deril</v>
      </c>
      <c r="E36" s="4" t="str">
        <f>IFERROR(__xludf.DUMMYFUNCTION("""COMPUTED_VALUE"""),"BANDUNG")</f>
        <v>BANDUNG</v>
      </c>
      <c r="F36" s="4" t="str">
        <f>IFERROR(__xludf.DUMMYFUNCTION("""COMPUTED_VALUE"""),"BANDUNG UTARA")</f>
        <v>BANDUNG UTARA</v>
      </c>
      <c r="G36" s="4" t="str">
        <f>IFERROR(__xludf.DUMMYFUNCTION("""COMPUTED_VALUE"""),"BENGKOK")</f>
        <v>BENGKOK</v>
      </c>
      <c r="H36" s="4" t="str">
        <f>IFERROR(__xludf.DUMMYFUNCTION("""COMPUTED_VALUE"""),"CGDG")</f>
        <v>CGDG</v>
      </c>
      <c r="I36" s="4" t="str">
        <f>IFERROR(__xludf.DUMMYFUNCTION("""COMPUTED_VALUE"""),"BNK-LBS BKRC")</f>
        <v>BNK-LBS BKRC</v>
      </c>
      <c r="J36" s="4" t="str">
        <f>IFERROR(__xludf.DUMMYFUNCTION("""COMPUTED_VALUE"""),"ZONA 2")</f>
        <v>ZONA 2</v>
      </c>
      <c r="K36" s="4" t="str">
        <f>IFERROR(__xludf.DUMMYFUNCTION("""COMPUTED_VALUE"""),"005")</f>
        <v>005</v>
      </c>
      <c r="L36" s="4" t="str">
        <f>IFERROR(__xludf.DUMMYFUNCTION("""COMPUTED_VALUE"""),"TM - 8BC/HC (Percabangan dengan CO)")</f>
        <v>TM - 8BC/HC (Percabangan dengan CO)</v>
      </c>
      <c r="M36" s="4" t="str">
        <f>IFERROR(__xludf.DUMMYFUNCTION("""COMPUTED_VALUE"""),"Tidak Ada")</f>
        <v>Tidak Ada</v>
      </c>
      <c r="N36" s="4"/>
      <c r="O36" s="4" t="str">
        <f>IFERROR(__xludf.DUMMYFUNCTION("""COMPUTED_VALUE"""),"PEMBANDING SEJENIS")</f>
        <v>PEMBANDING SEJENIS</v>
      </c>
      <c r="P36" s="4" t="str">
        <f>IFERROR(__xludf.DUMMYFUNCTION("""COMPUTED_VALUE"""),"KONEKTOR/JUMPER")</f>
        <v>KONEKTOR/JUMPER</v>
      </c>
      <c r="Q36" s="4">
        <f>IFERROR(__xludf.DUMMYFUNCTION("""COMPUTED_VALUE"""),21.0)</f>
        <v>21</v>
      </c>
      <c r="R36" s="4">
        <f>IFERROR(__xludf.DUMMYFUNCTION("""COMPUTED_VALUE"""),21.0)</f>
        <v>21</v>
      </c>
      <c r="S36" s="4">
        <f>IFERROR(__xludf.DUMMYFUNCTION("""COMPUTED_VALUE"""),21.0)</f>
        <v>21</v>
      </c>
      <c r="T36" s="4"/>
      <c r="U36" s="4" t="str">
        <f>IFERROR(__xludf.DUMMYFUNCTION("""COMPUTED_VALUE"""),"BAIK")</f>
        <v>BAIK</v>
      </c>
      <c r="V36" s="4" t="str">
        <f>IFERROR(__xludf.DUMMYFUNCTION("""COMPUTED_VALUE"""),"Tidak Ada")</f>
        <v>Tidak Ada</v>
      </c>
      <c r="W36" s="4"/>
      <c r="X36" s="4"/>
      <c r="Y36" s="4"/>
      <c r="Z36" s="4"/>
      <c r="AA36" s="4"/>
      <c r="AB36" s="4"/>
      <c r="AC36" s="4" t="str">
        <f>IFERROR(__xludf.DUMMYFUNCTION("""COMPUTED_VALUE"""),"INSPEKSI SUTM - T2_Images/f0500f62.FOTO.113409.jpg")</f>
        <v>INSPEKSI SUTM - T2_Images/f0500f62.FOTO.113409.jpg</v>
      </c>
      <c r="AD36" s="4"/>
      <c r="AE36" s="4"/>
      <c r="AF36" s="4" t="str">
        <f>IFERROR(__xludf.DUMMYFUNCTION("""COMPUTED_VALUE"""),"BELUM")</f>
        <v>BELUM</v>
      </c>
      <c r="AG36" s="6">
        <f>IFERROR(__xludf.DUMMYFUNCTION("""COMPUTED_VALUE"""),46032.0)</f>
        <v>46032</v>
      </c>
      <c r="AH36" s="4"/>
      <c r="AI36" s="4"/>
    </row>
    <row r="37" ht="15.75" customHeight="1">
      <c r="A37" s="4" t="str">
        <f>IFERROR(__xludf.DUMMYFUNCTION("""COMPUTED_VALUE"""),"0db843d3")</f>
        <v>0db843d3</v>
      </c>
      <c r="B37" s="5">
        <f>IFERROR(__xludf.DUMMYFUNCTION("""COMPUTED_VALUE"""),46032.77371527778)</f>
        <v>46032.77372</v>
      </c>
      <c r="C37" s="4" t="str">
        <f>IFERROR(__xludf.DUMMYFUNCTION("""COMPUTED_VALUE"""),"-6.963716, 107.646532")</f>
        <v>-6.963716, 107.646532</v>
      </c>
      <c r="D37" s="4" t="str">
        <f>IFERROR(__xludf.DUMMYFUNCTION("""COMPUTED_VALUE"""),"Alam deril")</f>
        <v>Alam deril</v>
      </c>
      <c r="E37" s="4" t="str">
        <f>IFERROR(__xludf.DUMMYFUNCTION("""COMPUTED_VALUE"""),"BANDUNG")</f>
        <v>BANDUNG</v>
      </c>
      <c r="F37" s="4" t="str">
        <f>IFERROR(__xludf.DUMMYFUNCTION("""COMPUTED_VALUE"""),"BANDUNG UTARA")</f>
        <v>BANDUNG UTARA</v>
      </c>
      <c r="G37" s="4" t="str">
        <f>IFERROR(__xludf.DUMMYFUNCTION("""COMPUTED_VALUE"""),"BENGKOK")</f>
        <v>BENGKOK</v>
      </c>
      <c r="H37" s="4" t="str">
        <f>IFERROR(__xludf.DUMMYFUNCTION("""COMPUTED_VALUE"""),"CGDG")</f>
        <v>CGDG</v>
      </c>
      <c r="I37" s="4" t="str">
        <f>IFERROR(__xludf.DUMMYFUNCTION("""COMPUTED_VALUE"""),"BNK-LBS BKRC")</f>
        <v>BNK-LBS BKRC</v>
      </c>
      <c r="J37" s="4" t="str">
        <f>IFERROR(__xludf.DUMMYFUNCTION("""COMPUTED_VALUE"""),"ZONA 2")</f>
        <v>ZONA 2</v>
      </c>
      <c r="K37" s="4" t="str">
        <f>IFERROR(__xludf.DUMMYFUNCTION("""COMPUTED_VALUE"""),"008")</f>
        <v>008</v>
      </c>
      <c r="L37" s="4" t="str">
        <f>IFERROR(__xludf.DUMMYFUNCTION("""COMPUTED_VALUE"""),"TM - 4B/H (Afspan)")</f>
        <v>TM - 4B/H (Afspan)</v>
      </c>
      <c r="M37" s="4" t="str">
        <f>IFERROR(__xludf.DUMMYFUNCTION("""COMPUTED_VALUE"""),"Tidak Ada")</f>
        <v>Tidak Ada</v>
      </c>
      <c r="N37" s="4"/>
      <c r="O37" s="4" t="str">
        <f>IFERROR(__xludf.DUMMYFUNCTION("""COMPUTED_VALUE"""),"PEMBANDING SEJENIS")</f>
        <v>PEMBANDING SEJENIS</v>
      </c>
      <c r="P37" s="4" t="str">
        <f>IFERROR(__xludf.DUMMYFUNCTION("""COMPUTED_VALUE"""),"KONEKTOR/JUMPER")</f>
        <v>KONEKTOR/JUMPER</v>
      </c>
      <c r="Q37" s="4">
        <f>IFERROR(__xludf.DUMMYFUNCTION("""COMPUTED_VALUE"""),20.0)</f>
        <v>20</v>
      </c>
      <c r="R37" s="4">
        <f>IFERROR(__xludf.DUMMYFUNCTION("""COMPUTED_VALUE"""),20.0)</f>
        <v>20</v>
      </c>
      <c r="S37" s="4">
        <f>IFERROR(__xludf.DUMMYFUNCTION("""COMPUTED_VALUE"""),20.0)</f>
        <v>20</v>
      </c>
      <c r="T37" s="4"/>
      <c r="U37" s="4" t="str">
        <f>IFERROR(__xludf.DUMMYFUNCTION("""COMPUTED_VALUE"""),"BAIK")</f>
        <v>BAIK</v>
      </c>
      <c r="V37" s="4" t="str">
        <f>IFERROR(__xludf.DUMMYFUNCTION("""COMPUTED_VALUE"""),"Tidak Ada")</f>
        <v>Tidak Ada</v>
      </c>
      <c r="W37" s="4"/>
      <c r="X37" s="4"/>
      <c r="Y37" s="4"/>
      <c r="Z37" s="4"/>
      <c r="AA37" s="4"/>
      <c r="AB37" s="4"/>
      <c r="AC37" s="4" t="str">
        <f>IFERROR(__xludf.DUMMYFUNCTION("""COMPUTED_VALUE"""),"INSPEKSI SUTM - T2_Images/0db843d3.FOTO.113450.jpg")</f>
        <v>INSPEKSI SUTM - T2_Images/0db843d3.FOTO.113450.jpg</v>
      </c>
      <c r="AD37" s="4"/>
      <c r="AE37" s="4"/>
      <c r="AF37" s="4" t="str">
        <f>IFERROR(__xludf.DUMMYFUNCTION("""COMPUTED_VALUE"""),"BELUM")</f>
        <v>BELUM</v>
      </c>
      <c r="AG37" s="6">
        <f>IFERROR(__xludf.DUMMYFUNCTION("""COMPUTED_VALUE"""),46032.0)</f>
        <v>46032</v>
      </c>
      <c r="AH37" s="4"/>
      <c r="AI37" s="4"/>
    </row>
    <row r="38" ht="15.75" customHeight="1">
      <c r="A38" s="4" t="str">
        <f>IFERROR(__xludf.DUMMYFUNCTION("""COMPUTED_VALUE"""),"a4fdb720")</f>
        <v>a4fdb720</v>
      </c>
      <c r="B38" s="5">
        <f>IFERROR(__xludf.DUMMYFUNCTION("""COMPUTED_VALUE"""),46032.77427083333)</f>
        <v>46032.77427</v>
      </c>
      <c r="C38" s="4" t="str">
        <f>IFERROR(__xludf.DUMMYFUNCTION("""COMPUTED_VALUE"""),"-6.963714, 107.646517")</f>
        <v>-6.963714, 107.646517</v>
      </c>
      <c r="D38" s="4" t="str">
        <f>IFERROR(__xludf.DUMMYFUNCTION("""COMPUTED_VALUE"""),"Alam deril")</f>
        <v>Alam deril</v>
      </c>
      <c r="E38" s="4" t="str">
        <f>IFERROR(__xludf.DUMMYFUNCTION("""COMPUTED_VALUE"""),"BANDUNG")</f>
        <v>BANDUNG</v>
      </c>
      <c r="F38" s="4" t="str">
        <f>IFERROR(__xludf.DUMMYFUNCTION("""COMPUTED_VALUE"""),"BANDUNG UTARA")</f>
        <v>BANDUNG UTARA</v>
      </c>
      <c r="G38" s="4" t="str">
        <f>IFERROR(__xludf.DUMMYFUNCTION("""COMPUTED_VALUE"""),"BENGKOK")</f>
        <v>BENGKOK</v>
      </c>
      <c r="H38" s="4" t="str">
        <f>IFERROR(__xludf.DUMMYFUNCTION("""COMPUTED_VALUE"""),"CGDG")</f>
        <v>CGDG</v>
      </c>
      <c r="I38" s="4" t="str">
        <f>IFERROR(__xludf.DUMMYFUNCTION("""COMPUTED_VALUE"""),"BNK-LBS BKRC")</f>
        <v>BNK-LBS BKRC</v>
      </c>
      <c r="J38" s="4" t="str">
        <f>IFERROR(__xludf.DUMMYFUNCTION("""COMPUTED_VALUE"""),"ZONA 2")</f>
        <v>ZONA 2</v>
      </c>
      <c r="K38" s="4" t="str">
        <f>IFERROR(__xludf.DUMMYFUNCTION("""COMPUTED_VALUE"""),"010")</f>
        <v>010</v>
      </c>
      <c r="L38" s="4" t="str">
        <f>IFERROR(__xludf.DUMMYFUNCTION("""COMPUTED_VALUE"""),"TM - 8B/H (Percabangan)")</f>
        <v>TM - 8B/H (Percabangan)</v>
      </c>
      <c r="M38" s="4" t="str">
        <f>IFERROR(__xludf.DUMMYFUNCTION("""COMPUTED_VALUE"""),"Tidak Ada")</f>
        <v>Tidak Ada</v>
      </c>
      <c r="N38" s="4"/>
      <c r="O38" s="4" t="str">
        <f>IFERROR(__xludf.DUMMYFUNCTION("""COMPUTED_VALUE"""),"PEMBANDING SEJENIS")</f>
        <v>PEMBANDING SEJENIS</v>
      </c>
      <c r="P38" s="4" t="str">
        <f>IFERROR(__xludf.DUMMYFUNCTION("""COMPUTED_VALUE"""),"KONEKTOR/JUMPER")</f>
        <v>KONEKTOR/JUMPER</v>
      </c>
      <c r="Q38" s="4">
        <f>IFERROR(__xludf.DUMMYFUNCTION("""COMPUTED_VALUE"""),21.0)</f>
        <v>21</v>
      </c>
      <c r="R38" s="4">
        <f>IFERROR(__xludf.DUMMYFUNCTION("""COMPUTED_VALUE"""),21.0)</f>
        <v>21</v>
      </c>
      <c r="S38" s="4">
        <f>IFERROR(__xludf.DUMMYFUNCTION("""COMPUTED_VALUE"""),21.0)</f>
        <v>21</v>
      </c>
      <c r="T38" s="4"/>
      <c r="U38" s="4" t="str">
        <f>IFERROR(__xludf.DUMMYFUNCTION("""COMPUTED_VALUE"""),"BAIK")</f>
        <v>BAIK</v>
      </c>
      <c r="V38" s="4" t="str">
        <f>IFERROR(__xludf.DUMMYFUNCTION("""COMPUTED_VALUE"""),"Tidak Ada")</f>
        <v>Tidak Ada</v>
      </c>
      <c r="W38" s="4"/>
      <c r="X38" s="4"/>
      <c r="Y38" s="4"/>
      <c r="Z38" s="4"/>
      <c r="AA38" s="4"/>
      <c r="AB38" s="4"/>
      <c r="AC38" s="4" t="str">
        <f>IFERROR(__xludf.DUMMYFUNCTION("""COMPUTED_VALUE"""),"INSPEKSI SUTM - T2_Images/a4fdb720.FOTO.113637.jpg")</f>
        <v>INSPEKSI SUTM - T2_Images/a4fdb720.FOTO.113637.jpg</v>
      </c>
      <c r="AD38" s="4"/>
      <c r="AE38" s="4"/>
      <c r="AF38" s="4" t="str">
        <f>IFERROR(__xludf.DUMMYFUNCTION("""COMPUTED_VALUE"""),"BELUM")</f>
        <v>BELUM</v>
      </c>
      <c r="AG38" s="6">
        <f>IFERROR(__xludf.DUMMYFUNCTION("""COMPUTED_VALUE"""),46032.0)</f>
        <v>46032</v>
      </c>
      <c r="AH38" s="4"/>
      <c r="AI38" s="4"/>
    </row>
    <row r="39" ht="15.75" customHeight="1">
      <c r="A39" s="4" t="str">
        <f>IFERROR(__xludf.DUMMYFUNCTION("""COMPUTED_VALUE"""),"8003dc8c")</f>
        <v>8003dc8c</v>
      </c>
      <c r="B39" s="5">
        <f>IFERROR(__xludf.DUMMYFUNCTION("""COMPUTED_VALUE"""),46032.77543981482)</f>
        <v>46032.77544</v>
      </c>
      <c r="C39" s="4" t="str">
        <f>IFERROR(__xludf.DUMMYFUNCTION("""COMPUTED_VALUE"""),"-6.963707, 107.646534")</f>
        <v>-6.963707, 107.646534</v>
      </c>
      <c r="D39" s="4" t="str">
        <f>IFERROR(__xludf.DUMMYFUNCTION("""COMPUTED_VALUE"""),"Alam deril")</f>
        <v>Alam deril</v>
      </c>
      <c r="E39" s="4" t="str">
        <f>IFERROR(__xludf.DUMMYFUNCTION("""COMPUTED_VALUE"""),"BANDUNG")</f>
        <v>BANDUNG</v>
      </c>
      <c r="F39" s="4" t="str">
        <f>IFERROR(__xludf.DUMMYFUNCTION("""COMPUTED_VALUE"""),"BANDUNG UTARA")</f>
        <v>BANDUNG UTARA</v>
      </c>
      <c r="G39" s="4" t="str">
        <f>IFERROR(__xludf.DUMMYFUNCTION("""COMPUTED_VALUE"""),"BENGKOK")</f>
        <v>BENGKOK</v>
      </c>
      <c r="H39" s="4" t="str">
        <f>IFERROR(__xludf.DUMMYFUNCTION("""COMPUTED_VALUE"""),"CGDG")</f>
        <v>CGDG</v>
      </c>
      <c r="I39" s="4" t="str">
        <f>IFERROR(__xludf.DUMMYFUNCTION("""COMPUTED_VALUE"""),"BNK-LBS BKRC")</f>
        <v>BNK-LBS BKRC</v>
      </c>
      <c r="J39" s="4" t="str">
        <f>IFERROR(__xludf.DUMMYFUNCTION("""COMPUTED_VALUE"""),"ZONA 2")</f>
        <v>ZONA 2</v>
      </c>
      <c r="K39" s="4" t="str">
        <f>IFERROR(__xludf.DUMMYFUNCTION("""COMPUTED_VALUE"""),"010L01")</f>
        <v>010L01</v>
      </c>
      <c r="L39" s="4" t="str">
        <f>IFERROR(__xludf.DUMMYFUNCTION("""COMPUTED_VALUE"""),"TM - 4BC/HC (Afspan dengan CO)")</f>
        <v>TM - 4BC/HC (Afspan dengan CO)</v>
      </c>
      <c r="M39" s="4" t="str">
        <f>IFERROR(__xludf.DUMMYFUNCTION("""COMPUTED_VALUE"""),"Tidak Ada")</f>
        <v>Tidak Ada</v>
      </c>
      <c r="N39" s="4"/>
      <c r="O39" s="4" t="str">
        <f>IFERROR(__xludf.DUMMYFUNCTION("""COMPUTED_VALUE"""),"PEMBANDING SEJENIS")</f>
        <v>PEMBANDING SEJENIS</v>
      </c>
      <c r="P39" s="4" t="str">
        <f>IFERROR(__xludf.DUMMYFUNCTION("""COMPUTED_VALUE"""),"KONEKTOR/JUMPER")</f>
        <v>KONEKTOR/JUMPER</v>
      </c>
      <c r="Q39" s="4">
        <f>IFERROR(__xludf.DUMMYFUNCTION("""COMPUTED_VALUE"""),18.0)</f>
        <v>18</v>
      </c>
      <c r="R39" s="4">
        <f>IFERROR(__xludf.DUMMYFUNCTION("""COMPUTED_VALUE"""),19.0)</f>
        <v>19</v>
      </c>
      <c r="S39" s="4">
        <f>IFERROR(__xludf.DUMMYFUNCTION("""COMPUTED_VALUE"""),20.0)</f>
        <v>20</v>
      </c>
      <c r="T39" s="4"/>
      <c r="U39" s="4" t="str">
        <f>IFERROR(__xludf.DUMMYFUNCTION("""COMPUTED_VALUE"""),"BAIK")</f>
        <v>BAIK</v>
      </c>
      <c r="V39" s="4" t="str">
        <f>IFERROR(__xludf.DUMMYFUNCTION("""COMPUTED_VALUE"""),"Tidak Ada")</f>
        <v>Tidak Ada</v>
      </c>
      <c r="W39" s="4"/>
      <c r="X39" s="4"/>
      <c r="Y39" s="4"/>
      <c r="Z39" s="4"/>
      <c r="AA39" s="4"/>
      <c r="AB39" s="4"/>
      <c r="AC39" s="4" t="str">
        <f>IFERROR(__xludf.DUMMYFUNCTION("""COMPUTED_VALUE"""),"INSPEKSI SUTM - T2_Images/8003dc8c.FOTO.113830.jpg")</f>
        <v>INSPEKSI SUTM - T2_Images/8003dc8c.FOTO.113830.jpg</v>
      </c>
      <c r="AD39" s="4"/>
      <c r="AE39" s="4"/>
      <c r="AF39" s="4" t="str">
        <f>IFERROR(__xludf.DUMMYFUNCTION("""COMPUTED_VALUE"""),"BELUM")</f>
        <v>BELUM</v>
      </c>
      <c r="AG39" s="6">
        <f>IFERROR(__xludf.DUMMYFUNCTION("""COMPUTED_VALUE"""),46032.0)</f>
        <v>46032</v>
      </c>
      <c r="AH39" s="4"/>
      <c r="AI39" s="4"/>
    </row>
    <row r="40" ht="15.75" customHeight="1">
      <c r="A40" s="4" t="str">
        <f>IFERROR(__xludf.DUMMYFUNCTION("""COMPUTED_VALUE"""),"d54c0ec4")</f>
        <v>d54c0ec4</v>
      </c>
      <c r="B40" s="5">
        <f>IFERROR(__xludf.DUMMYFUNCTION("""COMPUTED_VALUE"""),46032.77700231481)</f>
        <v>46032.777</v>
      </c>
      <c r="C40" s="4" t="str">
        <f>IFERROR(__xludf.DUMMYFUNCTION("""COMPUTED_VALUE"""),"-6.963716, 107.646529")</f>
        <v>-6.963716, 107.646529</v>
      </c>
      <c r="D40" s="4" t="str">
        <f>IFERROR(__xludf.DUMMYFUNCTION("""COMPUTED_VALUE"""),"Alam deril")</f>
        <v>Alam deril</v>
      </c>
      <c r="E40" s="4" t="str">
        <f>IFERROR(__xludf.DUMMYFUNCTION("""COMPUTED_VALUE"""),"BANDUNG")</f>
        <v>BANDUNG</v>
      </c>
      <c r="F40" s="4" t="str">
        <f>IFERROR(__xludf.DUMMYFUNCTION("""COMPUTED_VALUE"""),"BANDUNG UTARA")</f>
        <v>BANDUNG UTARA</v>
      </c>
      <c r="G40" s="4" t="str">
        <f>IFERROR(__xludf.DUMMYFUNCTION("""COMPUTED_VALUE"""),"BENGKOK")</f>
        <v>BENGKOK</v>
      </c>
      <c r="H40" s="4" t="str">
        <f>IFERROR(__xludf.DUMMYFUNCTION("""COMPUTED_VALUE"""),"CGDG")</f>
        <v>CGDG</v>
      </c>
      <c r="I40" s="4" t="str">
        <f>IFERROR(__xludf.DUMMYFUNCTION("""COMPUTED_VALUE"""),"BNK-LBS BKRC")</f>
        <v>BNK-LBS BKRC</v>
      </c>
      <c r="J40" s="4" t="str">
        <f>IFERROR(__xludf.DUMMYFUNCTION("""COMPUTED_VALUE"""),"ZONA 2")</f>
        <v>ZONA 2</v>
      </c>
      <c r="K40" s="4" t="str">
        <f>IFERROR(__xludf.DUMMYFUNCTION("""COMPUTED_VALUE"""),"010L04")</f>
        <v>010L04</v>
      </c>
      <c r="L40" s="4" t="str">
        <f>IFERROR(__xludf.DUMMYFUNCTION("""COMPUTED_VALUE"""),"TM - 4BC/HC (Afspan dengan CO)")</f>
        <v>TM - 4BC/HC (Afspan dengan CO)</v>
      </c>
      <c r="M40" s="4" t="str">
        <f>IFERROR(__xludf.DUMMYFUNCTION("""COMPUTED_VALUE"""),"Tidak Ada")</f>
        <v>Tidak Ada</v>
      </c>
      <c r="N40" s="4"/>
      <c r="O40" s="4" t="str">
        <f>IFERROR(__xludf.DUMMYFUNCTION("""COMPUTED_VALUE"""),"PEMBANDING SEJENIS")</f>
        <v>PEMBANDING SEJENIS</v>
      </c>
      <c r="P40" s="4" t="str">
        <f>IFERROR(__xludf.DUMMYFUNCTION("""COMPUTED_VALUE"""),"KONEKTOR/JUMPER")</f>
        <v>KONEKTOR/JUMPER</v>
      </c>
      <c r="Q40" s="4">
        <f>IFERROR(__xludf.DUMMYFUNCTION("""COMPUTED_VALUE"""),18.0)</f>
        <v>18</v>
      </c>
      <c r="R40" s="4">
        <f>IFERROR(__xludf.DUMMYFUNCTION("""COMPUTED_VALUE"""),21.0)</f>
        <v>21</v>
      </c>
      <c r="S40" s="4">
        <f>IFERROR(__xludf.DUMMYFUNCTION("""COMPUTED_VALUE"""),19.0)</f>
        <v>19</v>
      </c>
      <c r="T40" s="4"/>
      <c r="U40" s="4" t="str">
        <f>IFERROR(__xludf.DUMMYFUNCTION("""COMPUTED_VALUE"""),"CUKUP")</f>
        <v>CUKUP</v>
      </c>
      <c r="V40" s="4" t="str">
        <f>IFERROR(__xludf.DUMMYFUNCTION("""COMPUTED_VALUE"""),"Tidak Ada")</f>
        <v>Tidak Ada</v>
      </c>
      <c r="W40" s="4"/>
      <c r="X40" s="4"/>
      <c r="Y40" s="4"/>
      <c r="Z40" s="4"/>
      <c r="AA40" s="4"/>
      <c r="AB40" s="4"/>
      <c r="AC40" s="4" t="str">
        <f>IFERROR(__xludf.DUMMYFUNCTION("""COMPUTED_VALUE"""),"INSPEKSI SUTM - T2_Images/d54c0ec4.FOTO.114037.jpg")</f>
        <v>INSPEKSI SUTM - T2_Images/d54c0ec4.FOTO.114037.jpg</v>
      </c>
      <c r="AD40" s="4"/>
      <c r="AE40" s="4"/>
      <c r="AF40" s="4" t="str">
        <f>IFERROR(__xludf.DUMMYFUNCTION("""COMPUTED_VALUE"""),"BELUM")</f>
        <v>BELUM</v>
      </c>
      <c r="AG40" s="6">
        <f>IFERROR(__xludf.DUMMYFUNCTION("""COMPUTED_VALUE"""),46032.0)</f>
        <v>46032</v>
      </c>
      <c r="AH40" s="4"/>
      <c r="AI40" s="4"/>
    </row>
    <row r="41" ht="15.75" customHeight="1">
      <c r="A41" s="4" t="str">
        <f>IFERROR(__xludf.DUMMYFUNCTION("""COMPUTED_VALUE"""),"958ed338")</f>
        <v>958ed338</v>
      </c>
      <c r="B41" s="5">
        <f>IFERROR(__xludf.DUMMYFUNCTION("""COMPUTED_VALUE"""),46032.778287037036)</f>
        <v>46032.77829</v>
      </c>
      <c r="C41" s="4" t="str">
        <f>IFERROR(__xludf.DUMMYFUNCTION("""COMPUTED_VALUE"""),"-6.963702, 107.646525")</f>
        <v>-6.963702, 107.646525</v>
      </c>
      <c r="D41" s="4" t="str">
        <f>IFERROR(__xludf.DUMMYFUNCTION("""COMPUTED_VALUE"""),"Alam deril")</f>
        <v>Alam deril</v>
      </c>
      <c r="E41" s="4" t="str">
        <f>IFERROR(__xludf.DUMMYFUNCTION("""COMPUTED_VALUE"""),"BANDUNG")</f>
        <v>BANDUNG</v>
      </c>
      <c r="F41" s="4" t="str">
        <f>IFERROR(__xludf.DUMMYFUNCTION("""COMPUTED_VALUE"""),"BANDUNG UTARA")</f>
        <v>BANDUNG UTARA</v>
      </c>
      <c r="G41" s="4" t="str">
        <f>IFERROR(__xludf.DUMMYFUNCTION("""COMPUTED_VALUE"""),"BENGKOK")</f>
        <v>BENGKOK</v>
      </c>
      <c r="H41" s="4" t="str">
        <f>IFERROR(__xludf.DUMMYFUNCTION("""COMPUTED_VALUE"""),"CGDG")</f>
        <v>CGDG</v>
      </c>
      <c r="I41" s="4" t="str">
        <f>IFERROR(__xludf.DUMMYFUNCTION("""COMPUTED_VALUE"""),"BNK-LBS BKRC")</f>
        <v>BNK-LBS BKRC</v>
      </c>
      <c r="J41" s="4" t="str">
        <f>IFERROR(__xludf.DUMMYFUNCTION("""COMPUTED_VALUE"""),"ZONA 2")</f>
        <v>ZONA 2</v>
      </c>
      <c r="K41" s="4" t="str">
        <f>IFERROR(__xludf.DUMMYFUNCTION("""COMPUTED_VALUE"""),"010L06")</f>
        <v>010L06</v>
      </c>
      <c r="L41" s="4" t="str">
        <f>IFERROR(__xludf.DUMMYFUNCTION("""COMPUTED_VALUE"""),"TM - 7B/H (Afspan 90 Derajat)")</f>
        <v>TM - 7B/H (Afspan 90 Derajat)</v>
      </c>
      <c r="M41" s="4" t="str">
        <f>IFERROR(__xludf.DUMMYFUNCTION("""COMPUTED_VALUE"""),"Tidak Ada")</f>
        <v>Tidak Ada</v>
      </c>
      <c r="N41" s="4"/>
      <c r="O41" s="4" t="str">
        <f>IFERROR(__xludf.DUMMYFUNCTION("""COMPUTED_VALUE"""),"PEMBANDING SEJENIS")</f>
        <v>PEMBANDING SEJENIS</v>
      </c>
      <c r="P41" s="4" t="str">
        <f>IFERROR(__xludf.DUMMYFUNCTION("""COMPUTED_VALUE"""),"KONEKTOR/JUMPER")</f>
        <v>KONEKTOR/JUMPER</v>
      </c>
      <c r="Q41" s="4">
        <f>IFERROR(__xludf.DUMMYFUNCTION("""COMPUTED_VALUE"""),21.0)</f>
        <v>21</v>
      </c>
      <c r="R41" s="4">
        <f>IFERROR(__xludf.DUMMYFUNCTION("""COMPUTED_VALUE"""),20.0)</f>
        <v>20</v>
      </c>
      <c r="S41" s="4">
        <f>IFERROR(__xludf.DUMMYFUNCTION("""COMPUTED_VALUE"""),21.0)</f>
        <v>21</v>
      </c>
      <c r="T41" s="4"/>
      <c r="U41" s="4" t="str">
        <f>IFERROR(__xludf.DUMMYFUNCTION("""COMPUTED_VALUE"""),"BAIK")</f>
        <v>BAIK</v>
      </c>
      <c r="V41" s="4" t="str">
        <f>IFERROR(__xludf.DUMMYFUNCTION("""COMPUTED_VALUE"""),"Tidak Ada")</f>
        <v>Tidak Ada</v>
      </c>
      <c r="W41" s="4"/>
      <c r="X41" s="4"/>
      <c r="Y41" s="4"/>
      <c r="Z41" s="4"/>
      <c r="AA41" s="4"/>
      <c r="AB41" s="4"/>
      <c r="AC41" s="4" t="str">
        <f>IFERROR(__xludf.DUMMYFUNCTION("""COMPUTED_VALUE"""),"INSPEKSI SUTM - T2_Images/958ed338.FOTO.114127.jpg")</f>
        <v>INSPEKSI SUTM - T2_Images/958ed338.FOTO.114127.jpg</v>
      </c>
      <c r="AD41" s="4"/>
      <c r="AE41" s="4"/>
      <c r="AF41" s="4" t="str">
        <f>IFERROR(__xludf.DUMMYFUNCTION("""COMPUTED_VALUE"""),"BELUM")</f>
        <v>BELUM</v>
      </c>
      <c r="AG41" s="6">
        <f>IFERROR(__xludf.DUMMYFUNCTION("""COMPUTED_VALUE"""),46032.0)</f>
        <v>46032</v>
      </c>
      <c r="AH41" s="4"/>
      <c r="AI41" s="4"/>
    </row>
    <row r="42" ht="15.75" customHeight="1">
      <c r="A42" s="4" t="str">
        <f>IFERROR(__xludf.DUMMYFUNCTION("""COMPUTED_VALUE"""),"66d82cd4")</f>
        <v>66d82cd4</v>
      </c>
      <c r="B42" s="5">
        <f>IFERROR(__xludf.DUMMYFUNCTION("""COMPUTED_VALUE"""),46032.77962962963)</f>
        <v>46032.77963</v>
      </c>
      <c r="C42" s="4" t="str">
        <f>IFERROR(__xludf.DUMMYFUNCTION("""COMPUTED_VALUE"""),"-6.963730, 107.646572")</f>
        <v>-6.963730, 107.646572</v>
      </c>
      <c r="D42" s="4" t="str">
        <f>IFERROR(__xludf.DUMMYFUNCTION("""COMPUTED_VALUE"""),"Alam deril")</f>
        <v>Alam deril</v>
      </c>
      <c r="E42" s="4" t="str">
        <f>IFERROR(__xludf.DUMMYFUNCTION("""COMPUTED_VALUE"""),"BANDUNG")</f>
        <v>BANDUNG</v>
      </c>
      <c r="F42" s="4" t="str">
        <f>IFERROR(__xludf.DUMMYFUNCTION("""COMPUTED_VALUE"""),"BANDUNG UTARA")</f>
        <v>BANDUNG UTARA</v>
      </c>
      <c r="G42" s="4" t="str">
        <f>IFERROR(__xludf.DUMMYFUNCTION("""COMPUTED_VALUE"""),"BENGKOK")</f>
        <v>BENGKOK</v>
      </c>
      <c r="H42" s="4" t="str">
        <f>IFERROR(__xludf.DUMMYFUNCTION("""COMPUTED_VALUE"""),"CGDG")</f>
        <v>CGDG</v>
      </c>
      <c r="I42" s="4" t="str">
        <f>IFERROR(__xludf.DUMMYFUNCTION("""COMPUTED_VALUE"""),"BNK-LBS BKRC")</f>
        <v>BNK-LBS BKRC</v>
      </c>
      <c r="J42" s="4" t="str">
        <f>IFERROR(__xludf.DUMMYFUNCTION("""COMPUTED_VALUE"""),"ZONA 2")</f>
        <v>ZONA 2</v>
      </c>
      <c r="K42" s="4" t="str">
        <f>IFERROR(__xludf.DUMMYFUNCTION("""COMPUTED_VALUE"""),"010L08")</f>
        <v>010L08</v>
      </c>
      <c r="L42" s="4" t="str">
        <f>IFERROR(__xludf.DUMMYFUNCTION("""COMPUTED_VALUE"""),"TM - 4B/H (Afspan)")</f>
        <v>TM - 4B/H (Afspan)</v>
      </c>
      <c r="M42" s="4" t="str">
        <f>IFERROR(__xludf.DUMMYFUNCTION("""COMPUTED_VALUE"""),"Tidak Ada")</f>
        <v>Tidak Ada</v>
      </c>
      <c r="N42" s="4"/>
      <c r="O42" s="4" t="str">
        <f>IFERROR(__xludf.DUMMYFUNCTION("""COMPUTED_VALUE"""),"PEMBANDING SEJENIS")</f>
        <v>PEMBANDING SEJENIS</v>
      </c>
      <c r="P42" s="4" t="str">
        <f>IFERROR(__xludf.DUMMYFUNCTION("""COMPUTED_VALUE"""),"KONEKTOR/JUMPER")</f>
        <v>KONEKTOR/JUMPER</v>
      </c>
      <c r="Q42" s="4">
        <f>IFERROR(__xludf.DUMMYFUNCTION("""COMPUTED_VALUE"""),21.0)</f>
        <v>21</v>
      </c>
      <c r="R42" s="4">
        <f>IFERROR(__xludf.DUMMYFUNCTION("""COMPUTED_VALUE"""),21.0)</f>
        <v>21</v>
      </c>
      <c r="S42" s="4">
        <f>IFERROR(__xludf.DUMMYFUNCTION("""COMPUTED_VALUE"""),21.0)</f>
        <v>21</v>
      </c>
      <c r="T42" s="4"/>
      <c r="U42" s="4" t="str">
        <f>IFERROR(__xludf.DUMMYFUNCTION("""COMPUTED_VALUE"""),"BAIK")</f>
        <v>BAIK</v>
      </c>
      <c r="V42" s="4" t="str">
        <f>IFERROR(__xludf.DUMMYFUNCTION("""COMPUTED_VALUE"""),"Tidak Ada")</f>
        <v>Tidak Ada</v>
      </c>
      <c r="W42" s="4"/>
      <c r="X42" s="4"/>
      <c r="Y42" s="4"/>
      <c r="Z42" s="4"/>
      <c r="AA42" s="4"/>
      <c r="AB42" s="4"/>
      <c r="AC42" s="4" t="str">
        <f>IFERROR(__xludf.DUMMYFUNCTION("""COMPUTED_VALUE"""),"INSPEKSI SUTM - T2_Images/66d82cd4.FOTO.114630.jpg")</f>
        <v>INSPEKSI SUTM - T2_Images/66d82cd4.FOTO.114630.jpg</v>
      </c>
      <c r="AD42" s="4"/>
      <c r="AE42" s="4"/>
      <c r="AF42" s="4" t="str">
        <f>IFERROR(__xludf.DUMMYFUNCTION("""COMPUTED_VALUE"""),"BELUM")</f>
        <v>BELUM</v>
      </c>
      <c r="AG42" s="6">
        <f>IFERROR(__xludf.DUMMYFUNCTION("""COMPUTED_VALUE"""),46032.0)</f>
        <v>46032</v>
      </c>
      <c r="AH42" s="4"/>
      <c r="AI42" s="4"/>
    </row>
    <row r="43" ht="15.75" customHeight="1">
      <c r="A43" s="4" t="str">
        <f>IFERROR(__xludf.DUMMYFUNCTION("""COMPUTED_VALUE"""),"b47d0476")</f>
        <v>b47d0476</v>
      </c>
      <c r="B43" s="5">
        <f>IFERROR(__xludf.DUMMYFUNCTION("""COMPUTED_VALUE"""),46032.78074074074)</f>
        <v>46032.78074</v>
      </c>
      <c r="C43" s="4" t="str">
        <f>IFERROR(__xludf.DUMMYFUNCTION("""COMPUTED_VALUE"""),"-6.963717, 107.646540")</f>
        <v>-6.963717, 107.646540</v>
      </c>
      <c r="D43" s="4" t="str">
        <f>IFERROR(__xludf.DUMMYFUNCTION("""COMPUTED_VALUE"""),"010L011")</f>
        <v>010L011</v>
      </c>
      <c r="E43" s="4" t="str">
        <f>IFERROR(__xludf.DUMMYFUNCTION("""COMPUTED_VALUE"""),"BANDUNG")</f>
        <v>BANDUNG</v>
      </c>
      <c r="F43" s="4" t="str">
        <f>IFERROR(__xludf.DUMMYFUNCTION("""COMPUTED_VALUE"""),"BANDUNG UTARA")</f>
        <v>BANDUNG UTARA</v>
      </c>
      <c r="G43" s="4" t="str">
        <f>IFERROR(__xludf.DUMMYFUNCTION("""COMPUTED_VALUE"""),"BENGKOK")</f>
        <v>BENGKOK</v>
      </c>
      <c r="H43" s="4" t="str">
        <f>IFERROR(__xludf.DUMMYFUNCTION("""COMPUTED_VALUE"""),"CGDG")</f>
        <v>CGDG</v>
      </c>
      <c r="I43" s="4" t="str">
        <f>IFERROR(__xludf.DUMMYFUNCTION("""COMPUTED_VALUE"""),"BNK-LBS BKRC")</f>
        <v>BNK-LBS BKRC</v>
      </c>
      <c r="J43" s="4" t="str">
        <f>IFERROR(__xludf.DUMMYFUNCTION("""COMPUTED_VALUE"""),"ZONA 2")</f>
        <v>ZONA 2</v>
      </c>
      <c r="K43" s="4" t="str">
        <f>IFERROR(__xludf.DUMMYFUNCTION("""COMPUTED_VALUE"""),"010L011")</f>
        <v>010L011</v>
      </c>
      <c r="L43" s="4" t="str">
        <f>IFERROR(__xludf.DUMMYFUNCTION("""COMPUTED_VALUE"""),"TM - 4B/H (Afspan)")</f>
        <v>TM - 4B/H (Afspan)</v>
      </c>
      <c r="M43" s="4" t="str">
        <f>IFERROR(__xludf.DUMMYFUNCTION("""COMPUTED_VALUE"""),"Tidak Ada")</f>
        <v>Tidak Ada</v>
      </c>
      <c r="N43" s="4"/>
      <c r="O43" s="4" t="str">
        <f>IFERROR(__xludf.DUMMYFUNCTION("""COMPUTED_VALUE"""),"PEMBANDING SEJENIS")</f>
        <v>PEMBANDING SEJENIS</v>
      </c>
      <c r="P43" s="4" t="str">
        <f>IFERROR(__xludf.DUMMYFUNCTION("""COMPUTED_VALUE"""),"KONEKTOR/JUMPER")</f>
        <v>KONEKTOR/JUMPER</v>
      </c>
      <c r="Q43" s="4">
        <f>IFERROR(__xludf.DUMMYFUNCTION("""COMPUTED_VALUE"""),20.0)</f>
        <v>20</v>
      </c>
      <c r="R43" s="4">
        <f>IFERROR(__xludf.DUMMYFUNCTION("""COMPUTED_VALUE"""),20.0)</f>
        <v>20</v>
      </c>
      <c r="S43" s="4">
        <f>IFERROR(__xludf.DUMMYFUNCTION("""COMPUTED_VALUE"""),19.0)</f>
        <v>19</v>
      </c>
      <c r="T43" s="4"/>
      <c r="U43" s="4" t="str">
        <f>IFERROR(__xludf.DUMMYFUNCTION("""COMPUTED_VALUE"""),"BAIK")</f>
        <v>BAIK</v>
      </c>
      <c r="V43" s="4" t="str">
        <f>IFERROR(__xludf.DUMMYFUNCTION("""COMPUTED_VALUE"""),"Tidak Ada")</f>
        <v>Tidak Ada</v>
      </c>
      <c r="W43" s="4"/>
      <c r="X43" s="4"/>
      <c r="Y43" s="4"/>
      <c r="Z43" s="4"/>
      <c r="AA43" s="4"/>
      <c r="AB43" s="4"/>
      <c r="AC43" s="4" t="str">
        <f>IFERROR(__xludf.DUMMYFUNCTION("""COMPUTED_VALUE"""),"INSPEKSI SUTM - T2_Images/b47d0476.FOTO.114602.jpg")</f>
        <v>INSPEKSI SUTM - T2_Images/b47d0476.FOTO.114602.jpg</v>
      </c>
      <c r="AD43" s="4"/>
      <c r="AE43" s="4"/>
      <c r="AF43" s="4" t="str">
        <f>IFERROR(__xludf.DUMMYFUNCTION("""COMPUTED_VALUE"""),"BELUM")</f>
        <v>BELUM</v>
      </c>
      <c r="AG43" s="6">
        <f>IFERROR(__xludf.DUMMYFUNCTION("""COMPUTED_VALUE"""),46032.0)</f>
        <v>46032</v>
      </c>
      <c r="AH43" s="4"/>
      <c r="AI43" s="4"/>
    </row>
    <row r="44" ht="15.75" customHeight="1">
      <c r="A44" s="4" t="str">
        <f>IFERROR(__xludf.DUMMYFUNCTION("""COMPUTED_VALUE"""),"a5a45fea")</f>
        <v>a5a45fea</v>
      </c>
      <c r="B44" s="5">
        <f>IFERROR(__xludf.DUMMYFUNCTION("""COMPUTED_VALUE"""),46032.78234953704)</f>
        <v>46032.78235</v>
      </c>
      <c r="C44" s="4" t="str">
        <f>IFERROR(__xludf.DUMMYFUNCTION("""COMPUTED_VALUE"""),"-6.963714, 107.646552")</f>
        <v>-6.963714, 107.646552</v>
      </c>
      <c r="D44" s="4" t="str">
        <f>IFERROR(__xludf.DUMMYFUNCTION("""COMPUTED_VALUE"""),"Alam deril")</f>
        <v>Alam deril</v>
      </c>
      <c r="E44" s="4" t="str">
        <f>IFERROR(__xludf.DUMMYFUNCTION("""COMPUTED_VALUE"""),"BANDUNG")</f>
        <v>BANDUNG</v>
      </c>
      <c r="F44" s="4" t="str">
        <f>IFERROR(__xludf.DUMMYFUNCTION("""COMPUTED_VALUE"""),"BANDUNG UTARA")</f>
        <v>BANDUNG UTARA</v>
      </c>
      <c r="G44" s="4" t="str">
        <f>IFERROR(__xludf.DUMMYFUNCTION("""COMPUTED_VALUE"""),"BENGKOK")</f>
        <v>BENGKOK</v>
      </c>
      <c r="H44" s="4" t="str">
        <f>IFERROR(__xludf.DUMMYFUNCTION("""COMPUTED_VALUE"""),"CGDG")</f>
        <v>CGDG</v>
      </c>
      <c r="I44" s="4" t="str">
        <f>IFERROR(__xludf.DUMMYFUNCTION("""COMPUTED_VALUE"""),"BNK-LBS BKRC")</f>
        <v>BNK-LBS BKRC</v>
      </c>
      <c r="J44" s="4" t="str">
        <f>IFERROR(__xludf.DUMMYFUNCTION("""COMPUTED_VALUE"""),"ZONA 2")</f>
        <v>ZONA 2</v>
      </c>
      <c r="K44" s="4" t="str">
        <f>IFERROR(__xludf.DUMMYFUNCTION("""COMPUTED_VALUE"""),"010L014")</f>
        <v>010L014</v>
      </c>
      <c r="L44" s="4" t="str">
        <f>IFERROR(__xludf.DUMMYFUNCTION("""COMPUTED_VALUE"""),"TM - 8B/H (Percabangan)")</f>
        <v>TM - 8B/H (Percabangan)</v>
      </c>
      <c r="M44" s="4" t="str">
        <f>IFERROR(__xludf.DUMMYFUNCTION("""COMPUTED_VALUE"""),"Tidak Ada")</f>
        <v>Tidak Ada</v>
      </c>
      <c r="N44" s="4"/>
      <c r="O44" s="4" t="str">
        <f>IFERROR(__xludf.DUMMYFUNCTION("""COMPUTED_VALUE"""),"PEMBANDING SEJENIS")</f>
        <v>PEMBANDING SEJENIS</v>
      </c>
      <c r="P44" s="4" t="str">
        <f>IFERROR(__xludf.DUMMYFUNCTION("""COMPUTED_VALUE"""),"KONEKTOR/JUMPER")</f>
        <v>KONEKTOR/JUMPER</v>
      </c>
      <c r="Q44" s="4">
        <f>IFERROR(__xludf.DUMMYFUNCTION("""COMPUTED_VALUE"""),20.0)</f>
        <v>20</v>
      </c>
      <c r="R44" s="4">
        <f>IFERROR(__xludf.DUMMYFUNCTION("""COMPUTED_VALUE"""),20.0)</f>
        <v>20</v>
      </c>
      <c r="S44" s="4">
        <f>IFERROR(__xludf.DUMMYFUNCTION("""COMPUTED_VALUE"""),20.0)</f>
        <v>20</v>
      </c>
      <c r="T44" s="4"/>
      <c r="U44" s="4" t="str">
        <f>IFERROR(__xludf.DUMMYFUNCTION("""COMPUTED_VALUE"""),"BAIK")</f>
        <v>BAIK</v>
      </c>
      <c r="V44" s="4" t="str">
        <f>IFERROR(__xludf.DUMMYFUNCTION("""COMPUTED_VALUE"""),"Tidak Ada")</f>
        <v>Tidak Ada</v>
      </c>
      <c r="W44" s="4"/>
      <c r="X44" s="4"/>
      <c r="Y44" s="4"/>
      <c r="Z44" s="4"/>
      <c r="AA44" s="4"/>
      <c r="AB44" s="4"/>
      <c r="AC44" s="4" t="str">
        <f>IFERROR(__xludf.DUMMYFUNCTION("""COMPUTED_VALUE"""),"INSPEKSI SUTM - T2_Images/a5a45fea.FOTO.114737.jpg")</f>
        <v>INSPEKSI SUTM - T2_Images/a5a45fea.FOTO.114737.jpg</v>
      </c>
      <c r="AD44" s="4"/>
      <c r="AE44" s="4"/>
      <c r="AF44" s="4" t="str">
        <f>IFERROR(__xludf.DUMMYFUNCTION("""COMPUTED_VALUE"""),"BELUM")</f>
        <v>BELUM</v>
      </c>
      <c r="AG44" s="6">
        <f>IFERROR(__xludf.DUMMYFUNCTION("""COMPUTED_VALUE"""),46032.0)</f>
        <v>46032</v>
      </c>
      <c r="AH44" s="4"/>
      <c r="AI44" s="4"/>
    </row>
    <row r="45" ht="15.75" customHeight="1">
      <c r="A45" s="4" t="str">
        <f>IFERROR(__xludf.DUMMYFUNCTION("""COMPUTED_VALUE"""),"ad05f864")</f>
        <v>ad05f864</v>
      </c>
      <c r="B45" s="5">
        <f>IFERROR(__xludf.DUMMYFUNCTION("""COMPUTED_VALUE"""),46032.783159722225)</f>
        <v>46032.78316</v>
      </c>
      <c r="C45" s="4" t="str">
        <f>IFERROR(__xludf.DUMMYFUNCTION("""COMPUTED_VALUE"""),"-6.963716, 107.646551")</f>
        <v>-6.963716, 107.646551</v>
      </c>
      <c r="D45" s="4" t="str">
        <f>IFERROR(__xludf.DUMMYFUNCTION("""COMPUTED_VALUE"""),"Alam deril")</f>
        <v>Alam deril</v>
      </c>
      <c r="E45" s="4" t="str">
        <f>IFERROR(__xludf.DUMMYFUNCTION("""COMPUTED_VALUE"""),"BANDUNG")</f>
        <v>BANDUNG</v>
      </c>
      <c r="F45" s="4" t="str">
        <f>IFERROR(__xludf.DUMMYFUNCTION("""COMPUTED_VALUE"""),"BANDUNG UTARA")</f>
        <v>BANDUNG UTARA</v>
      </c>
      <c r="G45" s="4" t="str">
        <f>IFERROR(__xludf.DUMMYFUNCTION("""COMPUTED_VALUE"""),"BENGKOK")</f>
        <v>BENGKOK</v>
      </c>
      <c r="H45" s="4" t="str">
        <f>IFERROR(__xludf.DUMMYFUNCTION("""COMPUTED_VALUE"""),"CGDG")</f>
        <v>CGDG</v>
      </c>
      <c r="I45" s="4" t="str">
        <f>IFERROR(__xludf.DUMMYFUNCTION("""COMPUTED_VALUE"""),"BNK-LBS BKRC")</f>
        <v>BNK-LBS BKRC</v>
      </c>
      <c r="J45" s="4" t="str">
        <f>IFERROR(__xludf.DUMMYFUNCTION("""COMPUTED_VALUE"""),"ZONA 2")</f>
        <v>ZONA 2</v>
      </c>
      <c r="K45" s="4" t="str">
        <f>IFERROR(__xludf.DUMMYFUNCTION("""COMPUTED_VALUE"""),"010L015")</f>
        <v>010L015</v>
      </c>
      <c r="L45" s="4" t="str">
        <f>IFERROR(__xludf.DUMMYFUNCTION("""COMPUTED_VALUE"""),"TM - 4B/H (Afspan)")</f>
        <v>TM - 4B/H (Afspan)</v>
      </c>
      <c r="M45" s="4" t="str">
        <f>IFERROR(__xludf.DUMMYFUNCTION("""COMPUTED_VALUE"""),"Tidak Ada")</f>
        <v>Tidak Ada</v>
      </c>
      <c r="N45" s="4"/>
      <c r="O45" s="4" t="str">
        <f>IFERROR(__xludf.DUMMYFUNCTION("""COMPUTED_VALUE"""),"PEMBANDING SEJENIS")</f>
        <v>PEMBANDING SEJENIS</v>
      </c>
      <c r="P45" s="4" t="str">
        <f>IFERROR(__xludf.DUMMYFUNCTION("""COMPUTED_VALUE"""),"KONEKTOR/JUMPER")</f>
        <v>KONEKTOR/JUMPER</v>
      </c>
      <c r="Q45" s="4">
        <f>IFERROR(__xludf.DUMMYFUNCTION("""COMPUTED_VALUE"""),20.0)</f>
        <v>20</v>
      </c>
      <c r="R45" s="4">
        <f>IFERROR(__xludf.DUMMYFUNCTION("""COMPUTED_VALUE"""),19.0)</f>
        <v>19</v>
      </c>
      <c r="S45" s="4">
        <f>IFERROR(__xludf.DUMMYFUNCTION("""COMPUTED_VALUE"""),20.0)</f>
        <v>20</v>
      </c>
      <c r="T45" s="4"/>
      <c r="U45" s="4" t="str">
        <f>IFERROR(__xludf.DUMMYFUNCTION("""COMPUTED_VALUE"""),"BAIK")</f>
        <v>BAIK</v>
      </c>
      <c r="V45" s="4" t="str">
        <f>IFERROR(__xludf.DUMMYFUNCTION("""COMPUTED_VALUE"""),"Tidak Ada")</f>
        <v>Tidak Ada</v>
      </c>
      <c r="W45" s="4"/>
      <c r="X45" s="4"/>
      <c r="Y45" s="4"/>
      <c r="Z45" s="4"/>
      <c r="AA45" s="4"/>
      <c r="AB45" s="4"/>
      <c r="AC45" s="4" t="str">
        <f>IFERROR(__xludf.DUMMYFUNCTION("""COMPUTED_VALUE"""),"INSPEKSI SUTM - T2_Images/ad05f864.FOTO.114842.jpg")</f>
        <v>INSPEKSI SUTM - T2_Images/ad05f864.FOTO.114842.jpg</v>
      </c>
      <c r="AD45" s="4"/>
      <c r="AE45" s="4"/>
      <c r="AF45" s="4" t="str">
        <f>IFERROR(__xludf.DUMMYFUNCTION("""COMPUTED_VALUE"""),"BELUM")</f>
        <v>BELUM</v>
      </c>
      <c r="AG45" s="6">
        <f>IFERROR(__xludf.DUMMYFUNCTION("""COMPUTED_VALUE"""),46032.0)</f>
        <v>46032</v>
      </c>
      <c r="AH45" s="4"/>
      <c r="AI45" s="4"/>
    </row>
    <row r="46" ht="15.75" customHeight="1">
      <c r="A46" s="4" t="str">
        <f>IFERROR(__xludf.DUMMYFUNCTION("""COMPUTED_VALUE"""),"7182647f")</f>
        <v>7182647f</v>
      </c>
      <c r="B46" s="5">
        <f>IFERROR(__xludf.DUMMYFUNCTION("""COMPUTED_VALUE"""),46032.78393518519)</f>
        <v>46032.78394</v>
      </c>
      <c r="C46" s="4" t="str">
        <f>IFERROR(__xludf.DUMMYFUNCTION("""COMPUTED_VALUE"""),"-6.963712, 107.646547")</f>
        <v>-6.963712, 107.646547</v>
      </c>
      <c r="D46" s="4" t="str">
        <f>IFERROR(__xludf.DUMMYFUNCTION("""COMPUTED_VALUE"""),"Alam deril")</f>
        <v>Alam deril</v>
      </c>
      <c r="E46" s="4" t="str">
        <f>IFERROR(__xludf.DUMMYFUNCTION("""COMPUTED_VALUE"""),"BANDUNG")</f>
        <v>BANDUNG</v>
      </c>
      <c r="F46" s="4" t="str">
        <f>IFERROR(__xludf.DUMMYFUNCTION("""COMPUTED_VALUE"""),"BANDUNG UTARA")</f>
        <v>BANDUNG UTARA</v>
      </c>
      <c r="G46" s="4" t="str">
        <f>IFERROR(__xludf.DUMMYFUNCTION("""COMPUTED_VALUE"""),"BENGKOK")</f>
        <v>BENGKOK</v>
      </c>
      <c r="H46" s="4" t="str">
        <f>IFERROR(__xludf.DUMMYFUNCTION("""COMPUTED_VALUE"""),"CGDG")</f>
        <v>CGDG</v>
      </c>
      <c r="I46" s="4" t="str">
        <f>IFERROR(__xludf.DUMMYFUNCTION("""COMPUTED_VALUE"""),"BNK-LBS BKRC")</f>
        <v>BNK-LBS BKRC</v>
      </c>
      <c r="J46" s="4" t="str">
        <f>IFERROR(__xludf.DUMMYFUNCTION("""COMPUTED_VALUE"""),"ZONA 2")</f>
        <v>ZONA 2</v>
      </c>
      <c r="K46" s="4" t="str">
        <f>IFERROR(__xludf.DUMMYFUNCTION("""COMPUTED_VALUE"""),"013")</f>
        <v>013</v>
      </c>
      <c r="L46" s="4" t="str">
        <f>IFERROR(__xludf.DUMMYFUNCTION("""COMPUTED_VALUE"""),"TM - 8B/H (Percabangan)")</f>
        <v>TM - 8B/H (Percabangan)</v>
      </c>
      <c r="M46" s="4" t="str">
        <f>IFERROR(__xludf.DUMMYFUNCTION("""COMPUTED_VALUE"""),"Tidak Ada")</f>
        <v>Tidak Ada</v>
      </c>
      <c r="N46" s="4"/>
      <c r="O46" s="4" t="str">
        <f>IFERROR(__xludf.DUMMYFUNCTION("""COMPUTED_VALUE"""),"PEMBANDING SEJENIS")</f>
        <v>PEMBANDING SEJENIS</v>
      </c>
      <c r="P46" s="4" t="str">
        <f>IFERROR(__xludf.DUMMYFUNCTION("""COMPUTED_VALUE"""),"KONEKTOR/JUMPER")</f>
        <v>KONEKTOR/JUMPER</v>
      </c>
      <c r="Q46" s="4">
        <f>IFERROR(__xludf.DUMMYFUNCTION("""COMPUTED_VALUE"""),21.0)</f>
        <v>21</v>
      </c>
      <c r="R46" s="4">
        <f>IFERROR(__xludf.DUMMYFUNCTION("""COMPUTED_VALUE"""),21.0)</f>
        <v>21</v>
      </c>
      <c r="S46" s="4">
        <f>IFERROR(__xludf.DUMMYFUNCTION("""COMPUTED_VALUE"""),21.0)</f>
        <v>21</v>
      </c>
      <c r="T46" s="4"/>
      <c r="U46" s="4" t="str">
        <f>IFERROR(__xludf.DUMMYFUNCTION("""COMPUTED_VALUE"""),"BAIK")</f>
        <v>BAIK</v>
      </c>
      <c r="V46" s="4" t="str">
        <f>IFERROR(__xludf.DUMMYFUNCTION("""COMPUTED_VALUE"""),"Tidak Ada")</f>
        <v>Tidak Ada</v>
      </c>
      <c r="W46" s="4"/>
      <c r="X46" s="4"/>
      <c r="Y46" s="4"/>
      <c r="Z46" s="4"/>
      <c r="AA46" s="4"/>
      <c r="AB46" s="4"/>
      <c r="AC46" s="4" t="str">
        <f>IFERROR(__xludf.DUMMYFUNCTION("""COMPUTED_VALUE"""),"INSPEKSI SUTM - T2_Images/7182647f.FOTO.115012.jpg")</f>
        <v>INSPEKSI SUTM - T2_Images/7182647f.FOTO.115012.jpg</v>
      </c>
      <c r="AD46" s="4"/>
      <c r="AE46" s="4"/>
      <c r="AF46" s="4" t="str">
        <f>IFERROR(__xludf.DUMMYFUNCTION("""COMPUTED_VALUE"""),"BELUM")</f>
        <v>BELUM</v>
      </c>
      <c r="AG46" s="6">
        <f>IFERROR(__xludf.DUMMYFUNCTION("""COMPUTED_VALUE"""),46032.0)</f>
        <v>46032</v>
      </c>
      <c r="AH46" s="4"/>
      <c r="AI46" s="4"/>
    </row>
    <row r="47" ht="15.75" customHeight="1">
      <c r="A47" s="4" t="str">
        <f>IFERROR(__xludf.DUMMYFUNCTION("""COMPUTED_VALUE"""),"69ee7379")</f>
        <v>69ee7379</v>
      </c>
      <c r="B47" s="5">
        <f>IFERROR(__xludf.DUMMYFUNCTION("""COMPUTED_VALUE"""),46032.78539351852)</f>
        <v>46032.78539</v>
      </c>
      <c r="C47" s="4" t="str">
        <f>IFERROR(__xludf.DUMMYFUNCTION("""COMPUTED_VALUE"""),"-6.963715, 107.646548")</f>
        <v>-6.963715, 107.646548</v>
      </c>
      <c r="D47" s="4" t="str">
        <f>IFERROR(__xludf.DUMMYFUNCTION("""COMPUTED_VALUE"""),"Alam deril")</f>
        <v>Alam deril</v>
      </c>
      <c r="E47" s="4" t="str">
        <f>IFERROR(__xludf.DUMMYFUNCTION("""COMPUTED_VALUE"""),"BANDUNG")</f>
        <v>BANDUNG</v>
      </c>
      <c r="F47" s="4" t="str">
        <f>IFERROR(__xludf.DUMMYFUNCTION("""COMPUTED_VALUE"""),"BANDUNG UTARA")</f>
        <v>BANDUNG UTARA</v>
      </c>
      <c r="G47" s="4" t="str">
        <f>IFERROR(__xludf.DUMMYFUNCTION("""COMPUTED_VALUE"""),"BENGKOK")</f>
        <v>BENGKOK</v>
      </c>
      <c r="H47" s="4" t="str">
        <f>IFERROR(__xludf.DUMMYFUNCTION("""COMPUTED_VALUE"""),"CGDG")</f>
        <v>CGDG</v>
      </c>
      <c r="I47" s="4" t="str">
        <f>IFERROR(__xludf.DUMMYFUNCTION("""COMPUTED_VALUE"""),"BNK-LBS BKRC")</f>
        <v>BNK-LBS BKRC</v>
      </c>
      <c r="J47" s="4" t="str">
        <f>IFERROR(__xludf.DUMMYFUNCTION("""COMPUTED_VALUE"""),"ZONA 2")</f>
        <v>ZONA 2</v>
      </c>
      <c r="K47" s="4" t="str">
        <f>IFERROR(__xludf.DUMMYFUNCTION("""COMPUTED_VALUE"""),"013L06")</f>
        <v>013L06</v>
      </c>
      <c r="L47" s="4" t="str">
        <f>IFERROR(__xludf.DUMMYFUNCTION("""COMPUTED_VALUE"""),"TM - 16B/H (REC/SSO/LBS)")</f>
        <v>TM - 16B/H (REC/SSO/LBS)</v>
      </c>
      <c r="M47" s="4" t="str">
        <f>IFERROR(__xludf.DUMMYFUNCTION("""COMPUTED_VALUE"""),"Tidak Ada")</f>
        <v>Tidak Ada</v>
      </c>
      <c r="N47" s="4"/>
      <c r="O47" s="4" t="str">
        <f>IFERROR(__xludf.DUMMYFUNCTION("""COMPUTED_VALUE"""),"PEMBANDING SEJENIS")</f>
        <v>PEMBANDING SEJENIS</v>
      </c>
      <c r="P47" s="4" t="str">
        <f>IFERROR(__xludf.DUMMYFUNCTION("""COMPUTED_VALUE"""),"KONEKTOR/JUMPER")</f>
        <v>KONEKTOR/JUMPER</v>
      </c>
      <c r="Q47" s="4">
        <f>IFERROR(__xludf.DUMMYFUNCTION("""COMPUTED_VALUE"""),20.0)</f>
        <v>20</v>
      </c>
      <c r="R47" s="4">
        <f>IFERROR(__xludf.DUMMYFUNCTION("""COMPUTED_VALUE"""),20.0)</f>
        <v>20</v>
      </c>
      <c r="S47" s="4">
        <f>IFERROR(__xludf.DUMMYFUNCTION("""COMPUTED_VALUE"""),19.0)</f>
        <v>19</v>
      </c>
      <c r="T47" s="4"/>
      <c r="U47" s="4" t="str">
        <f>IFERROR(__xludf.DUMMYFUNCTION("""COMPUTED_VALUE"""),"BAIK")</f>
        <v>BAIK</v>
      </c>
      <c r="V47" s="4" t="str">
        <f>IFERROR(__xludf.DUMMYFUNCTION("""COMPUTED_VALUE"""),"Tidak Ada")</f>
        <v>Tidak Ada</v>
      </c>
      <c r="W47" s="4"/>
      <c r="X47" s="4"/>
      <c r="Y47" s="4"/>
      <c r="Z47" s="4"/>
      <c r="AA47" s="4"/>
      <c r="AB47" s="4"/>
      <c r="AC47" s="4" t="str">
        <f>IFERROR(__xludf.DUMMYFUNCTION("""COMPUTED_VALUE"""),"INSPEKSI SUTM - T2_Images/69ee7379.FOTO.115207.jpg")</f>
        <v>INSPEKSI SUTM - T2_Images/69ee7379.FOTO.115207.jpg</v>
      </c>
      <c r="AD47" s="4"/>
      <c r="AE47" s="4"/>
      <c r="AF47" s="4" t="str">
        <f>IFERROR(__xludf.DUMMYFUNCTION("""COMPUTED_VALUE"""),"BELUM")</f>
        <v>BELUM</v>
      </c>
      <c r="AG47" s="6">
        <f>IFERROR(__xludf.DUMMYFUNCTION("""COMPUTED_VALUE"""),46032.0)</f>
        <v>46032</v>
      </c>
      <c r="AH47" s="4"/>
      <c r="AI47" s="4"/>
    </row>
    <row r="48" ht="15.75" customHeight="1">
      <c r="A48" s="4" t="str">
        <f>IFERROR(__xludf.DUMMYFUNCTION("""COMPUTED_VALUE"""),"14cdfaf6")</f>
        <v>14cdfaf6</v>
      </c>
      <c r="B48" s="5">
        <f>IFERROR(__xludf.DUMMYFUNCTION("""COMPUTED_VALUE"""),46032.78710648148)</f>
        <v>46032.78711</v>
      </c>
      <c r="C48" s="4" t="str">
        <f>IFERROR(__xludf.DUMMYFUNCTION("""COMPUTED_VALUE"""),"-6.963710, 107.646543")</f>
        <v>-6.963710, 107.646543</v>
      </c>
      <c r="D48" s="4" t="str">
        <f>IFERROR(__xludf.DUMMYFUNCTION("""COMPUTED_VALUE"""),"Alam deril")</f>
        <v>Alam deril</v>
      </c>
      <c r="E48" s="4" t="str">
        <f>IFERROR(__xludf.DUMMYFUNCTION("""COMPUTED_VALUE"""),"BANDUNG")</f>
        <v>BANDUNG</v>
      </c>
      <c r="F48" s="4" t="str">
        <f>IFERROR(__xludf.DUMMYFUNCTION("""COMPUTED_VALUE"""),"BANDUNG UTARA")</f>
        <v>BANDUNG UTARA</v>
      </c>
      <c r="G48" s="4" t="str">
        <f>IFERROR(__xludf.DUMMYFUNCTION("""COMPUTED_VALUE"""),"BENGKOK")</f>
        <v>BENGKOK</v>
      </c>
      <c r="H48" s="4" t="str">
        <f>IFERROR(__xludf.DUMMYFUNCTION("""COMPUTED_VALUE"""),"CGDG")</f>
        <v>CGDG</v>
      </c>
      <c r="I48" s="4" t="str">
        <f>IFERROR(__xludf.DUMMYFUNCTION("""COMPUTED_VALUE"""),"BNK-LBS BKRC")</f>
        <v>BNK-LBS BKRC</v>
      </c>
      <c r="J48" s="4" t="str">
        <f>IFERROR(__xludf.DUMMYFUNCTION("""COMPUTED_VALUE"""),"ZONA 2")</f>
        <v>ZONA 2</v>
      </c>
      <c r="K48" s="4" t="str">
        <f>IFERROR(__xludf.DUMMYFUNCTION("""COMPUTED_VALUE"""),"019")</f>
        <v>019</v>
      </c>
      <c r="L48" s="4" t="str">
        <f>IFERROR(__xludf.DUMMYFUNCTION("""COMPUTED_VALUE"""),"TM - 4B/H (Afspan)")</f>
        <v>TM - 4B/H (Afspan)</v>
      </c>
      <c r="M48" s="4" t="str">
        <f>IFERROR(__xludf.DUMMYFUNCTION("""COMPUTED_VALUE"""),"Tidak Ada")</f>
        <v>Tidak Ada</v>
      </c>
      <c r="N48" s="4"/>
      <c r="O48" s="4" t="str">
        <f>IFERROR(__xludf.DUMMYFUNCTION("""COMPUTED_VALUE"""),"PEMBANDING SEJENIS")</f>
        <v>PEMBANDING SEJENIS</v>
      </c>
      <c r="P48" s="4" t="str">
        <f>IFERROR(__xludf.DUMMYFUNCTION("""COMPUTED_VALUE"""),"KONEKTOR/JUMPER")</f>
        <v>KONEKTOR/JUMPER</v>
      </c>
      <c r="Q48" s="4">
        <f>IFERROR(__xludf.DUMMYFUNCTION("""COMPUTED_VALUE"""),18.0)</f>
        <v>18</v>
      </c>
      <c r="R48" s="4">
        <f>IFERROR(__xludf.DUMMYFUNCTION("""COMPUTED_VALUE"""),19.0)</f>
        <v>19</v>
      </c>
      <c r="S48" s="4">
        <f>IFERROR(__xludf.DUMMYFUNCTION("""COMPUTED_VALUE"""),17.0)</f>
        <v>17</v>
      </c>
      <c r="T48" s="4"/>
      <c r="U48" s="4" t="str">
        <f>IFERROR(__xludf.DUMMYFUNCTION("""COMPUTED_VALUE"""),"BAIK")</f>
        <v>BAIK</v>
      </c>
      <c r="V48" s="4" t="str">
        <f>IFERROR(__xludf.DUMMYFUNCTION("""COMPUTED_VALUE"""),"Tidak Ada")</f>
        <v>Tidak Ada</v>
      </c>
      <c r="W48" s="4"/>
      <c r="X48" s="4"/>
      <c r="Y48" s="4"/>
      <c r="Z48" s="4"/>
      <c r="AA48" s="4"/>
      <c r="AB48" s="4"/>
      <c r="AC48" s="4" t="str">
        <f>IFERROR(__xludf.DUMMYFUNCTION("""COMPUTED_VALUE"""),"INSPEKSI SUTM - T2_Images/14cdfaf6.FOTO.115441.jpg")</f>
        <v>INSPEKSI SUTM - T2_Images/14cdfaf6.FOTO.115441.jpg</v>
      </c>
      <c r="AD48" s="4"/>
      <c r="AE48" s="4"/>
      <c r="AF48" s="4" t="str">
        <f>IFERROR(__xludf.DUMMYFUNCTION("""COMPUTED_VALUE"""),"BELUM")</f>
        <v>BELUM</v>
      </c>
      <c r="AG48" s="6">
        <f>IFERROR(__xludf.DUMMYFUNCTION("""COMPUTED_VALUE"""),46032.0)</f>
        <v>46032</v>
      </c>
      <c r="AH48" s="4"/>
      <c r="AI48" s="4"/>
    </row>
    <row r="49" ht="15.75" customHeight="1">
      <c r="A49" s="4" t="str">
        <f>IFERROR(__xludf.DUMMYFUNCTION("""COMPUTED_VALUE"""),"59095bf8")</f>
        <v>59095bf8</v>
      </c>
      <c r="B49" s="5">
        <f>IFERROR(__xludf.DUMMYFUNCTION("""COMPUTED_VALUE"""),46032.78858796296)</f>
        <v>46032.78859</v>
      </c>
      <c r="C49" s="4" t="str">
        <f>IFERROR(__xludf.DUMMYFUNCTION("""COMPUTED_VALUE"""),"-6.963716, 107.646549")</f>
        <v>-6.963716, 107.646549</v>
      </c>
      <c r="D49" s="4" t="str">
        <f>IFERROR(__xludf.DUMMYFUNCTION("""COMPUTED_VALUE"""),"Alam deril")</f>
        <v>Alam deril</v>
      </c>
      <c r="E49" s="4" t="str">
        <f>IFERROR(__xludf.DUMMYFUNCTION("""COMPUTED_VALUE"""),"BANDUNG")</f>
        <v>BANDUNG</v>
      </c>
      <c r="F49" s="4" t="str">
        <f>IFERROR(__xludf.DUMMYFUNCTION("""COMPUTED_VALUE"""),"BANDUNG UTARA")</f>
        <v>BANDUNG UTARA</v>
      </c>
      <c r="G49" s="4" t="str">
        <f>IFERROR(__xludf.DUMMYFUNCTION("""COMPUTED_VALUE"""),"BENGKOK")</f>
        <v>BENGKOK</v>
      </c>
      <c r="H49" s="4" t="str">
        <f>IFERROR(__xludf.DUMMYFUNCTION("""COMPUTED_VALUE"""),"CGDG")</f>
        <v>CGDG</v>
      </c>
      <c r="I49" s="4" t="str">
        <f>IFERROR(__xludf.DUMMYFUNCTION("""COMPUTED_VALUE"""),"BNK-LBS BKRC")</f>
        <v>BNK-LBS BKRC</v>
      </c>
      <c r="J49" s="4" t="str">
        <f>IFERROR(__xludf.DUMMYFUNCTION("""COMPUTED_VALUE"""),"ZONA 2")</f>
        <v>ZONA 2</v>
      </c>
      <c r="K49" s="4" t="str">
        <f>IFERROR(__xludf.DUMMYFUNCTION("""COMPUTED_VALUE"""),"023")</f>
        <v>023</v>
      </c>
      <c r="L49" s="4" t="str">
        <f>IFERROR(__xludf.DUMMYFUNCTION("""COMPUTED_VALUE"""),"TM - 8B/H (Percabangan)")</f>
        <v>TM - 8B/H (Percabangan)</v>
      </c>
      <c r="M49" s="4" t="str">
        <f>IFERROR(__xludf.DUMMYFUNCTION("""COMPUTED_VALUE"""),"Tidak Ada")</f>
        <v>Tidak Ada</v>
      </c>
      <c r="N49" s="4"/>
      <c r="O49" s="4" t="str">
        <f>IFERROR(__xludf.DUMMYFUNCTION("""COMPUTED_VALUE"""),"PEMBANDING SEJENIS")</f>
        <v>PEMBANDING SEJENIS</v>
      </c>
      <c r="P49" s="4" t="str">
        <f>IFERROR(__xludf.DUMMYFUNCTION("""COMPUTED_VALUE"""),"KONEKTOR/JUMPER")</f>
        <v>KONEKTOR/JUMPER</v>
      </c>
      <c r="Q49" s="4">
        <f>IFERROR(__xludf.DUMMYFUNCTION("""COMPUTED_VALUE"""),20.0)</f>
        <v>20</v>
      </c>
      <c r="R49" s="4">
        <f>IFERROR(__xludf.DUMMYFUNCTION("""COMPUTED_VALUE"""),21.0)</f>
        <v>21</v>
      </c>
      <c r="S49" s="4">
        <f>IFERROR(__xludf.DUMMYFUNCTION("""COMPUTED_VALUE"""),21.0)</f>
        <v>21</v>
      </c>
      <c r="T49" s="4"/>
      <c r="U49" s="4" t="str">
        <f>IFERROR(__xludf.DUMMYFUNCTION("""COMPUTED_VALUE"""),"BAIK")</f>
        <v>BAIK</v>
      </c>
      <c r="V49" s="4" t="str">
        <f>IFERROR(__xludf.DUMMYFUNCTION("""COMPUTED_VALUE"""),"Tidak Ada")</f>
        <v>Tidak Ada</v>
      </c>
      <c r="W49" s="4"/>
      <c r="X49" s="4"/>
      <c r="Y49" s="4"/>
      <c r="Z49" s="4"/>
      <c r="AA49" s="4"/>
      <c r="AB49" s="4"/>
      <c r="AC49" s="4" t="str">
        <f>IFERROR(__xludf.DUMMYFUNCTION("""COMPUTED_VALUE"""),"INSPEKSI SUTM - T2_Images/59095bf8.FOTO.115627.jpg")</f>
        <v>INSPEKSI SUTM - T2_Images/59095bf8.FOTO.115627.jpg</v>
      </c>
      <c r="AD49" s="4"/>
      <c r="AE49" s="4"/>
      <c r="AF49" s="4" t="str">
        <f>IFERROR(__xludf.DUMMYFUNCTION("""COMPUTED_VALUE"""),"BELUM")</f>
        <v>BELUM</v>
      </c>
      <c r="AG49" s="6">
        <f>IFERROR(__xludf.DUMMYFUNCTION("""COMPUTED_VALUE"""),46032.0)</f>
        <v>46032</v>
      </c>
      <c r="AH49" s="4"/>
      <c r="AI49" s="4"/>
    </row>
    <row r="50" ht="15.75" customHeight="1">
      <c r="A50" s="4" t="str">
        <f>IFERROR(__xludf.DUMMYFUNCTION("""COMPUTED_VALUE"""),"779f9d13")</f>
        <v>779f9d13</v>
      </c>
      <c r="B50" s="5">
        <f>IFERROR(__xludf.DUMMYFUNCTION("""COMPUTED_VALUE"""),46037.86988425926)</f>
        <v>46037.86988</v>
      </c>
      <c r="C50" s="4" t="str">
        <f>IFERROR(__xludf.DUMMYFUNCTION("""COMPUTED_VALUE"""),"-6.899260, 107.641319")</f>
        <v>-6.899260, 107.641319</v>
      </c>
      <c r="D50" s="4" t="str">
        <f>IFERROR(__xludf.DUMMYFUNCTION("""COMPUTED_VALUE"""),"Sandi angga")</f>
        <v>Sandi angga</v>
      </c>
      <c r="E50" s="4" t="str">
        <f>IFERROR(__xludf.DUMMYFUNCTION("""COMPUTED_VALUE"""),"BANDUNG")</f>
        <v>BANDUNG</v>
      </c>
      <c r="F50" s="4" t="str">
        <f>IFERROR(__xludf.DUMMYFUNCTION("""COMPUTED_VALUE"""),"BANDUNG TIMUR")</f>
        <v>BANDUNG TIMUR</v>
      </c>
      <c r="G50" s="4" t="str">
        <f>IFERROR(__xludf.DUMMYFUNCTION("""COMPUTED_VALUE"""),"KIARACONDONG")</f>
        <v>KIARACONDONG</v>
      </c>
      <c r="H50" s="4" t="str">
        <f>IFERROR(__xludf.DUMMYFUNCTION("""COMPUTED_VALUE"""),"KPO")</f>
        <v>KPO</v>
      </c>
      <c r="I50" s="4" t="str">
        <f>IFERROR(__xludf.DUMMYFUNCTION("""COMPUTED_VALUE"""),"RAT- REC. BKRB")</f>
        <v>RAT- REC. BKRB</v>
      </c>
      <c r="J50" s="4" t="str">
        <f>IFERROR(__xludf.DUMMYFUNCTION("""COMPUTED_VALUE"""),"ZONA 2")</f>
        <v>ZONA 2</v>
      </c>
      <c r="K50" s="4" t="str">
        <f>IFERROR(__xludf.DUMMYFUNCTION("""COMPUTED_VALUE"""),"054")</f>
        <v>054</v>
      </c>
      <c r="L50" s="4" t="str">
        <f>IFERROR(__xludf.DUMMYFUNCTION("""COMPUTED_VALUE"""),"TM - 11B/H (Kabel Naik)")</f>
        <v>TM - 11B/H (Kabel Naik)</v>
      </c>
      <c r="M50" s="4" t="str">
        <f>IFERROR(__xludf.DUMMYFUNCTION("""COMPUTED_VALUE"""),"Tidak Ada")</f>
        <v>Tidak Ada</v>
      </c>
      <c r="N50" s="4"/>
      <c r="O50" s="4" t="str">
        <f>IFERROR(__xludf.DUMMYFUNCTION("""COMPUTED_VALUE"""),"PEMBANDING SEJENIS")</f>
        <v>PEMBANDING SEJENIS</v>
      </c>
      <c r="P50" s="4" t="str">
        <f>IFERROR(__xludf.DUMMYFUNCTION("""COMPUTED_VALUE"""),"TERMINASI")</f>
        <v>TERMINASI</v>
      </c>
      <c r="Q50" s="4">
        <f>IFERROR(__xludf.DUMMYFUNCTION("""COMPUTED_VALUE"""),24.0)</f>
        <v>24</v>
      </c>
      <c r="R50" s="4">
        <f>IFERROR(__xludf.DUMMYFUNCTION("""COMPUTED_VALUE"""),23.0)</f>
        <v>23</v>
      </c>
      <c r="S50" s="4">
        <f>IFERROR(__xludf.DUMMYFUNCTION("""COMPUTED_VALUE"""),24.0)</f>
        <v>24</v>
      </c>
      <c r="T50" s="4"/>
      <c r="U50" s="4" t="str">
        <f>IFERROR(__xludf.DUMMYFUNCTION("""COMPUTED_VALUE"""),"BAIK")</f>
        <v>BAIK</v>
      </c>
      <c r="V50" s="4" t="str">
        <f>IFERROR(__xludf.DUMMYFUNCTION("""COMPUTED_VALUE"""),"Tidak Ada")</f>
        <v>Tidak Ada</v>
      </c>
      <c r="W50" s="4"/>
      <c r="X50" s="4"/>
      <c r="Y50" s="4"/>
      <c r="Z50" s="4"/>
      <c r="AA50" s="4"/>
      <c r="AB50" s="4"/>
      <c r="AC50" s="4" t="str">
        <f>IFERROR(__xludf.DUMMYFUNCTION("""COMPUTED_VALUE"""),"INSPEKSI SUTM - T2_Images/779f9d13.FOTO.135449.jpg")</f>
        <v>INSPEKSI SUTM - T2_Images/779f9d13.FOTO.135449.jpg</v>
      </c>
      <c r="AD50" s="4"/>
      <c r="AE50" s="4"/>
      <c r="AF50" s="4" t="str">
        <f>IFERROR(__xludf.DUMMYFUNCTION("""COMPUTED_VALUE"""),"BELUM")</f>
        <v>BELUM</v>
      </c>
      <c r="AG50" s="6">
        <f>IFERROR(__xludf.DUMMYFUNCTION("""COMPUTED_VALUE"""),46037.0)</f>
        <v>46037</v>
      </c>
      <c r="AH50" s="4"/>
      <c r="AI50" s="4"/>
    </row>
    <row r="51" ht="15.75" customHeight="1">
      <c r="A51" s="4" t="str">
        <f>IFERROR(__xludf.DUMMYFUNCTION("""COMPUTED_VALUE"""),"92ae31a6")</f>
        <v>92ae31a6</v>
      </c>
      <c r="B51" s="5">
        <f>IFERROR(__xludf.DUMMYFUNCTION("""COMPUTED_VALUE"""),46037.87150462963)</f>
        <v>46037.8715</v>
      </c>
      <c r="C51" s="4" t="str">
        <f>IFERROR(__xludf.DUMMYFUNCTION("""COMPUTED_VALUE"""),"-6.899258, 107.641324")</f>
        <v>-6.899258, 107.641324</v>
      </c>
      <c r="D51" s="4" t="str">
        <f>IFERROR(__xludf.DUMMYFUNCTION("""COMPUTED_VALUE"""),"Sandi angga")</f>
        <v>Sandi angga</v>
      </c>
      <c r="E51" s="4" t="str">
        <f>IFERROR(__xludf.DUMMYFUNCTION("""COMPUTED_VALUE"""),"BANDUNG")</f>
        <v>BANDUNG</v>
      </c>
      <c r="F51" s="4" t="str">
        <f>IFERROR(__xludf.DUMMYFUNCTION("""COMPUTED_VALUE"""),"BANDUNG TIMUR")</f>
        <v>BANDUNG TIMUR</v>
      </c>
      <c r="G51" s="4" t="str">
        <f>IFERROR(__xludf.DUMMYFUNCTION("""COMPUTED_VALUE"""),"KIARACONDONG")</f>
        <v>KIARACONDONG</v>
      </c>
      <c r="H51" s="4" t="str">
        <f>IFERROR(__xludf.DUMMYFUNCTION("""COMPUTED_VALUE"""),"KPO")</f>
        <v>KPO</v>
      </c>
      <c r="I51" s="4" t="str">
        <f>IFERROR(__xludf.DUMMYFUNCTION("""COMPUTED_VALUE"""),"RAT- REC. BKRB")</f>
        <v>RAT- REC. BKRB</v>
      </c>
      <c r="J51" s="4" t="str">
        <f>IFERROR(__xludf.DUMMYFUNCTION("""COMPUTED_VALUE"""),"ZONA 2")</f>
        <v>ZONA 2</v>
      </c>
      <c r="K51" s="4" t="str">
        <f>IFERROR(__xludf.DUMMYFUNCTION("""COMPUTED_VALUE"""),"058")</f>
        <v>058</v>
      </c>
      <c r="L51" s="4" t="str">
        <f>IFERROR(__xludf.DUMMYFUNCTION("""COMPUTED_VALUE"""),"TM - 8BC/HC (Percabangan dengan CO)")</f>
        <v>TM - 8BC/HC (Percabangan dengan CO)</v>
      </c>
      <c r="M51" s="4" t="str">
        <f>IFERROR(__xludf.DUMMYFUNCTION("""COMPUTED_VALUE"""),"FCO")</f>
        <v>FCO</v>
      </c>
      <c r="N51" s="4" t="str">
        <f>IFERROR(__xludf.DUMMYFUNCTION("""COMPUTED_VALUE"""),"Pchl")</f>
        <v>Pchl</v>
      </c>
      <c r="O51" s="4" t="str">
        <f>IFERROR(__xludf.DUMMYFUNCTION("""COMPUTED_VALUE"""),"PEMBANDING SEJENIS")</f>
        <v>PEMBANDING SEJENIS</v>
      </c>
      <c r="P51" s="4" t="str">
        <f>IFERROR(__xludf.DUMMYFUNCTION("""COMPUTED_VALUE"""),"FCO")</f>
        <v>FCO</v>
      </c>
      <c r="Q51" s="4">
        <f>IFERROR(__xludf.DUMMYFUNCTION("""COMPUTED_VALUE"""),22.0)</f>
        <v>22</v>
      </c>
      <c r="R51" s="4">
        <f>IFERROR(__xludf.DUMMYFUNCTION("""COMPUTED_VALUE"""),22.0)</f>
        <v>22</v>
      </c>
      <c r="S51" s="4">
        <f>IFERROR(__xludf.DUMMYFUNCTION("""COMPUTED_VALUE"""),24.0)</f>
        <v>24</v>
      </c>
      <c r="T51" s="4"/>
      <c r="U51" s="4" t="str">
        <f>IFERROR(__xludf.DUMMYFUNCTION("""COMPUTED_VALUE"""),"BAIK")</f>
        <v>BAIK</v>
      </c>
      <c r="V51" s="4" t="str">
        <f>IFERROR(__xludf.DUMMYFUNCTION("""COMPUTED_VALUE"""),"Tidak Ada")</f>
        <v>Tidak Ada</v>
      </c>
      <c r="W51" s="4"/>
      <c r="X51" s="4"/>
      <c r="Y51" s="4"/>
      <c r="Z51" s="4"/>
      <c r="AA51" s="4"/>
      <c r="AB51" s="4"/>
      <c r="AC51" s="4" t="str">
        <f>IFERROR(__xludf.DUMMYFUNCTION("""COMPUTED_VALUE"""),"INSPEKSI SUTM - T2_Images/92ae31a6.FOTO.135619.jpg")</f>
        <v>INSPEKSI SUTM - T2_Images/92ae31a6.FOTO.135619.jpg</v>
      </c>
      <c r="AD51" s="4"/>
      <c r="AE51" s="4"/>
      <c r="AF51" s="4" t="str">
        <f>IFERROR(__xludf.DUMMYFUNCTION("""COMPUTED_VALUE"""),"BELUM")</f>
        <v>BELUM</v>
      </c>
      <c r="AG51" s="6">
        <f>IFERROR(__xludf.DUMMYFUNCTION("""COMPUTED_VALUE"""),46037.0)</f>
        <v>46037</v>
      </c>
      <c r="AH51" s="4"/>
      <c r="AI51" s="4"/>
    </row>
    <row r="52" ht="15.75" customHeight="1">
      <c r="A52" s="4" t="str">
        <f>IFERROR(__xludf.DUMMYFUNCTION("""COMPUTED_VALUE"""),"4fdeaf2e")</f>
        <v>4fdeaf2e</v>
      </c>
      <c r="B52" s="5">
        <f>IFERROR(__xludf.DUMMYFUNCTION("""COMPUTED_VALUE"""),46037.8734375)</f>
        <v>46037.87344</v>
      </c>
      <c r="C52" s="4" t="str">
        <f>IFERROR(__xludf.DUMMYFUNCTION("""COMPUTED_VALUE"""),"-6.899259, 107.641320")</f>
        <v>-6.899259, 107.641320</v>
      </c>
      <c r="D52" s="4" t="str">
        <f>IFERROR(__xludf.DUMMYFUNCTION("""COMPUTED_VALUE"""),"Sandi angga")</f>
        <v>Sandi angga</v>
      </c>
      <c r="E52" s="4" t="str">
        <f>IFERROR(__xludf.DUMMYFUNCTION("""COMPUTED_VALUE"""),"BANDUNG")</f>
        <v>BANDUNG</v>
      </c>
      <c r="F52" s="4" t="str">
        <f>IFERROR(__xludf.DUMMYFUNCTION("""COMPUTED_VALUE"""),"BANDUNG TIMUR")</f>
        <v>BANDUNG TIMUR</v>
      </c>
      <c r="G52" s="4" t="str">
        <f>IFERROR(__xludf.DUMMYFUNCTION("""COMPUTED_VALUE"""),"KIARACONDONG")</f>
        <v>KIARACONDONG</v>
      </c>
      <c r="H52" s="4" t="str">
        <f>IFERROR(__xludf.DUMMYFUNCTION("""COMPUTED_VALUE"""),"KPO")</f>
        <v>KPO</v>
      </c>
      <c r="I52" s="4" t="str">
        <f>IFERROR(__xludf.DUMMYFUNCTION("""COMPUTED_VALUE"""),"RAT- REC. BKRB")</f>
        <v>RAT- REC. BKRB</v>
      </c>
      <c r="J52" s="4" t="str">
        <f>IFERROR(__xludf.DUMMYFUNCTION("""COMPUTED_VALUE"""),"ZONA 2")</f>
        <v>ZONA 2</v>
      </c>
      <c r="K52" s="4" t="str">
        <f>IFERROR(__xludf.DUMMYFUNCTION("""COMPUTED_VALUE"""),"058R010")</f>
        <v>058R010</v>
      </c>
      <c r="L52" s="4" t="str">
        <f>IFERROR(__xludf.DUMMYFUNCTION("""COMPUTED_VALUE"""),"TM - 7B/H (Afspan 90 Derajat)")</f>
        <v>TM - 7B/H (Afspan 90 Derajat)</v>
      </c>
      <c r="M52" s="4" t="str">
        <f>IFERROR(__xludf.DUMMYFUNCTION("""COMPUTED_VALUE"""),"Tidak Ada")</f>
        <v>Tidak Ada</v>
      </c>
      <c r="N52" s="4"/>
      <c r="O52" s="4" t="str">
        <f>IFERROR(__xludf.DUMMYFUNCTION("""COMPUTED_VALUE"""),"PEMBANDING SEJENIS")</f>
        <v>PEMBANDING SEJENIS</v>
      </c>
      <c r="P52" s="4" t="str">
        <f>IFERROR(__xludf.DUMMYFUNCTION("""COMPUTED_VALUE"""),"KONEKTOR/JUMPER")</f>
        <v>KONEKTOR/JUMPER</v>
      </c>
      <c r="Q52" s="4">
        <f>IFERROR(__xludf.DUMMYFUNCTION("""COMPUTED_VALUE"""),22.0)</f>
        <v>22</v>
      </c>
      <c r="R52" s="4">
        <f>IFERROR(__xludf.DUMMYFUNCTION("""COMPUTED_VALUE"""),24.0)</f>
        <v>24</v>
      </c>
      <c r="S52" s="4">
        <f>IFERROR(__xludf.DUMMYFUNCTION("""COMPUTED_VALUE"""),23.0)</f>
        <v>23</v>
      </c>
      <c r="T52" s="4"/>
      <c r="U52" s="4" t="str">
        <f>IFERROR(__xludf.DUMMYFUNCTION("""COMPUTED_VALUE"""),"BAIK")</f>
        <v>BAIK</v>
      </c>
      <c r="V52" s="4" t="str">
        <f>IFERROR(__xludf.DUMMYFUNCTION("""COMPUTED_VALUE"""),"Tidak Ada")</f>
        <v>Tidak Ada</v>
      </c>
      <c r="W52" s="4"/>
      <c r="X52" s="4"/>
      <c r="Y52" s="4"/>
      <c r="Z52" s="4"/>
      <c r="AA52" s="4"/>
      <c r="AB52" s="4"/>
      <c r="AC52" s="4" t="str">
        <f>IFERROR(__xludf.DUMMYFUNCTION("""COMPUTED_VALUE"""),"INSPEKSI SUTM - T2_Images/4fdeaf2e.FOTO.135837.jpg")</f>
        <v>INSPEKSI SUTM - T2_Images/4fdeaf2e.FOTO.135837.jpg</v>
      </c>
      <c r="AD52" s="4"/>
      <c r="AE52" s="4"/>
      <c r="AF52" s="4" t="str">
        <f>IFERROR(__xludf.DUMMYFUNCTION("""COMPUTED_VALUE"""),"BELUM")</f>
        <v>BELUM</v>
      </c>
      <c r="AG52" s="6">
        <f>IFERROR(__xludf.DUMMYFUNCTION("""COMPUTED_VALUE"""),46037.0)</f>
        <v>46037</v>
      </c>
      <c r="AH52" s="4"/>
      <c r="AI52" s="4"/>
    </row>
    <row r="53" ht="15.75" customHeight="1">
      <c r="A53" s="4" t="str">
        <f>IFERROR(__xludf.DUMMYFUNCTION("""COMPUTED_VALUE"""),"5dedd15a")</f>
        <v>5dedd15a</v>
      </c>
      <c r="B53" s="5">
        <f>IFERROR(__xludf.DUMMYFUNCTION("""COMPUTED_VALUE"""),46037.87399305555)</f>
        <v>46037.87399</v>
      </c>
      <c r="C53" s="4" t="str">
        <f>IFERROR(__xludf.DUMMYFUNCTION("""COMPUTED_VALUE"""),"-6.899252, 107.641322")</f>
        <v>-6.899252, 107.641322</v>
      </c>
      <c r="D53" s="4" t="str">
        <f>IFERROR(__xludf.DUMMYFUNCTION("""COMPUTED_VALUE"""),"Sandi angga")</f>
        <v>Sandi angga</v>
      </c>
      <c r="E53" s="4" t="str">
        <f>IFERROR(__xludf.DUMMYFUNCTION("""COMPUTED_VALUE"""),"BANDUNG")</f>
        <v>BANDUNG</v>
      </c>
      <c r="F53" s="4" t="str">
        <f>IFERROR(__xludf.DUMMYFUNCTION("""COMPUTED_VALUE"""),"BANDUNG TIMUR")</f>
        <v>BANDUNG TIMUR</v>
      </c>
      <c r="G53" s="4" t="str">
        <f>IFERROR(__xludf.DUMMYFUNCTION("""COMPUTED_VALUE"""),"KIARACONDONG")</f>
        <v>KIARACONDONG</v>
      </c>
      <c r="H53" s="4" t="str">
        <f>IFERROR(__xludf.DUMMYFUNCTION("""COMPUTED_VALUE"""),"KPO")</f>
        <v>KPO</v>
      </c>
      <c r="I53" s="4" t="str">
        <f>IFERROR(__xludf.DUMMYFUNCTION("""COMPUTED_VALUE"""),"RAT- REC. BKRB")</f>
        <v>RAT- REC. BKRB</v>
      </c>
      <c r="J53" s="4" t="str">
        <f>IFERROR(__xludf.DUMMYFUNCTION("""COMPUTED_VALUE"""),"ZONA 2")</f>
        <v>ZONA 2</v>
      </c>
      <c r="K53" s="4" t="str">
        <f>IFERROR(__xludf.DUMMYFUNCTION("""COMPUTED_VALUE"""),"058R013")</f>
        <v>058R013</v>
      </c>
      <c r="L53" s="4" t="str">
        <f>IFERROR(__xludf.DUMMYFUNCTION("""COMPUTED_VALUE"""),"TM - 7B/H (Afspan 90 Derajat)")</f>
        <v>TM - 7B/H (Afspan 90 Derajat)</v>
      </c>
      <c r="M53" s="4" t="str">
        <f>IFERROR(__xludf.DUMMYFUNCTION("""COMPUTED_VALUE"""),"Tidak Ada")</f>
        <v>Tidak Ada</v>
      </c>
      <c r="N53" s="4"/>
      <c r="O53" s="4" t="str">
        <f>IFERROR(__xludf.DUMMYFUNCTION("""COMPUTED_VALUE"""),"PEMBANDING SEJENIS")</f>
        <v>PEMBANDING SEJENIS</v>
      </c>
      <c r="P53" s="4" t="str">
        <f>IFERROR(__xludf.DUMMYFUNCTION("""COMPUTED_VALUE"""),"KONEKTOR/JUMPER")</f>
        <v>KONEKTOR/JUMPER</v>
      </c>
      <c r="Q53" s="4">
        <f>IFERROR(__xludf.DUMMYFUNCTION("""COMPUTED_VALUE"""),23.0)</f>
        <v>23</v>
      </c>
      <c r="R53" s="4">
        <f>IFERROR(__xludf.DUMMYFUNCTION("""COMPUTED_VALUE"""),24.0)</f>
        <v>24</v>
      </c>
      <c r="S53" s="4">
        <f>IFERROR(__xludf.DUMMYFUNCTION("""COMPUTED_VALUE"""),23.0)</f>
        <v>23</v>
      </c>
      <c r="T53" s="4"/>
      <c r="U53" s="4" t="str">
        <f>IFERROR(__xludf.DUMMYFUNCTION("""COMPUTED_VALUE"""),"BAIK")</f>
        <v>BAIK</v>
      </c>
      <c r="V53" s="4" t="str">
        <f>IFERROR(__xludf.DUMMYFUNCTION("""COMPUTED_VALUE"""),"Tidak Ada")</f>
        <v>Tidak Ada</v>
      </c>
      <c r="W53" s="4"/>
      <c r="X53" s="4"/>
      <c r="Y53" s="4"/>
      <c r="Z53" s="4"/>
      <c r="AA53" s="4"/>
      <c r="AB53" s="4"/>
      <c r="AC53" s="4" t="str">
        <f>IFERROR(__xludf.DUMMYFUNCTION("""COMPUTED_VALUE"""),"INSPEKSI SUTM - T2_Images/5dedd15a.FOTO.135932.jpg")</f>
        <v>INSPEKSI SUTM - T2_Images/5dedd15a.FOTO.135932.jpg</v>
      </c>
      <c r="AD53" s="4"/>
      <c r="AE53" s="4"/>
      <c r="AF53" s="4" t="str">
        <f>IFERROR(__xludf.DUMMYFUNCTION("""COMPUTED_VALUE"""),"BELUM")</f>
        <v>BELUM</v>
      </c>
      <c r="AG53" s="6">
        <f>IFERROR(__xludf.DUMMYFUNCTION("""COMPUTED_VALUE"""),46037.0)</f>
        <v>46037</v>
      </c>
      <c r="AH53" s="4"/>
      <c r="AI53" s="4"/>
    </row>
    <row r="54" ht="15.75" customHeight="1">
      <c r="A54" s="4" t="str">
        <f>IFERROR(__xludf.DUMMYFUNCTION("""COMPUTED_VALUE"""),"083ba75e")</f>
        <v>083ba75e</v>
      </c>
      <c r="B54" s="5">
        <f>IFERROR(__xludf.DUMMYFUNCTION("""COMPUTED_VALUE"""),46037.8752662037)</f>
        <v>46037.87527</v>
      </c>
      <c r="C54" s="4" t="str">
        <f>IFERROR(__xludf.DUMMYFUNCTION("""COMPUTED_VALUE"""),"-6.899244, 107.641308")</f>
        <v>-6.899244, 107.641308</v>
      </c>
      <c r="D54" s="4" t="str">
        <f>IFERROR(__xludf.DUMMYFUNCTION("""COMPUTED_VALUE"""),"Sandi angga")</f>
        <v>Sandi angga</v>
      </c>
      <c r="E54" s="4" t="str">
        <f>IFERROR(__xludf.DUMMYFUNCTION("""COMPUTED_VALUE"""),"BANDUNG")</f>
        <v>BANDUNG</v>
      </c>
      <c r="F54" s="4" t="str">
        <f>IFERROR(__xludf.DUMMYFUNCTION("""COMPUTED_VALUE"""),"BANDUNG TIMUR")</f>
        <v>BANDUNG TIMUR</v>
      </c>
      <c r="G54" s="4" t="str">
        <f>IFERROR(__xludf.DUMMYFUNCTION("""COMPUTED_VALUE"""),"KIARACONDONG")</f>
        <v>KIARACONDONG</v>
      </c>
      <c r="H54" s="4" t="str">
        <f>IFERROR(__xludf.DUMMYFUNCTION("""COMPUTED_VALUE"""),"KPO")</f>
        <v>KPO</v>
      </c>
      <c r="I54" s="4" t="str">
        <f>IFERROR(__xludf.DUMMYFUNCTION("""COMPUTED_VALUE"""),"RAT- REC. BKRB")</f>
        <v>RAT- REC. BKRB</v>
      </c>
      <c r="J54" s="4" t="str">
        <f>IFERROR(__xludf.DUMMYFUNCTION("""COMPUTED_VALUE"""),"ZONA 2")</f>
        <v>ZONA 2</v>
      </c>
      <c r="K54" s="4" t="str">
        <f>IFERROR(__xludf.DUMMYFUNCTION("""COMPUTED_VALUE"""),"058R016")</f>
        <v>058R016</v>
      </c>
      <c r="L54" s="4" t="str">
        <f>IFERROR(__xludf.DUMMYFUNCTION("""COMPUTED_VALUE"""),"TM - 4B/H (Afspan)")</f>
        <v>TM - 4B/H (Afspan)</v>
      </c>
      <c r="M54" s="4" t="str">
        <f>IFERROR(__xludf.DUMMYFUNCTION("""COMPUTED_VALUE"""),"Gardu")</f>
        <v>Gardu</v>
      </c>
      <c r="N54" s="4" t="str">
        <f>IFERROR(__xludf.DUMMYFUNCTION("""COMPUTED_VALUE"""),"PCHL")</f>
        <v>PCHL</v>
      </c>
      <c r="O54" s="4" t="str">
        <f>IFERROR(__xludf.DUMMYFUNCTION("""COMPUTED_VALUE"""),"PEMBANDING SEJENIS")</f>
        <v>PEMBANDING SEJENIS</v>
      </c>
      <c r="P54" s="4" t="str">
        <f>IFERROR(__xludf.DUMMYFUNCTION("""COMPUTED_VALUE"""),"KONEKTOR/JUMPER")</f>
        <v>KONEKTOR/JUMPER</v>
      </c>
      <c r="Q54" s="4">
        <f>IFERROR(__xludf.DUMMYFUNCTION("""COMPUTED_VALUE"""),21.0)</f>
        <v>21</v>
      </c>
      <c r="R54" s="4">
        <f>IFERROR(__xludf.DUMMYFUNCTION("""COMPUTED_VALUE"""),21.0)</f>
        <v>21</v>
      </c>
      <c r="S54" s="4">
        <f>IFERROR(__xludf.DUMMYFUNCTION("""COMPUTED_VALUE"""),20.0)</f>
        <v>20</v>
      </c>
      <c r="T54" s="4"/>
      <c r="U54" s="4" t="str">
        <f>IFERROR(__xludf.DUMMYFUNCTION("""COMPUTED_VALUE"""),"BAIK")</f>
        <v>BAIK</v>
      </c>
      <c r="V54" s="4" t="str">
        <f>IFERROR(__xludf.DUMMYFUNCTION("""COMPUTED_VALUE"""),"Tidak Ada")</f>
        <v>Tidak Ada</v>
      </c>
      <c r="W54" s="4"/>
      <c r="X54" s="4"/>
      <c r="Y54" s="4"/>
      <c r="Z54" s="4"/>
      <c r="AA54" s="4"/>
      <c r="AB54" s="4"/>
      <c r="AC54" s="4" t="str">
        <f>IFERROR(__xludf.DUMMYFUNCTION("""COMPUTED_VALUE"""),"INSPEKSI SUTM - T2_Images/083ba75e.FOTO.140140.jpg")</f>
        <v>INSPEKSI SUTM - T2_Images/083ba75e.FOTO.140140.jpg</v>
      </c>
      <c r="AD54" s="4"/>
      <c r="AE54" s="4"/>
      <c r="AF54" s="4" t="str">
        <f>IFERROR(__xludf.DUMMYFUNCTION("""COMPUTED_VALUE"""),"BELUM")</f>
        <v>BELUM</v>
      </c>
      <c r="AG54" s="6">
        <f>IFERROR(__xludf.DUMMYFUNCTION("""COMPUTED_VALUE"""),46037.0)</f>
        <v>46037</v>
      </c>
      <c r="AH54" s="4"/>
      <c r="AI54" s="4"/>
    </row>
    <row r="55" ht="15.75" customHeight="1">
      <c r="A55" s="4" t="str">
        <f>IFERROR(__xludf.DUMMYFUNCTION("""COMPUTED_VALUE"""),"8cc759e1")</f>
        <v>8cc759e1</v>
      </c>
      <c r="B55" s="5">
        <f>IFERROR(__xludf.DUMMYFUNCTION("""COMPUTED_VALUE"""),46037.87627314815)</f>
        <v>46037.87627</v>
      </c>
      <c r="C55" s="4" t="str">
        <f>IFERROR(__xludf.DUMMYFUNCTION("""COMPUTED_VALUE"""),"-6.899247, 107.641308")</f>
        <v>-6.899247, 107.641308</v>
      </c>
      <c r="D55" s="4" t="str">
        <f>IFERROR(__xludf.DUMMYFUNCTION("""COMPUTED_VALUE"""),"Sandi angga")</f>
        <v>Sandi angga</v>
      </c>
      <c r="E55" s="4" t="str">
        <f>IFERROR(__xludf.DUMMYFUNCTION("""COMPUTED_VALUE"""),"BANDUNG")</f>
        <v>BANDUNG</v>
      </c>
      <c r="F55" s="4" t="str">
        <f>IFERROR(__xludf.DUMMYFUNCTION("""COMPUTED_VALUE"""),"BANDUNG TIMUR")</f>
        <v>BANDUNG TIMUR</v>
      </c>
      <c r="G55" s="4" t="str">
        <f>IFERROR(__xludf.DUMMYFUNCTION("""COMPUTED_VALUE"""),"KIARACONDONG")</f>
        <v>KIARACONDONG</v>
      </c>
      <c r="H55" s="4" t="str">
        <f>IFERROR(__xludf.DUMMYFUNCTION("""COMPUTED_VALUE"""),"KPO")</f>
        <v>KPO</v>
      </c>
      <c r="I55" s="4" t="str">
        <f>IFERROR(__xludf.DUMMYFUNCTION("""COMPUTED_VALUE"""),"RAT- REC. BKRB")</f>
        <v>RAT- REC. BKRB</v>
      </c>
      <c r="J55" s="4" t="str">
        <f>IFERROR(__xludf.DUMMYFUNCTION("""COMPUTED_VALUE"""),"ZONA 2")</f>
        <v>ZONA 2</v>
      </c>
      <c r="K55" s="4" t="str">
        <f>IFERROR(__xludf.DUMMYFUNCTION("""COMPUTED_VALUE"""),"060")</f>
        <v>060</v>
      </c>
      <c r="L55" s="4" t="str">
        <f>IFERROR(__xludf.DUMMYFUNCTION("""COMPUTED_VALUE"""),"TM - 16B/H (REC/SSO/LBS)")</f>
        <v>TM - 16B/H (REC/SSO/LBS)</v>
      </c>
      <c r="M55" s="4" t="str">
        <f>IFERROR(__xludf.DUMMYFUNCTION("""COMPUTED_VALUE"""),"REC")</f>
        <v>REC</v>
      </c>
      <c r="N55" s="4" t="str">
        <f>IFERROR(__xludf.DUMMYFUNCTION("""COMPUTED_VALUE"""),"BKRB")</f>
        <v>BKRB</v>
      </c>
      <c r="O55" s="4" t="str">
        <f>IFERROR(__xludf.DUMMYFUNCTION("""COMPUTED_VALUE"""),"PEMBANDING SEJENIS")</f>
        <v>PEMBANDING SEJENIS</v>
      </c>
      <c r="P55" s="4" t="str">
        <f>IFERROR(__xludf.DUMMYFUNCTION("""COMPUTED_VALUE"""),"KONEKTOR/JUMPER")</f>
        <v>KONEKTOR/JUMPER</v>
      </c>
      <c r="Q55" s="4">
        <f>IFERROR(__xludf.DUMMYFUNCTION("""COMPUTED_VALUE"""),21.0)</f>
        <v>21</v>
      </c>
      <c r="R55" s="4">
        <f>IFERROR(__xludf.DUMMYFUNCTION("""COMPUTED_VALUE"""),21.0)</f>
        <v>21</v>
      </c>
      <c r="S55" s="4">
        <f>IFERROR(__xludf.DUMMYFUNCTION("""COMPUTED_VALUE"""),20.0)</f>
        <v>20</v>
      </c>
      <c r="T55" s="4"/>
      <c r="U55" s="4" t="str">
        <f>IFERROR(__xludf.DUMMYFUNCTION("""COMPUTED_VALUE"""),"BAIK")</f>
        <v>BAIK</v>
      </c>
      <c r="V55" s="4" t="str">
        <f>IFERROR(__xludf.DUMMYFUNCTION("""COMPUTED_VALUE"""),"Tidak Ada")</f>
        <v>Tidak Ada</v>
      </c>
      <c r="W55" s="4"/>
      <c r="X55" s="4"/>
      <c r="Y55" s="4"/>
      <c r="Z55" s="4"/>
      <c r="AA55" s="4"/>
      <c r="AB55" s="4"/>
      <c r="AC55" s="4" t="str">
        <f>IFERROR(__xludf.DUMMYFUNCTION("""COMPUTED_VALUE"""),"INSPEKSI SUTM - T2_Images/8cc759e1.FOTO.140310.jpg")</f>
        <v>INSPEKSI SUTM - T2_Images/8cc759e1.FOTO.140310.jpg</v>
      </c>
      <c r="AD55" s="4"/>
      <c r="AE55" s="4"/>
      <c r="AF55" s="4" t="str">
        <f>IFERROR(__xludf.DUMMYFUNCTION("""COMPUTED_VALUE"""),"BELUM")</f>
        <v>BELUM</v>
      </c>
      <c r="AG55" s="6">
        <f>IFERROR(__xludf.DUMMYFUNCTION("""COMPUTED_VALUE"""),46037.0)</f>
        <v>46037</v>
      </c>
      <c r="AH55" s="4"/>
      <c r="AI55" s="4"/>
    </row>
    <row r="56" ht="15.75" customHeight="1">
      <c r="A56" s="4" t="str">
        <f>IFERROR(__xludf.DUMMYFUNCTION("""COMPUTED_VALUE"""),"9c36c224")</f>
        <v>9c36c224</v>
      </c>
      <c r="B56" s="5">
        <f>IFERROR(__xludf.DUMMYFUNCTION("""COMPUTED_VALUE"""),46037.87755787037)</f>
        <v>46037.87756</v>
      </c>
      <c r="C56" s="4" t="str">
        <f>IFERROR(__xludf.DUMMYFUNCTION("""COMPUTED_VALUE"""),"-6.899237, 107.641307")</f>
        <v>-6.899237, 107.641307</v>
      </c>
      <c r="D56" s="4" t="str">
        <f>IFERROR(__xludf.DUMMYFUNCTION("""COMPUTED_VALUE"""),"Sandi angga")</f>
        <v>Sandi angga</v>
      </c>
      <c r="E56" s="4" t="str">
        <f>IFERROR(__xludf.DUMMYFUNCTION("""COMPUTED_VALUE"""),"BANDUNG")</f>
        <v>BANDUNG</v>
      </c>
      <c r="F56" s="4" t="str">
        <f>IFERROR(__xludf.DUMMYFUNCTION("""COMPUTED_VALUE"""),"BANDUNG TIMUR")</f>
        <v>BANDUNG TIMUR</v>
      </c>
      <c r="G56" s="4" t="str">
        <f>IFERROR(__xludf.DUMMYFUNCTION("""COMPUTED_VALUE"""),"KIARACONDONG")</f>
        <v>KIARACONDONG</v>
      </c>
      <c r="H56" s="4" t="str">
        <f>IFERROR(__xludf.DUMMYFUNCTION("""COMPUTED_VALUE"""),"KPO")</f>
        <v>KPO</v>
      </c>
      <c r="I56" s="4" t="str">
        <f>IFERROR(__xludf.DUMMYFUNCTION("""COMPUTED_VALUE"""),"REC. BKRB-BGC")</f>
        <v>REC. BKRB-BGC</v>
      </c>
      <c r="J56" s="4" t="str">
        <f>IFERROR(__xludf.DUMMYFUNCTION("""COMPUTED_VALUE"""),"ZONA 2")</f>
        <v>ZONA 2</v>
      </c>
      <c r="K56" s="4" t="str">
        <f>IFERROR(__xludf.DUMMYFUNCTION("""COMPUTED_VALUE"""),"062")</f>
        <v>062</v>
      </c>
      <c r="L56" s="4" t="str">
        <f>IFERROR(__xludf.DUMMYFUNCTION("""COMPUTED_VALUE"""),"TM - 1B/H (Tumpu)")</f>
        <v>TM - 1B/H (Tumpu)</v>
      </c>
      <c r="M56" s="4" t="str">
        <f>IFERROR(__xludf.DUMMYFUNCTION("""COMPUTED_VALUE"""),"Tidak Ada")</f>
        <v>Tidak Ada</v>
      </c>
      <c r="N56" s="4"/>
      <c r="O56" s="4" t="str">
        <f>IFERROR(__xludf.DUMMYFUNCTION("""COMPUTED_VALUE"""),"PEMBANDING SEJENIS")</f>
        <v>PEMBANDING SEJENIS</v>
      </c>
      <c r="P56" s="4" t="str">
        <f>IFERROR(__xludf.DUMMYFUNCTION("""COMPUTED_VALUE"""),"ARRESTER")</f>
        <v>ARRESTER</v>
      </c>
      <c r="Q56" s="4">
        <f>IFERROR(__xludf.DUMMYFUNCTION("""COMPUTED_VALUE"""),23.0)</f>
        <v>23</v>
      </c>
      <c r="R56" s="4">
        <f>IFERROR(__xludf.DUMMYFUNCTION("""COMPUTED_VALUE"""),23.0)</f>
        <v>23</v>
      </c>
      <c r="S56" s="4">
        <f>IFERROR(__xludf.DUMMYFUNCTION("""COMPUTED_VALUE"""),23.0)</f>
        <v>23</v>
      </c>
      <c r="T56" s="4"/>
      <c r="U56" s="4" t="str">
        <f>IFERROR(__xludf.DUMMYFUNCTION("""COMPUTED_VALUE"""),"BAIK")</f>
        <v>BAIK</v>
      </c>
      <c r="V56" s="4" t="str">
        <f>IFERROR(__xludf.DUMMYFUNCTION("""COMPUTED_VALUE"""),"Tidak Ada")</f>
        <v>Tidak Ada</v>
      </c>
      <c r="W56" s="4"/>
      <c r="X56" s="4"/>
      <c r="Y56" s="4"/>
      <c r="Z56" s="4"/>
      <c r="AA56" s="4"/>
      <c r="AB56" s="4"/>
      <c r="AC56" s="4" t="str">
        <f>IFERROR(__xludf.DUMMYFUNCTION("""COMPUTED_VALUE"""),"INSPEKSI SUTM - T2_Images/9c36c224.FOTO.140434.jpg")</f>
        <v>INSPEKSI SUTM - T2_Images/9c36c224.FOTO.140434.jpg</v>
      </c>
      <c r="AD56" s="4"/>
      <c r="AE56" s="4"/>
      <c r="AF56" s="4" t="str">
        <f>IFERROR(__xludf.DUMMYFUNCTION("""COMPUTED_VALUE"""),"BELUM")</f>
        <v>BELUM</v>
      </c>
      <c r="AG56" s="6">
        <f>IFERROR(__xludf.DUMMYFUNCTION("""COMPUTED_VALUE"""),46037.0)</f>
        <v>46037</v>
      </c>
      <c r="AH56" s="4"/>
      <c r="AI56" s="4"/>
    </row>
    <row r="57" ht="15.75" customHeight="1">
      <c r="A57" s="4" t="str">
        <f>IFERROR(__xludf.DUMMYFUNCTION("""COMPUTED_VALUE"""),"34864be3")</f>
        <v>34864be3</v>
      </c>
      <c r="B57" s="5">
        <f>IFERROR(__xludf.DUMMYFUNCTION("""COMPUTED_VALUE"""),46037.878275462965)</f>
        <v>46037.87828</v>
      </c>
      <c r="C57" s="4" t="str">
        <f>IFERROR(__xludf.DUMMYFUNCTION("""COMPUTED_VALUE"""),"-6.899232, 107.641304")</f>
        <v>-6.899232, 107.641304</v>
      </c>
      <c r="D57" s="4" t="str">
        <f>IFERROR(__xludf.DUMMYFUNCTION("""COMPUTED_VALUE"""),"Sandi angga")</f>
        <v>Sandi angga</v>
      </c>
      <c r="E57" s="4" t="str">
        <f>IFERROR(__xludf.DUMMYFUNCTION("""COMPUTED_VALUE"""),"BANDUNG")</f>
        <v>BANDUNG</v>
      </c>
      <c r="F57" s="4" t="str">
        <f>IFERROR(__xludf.DUMMYFUNCTION("""COMPUTED_VALUE"""),"BANDUNG TIMUR")</f>
        <v>BANDUNG TIMUR</v>
      </c>
      <c r="G57" s="4" t="str">
        <f>IFERROR(__xludf.DUMMYFUNCTION("""COMPUTED_VALUE"""),"KIARACONDONG")</f>
        <v>KIARACONDONG</v>
      </c>
      <c r="H57" s="4" t="str">
        <f>IFERROR(__xludf.DUMMYFUNCTION("""COMPUTED_VALUE"""),"KPO")</f>
        <v>KPO</v>
      </c>
      <c r="I57" s="4" t="str">
        <f>IFERROR(__xludf.DUMMYFUNCTION("""COMPUTED_VALUE"""),"REC. BKRB-BGC")</f>
        <v>REC. BKRB-BGC</v>
      </c>
      <c r="J57" s="4" t="str">
        <f>IFERROR(__xludf.DUMMYFUNCTION("""COMPUTED_VALUE"""),"ZONA 2")</f>
        <v>ZONA 2</v>
      </c>
      <c r="K57" s="4" t="str">
        <f>IFERROR(__xludf.DUMMYFUNCTION("""COMPUTED_VALUE"""),"070")</f>
        <v>070</v>
      </c>
      <c r="L57" s="4" t="str">
        <f>IFERROR(__xludf.DUMMYFUNCTION("""COMPUTED_VALUE"""),"TM - 13B/H (Kabel Naik Pada Tiang Tumpu)")</f>
        <v>TM - 13B/H (Kabel Naik Pada Tiang Tumpu)</v>
      </c>
      <c r="M57" s="4" t="str">
        <f>IFERROR(__xludf.DUMMYFUNCTION("""COMPUTED_VALUE"""),"Gardu")</f>
        <v>Gardu</v>
      </c>
      <c r="N57" s="4" t="str">
        <f>IFERROR(__xludf.DUMMYFUNCTION("""COMPUTED_VALUE"""),"BKRA")</f>
        <v>BKRA</v>
      </c>
      <c r="O57" s="4" t="str">
        <f>IFERROR(__xludf.DUMMYFUNCTION("""COMPUTED_VALUE"""),"PEMBANDING SEJENIS")</f>
        <v>PEMBANDING SEJENIS</v>
      </c>
      <c r="P57" s="4" t="str">
        <f>IFERROR(__xludf.DUMMYFUNCTION("""COMPUTED_VALUE"""),"TERMINASI")</f>
        <v>TERMINASI</v>
      </c>
      <c r="Q57" s="4">
        <f>IFERROR(__xludf.DUMMYFUNCTION("""COMPUTED_VALUE"""),18.0)</f>
        <v>18</v>
      </c>
      <c r="R57" s="4">
        <f>IFERROR(__xludf.DUMMYFUNCTION("""COMPUTED_VALUE"""),20.0)</f>
        <v>20</v>
      </c>
      <c r="S57" s="4">
        <f>IFERROR(__xludf.DUMMYFUNCTION("""COMPUTED_VALUE"""),21.0)</f>
        <v>21</v>
      </c>
      <c r="T57" s="4"/>
      <c r="U57" s="4" t="str">
        <f>IFERROR(__xludf.DUMMYFUNCTION("""COMPUTED_VALUE"""),"CUKUP")</f>
        <v>CUKUP</v>
      </c>
      <c r="V57" s="4" t="str">
        <f>IFERROR(__xludf.DUMMYFUNCTION("""COMPUTED_VALUE"""),"Tidak Ada")</f>
        <v>Tidak Ada</v>
      </c>
      <c r="W57" s="4"/>
      <c r="X57" s="4"/>
      <c r="Y57" s="4"/>
      <c r="Z57" s="4"/>
      <c r="AA57" s="4"/>
      <c r="AB57" s="4"/>
      <c r="AC57" s="4" t="str">
        <f>IFERROR(__xludf.DUMMYFUNCTION("""COMPUTED_VALUE"""),"INSPEKSI SUTM - T2_Images/34864be3.FOTO.140541.jpg")</f>
        <v>INSPEKSI SUTM - T2_Images/34864be3.FOTO.140541.jpg</v>
      </c>
      <c r="AD57" s="4"/>
      <c r="AE57" s="4"/>
      <c r="AF57" s="4" t="str">
        <f>IFERROR(__xludf.DUMMYFUNCTION("""COMPUTED_VALUE"""),"BELUM")</f>
        <v>BELUM</v>
      </c>
      <c r="AG57" s="6">
        <f>IFERROR(__xludf.DUMMYFUNCTION("""COMPUTED_VALUE"""),46037.0)</f>
        <v>46037</v>
      </c>
      <c r="AH57" s="4"/>
      <c r="AI57" s="4"/>
    </row>
    <row r="58" ht="15.75" customHeight="1">
      <c r="A58" s="4" t="str">
        <f>IFERROR(__xludf.DUMMYFUNCTION("""COMPUTED_VALUE"""),"0d37c858")</f>
        <v>0d37c858</v>
      </c>
      <c r="B58" s="5">
        <f>IFERROR(__xludf.DUMMYFUNCTION("""COMPUTED_VALUE"""),46037.879016203704)</f>
        <v>46037.87902</v>
      </c>
      <c r="C58" s="4" t="str">
        <f>IFERROR(__xludf.DUMMYFUNCTION("""COMPUTED_VALUE"""),"-6.899241, 107.641310")</f>
        <v>-6.899241, 107.641310</v>
      </c>
      <c r="D58" s="4" t="str">
        <f>IFERROR(__xludf.DUMMYFUNCTION("""COMPUTED_VALUE"""),"Sandi angga")</f>
        <v>Sandi angga</v>
      </c>
      <c r="E58" s="4" t="str">
        <f>IFERROR(__xludf.DUMMYFUNCTION("""COMPUTED_VALUE"""),"BANDUNG")</f>
        <v>BANDUNG</v>
      </c>
      <c r="F58" s="4" t="str">
        <f>IFERROR(__xludf.DUMMYFUNCTION("""COMPUTED_VALUE"""),"BANDUNG TIMUR")</f>
        <v>BANDUNG TIMUR</v>
      </c>
      <c r="G58" s="4" t="str">
        <f>IFERROR(__xludf.DUMMYFUNCTION("""COMPUTED_VALUE"""),"KIARACONDONG")</f>
        <v>KIARACONDONG</v>
      </c>
      <c r="H58" s="4" t="str">
        <f>IFERROR(__xludf.DUMMYFUNCTION("""COMPUTED_VALUE"""),"KPO")</f>
        <v>KPO</v>
      </c>
      <c r="I58" s="4" t="str">
        <f>IFERROR(__xludf.DUMMYFUNCTION("""COMPUTED_VALUE"""),"REC. BKRB-BGC")</f>
        <v>REC. BKRB-BGC</v>
      </c>
      <c r="J58" s="4" t="str">
        <f>IFERROR(__xludf.DUMMYFUNCTION("""COMPUTED_VALUE"""),"ZONA 2")</f>
        <v>ZONA 2</v>
      </c>
      <c r="K58" s="4" t="str">
        <f>IFERROR(__xludf.DUMMYFUNCTION("""COMPUTED_VALUE"""),"070L01")</f>
        <v>070L01</v>
      </c>
      <c r="L58" s="4" t="str">
        <f>IFERROR(__xludf.DUMMYFUNCTION("""COMPUTED_VALUE"""),"TM - 13B/H (Kabel Naik Pada Tiang Tumpu)")</f>
        <v>TM - 13B/H (Kabel Naik Pada Tiang Tumpu)</v>
      </c>
      <c r="M58" s="4" t="str">
        <f>IFERROR(__xludf.DUMMYFUNCTION("""COMPUTED_VALUE"""),"Gardu")</f>
        <v>Gardu</v>
      </c>
      <c r="N58" s="4" t="str">
        <f>IFERROR(__xludf.DUMMYFUNCTION("""COMPUTED_VALUE"""),"YZT")</f>
        <v>YZT</v>
      </c>
      <c r="O58" s="4" t="str">
        <f>IFERROR(__xludf.DUMMYFUNCTION("""COMPUTED_VALUE"""),"PEMBANDING SEJENIS")</f>
        <v>PEMBANDING SEJENIS</v>
      </c>
      <c r="P58" s="4" t="str">
        <f>IFERROR(__xludf.DUMMYFUNCTION("""COMPUTED_VALUE"""),"TERMINASI")</f>
        <v>TERMINASI</v>
      </c>
      <c r="Q58" s="4">
        <f>IFERROR(__xludf.DUMMYFUNCTION("""COMPUTED_VALUE"""),22.0)</f>
        <v>22</v>
      </c>
      <c r="R58" s="4">
        <f>IFERROR(__xludf.DUMMYFUNCTION("""COMPUTED_VALUE"""),19.0)</f>
        <v>19</v>
      </c>
      <c r="S58" s="4">
        <f>IFERROR(__xludf.DUMMYFUNCTION("""COMPUTED_VALUE"""),21.0)</f>
        <v>21</v>
      </c>
      <c r="T58" s="4"/>
      <c r="U58" s="4" t="str">
        <f>IFERROR(__xludf.DUMMYFUNCTION("""COMPUTED_VALUE"""),"CUKUP")</f>
        <v>CUKUP</v>
      </c>
      <c r="V58" s="4" t="str">
        <f>IFERROR(__xludf.DUMMYFUNCTION("""COMPUTED_VALUE"""),"Tidak Ada")</f>
        <v>Tidak Ada</v>
      </c>
      <c r="W58" s="4"/>
      <c r="X58" s="4"/>
      <c r="Y58" s="4"/>
      <c r="Z58" s="4"/>
      <c r="AA58" s="4"/>
      <c r="AB58" s="4"/>
      <c r="AC58" s="4" t="str">
        <f>IFERROR(__xludf.DUMMYFUNCTION("""COMPUTED_VALUE"""),"INSPEKSI SUTM - T2_Images/0d37c858.FOTO.140636.jpg")</f>
        <v>INSPEKSI SUTM - T2_Images/0d37c858.FOTO.140636.jpg</v>
      </c>
      <c r="AD58" s="4"/>
      <c r="AE58" s="4"/>
      <c r="AF58" s="4" t="str">
        <f>IFERROR(__xludf.DUMMYFUNCTION("""COMPUTED_VALUE"""),"BELUM")</f>
        <v>BELUM</v>
      </c>
      <c r="AG58" s="6">
        <f>IFERROR(__xludf.DUMMYFUNCTION("""COMPUTED_VALUE"""),46037.0)</f>
        <v>46037</v>
      </c>
      <c r="AH58" s="4"/>
      <c r="AI58" s="4"/>
    </row>
    <row r="59" ht="15.75" customHeight="1">
      <c r="A59" s="4" t="str">
        <f>IFERROR(__xludf.DUMMYFUNCTION("""COMPUTED_VALUE"""),"da627fdd")</f>
        <v>da627fdd</v>
      </c>
      <c r="B59" s="5">
        <f>IFERROR(__xludf.DUMMYFUNCTION("""COMPUTED_VALUE"""),46037.87966435185)</f>
        <v>46037.87966</v>
      </c>
      <c r="C59" s="4" t="str">
        <f>IFERROR(__xludf.DUMMYFUNCTION("""COMPUTED_VALUE"""),"-6.899245, 107.641321")</f>
        <v>-6.899245, 107.641321</v>
      </c>
      <c r="D59" s="4" t="str">
        <f>IFERROR(__xludf.DUMMYFUNCTION("""COMPUTED_VALUE"""),"Sandi angga")</f>
        <v>Sandi angga</v>
      </c>
      <c r="E59" s="4" t="str">
        <f>IFERROR(__xludf.DUMMYFUNCTION("""COMPUTED_VALUE"""),"BANDUNG")</f>
        <v>BANDUNG</v>
      </c>
      <c r="F59" s="4" t="str">
        <f>IFERROR(__xludf.DUMMYFUNCTION("""COMPUTED_VALUE"""),"BANDUNG TIMUR")</f>
        <v>BANDUNG TIMUR</v>
      </c>
      <c r="G59" s="4" t="str">
        <f>IFERROR(__xludf.DUMMYFUNCTION("""COMPUTED_VALUE"""),"KIARACONDONG")</f>
        <v>KIARACONDONG</v>
      </c>
      <c r="H59" s="4" t="str">
        <f>IFERROR(__xludf.DUMMYFUNCTION("""COMPUTED_VALUE"""),"KPO")</f>
        <v>KPO</v>
      </c>
      <c r="I59" s="4" t="str">
        <f>IFERROR(__xludf.DUMMYFUNCTION("""COMPUTED_VALUE"""),"REC. BKRB-BGC")</f>
        <v>REC. BKRB-BGC</v>
      </c>
      <c r="J59" s="4" t="str">
        <f>IFERROR(__xludf.DUMMYFUNCTION("""COMPUTED_VALUE"""),"ZONA 2")</f>
        <v>ZONA 2</v>
      </c>
      <c r="K59" s="4" t="str">
        <f>IFERROR(__xludf.DUMMYFUNCTION("""COMPUTED_VALUE"""),"073")</f>
        <v>073</v>
      </c>
      <c r="L59" s="4" t="str">
        <f>IFERROR(__xludf.DUMMYFUNCTION("""COMPUTED_VALUE"""),"TM - 4B/H (Afspan)")</f>
        <v>TM - 4B/H (Afspan)</v>
      </c>
      <c r="M59" s="4" t="str">
        <f>IFERROR(__xludf.DUMMYFUNCTION("""COMPUTED_VALUE"""),"Tidak Ada")</f>
        <v>Tidak Ada</v>
      </c>
      <c r="N59" s="4"/>
      <c r="O59" s="4" t="str">
        <f>IFERROR(__xludf.DUMMYFUNCTION("""COMPUTED_VALUE"""),"PEMBANDING SEJENIS")</f>
        <v>PEMBANDING SEJENIS</v>
      </c>
      <c r="P59" s="4" t="str">
        <f>IFERROR(__xludf.DUMMYFUNCTION("""COMPUTED_VALUE"""),"KONEKTOR/JUMPER")</f>
        <v>KONEKTOR/JUMPER</v>
      </c>
      <c r="Q59" s="4">
        <f>IFERROR(__xludf.DUMMYFUNCTION("""COMPUTED_VALUE"""),22.0)</f>
        <v>22</v>
      </c>
      <c r="R59" s="4">
        <f>IFERROR(__xludf.DUMMYFUNCTION("""COMPUTED_VALUE"""),21.0)</f>
        <v>21</v>
      </c>
      <c r="S59" s="4">
        <f>IFERROR(__xludf.DUMMYFUNCTION("""COMPUTED_VALUE"""),22.0)</f>
        <v>22</v>
      </c>
      <c r="T59" s="4"/>
      <c r="U59" s="4" t="str">
        <f>IFERROR(__xludf.DUMMYFUNCTION("""COMPUTED_VALUE"""),"BAIK")</f>
        <v>BAIK</v>
      </c>
      <c r="V59" s="4" t="str">
        <f>IFERROR(__xludf.DUMMYFUNCTION("""COMPUTED_VALUE"""),"Tidak Ada")</f>
        <v>Tidak Ada</v>
      </c>
      <c r="W59" s="4"/>
      <c r="X59" s="4"/>
      <c r="Y59" s="4"/>
      <c r="Z59" s="4"/>
      <c r="AA59" s="4"/>
      <c r="AB59" s="4"/>
      <c r="AC59" s="4" t="str">
        <f>IFERROR(__xludf.DUMMYFUNCTION("""COMPUTED_VALUE"""),"INSPEKSI SUTM - T2_Images/da627fdd.FOTO.140736.jpg")</f>
        <v>INSPEKSI SUTM - T2_Images/da627fdd.FOTO.140736.jpg</v>
      </c>
      <c r="AD59" s="4"/>
      <c r="AE59" s="4"/>
      <c r="AF59" s="4" t="str">
        <f>IFERROR(__xludf.DUMMYFUNCTION("""COMPUTED_VALUE"""),"BELUM")</f>
        <v>BELUM</v>
      </c>
      <c r="AG59" s="6">
        <f>IFERROR(__xludf.DUMMYFUNCTION("""COMPUTED_VALUE"""),46037.0)</f>
        <v>46037</v>
      </c>
      <c r="AH59" s="4"/>
      <c r="AI59" s="4"/>
    </row>
    <row r="60" ht="15.75" customHeight="1">
      <c r="A60" s="4" t="str">
        <f>IFERROR(__xludf.DUMMYFUNCTION("""COMPUTED_VALUE"""),"01e18fc1")</f>
        <v>01e18fc1</v>
      </c>
      <c r="B60" s="5">
        <f>IFERROR(__xludf.DUMMYFUNCTION("""COMPUTED_VALUE"""),46037.88049768518)</f>
        <v>46037.8805</v>
      </c>
      <c r="C60" s="4" t="str">
        <f>IFERROR(__xludf.DUMMYFUNCTION("""COMPUTED_VALUE"""),"-6.899245, 107.641326")</f>
        <v>-6.899245, 107.641326</v>
      </c>
      <c r="D60" s="4" t="str">
        <f>IFERROR(__xludf.DUMMYFUNCTION("""COMPUTED_VALUE"""),"Sandi angga")</f>
        <v>Sandi angga</v>
      </c>
      <c r="E60" s="4" t="str">
        <f>IFERROR(__xludf.DUMMYFUNCTION("""COMPUTED_VALUE"""),"BANDUNG")</f>
        <v>BANDUNG</v>
      </c>
      <c r="F60" s="4" t="str">
        <f>IFERROR(__xludf.DUMMYFUNCTION("""COMPUTED_VALUE"""),"BANDUNG TIMUR")</f>
        <v>BANDUNG TIMUR</v>
      </c>
      <c r="G60" s="4" t="str">
        <f>IFERROR(__xludf.DUMMYFUNCTION("""COMPUTED_VALUE"""),"KIARACONDONG")</f>
        <v>KIARACONDONG</v>
      </c>
      <c r="H60" s="4" t="str">
        <f>IFERROR(__xludf.DUMMYFUNCTION("""COMPUTED_VALUE"""),"KPO")</f>
        <v>KPO</v>
      </c>
      <c r="I60" s="4" t="str">
        <f>IFERROR(__xludf.DUMMYFUNCTION("""COMPUTED_VALUE"""),"REC. BKRB-BGC")</f>
        <v>REC. BKRB-BGC</v>
      </c>
      <c r="J60" s="4" t="str">
        <f>IFERROR(__xludf.DUMMYFUNCTION("""COMPUTED_VALUE"""),"ZONA 2")</f>
        <v>ZONA 2</v>
      </c>
      <c r="K60" s="4" t="str">
        <f>IFERROR(__xludf.DUMMYFUNCTION("""COMPUTED_VALUE"""),"076")</f>
        <v>076</v>
      </c>
      <c r="L60" s="4" t="str">
        <f>IFERROR(__xludf.DUMMYFUNCTION("""COMPUTED_VALUE"""),"TM - 8B/H (Percabangan)")</f>
        <v>TM - 8B/H (Percabangan)</v>
      </c>
      <c r="M60" s="4" t="str">
        <f>IFERROR(__xludf.DUMMYFUNCTION("""COMPUTED_VALUE"""),"Tidak Ada")</f>
        <v>Tidak Ada</v>
      </c>
      <c r="N60" s="4"/>
      <c r="O60" s="4" t="str">
        <f>IFERROR(__xludf.DUMMYFUNCTION("""COMPUTED_VALUE"""),"PEMBANDING SEJENIS")</f>
        <v>PEMBANDING SEJENIS</v>
      </c>
      <c r="P60" s="4" t="str">
        <f>IFERROR(__xludf.DUMMYFUNCTION("""COMPUTED_VALUE"""),"KONEKTOR/JUMPER")</f>
        <v>KONEKTOR/JUMPER</v>
      </c>
      <c r="Q60" s="4">
        <f>IFERROR(__xludf.DUMMYFUNCTION("""COMPUTED_VALUE"""),23.0)</f>
        <v>23</v>
      </c>
      <c r="R60" s="4">
        <f>IFERROR(__xludf.DUMMYFUNCTION("""COMPUTED_VALUE"""),22.0)</f>
        <v>22</v>
      </c>
      <c r="S60" s="4">
        <f>IFERROR(__xludf.DUMMYFUNCTION("""COMPUTED_VALUE"""),23.0)</f>
        <v>23</v>
      </c>
      <c r="T60" s="4"/>
      <c r="U60" s="4" t="str">
        <f>IFERROR(__xludf.DUMMYFUNCTION("""COMPUTED_VALUE"""),"BAIK")</f>
        <v>BAIK</v>
      </c>
      <c r="V60" s="4" t="str">
        <f>IFERROR(__xludf.DUMMYFUNCTION("""COMPUTED_VALUE"""),"Tidak Ada")</f>
        <v>Tidak Ada</v>
      </c>
      <c r="W60" s="4"/>
      <c r="X60" s="4"/>
      <c r="Y60" s="4"/>
      <c r="Z60" s="4"/>
      <c r="AA60" s="4"/>
      <c r="AB60" s="4"/>
      <c r="AC60" s="4" t="str">
        <f>IFERROR(__xludf.DUMMYFUNCTION("""COMPUTED_VALUE"""),"INSPEKSI SUTM - T2_Images/01e18fc1.FOTO.140839.jpg")</f>
        <v>INSPEKSI SUTM - T2_Images/01e18fc1.FOTO.140839.jpg</v>
      </c>
      <c r="AD60" s="4"/>
      <c r="AE60" s="4"/>
      <c r="AF60" s="4" t="str">
        <f>IFERROR(__xludf.DUMMYFUNCTION("""COMPUTED_VALUE"""),"BELUM")</f>
        <v>BELUM</v>
      </c>
      <c r="AG60" s="6">
        <f>IFERROR(__xludf.DUMMYFUNCTION("""COMPUTED_VALUE"""),46037.0)</f>
        <v>46037</v>
      </c>
      <c r="AH60" s="4"/>
      <c r="AI60" s="4"/>
    </row>
    <row r="61" ht="15.75" customHeight="1">
      <c r="A61" s="4" t="str">
        <f>IFERROR(__xludf.DUMMYFUNCTION("""COMPUTED_VALUE"""),"c34f4e3b")</f>
        <v>c34f4e3b</v>
      </c>
      <c r="B61" s="5">
        <f>IFERROR(__xludf.DUMMYFUNCTION("""COMPUTED_VALUE"""),46037.881574074076)</f>
        <v>46037.88157</v>
      </c>
      <c r="C61" s="4" t="str">
        <f>IFERROR(__xludf.DUMMYFUNCTION("""COMPUTED_VALUE"""),"-6.890200, 107.633373")</f>
        <v>-6.890200, 107.633373</v>
      </c>
      <c r="D61" s="4" t="str">
        <f>IFERROR(__xludf.DUMMYFUNCTION("""COMPUTED_VALUE"""),"Sandi angga")</f>
        <v>Sandi angga</v>
      </c>
      <c r="E61" s="4" t="str">
        <f>IFERROR(__xludf.DUMMYFUNCTION("""COMPUTED_VALUE"""),"BANDUNG")</f>
        <v>BANDUNG</v>
      </c>
      <c r="F61" s="4" t="str">
        <f>IFERROR(__xludf.DUMMYFUNCTION("""COMPUTED_VALUE"""),"BANDUNG TIMUR")</f>
        <v>BANDUNG TIMUR</v>
      </c>
      <c r="G61" s="4" t="str">
        <f>IFERROR(__xludf.DUMMYFUNCTION("""COMPUTED_VALUE"""),"KIARACONDONG")</f>
        <v>KIARACONDONG</v>
      </c>
      <c r="H61" s="4" t="str">
        <f>IFERROR(__xludf.DUMMYFUNCTION("""COMPUTED_VALUE"""),"KPO")</f>
        <v>KPO</v>
      </c>
      <c r="I61" s="4" t="str">
        <f>IFERROR(__xludf.DUMMYFUNCTION("""COMPUTED_VALUE"""),"REC. BKRB-BGC")</f>
        <v>REC. BKRB-BGC</v>
      </c>
      <c r="J61" s="4" t="str">
        <f>IFERROR(__xludf.DUMMYFUNCTION("""COMPUTED_VALUE"""),"ZONA 2")</f>
        <v>ZONA 2</v>
      </c>
      <c r="K61" s="4" t="str">
        <f>IFERROR(__xludf.DUMMYFUNCTION("""COMPUTED_VALUE"""),"076L01")</f>
        <v>076L01</v>
      </c>
      <c r="L61" s="4" t="str">
        <f>IFERROR(__xludf.DUMMYFUNCTION("""COMPUTED_VALUE"""),"TM - 4B/H (Afspan)")</f>
        <v>TM - 4B/H (Afspan)</v>
      </c>
      <c r="M61" s="4" t="str">
        <f>IFERROR(__xludf.DUMMYFUNCTION("""COMPUTED_VALUE"""),"Gardu")</f>
        <v>Gardu</v>
      </c>
      <c r="N61" s="4" t="str">
        <f>IFERROR(__xludf.DUMMYFUNCTION("""COMPUTED_VALUE"""),"PAR")</f>
        <v>PAR</v>
      </c>
      <c r="O61" s="4" t="str">
        <f>IFERROR(__xludf.DUMMYFUNCTION("""COMPUTED_VALUE"""),"PEMBANDING SEJENIS")</f>
        <v>PEMBANDING SEJENIS</v>
      </c>
      <c r="P61" s="4" t="str">
        <f>IFERROR(__xludf.DUMMYFUNCTION("""COMPUTED_VALUE"""),"KONEKTOR/JUMPER")</f>
        <v>KONEKTOR/JUMPER</v>
      </c>
      <c r="Q61" s="4">
        <f>IFERROR(__xludf.DUMMYFUNCTION("""COMPUTED_VALUE"""),21.0)</f>
        <v>21</v>
      </c>
      <c r="R61" s="4">
        <f>IFERROR(__xludf.DUMMYFUNCTION("""COMPUTED_VALUE"""),21.0)</f>
        <v>21</v>
      </c>
      <c r="S61" s="4">
        <f>IFERROR(__xludf.DUMMYFUNCTION("""COMPUTED_VALUE"""),21.0)</f>
        <v>21</v>
      </c>
      <c r="T61" s="4"/>
      <c r="U61" s="4" t="str">
        <f>IFERROR(__xludf.DUMMYFUNCTION("""COMPUTED_VALUE"""),"BAIK")</f>
        <v>BAIK</v>
      </c>
      <c r="V61" s="4" t="str">
        <f>IFERROR(__xludf.DUMMYFUNCTION("""COMPUTED_VALUE"""),"Tidak Ada")</f>
        <v>Tidak Ada</v>
      </c>
      <c r="W61" s="4"/>
      <c r="X61" s="4"/>
      <c r="Y61" s="4"/>
      <c r="Z61" s="4"/>
      <c r="AA61" s="4"/>
      <c r="AB61" s="4"/>
      <c r="AC61" s="4" t="str">
        <f>IFERROR(__xludf.DUMMYFUNCTION("""COMPUTED_VALUE"""),"INSPEKSI SUTM - T2_Images/c34f4e3b.FOTO.141014.jpg")</f>
        <v>INSPEKSI SUTM - T2_Images/c34f4e3b.FOTO.141014.jpg</v>
      </c>
      <c r="AD61" s="4"/>
      <c r="AE61" s="4"/>
      <c r="AF61" s="4" t="str">
        <f>IFERROR(__xludf.DUMMYFUNCTION("""COMPUTED_VALUE"""),"BELUM")</f>
        <v>BELUM</v>
      </c>
      <c r="AG61" s="6">
        <f>IFERROR(__xludf.DUMMYFUNCTION("""COMPUTED_VALUE"""),46037.0)</f>
        <v>46037</v>
      </c>
      <c r="AH61" s="4"/>
      <c r="AI61" s="4"/>
    </row>
    <row r="62" ht="15.75" customHeight="1">
      <c r="A62" s="4" t="str">
        <f>IFERROR(__xludf.DUMMYFUNCTION("""COMPUTED_VALUE"""),"18da6211")</f>
        <v>18da6211</v>
      </c>
      <c r="B62" s="5">
        <f>IFERROR(__xludf.DUMMYFUNCTION("""COMPUTED_VALUE"""),46037.88267361111)</f>
        <v>46037.88267</v>
      </c>
      <c r="C62" s="4" t="str">
        <f>IFERROR(__xludf.DUMMYFUNCTION("""COMPUTED_VALUE"""),"-6.890097, 107.633379")</f>
        <v>-6.890097, 107.633379</v>
      </c>
      <c r="D62" s="4" t="str">
        <f>IFERROR(__xludf.DUMMYFUNCTION("""COMPUTED_VALUE"""),"Sandi angga")</f>
        <v>Sandi angga</v>
      </c>
      <c r="E62" s="4" t="str">
        <f>IFERROR(__xludf.DUMMYFUNCTION("""COMPUTED_VALUE"""),"BANDUNG")</f>
        <v>BANDUNG</v>
      </c>
      <c r="F62" s="4" t="str">
        <f>IFERROR(__xludf.DUMMYFUNCTION("""COMPUTED_VALUE"""),"BANDUNG TIMUR")</f>
        <v>BANDUNG TIMUR</v>
      </c>
      <c r="G62" s="4" t="str">
        <f>IFERROR(__xludf.DUMMYFUNCTION("""COMPUTED_VALUE"""),"KIARACONDONG")</f>
        <v>KIARACONDONG</v>
      </c>
      <c r="H62" s="4" t="str">
        <f>IFERROR(__xludf.DUMMYFUNCTION("""COMPUTED_VALUE"""),"KPO")</f>
        <v>KPO</v>
      </c>
      <c r="I62" s="4" t="str">
        <f>IFERROR(__xludf.DUMMYFUNCTION("""COMPUTED_VALUE"""),"REC. BKRB-BGC")</f>
        <v>REC. BKRB-BGC</v>
      </c>
      <c r="J62" s="4" t="str">
        <f>IFERROR(__xludf.DUMMYFUNCTION("""COMPUTED_VALUE"""),"ZONA 2")</f>
        <v>ZONA 2</v>
      </c>
      <c r="K62" s="4" t="str">
        <f>IFERROR(__xludf.DUMMYFUNCTION("""COMPUTED_VALUE"""),"078")</f>
        <v>078</v>
      </c>
      <c r="L62" s="4" t="str">
        <f>IFERROR(__xludf.DUMMYFUNCTION("""COMPUTED_VALUE"""),"TM - 4B/H (Afspan)")</f>
        <v>TM - 4B/H (Afspan)</v>
      </c>
      <c r="M62" s="4" t="str">
        <f>IFERROR(__xludf.DUMMYFUNCTION("""COMPUTED_VALUE"""),"Tidak Ada")</f>
        <v>Tidak Ada</v>
      </c>
      <c r="N62" s="4"/>
      <c r="O62" s="4" t="str">
        <f>IFERROR(__xludf.DUMMYFUNCTION("""COMPUTED_VALUE"""),"PEMBANDING SEJENIS")</f>
        <v>PEMBANDING SEJENIS</v>
      </c>
      <c r="P62" s="4" t="str">
        <f>IFERROR(__xludf.DUMMYFUNCTION("""COMPUTED_VALUE"""),"KONEKTOR/JUMPER")</f>
        <v>KONEKTOR/JUMPER</v>
      </c>
      <c r="Q62" s="4">
        <f>IFERROR(__xludf.DUMMYFUNCTION("""COMPUTED_VALUE"""),22.0)</f>
        <v>22</v>
      </c>
      <c r="R62" s="4">
        <f>IFERROR(__xludf.DUMMYFUNCTION("""COMPUTED_VALUE"""),22.0)</f>
        <v>22</v>
      </c>
      <c r="S62" s="4">
        <f>IFERROR(__xludf.DUMMYFUNCTION("""COMPUTED_VALUE"""),21.0)</f>
        <v>21</v>
      </c>
      <c r="T62" s="4"/>
      <c r="U62" s="4" t="str">
        <f>IFERROR(__xludf.DUMMYFUNCTION("""COMPUTED_VALUE"""),"BAIK")</f>
        <v>BAIK</v>
      </c>
      <c r="V62" s="4" t="str">
        <f>IFERROR(__xludf.DUMMYFUNCTION("""COMPUTED_VALUE"""),"Tidak Ada")</f>
        <v>Tidak Ada</v>
      </c>
      <c r="W62" s="4"/>
      <c r="X62" s="4"/>
      <c r="Y62" s="4"/>
      <c r="Z62" s="4"/>
      <c r="AA62" s="4"/>
      <c r="AB62" s="4"/>
      <c r="AC62" s="4" t="str">
        <f>IFERROR(__xludf.DUMMYFUNCTION("""COMPUTED_VALUE"""),"INSPEKSI SUTM - T2_Images/18da6211.FOTO.141525.jpg")</f>
        <v>INSPEKSI SUTM - T2_Images/18da6211.FOTO.141525.jpg</v>
      </c>
      <c r="AD62" s="4"/>
      <c r="AE62" s="4"/>
      <c r="AF62" s="4" t="str">
        <f>IFERROR(__xludf.DUMMYFUNCTION("""COMPUTED_VALUE"""),"BELUM")</f>
        <v>BELUM</v>
      </c>
      <c r="AG62" s="6">
        <f>IFERROR(__xludf.DUMMYFUNCTION("""COMPUTED_VALUE"""),46037.0)</f>
        <v>46037</v>
      </c>
      <c r="AH62" s="4"/>
      <c r="AI62" s="4"/>
    </row>
    <row r="63" ht="15.75" customHeight="1">
      <c r="A63" s="4" t="str">
        <f>IFERROR(__xludf.DUMMYFUNCTION("""COMPUTED_VALUE"""),"87f978fc")</f>
        <v>87f978fc</v>
      </c>
      <c r="B63" s="5">
        <f>IFERROR(__xludf.DUMMYFUNCTION("""COMPUTED_VALUE"""),46037.883252314816)</f>
        <v>46037.88325</v>
      </c>
      <c r="C63" s="4" t="str">
        <f>IFERROR(__xludf.DUMMYFUNCTION("""COMPUTED_VALUE"""),"-6.899227, 107.641348")</f>
        <v>-6.899227, 107.641348</v>
      </c>
      <c r="D63" s="4" t="str">
        <f>IFERROR(__xludf.DUMMYFUNCTION("""COMPUTED_VALUE"""),"Sandi angga")</f>
        <v>Sandi angga</v>
      </c>
      <c r="E63" s="4" t="str">
        <f>IFERROR(__xludf.DUMMYFUNCTION("""COMPUTED_VALUE"""),"BANDUNG")</f>
        <v>BANDUNG</v>
      </c>
      <c r="F63" s="4" t="str">
        <f>IFERROR(__xludf.DUMMYFUNCTION("""COMPUTED_VALUE"""),"BANDUNG TIMUR")</f>
        <v>BANDUNG TIMUR</v>
      </c>
      <c r="G63" s="4" t="str">
        <f>IFERROR(__xludf.DUMMYFUNCTION("""COMPUTED_VALUE"""),"KIARACONDONG")</f>
        <v>KIARACONDONG</v>
      </c>
      <c r="H63" s="4" t="str">
        <f>IFERROR(__xludf.DUMMYFUNCTION("""COMPUTED_VALUE"""),"KPO")</f>
        <v>KPO</v>
      </c>
      <c r="I63" s="4" t="str">
        <f>IFERROR(__xludf.DUMMYFUNCTION("""COMPUTED_VALUE"""),"REC. BKRB-BGC")</f>
        <v>REC. BKRB-BGC</v>
      </c>
      <c r="J63" s="4" t="str">
        <f>IFERROR(__xludf.DUMMYFUNCTION("""COMPUTED_VALUE"""),"ZONA 2")</f>
        <v>ZONA 2</v>
      </c>
      <c r="K63" s="4" t="str">
        <f>IFERROR(__xludf.DUMMYFUNCTION("""COMPUTED_VALUE"""),"084")</f>
        <v>084</v>
      </c>
      <c r="L63" s="4" t="str">
        <f>IFERROR(__xludf.DUMMYFUNCTION("""COMPUTED_VALUE"""),"TM - 4B/H (Afspan)")</f>
        <v>TM - 4B/H (Afspan)</v>
      </c>
      <c r="M63" s="4" t="str">
        <f>IFERROR(__xludf.DUMMYFUNCTION("""COMPUTED_VALUE"""),"Tidak Ada")</f>
        <v>Tidak Ada</v>
      </c>
      <c r="N63" s="4"/>
      <c r="O63" s="4" t="str">
        <f>IFERROR(__xludf.DUMMYFUNCTION("""COMPUTED_VALUE"""),"PEMBANDING SEJENIS")</f>
        <v>PEMBANDING SEJENIS</v>
      </c>
      <c r="P63" s="4" t="str">
        <f>IFERROR(__xludf.DUMMYFUNCTION("""COMPUTED_VALUE"""),"KONEKTOR/JUMPER")</f>
        <v>KONEKTOR/JUMPER</v>
      </c>
      <c r="Q63" s="4">
        <f>IFERROR(__xludf.DUMMYFUNCTION("""COMPUTED_VALUE"""),21.0)</f>
        <v>21</v>
      </c>
      <c r="R63" s="4">
        <f>IFERROR(__xludf.DUMMYFUNCTION("""COMPUTED_VALUE"""),22.0)</f>
        <v>22</v>
      </c>
      <c r="S63" s="4">
        <f>IFERROR(__xludf.DUMMYFUNCTION("""COMPUTED_VALUE"""),21.0)</f>
        <v>21</v>
      </c>
      <c r="T63" s="4"/>
      <c r="U63" s="4" t="str">
        <f>IFERROR(__xludf.DUMMYFUNCTION("""COMPUTED_VALUE"""),"BAIK")</f>
        <v>BAIK</v>
      </c>
      <c r="V63" s="4" t="str">
        <f>IFERROR(__xludf.DUMMYFUNCTION("""COMPUTED_VALUE"""),"Tidak Ada")</f>
        <v>Tidak Ada</v>
      </c>
      <c r="W63" s="4"/>
      <c r="X63" s="4"/>
      <c r="Y63" s="4"/>
      <c r="Z63" s="4"/>
      <c r="AA63" s="4"/>
      <c r="AB63" s="4"/>
      <c r="AC63" s="4" t="str">
        <f>IFERROR(__xludf.DUMMYFUNCTION("""COMPUTED_VALUE"""),"INSPEKSI SUTM - T2_Images/87f978fc.FOTO.141531.jpg")</f>
        <v>INSPEKSI SUTM - T2_Images/87f978fc.FOTO.141531.jpg</v>
      </c>
      <c r="AD63" s="4"/>
      <c r="AE63" s="4"/>
      <c r="AF63" s="4" t="str">
        <f>IFERROR(__xludf.DUMMYFUNCTION("""COMPUTED_VALUE"""),"BELUM")</f>
        <v>BELUM</v>
      </c>
      <c r="AG63" s="6">
        <f>IFERROR(__xludf.DUMMYFUNCTION("""COMPUTED_VALUE"""),46037.0)</f>
        <v>46037</v>
      </c>
      <c r="AH63" s="4"/>
      <c r="AI63" s="4"/>
    </row>
    <row r="64" ht="15.75" customHeight="1">
      <c r="A64" s="4" t="str">
        <f>IFERROR(__xludf.DUMMYFUNCTION("""COMPUTED_VALUE"""),"2342aa0c")</f>
        <v>2342aa0c</v>
      </c>
      <c r="B64" s="5">
        <f>IFERROR(__xludf.DUMMYFUNCTION("""COMPUTED_VALUE"""),46037.88375)</f>
        <v>46037.88375</v>
      </c>
      <c r="C64" s="4" t="str">
        <f>IFERROR(__xludf.DUMMYFUNCTION("""COMPUTED_VALUE"""),"-6.899223, 107.641349")</f>
        <v>-6.899223, 107.641349</v>
      </c>
      <c r="D64" s="4" t="str">
        <f>IFERROR(__xludf.DUMMYFUNCTION("""COMPUTED_VALUE"""),"Sandi angga")</f>
        <v>Sandi angga</v>
      </c>
      <c r="E64" s="4" t="str">
        <f>IFERROR(__xludf.DUMMYFUNCTION("""COMPUTED_VALUE"""),"BANDUNG")</f>
        <v>BANDUNG</v>
      </c>
      <c r="F64" s="4" t="str">
        <f>IFERROR(__xludf.DUMMYFUNCTION("""COMPUTED_VALUE"""),"BANDUNG TIMUR")</f>
        <v>BANDUNG TIMUR</v>
      </c>
      <c r="G64" s="4" t="str">
        <f>IFERROR(__xludf.DUMMYFUNCTION("""COMPUTED_VALUE"""),"KIARACONDONG")</f>
        <v>KIARACONDONG</v>
      </c>
      <c r="H64" s="4" t="str">
        <f>IFERROR(__xludf.DUMMYFUNCTION("""COMPUTED_VALUE"""),"KPO")</f>
        <v>KPO</v>
      </c>
      <c r="I64" s="4" t="str">
        <f>IFERROR(__xludf.DUMMYFUNCTION("""COMPUTED_VALUE"""),"REC. BKRB-BGC")</f>
        <v>REC. BKRB-BGC</v>
      </c>
      <c r="J64" s="4" t="str">
        <f>IFERROR(__xludf.DUMMYFUNCTION("""COMPUTED_VALUE"""),"ZONA 2")</f>
        <v>ZONA 2</v>
      </c>
      <c r="K64" s="4" t="str">
        <f>IFERROR(__xludf.DUMMYFUNCTION("""COMPUTED_VALUE"""),"088")</f>
        <v>088</v>
      </c>
      <c r="L64" s="4" t="str">
        <f>IFERROR(__xludf.DUMMYFUNCTION("""COMPUTED_VALUE"""),"TM - 13B/H (Kabel Naik Pada Tiang Tumpu)")</f>
        <v>TM - 13B/H (Kabel Naik Pada Tiang Tumpu)</v>
      </c>
      <c r="M64" s="4" t="str">
        <f>IFERROR(__xludf.DUMMYFUNCTION("""COMPUTED_VALUE"""),"Tidak Ada")</f>
        <v>Tidak Ada</v>
      </c>
      <c r="N64" s="4"/>
      <c r="O64" s="4" t="str">
        <f>IFERROR(__xludf.DUMMYFUNCTION("""COMPUTED_VALUE"""),"PEMBANDING SEJENIS")</f>
        <v>PEMBANDING SEJENIS</v>
      </c>
      <c r="P64" s="4" t="str">
        <f>IFERROR(__xludf.DUMMYFUNCTION("""COMPUTED_VALUE"""),"TERMINASI")</f>
        <v>TERMINASI</v>
      </c>
      <c r="Q64" s="4">
        <f>IFERROR(__xludf.DUMMYFUNCTION("""COMPUTED_VALUE"""),21.0)</f>
        <v>21</v>
      </c>
      <c r="R64" s="4">
        <f>IFERROR(__xludf.DUMMYFUNCTION("""COMPUTED_VALUE"""),22.0)</f>
        <v>22</v>
      </c>
      <c r="S64" s="4">
        <f>IFERROR(__xludf.DUMMYFUNCTION("""COMPUTED_VALUE"""),20.0)</f>
        <v>20</v>
      </c>
      <c r="T64" s="4"/>
      <c r="U64" s="4" t="str">
        <f>IFERROR(__xludf.DUMMYFUNCTION("""COMPUTED_VALUE"""),"BAIK")</f>
        <v>BAIK</v>
      </c>
      <c r="V64" s="4" t="str">
        <f>IFERROR(__xludf.DUMMYFUNCTION("""COMPUTED_VALUE"""),"Tidak Ada")</f>
        <v>Tidak Ada</v>
      </c>
      <c r="W64" s="4"/>
      <c r="X64" s="4"/>
      <c r="Y64" s="4"/>
      <c r="Z64" s="4"/>
      <c r="AA64" s="4"/>
      <c r="AB64" s="4"/>
      <c r="AC64" s="4" t="str">
        <f>IFERROR(__xludf.DUMMYFUNCTION("""COMPUTED_VALUE"""),"INSPEKSI SUTM - T2_Images/2342aa0c.FOTO.141535.jpg")</f>
        <v>INSPEKSI SUTM - T2_Images/2342aa0c.FOTO.141535.jpg</v>
      </c>
      <c r="AD64" s="4"/>
      <c r="AE64" s="4"/>
      <c r="AF64" s="4" t="str">
        <f>IFERROR(__xludf.DUMMYFUNCTION("""COMPUTED_VALUE"""),"BELUM")</f>
        <v>BELUM</v>
      </c>
      <c r="AG64" s="6">
        <f>IFERROR(__xludf.DUMMYFUNCTION("""COMPUTED_VALUE"""),46037.0)</f>
        <v>46037</v>
      </c>
      <c r="AH64" s="4"/>
      <c r="AI64" s="4"/>
    </row>
    <row r="65" ht="15.75" customHeight="1">
      <c r="A65" s="4" t="str">
        <f>IFERROR(__xludf.DUMMYFUNCTION("""COMPUTED_VALUE"""),"a29b1b5b")</f>
        <v>a29b1b5b</v>
      </c>
      <c r="B65" s="5">
        <f>IFERROR(__xludf.DUMMYFUNCTION("""COMPUTED_VALUE"""),46037.884375)</f>
        <v>46037.88438</v>
      </c>
      <c r="C65" s="4" t="str">
        <f>IFERROR(__xludf.DUMMYFUNCTION("""COMPUTED_VALUE"""),"-6.899234, 107.641354")</f>
        <v>-6.899234, 107.641354</v>
      </c>
      <c r="D65" s="4" t="str">
        <f>IFERROR(__xludf.DUMMYFUNCTION("""COMPUTED_VALUE"""),"Sandi angga")</f>
        <v>Sandi angga</v>
      </c>
      <c r="E65" s="4" t="str">
        <f>IFERROR(__xludf.DUMMYFUNCTION("""COMPUTED_VALUE"""),"BANDUNG")</f>
        <v>BANDUNG</v>
      </c>
      <c r="F65" s="4" t="str">
        <f>IFERROR(__xludf.DUMMYFUNCTION("""COMPUTED_VALUE"""),"BANDUNG TIMUR")</f>
        <v>BANDUNG TIMUR</v>
      </c>
      <c r="G65" s="4" t="str">
        <f>IFERROR(__xludf.DUMMYFUNCTION("""COMPUTED_VALUE"""),"KIARACONDONG")</f>
        <v>KIARACONDONG</v>
      </c>
      <c r="H65" s="4" t="str">
        <f>IFERROR(__xludf.DUMMYFUNCTION("""COMPUTED_VALUE"""),"KPO")</f>
        <v>KPO</v>
      </c>
      <c r="I65" s="4" t="str">
        <f>IFERROR(__xludf.DUMMYFUNCTION("""COMPUTED_VALUE"""),"REC. BKRB-BGC")</f>
        <v>REC. BKRB-BGC</v>
      </c>
      <c r="J65" s="4" t="str">
        <f>IFERROR(__xludf.DUMMYFUNCTION("""COMPUTED_VALUE"""),"ZONA 2")</f>
        <v>ZONA 2</v>
      </c>
      <c r="K65" s="4" t="str">
        <f>IFERROR(__xludf.DUMMYFUNCTION("""COMPUTED_VALUE"""),"088L01")</f>
        <v>088L01</v>
      </c>
      <c r="L65" s="4" t="str">
        <f>IFERROR(__xludf.DUMMYFUNCTION("""COMPUTED_VALUE"""),"TM - 13B/H (Kabel Naik Pada Tiang Tumpu)")</f>
        <v>TM - 13B/H (Kabel Naik Pada Tiang Tumpu)</v>
      </c>
      <c r="M65" s="4" t="str">
        <f>IFERROR(__xludf.DUMMYFUNCTION("""COMPUTED_VALUE"""),"Gardu")</f>
        <v>Gardu</v>
      </c>
      <c r="N65" s="4" t="str">
        <f>IFERROR(__xludf.DUMMYFUNCTION("""COMPUTED_VALUE"""),"CHY")</f>
        <v>CHY</v>
      </c>
      <c r="O65" s="4" t="str">
        <f>IFERROR(__xludf.DUMMYFUNCTION("""COMPUTED_VALUE"""),"PEMBANDING SEJENIS")</f>
        <v>PEMBANDING SEJENIS</v>
      </c>
      <c r="P65" s="4" t="str">
        <f>IFERROR(__xludf.DUMMYFUNCTION("""COMPUTED_VALUE"""),"TERMINASI")</f>
        <v>TERMINASI</v>
      </c>
      <c r="Q65" s="4">
        <f>IFERROR(__xludf.DUMMYFUNCTION("""COMPUTED_VALUE"""),21.0)</f>
        <v>21</v>
      </c>
      <c r="R65" s="4">
        <f>IFERROR(__xludf.DUMMYFUNCTION("""COMPUTED_VALUE"""),18.0)</f>
        <v>18</v>
      </c>
      <c r="S65" s="4">
        <f>IFERROR(__xludf.DUMMYFUNCTION("""COMPUTED_VALUE"""),20.0)</f>
        <v>20</v>
      </c>
      <c r="T65" s="4"/>
      <c r="U65" s="4" t="str">
        <f>IFERROR(__xludf.DUMMYFUNCTION("""COMPUTED_VALUE"""),"CUKUP")</f>
        <v>CUKUP</v>
      </c>
      <c r="V65" s="4" t="str">
        <f>IFERROR(__xludf.DUMMYFUNCTION("""COMPUTED_VALUE"""),"Tidak Ada")</f>
        <v>Tidak Ada</v>
      </c>
      <c r="W65" s="4"/>
      <c r="X65" s="4"/>
      <c r="Y65" s="4"/>
      <c r="Z65" s="4"/>
      <c r="AA65" s="4"/>
      <c r="AB65" s="4"/>
      <c r="AC65" s="4" t="str">
        <f>IFERROR(__xludf.DUMMYFUNCTION("""COMPUTED_VALUE"""),"INSPEKSI SUTM - T2_Images/a29b1b5b.FOTO.141543.jpg")</f>
        <v>INSPEKSI SUTM - T2_Images/a29b1b5b.FOTO.141543.jpg</v>
      </c>
      <c r="AD65" s="4"/>
      <c r="AE65" s="4"/>
      <c r="AF65" s="4" t="str">
        <f>IFERROR(__xludf.DUMMYFUNCTION("""COMPUTED_VALUE"""),"BELUM")</f>
        <v>BELUM</v>
      </c>
      <c r="AG65" s="6">
        <f>IFERROR(__xludf.DUMMYFUNCTION("""COMPUTED_VALUE"""),46037.0)</f>
        <v>46037</v>
      </c>
      <c r="AH65" s="4"/>
      <c r="AI65" s="4"/>
    </row>
    <row r="66" ht="15.75" customHeight="1">
      <c r="A66" s="4" t="str">
        <f>IFERROR(__xludf.DUMMYFUNCTION("""COMPUTED_VALUE"""),"d26caa9f")</f>
        <v>d26caa9f</v>
      </c>
      <c r="B66" s="5">
        <f>IFERROR(__xludf.DUMMYFUNCTION("""COMPUTED_VALUE"""),46037.885)</f>
        <v>46037.885</v>
      </c>
      <c r="C66" s="4" t="str">
        <f>IFERROR(__xludf.DUMMYFUNCTION("""COMPUTED_VALUE"""),"-6.899226, 107.641348")</f>
        <v>-6.899226, 107.641348</v>
      </c>
      <c r="D66" s="4" t="str">
        <f>IFERROR(__xludf.DUMMYFUNCTION("""COMPUTED_VALUE"""),"Sandi angga")</f>
        <v>Sandi angga</v>
      </c>
      <c r="E66" s="4" t="str">
        <f>IFERROR(__xludf.DUMMYFUNCTION("""COMPUTED_VALUE"""),"BANDUNG")</f>
        <v>BANDUNG</v>
      </c>
      <c r="F66" s="4" t="str">
        <f>IFERROR(__xludf.DUMMYFUNCTION("""COMPUTED_VALUE"""),"BANDUNG TIMUR")</f>
        <v>BANDUNG TIMUR</v>
      </c>
      <c r="G66" s="4" t="str">
        <f>IFERROR(__xludf.DUMMYFUNCTION("""COMPUTED_VALUE"""),"KIARACONDONG")</f>
        <v>KIARACONDONG</v>
      </c>
      <c r="H66" s="4" t="str">
        <f>IFERROR(__xludf.DUMMYFUNCTION("""COMPUTED_VALUE"""),"KPO")</f>
        <v>KPO</v>
      </c>
      <c r="I66" s="4" t="str">
        <f>IFERROR(__xludf.DUMMYFUNCTION("""COMPUTED_VALUE"""),"REC. BKRB-BGC")</f>
        <v>REC. BKRB-BGC</v>
      </c>
      <c r="J66" s="4" t="str">
        <f>IFERROR(__xludf.DUMMYFUNCTION("""COMPUTED_VALUE"""),"ZONA 2")</f>
        <v>ZONA 2</v>
      </c>
      <c r="K66" s="4" t="str">
        <f>IFERROR(__xludf.DUMMYFUNCTION("""COMPUTED_VALUE"""),"094")</f>
        <v>094</v>
      </c>
      <c r="L66" s="4" t="str">
        <f>IFERROR(__xludf.DUMMYFUNCTION("""COMPUTED_VALUE"""),"TM - 4B/H (Afspan)")</f>
        <v>TM - 4B/H (Afspan)</v>
      </c>
      <c r="M66" s="4" t="str">
        <f>IFERROR(__xludf.DUMMYFUNCTION("""COMPUTED_VALUE"""),"Tidak Ada")</f>
        <v>Tidak Ada</v>
      </c>
      <c r="N66" s="4"/>
      <c r="O66" s="4" t="str">
        <f>IFERROR(__xludf.DUMMYFUNCTION("""COMPUTED_VALUE"""),"PEMBANDING SEJENIS")</f>
        <v>PEMBANDING SEJENIS</v>
      </c>
      <c r="P66" s="4" t="str">
        <f>IFERROR(__xludf.DUMMYFUNCTION("""COMPUTED_VALUE"""),"KONEKTOR/JUMPER")</f>
        <v>KONEKTOR/JUMPER</v>
      </c>
      <c r="Q66" s="4">
        <f>IFERROR(__xludf.DUMMYFUNCTION("""COMPUTED_VALUE"""),20.0)</f>
        <v>20</v>
      </c>
      <c r="R66" s="4">
        <f>IFERROR(__xludf.DUMMYFUNCTION("""COMPUTED_VALUE"""),21.0)</f>
        <v>21</v>
      </c>
      <c r="S66" s="4">
        <f>IFERROR(__xludf.DUMMYFUNCTION("""COMPUTED_VALUE"""),20.0)</f>
        <v>20</v>
      </c>
      <c r="T66" s="4"/>
      <c r="U66" s="4" t="str">
        <f>IFERROR(__xludf.DUMMYFUNCTION("""COMPUTED_VALUE"""),"BAIK")</f>
        <v>BAIK</v>
      </c>
      <c r="V66" s="4" t="str">
        <f>IFERROR(__xludf.DUMMYFUNCTION("""COMPUTED_VALUE"""),"Tidak Ada")</f>
        <v>Tidak Ada</v>
      </c>
      <c r="W66" s="4"/>
      <c r="X66" s="4"/>
      <c r="Y66" s="4"/>
      <c r="Z66" s="4"/>
      <c r="AA66" s="4"/>
      <c r="AB66" s="4"/>
      <c r="AC66" s="4" t="str">
        <f>IFERROR(__xludf.DUMMYFUNCTION("""COMPUTED_VALUE"""),"INSPEKSI SUTM - T2_Images/d26caa9f.FOTO.141548.jpg")</f>
        <v>INSPEKSI SUTM - T2_Images/d26caa9f.FOTO.141548.jpg</v>
      </c>
      <c r="AD66" s="4"/>
      <c r="AE66" s="4"/>
      <c r="AF66" s="4" t="str">
        <f>IFERROR(__xludf.DUMMYFUNCTION("""COMPUTED_VALUE"""),"BELUM")</f>
        <v>BELUM</v>
      </c>
      <c r="AG66" s="6">
        <f>IFERROR(__xludf.DUMMYFUNCTION("""COMPUTED_VALUE"""),46037.0)</f>
        <v>46037</v>
      </c>
      <c r="AH66" s="4"/>
      <c r="AI66" s="4"/>
    </row>
    <row r="67" ht="15.75" customHeight="1">
      <c r="A67" s="4" t="str">
        <f>IFERROR(__xludf.DUMMYFUNCTION("""COMPUTED_VALUE"""),"0a4a647f")</f>
        <v>0a4a647f</v>
      </c>
      <c r="B67" s="5">
        <f>IFERROR(__xludf.DUMMYFUNCTION("""COMPUTED_VALUE"""),46037.88554398148)</f>
        <v>46037.88554</v>
      </c>
      <c r="C67" s="4" t="str">
        <f>IFERROR(__xludf.DUMMYFUNCTION("""COMPUTED_VALUE"""),"-6.899222, 107.641352")</f>
        <v>-6.899222, 107.641352</v>
      </c>
      <c r="D67" s="4" t="str">
        <f>IFERROR(__xludf.DUMMYFUNCTION("""COMPUTED_VALUE"""),"Sandi angga")</f>
        <v>Sandi angga</v>
      </c>
      <c r="E67" s="4" t="str">
        <f>IFERROR(__xludf.DUMMYFUNCTION("""COMPUTED_VALUE"""),"BANDUNG")</f>
        <v>BANDUNG</v>
      </c>
      <c r="F67" s="4" t="str">
        <f>IFERROR(__xludf.DUMMYFUNCTION("""COMPUTED_VALUE"""),"BANDUNG TIMUR")</f>
        <v>BANDUNG TIMUR</v>
      </c>
      <c r="G67" s="4" t="str">
        <f>IFERROR(__xludf.DUMMYFUNCTION("""COMPUTED_VALUE"""),"KIARACONDONG")</f>
        <v>KIARACONDONG</v>
      </c>
      <c r="H67" s="4" t="str">
        <f>IFERROR(__xludf.DUMMYFUNCTION("""COMPUTED_VALUE"""),"KPO")</f>
        <v>KPO</v>
      </c>
      <c r="I67" s="4" t="str">
        <f>IFERROR(__xludf.DUMMYFUNCTION("""COMPUTED_VALUE"""),"REC. BKRB-BGC")</f>
        <v>REC. BKRB-BGC</v>
      </c>
      <c r="J67" s="4" t="str">
        <f>IFERROR(__xludf.DUMMYFUNCTION("""COMPUTED_VALUE"""),"ZONA 2")</f>
        <v>ZONA 2</v>
      </c>
      <c r="K67" s="4" t="str">
        <f>IFERROR(__xludf.DUMMYFUNCTION("""COMPUTED_VALUE"""),"095")</f>
        <v>095</v>
      </c>
      <c r="L67" s="4" t="str">
        <f>IFERROR(__xludf.DUMMYFUNCTION("""COMPUTED_VALUE"""),"TM - 14B/H (Akhir)")</f>
        <v>TM - 14B/H (Akhir)</v>
      </c>
      <c r="M67" s="4" t="str">
        <f>IFERROR(__xludf.DUMMYFUNCTION("""COMPUTED_VALUE"""),"Tidak Ada")</f>
        <v>Tidak Ada</v>
      </c>
      <c r="N67" s="4"/>
      <c r="O67" s="4" t="str">
        <f>IFERROR(__xludf.DUMMYFUNCTION("""COMPUTED_VALUE"""),"PEMBANDING SEJENIS")</f>
        <v>PEMBANDING SEJENIS</v>
      </c>
      <c r="P67" s="4" t="str">
        <f>IFERROR(__xludf.DUMMYFUNCTION("""COMPUTED_VALUE"""),"TERMINASI")</f>
        <v>TERMINASI</v>
      </c>
      <c r="Q67" s="4">
        <f>IFERROR(__xludf.DUMMYFUNCTION("""COMPUTED_VALUE"""),21.0)</f>
        <v>21</v>
      </c>
      <c r="R67" s="4">
        <f>IFERROR(__xludf.DUMMYFUNCTION("""COMPUTED_VALUE"""),21.0)</f>
        <v>21</v>
      </c>
      <c r="S67" s="4">
        <f>IFERROR(__xludf.DUMMYFUNCTION("""COMPUTED_VALUE"""),22.0)</f>
        <v>22</v>
      </c>
      <c r="T67" s="4"/>
      <c r="U67" s="4" t="str">
        <f>IFERROR(__xludf.DUMMYFUNCTION("""COMPUTED_VALUE"""),"BAIK")</f>
        <v>BAIK</v>
      </c>
      <c r="V67" s="4" t="str">
        <f>IFERROR(__xludf.DUMMYFUNCTION("""COMPUTED_VALUE"""),"Tidak Ada")</f>
        <v>Tidak Ada</v>
      </c>
      <c r="W67" s="4"/>
      <c r="X67" s="4"/>
      <c r="Y67" s="4"/>
      <c r="Z67" s="4"/>
      <c r="AA67" s="4"/>
      <c r="AB67" s="4"/>
      <c r="AC67" s="4" t="str">
        <f>IFERROR(__xludf.DUMMYFUNCTION("""COMPUTED_VALUE"""),"INSPEKSI SUTM - T2_Images/0a4a647f.FOTO.141553.jpg")</f>
        <v>INSPEKSI SUTM - T2_Images/0a4a647f.FOTO.141553.jpg</v>
      </c>
      <c r="AD67" s="4"/>
      <c r="AE67" s="4"/>
      <c r="AF67" s="4" t="str">
        <f>IFERROR(__xludf.DUMMYFUNCTION("""COMPUTED_VALUE"""),"BELUM")</f>
        <v>BELUM</v>
      </c>
      <c r="AG67" s="6">
        <f>IFERROR(__xludf.DUMMYFUNCTION("""COMPUTED_VALUE"""),46037.0)</f>
        <v>46037</v>
      </c>
      <c r="AH67" s="4"/>
      <c r="AI67" s="4"/>
    </row>
    <row r="68" ht="15.75" customHeight="1">
      <c r="A68" s="4" t="str">
        <f>IFERROR(__xludf.DUMMYFUNCTION("""COMPUTED_VALUE"""),"b51c83e4")</f>
        <v>b51c83e4</v>
      </c>
      <c r="B68" s="5">
        <f>IFERROR(__xludf.DUMMYFUNCTION("""COMPUTED_VALUE"""),46037.89729166667)</f>
        <v>46037.89729</v>
      </c>
      <c r="C68" s="4" t="str">
        <f>IFERROR(__xludf.DUMMYFUNCTION("""COMPUTED_VALUE"""),"-6.875000, 107.640374")</f>
        <v>-6.875000, 107.640374</v>
      </c>
      <c r="D68" s="4" t="str">
        <f>IFERROR(__xludf.DUMMYFUNCTION("""COMPUTED_VALUE"""),"Angga sandi")</f>
        <v>Angga sandi</v>
      </c>
      <c r="E68" s="4" t="str">
        <f>IFERROR(__xludf.DUMMYFUNCTION("""COMPUTED_VALUE"""),"BANDUNG")</f>
        <v>BANDUNG</v>
      </c>
      <c r="F68" s="4" t="str">
        <f>IFERROR(__xludf.DUMMYFUNCTION("""COMPUTED_VALUE"""),"BANDUNG TIMUR")</f>
        <v>BANDUNG TIMUR</v>
      </c>
      <c r="G68" s="4" t="str">
        <f>IFERROR(__xludf.DUMMYFUNCTION("""COMPUTED_VALUE"""),"KIARACONDONG")</f>
        <v>KIARACONDONG</v>
      </c>
      <c r="H68" s="4" t="str">
        <f>IFERROR(__xludf.DUMMYFUNCTION("""COMPUTED_VALUE"""),"KPO")</f>
        <v>KPO</v>
      </c>
      <c r="I68" s="4" t="str">
        <f>IFERROR(__xludf.DUMMYFUNCTION("""COMPUTED_VALUE"""),"REC. BKRB-BGC")</f>
        <v>REC. BKRB-BGC</v>
      </c>
      <c r="J68" s="4" t="str">
        <f>IFERROR(__xludf.DUMMYFUNCTION("""COMPUTED_VALUE"""),"ZONA 2")</f>
        <v>ZONA 2</v>
      </c>
      <c r="K68" s="4" t="str">
        <f>IFERROR(__xludf.DUMMYFUNCTION("""COMPUTED_VALUE"""),"096")</f>
        <v>096</v>
      </c>
      <c r="L68" s="4" t="str">
        <f>IFERROR(__xludf.DUMMYFUNCTION("""COMPUTED_VALUE"""),"TM - 11B/H (Kabel Naik)")</f>
        <v>TM - 11B/H (Kabel Naik)</v>
      </c>
      <c r="M68" s="4" t="str">
        <f>IFERROR(__xludf.DUMMYFUNCTION("""COMPUTED_VALUE"""),"Tidak Ada")</f>
        <v>Tidak Ada</v>
      </c>
      <c r="N68" s="4"/>
      <c r="O68" s="4" t="str">
        <f>IFERROR(__xludf.DUMMYFUNCTION("""COMPUTED_VALUE"""),"PEMBANDING SEJENIS")</f>
        <v>PEMBANDING SEJENIS</v>
      </c>
      <c r="P68" s="4" t="str">
        <f>IFERROR(__xludf.DUMMYFUNCTION("""COMPUTED_VALUE"""),"TERMINASI")</f>
        <v>TERMINASI</v>
      </c>
      <c r="Q68" s="4">
        <f>IFERROR(__xludf.DUMMYFUNCTION("""COMPUTED_VALUE"""),22.4)</f>
        <v>22.4</v>
      </c>
      <c r="R68" s="4">
        <f>IFERROR(__xludf.DUMMYFUNCTION("""COMPUTED_VALUE"""),22.1)</f>
        <v>22.1</v>
      </c>
      <c r="S68" s="4">
        <f>IFERROR(__xludf.DUMMYFUNCTION("""COMPUTED_VALUE"""),22.0)</f>
        <v>22</v>
      </c>
      <c r="T68" s="4"/>
      <c r="U68" s="4" t="str">
        <f>IFERROR(__xludf.DUMMYFUNCTION("""COMPUTED_VALUE"""),"BAIK")</f>
        <v>BAIK</v>
      </c>
      <c r="V68" s="4" t="str">
        <f>IFERROR(__xludf.DUMMYFUNCTION("""COMPUTED_VALUE"""),"Tidak Ada")</f>
        <v>Tidak Ada</v>
      </c>
      <c r="W68" s="4"/>
      <c r="X68" s="4"/>
      <c r="Y68" s="4"/>
      <c r="Z68" s="4"/>
      <c r="AA68" s="4"/>
      <c r="AB68" s="4"/>
      <c r="AC68" s="4" t="str">
        <f>IFERROR(__xludf.DUMMYFUNCTION("""COMPUTED_VALUE"""),"INSPEKSI SUTM - T2_Images/b51c83e4.FOTO.143412.jpg")</f>
        <v>INSPEKSI SUTM - T2_Images/b51c83e4.FOTO.143412.jpg</v>
      </c>
      <c r="AD68" s="4"/>
      <c r="AE68" s="4"/>
      <c r="AF68" s="4" t="str">
        <f>IFERROR(__xludf.DUMMYFUNCTION("""COMPUTED_VALUE"""),"BELUM")</f>
        <v>BELUM</v>
      </c>
      <c r="AG68" s="6">
        <f>IFERROR(__xludf.DUMMYFUNCTION("""COMPUTED_VALUE"""),46037.0)</f>
        <v>46037</v>
      </c>
      <c r="AH68" s="4"/>
      <c r="AI68" s="4"/>
    </row>
    <row r="69" ht="15.75" customHeight="1">
      <c r="A69" s="4" t="str">
        <f>IFERROR(__xludf.DUMMYFUNCTION("""COMPUTED_VALUE"""),"9211c3dd")</f>
        <v>9211c3dd</v>
      </c>
      <c r="B69" s="5">
        <f>IFERROR(__xludf.DUMMYFUNCTION("""COMPUTED_VALUE"""),46037.899189814816)</f>
        <v>46037.89919</v>
      </c>
      <c r="C69" s="4" t="str">
        <f>IFERROR(__xludf.DUMMYFUNCTION("""COMPUTED_VALUE"""),"-6.873640, 107.639354")</f>
        <v>-6.873640, 107.639354</v>
      </c>
      <c r="D69" s="4" t="str">
        <f>IFERROR(__xludf.DUMMYFUNCTION("""COMPUTED_VALUE"""),"Angga sandi")</f>
        <v>Angga sandi</v>
      </c>
      <c r="E69" s="4" t="str">
        <f>IFERROR(__xludf.DUMMYFUNCTION("""COMPUTED_VALUE"""),"BANDUNG")</f>
        <v>BANDUNG</v>
      </c>
      <c r="F69" s="4" t="str">
        <f>IFERROR(__xludf.DUMMYFUNCTION("""COMPUTED_VALUE"""),"BANDUNG TIMUR")</f>
        <v>BANDUNG TIMUR</v>
      </c>
      <c r="G69" s="4" t="str">
        <f>IFERROR(__xludf.DUMMYFUNCTION("""COMPUTED_VALUE"""),"KIARACONDONG")</f>
        <v>KIARACONDONG</v>
      </c>
      <c r="H69" s="4" t="str">
        <f>IFERROR(__xludf.DUMMYFUNCTION("""COMPUTED_VALUE"""),"KPO")</f>
        <v>KPO</v>
      </c>
      <c r="I69" s="4" t="str">
        <f>IFERROR(__xludf.DUMMYFUNCTION("""COMPUTED_VALUE"""),"REC. BKRB-BGC")</f>
        <v>REC. BKRB-BGC</v>
      </c>
      <c r="J69" s="4" t="str">
        <f>IFERROR(__xludf.DUMMYFUNCTION("""COMPUTED_VALUE"""),"ZONA 2")</f>
        <v>ZONA 2</v>
      </c>
      <c r="K69" s="4" t="str">
        <f>IFERROR(__xludf.DUMMYFUNCTION("""COMPUTED_VALUE"""),"102")</f>
        <v>102</v>
      </c>
      <c r="L69" s="4" t="str">
        <f>IFERROR(__xludf.DUMMYFUNCTION("""COMPUTED_VALUE"""),"TM - 7B/H (Afspan 90 Derajat)")</f>
        <v>TM - 7B/H (Afspan 90 Derajat)</v>
      </c>
      <c r="M69" s="4" t="str">
        <f>IFERROR(__xludf.DUMMYFUNCTION("""COMPUTED_VALUE"""),"Tidak Ada")</f>
        <v>Tidak Ada</v>
      </c>
      <c r="N69" s="4"/>
      <c r="O69" s="4" t="str">
        <f>IFERROR(__xludf.DUMMYFUNCTION("""COMPUTED_VALUE"""),"PEMBANDING SEJENIS")</f>
        <v>PEMBANDING SEJENIS</v>
      </c>
      <c r="P69" s="4" t="str">
        <f>IFERROR(__xludf.DUMMYFUNCTION("""COMPUTED_VALUE"""),"KONEKTOR/JUMPER")</f>
        <v>KONEKTOR/JUMPER</v>
      </c>
      <c r="Q69" s="4">
        <f>IFERROR(__xludf.DUMMYFUNCTION("""COMPUTED_VALUE"""),20.6)</f>
        <v>20.6</v>
      </c>
      <c r="R69" s="4">
        <f>IFERROR(__xludf.DUMMYFUNCTION("""COMPUTED_VALUE"""),21.0)</f>
        <v>21</v>
      </c>
      <c r="S69" s="4">
        <f>IFERROR(__xludf.DUMMYFUNCTION("""COMPUTED_VALUE"""),21.3)</f>
        <v>21.3</v>
      </c>
      <c r="T69" s="4"/>
      <c r="U69" s="4" t="str">
        <f>IFERROR(__xludf.DUMMYFUNCTION("""COMPUTED_VALUE"""),"BAIK")</f>
        <v>BAIK</v>
      </c>
      <c r="V69" s="4" t="str">
        <f>IFERROR(__xludf.DUMMYFUNCTION("""COMPUTED_VALUE"""),"Tidak Ada")</f>
        <v>Tidak Ada</v>
      </c>
      <c r="W69" s="4"/>
      <c r="X69" s="4"/>
      <c r="Y69" s="4"/>
      <c r="Z69" s="4"/>
      <c r="AA69" s="4"/>
      <c r="AB69" s="4"/>
      <c r="AC69" s="4" t="str">
        <f>IFERROR(__xludf.DUMMYFUNCTION("""COMPUTED_VALUE"""),"INSPEKSI SUTM - T2_Images/9211c3dd.FOTO.143529.jpg")</f>
        <v>INSPEKSI SUTM - T2_Images/9211c3dd.FOTO.143529.jpg</v>
      </c>
      <c r="AD69" s="4"/>
      <c r="AE69" s="4"/>
      <c r="AF69" s="4" t="str">
        <f>IFERROR(__xludf.DUMMYFUNCTION("""COMPUTED_VALUE"""),"BELUM")</f>
        <v>BELUM</v>
      </c>
      <c r="AG69" s="6">
        <f>IFERROR(__xludf.DUMMYFUNCTION("""COMPUTED_VALUE"""),46037.0)</f>
        <v>46037</v>
      </c>
      <c r="AH69" s="4"/>
      <c r="AI69" s="4"/>
    </row>
    <row r="70" ht="15.75" customHeight="1">
      <c r="A70" s="4" t="str">
        <f>IFERROR(__xludf.DUMMYFUNCTION("""COMPUTED_VALUE"""),"332f6539")</f>
        <v>332f6539</v>
      </c>
      <c r="B70" s="5">
        <f>IFERROR(__xludf.DUMMYFUNCTION("""COMPUTED_VALUE"""),46037.90076388889)</f>
        <v>46037.90076</v>
      </c>
      <c r="C70" s="4" t="str">
        <f>IFERROR(__xludf.DUMMYFUNCTION("""COMPUTED_VALUE"""),"-6.874676, 107.638218")</f>
        <v>-6.874676, 107.638218</v>
      </c>
      <c r="D70" s="4" t="str">
        <f>IFERROR(__xludf.DUMMYFUNCTION("""COMPUTED_VALUE"""),"Angga sandi")</f>
        <v>Angga sandi</v>
      </c>
      <c r="E70" s="4" t="str">
        <f>IFERROR(__xludf.DUMMYFUNCTION("""COMPUTED_VALUE"""),"BANDUNG")</f>
        <v>BANDUNG</v>
      </c>
      <c r="F70" s="4" t="str">
        <f>IFERROR(__xludf.DUMMYFUNCTION("""COMPUTED_VALUE"""),"BANDUNG TIMUR")</f>
        <v>BANDUNG TIMUR</v>
      </c>
      <c r="G70" s="4" t="str">
        <f>IFERROR(__xludf.DUMMYFUNCTION("""COMPUTED_VALUE"""),"KIARACONDONG")</f>
        <v>KIARACONDONG</v>
      </c>
      <c r="H70" s="4" t="str">
        <f>IFERROR(__xludf.DUMMYFUNCTION("""COMPUTED_VALUE"""),"KPO")</f>
        <v>KPO</v>
      </c>
      <c r="I70" s="4" t="str">
        <f>IFERROR(__xludf.DUMMYFUNCTION("""COMPUTED_VALUE"""),"REC. BKRB-BGC")</f>
        <v>REC. BKRB-BGC</v>
      </c>
      <c r="J70" s="4" t="str">
        <f>IFERROR(__xludf.DUMMYFUNCTION("""COMPUTED_VALUE"""),"ZONA 2")</f>
        <v>ZONA 2</v>
      </c>
      <c r="K70" s="4" t="str">
        <f>IFERROR(__xludf.DUMMYFUNCTION("""COMPUTED_VALUE"""),"106")</f>
        <v>106</v>
      </c>
      <c r="L70" s="4" t="str">
        <f>IFERROR(__xludf.DUMMYFUNCTION("""COMPUTED_VALUE"""),"TM - 1B/H (Tumpu)")</f>
        <v>TM - 1B/H (Tumpu)</v>
      </c>
      <c r="M70" s="4" t="str">
        <f>IFERROR(__xludf.DUMMYFUNCTION("""COMPUTED_VALUE"""),"Tidak Ada")</f>
        <v>Tidak Ada</v>
      </c>
      <c r="N70" s="4"/>
      <c r="O70" s="4" t="str">
        <f>IFERROR(__xludf.DUMMYFUNCTION("""COMPUTED_VALUE"""),"PEMBANDING SEJENIS")</f>
        <v>PEMBANDING SEJENIS</v>
      </c>
      <c r="P70" s="4" t="str">
        <f>IFERROR(__xludf.DUMMYFUNCTION("""COMPUTED_VALUE"""),"ARRESTER")</f>
        <v>ARRESTER</v>
      </c>
      <c r="Q70" s="4">
        <f>IFERROR(__xludf.DUMMYFUNCTION("""COMPUTED_VALUE"""),22.0)</f>
        <v>22</v>
      </c>
      <c r="R70" s="4">
        <f>IFERROR(__xludf.DUMMYFUNCTION("""COMPUTED_VALUE"""),21.7)</f>
        <v>21.7</v>
      </c>
      <c r="S70" s="4">
        <f>IFERROR(__xludf.DUMMYFUNCTION("""COMPUTED_VALUE"""),22.0)</f>
        <v>22</v>
      </c>
      <c r="T70" s="4"/>
      <c r="U70" s="4" t="str">
        <f>IFERROR(__xludf.DUMMYFUNCTION("""COMPUTED_VALUE"""),"BAIK")</f>
        <v>BAIK</v>
      </c>
      <c r="V70" s="4" t="str">
        <f>IFERROR(__xludf.DUMMYFUNCTION("""COMPUTED_VALUE"""),"Tidak Ada")</f>
        <v>Tidak Ada</v>
      </c>
      <c r="W70" s="4"/>
      <c r="X70" s="4"/>
      <c r="Y70" s="4"/>
      <c r="Z70" s="4"/>
      <c r="AA70" s="4"/>
      <c r="AB70" s="4"/>
      <c r="AC70" s="4" t="str">
        <f>IFERROR(__xludf.DUMMYFUNCTION("""COMPUTED_VALUE"""),"INSPEKSI SUTM - T2_Images/332f6539.FOTO.143755.jpg")</f>
        <v>INSPEKSI SUTM - T2_Images/332f6539.FOTO.143755.jpg</v>
      </c>
      <c r="AD70" s="4"/>
      <c r="AE70" s="4"/>
      <c r="AF70" s="4" t="str">
        <f>IFERROR(__xludf.DUMMYFUNCTION("""COMPUTED_VALUE"""),"BELUM")</f>
        <v>BELUM</v>
      </c>
      <c r="AG70" s="6">
        <f>IFERROR(__xludf.DUMMYFUNCTION("""COMPUTED_VALUE"""),46037.0)</f>
        <v>46037</v>
      </c>
      <c r="AH70" s="4"/>
      <c r="AI70" s="4"/>
    </row>
    <row r="71" ht="15.75" customHeight="1">
      <c r="A71" s="4" t="str">
        <f>IFERROR(__xludf.DUMMYFUNCTION("""COMPUTED_VALUE"""),"c5b7a145")</f>
        <v>c5b7a145</v>
      </c>
      <c r="B71" s="5">
        <f>IFERROR(__xludf.DUMMYFUNCTION("""COMPUTED_VALUE"""),46037.97400462963)</f>
        <v>46037.974</v>
      </c>
      <c r="C71" s="4" t="str">
        <f>IFERROR(__xludf.DUMMYFUNCTION("""COMPUTED_VALUE"""),"-6.934416, 107.717183")</f>
        <v>-6.934416, 107.717183</v>
      </c>
      <c r="D71" s="4" t="str">
        <f>IFERROR(__xludf.DUMMYFUNCTION("""COMPUTED_VALUE"""),"Canra heri")</f>
        <v>Canra heri</v>
      </c>
      <c r="E71" s="4" t="str">
        <f>IFERROR(__xludf.DUMMYFUNCTION("""COMPUTED_VALUE"""),"BANDUNG")</f>
        <v>BANDUNG</v>
      </c>
      <c r="F71" s="4" t="str">
        <f>IFERROR(__xludf.DUMMYFUNCTION("""COMPUTED_VALUE"""),"UJUNGBERUNG")</f>
        <v>UJUNGBERUNG</v>
      </c>
      <c r="G71" s="4" t="str">
        <f>IFERROR(__xludf.DUMMYFUNCTION("""COMPUTED_VALUE"""),"UJUNGBERUNG")</f>
        <v>UJUNGBERUNG</v>
      </c>
      <c r="H71" s="4" t="str">
        <f>IFERROR(__xludf.DUMMYFUNCTION("""COMPUTED_VALUE"""),"CPDU")</f>
        <v>CPDU</v>
      </c>
      <c r="I71" s="4" t="str">
        <f>IFERROR(__xludf.DUMMYFUNCTION("""COMPUTED_VALUE"""),"REC CBUA - LBS MAN")</f>
        <v>REC CBUA - LBS MAN</v>
      </c>
      <c r="J71" s="4" t="str">
        <f>IFERROR(__xludf.DUMMYFUNCTION("""COMPUTED_VALUE"""),"ZONA 2")</f>
        <v>ZONA 2</v>
      </c>
      <c r="K71" s="4" t="str">
        <f>IFERROR(__xludf.DUMMYFUNCTION("""COMPUTED_VALUE"""),"046")</f>
        <v>046</v>
      </c>
      <c r="L71" s="4" t="str">
        <f>IFERROR(__xludf.DUMMYFUNCTION("""COMPUTED_VALUE"""),"TM - 8B/H (Percabangan)")</f>
        <v>TM - 8B/H (Percabangan)</v>
      </c>
      <c r="M71" s="4" t="str">
        <f>IFERROR(__xludf.DUMMYFUNCTION("""COMPUTED_VALUE"""),"Tidak Ada")</f>
        <v>Tidak Ada</v>
      </c>
      <c r="N71" s="4"/>
      <c r="O71" s="4" t="str">
        <f>IFERROR(__xludf.DUMMYFUNCTION("""COMPUTED_VALUE"""),"PEMBANDING SEJENIS")</f>
        <v>PEMBANDING SEJENIS</v>
      </c>
      <c r="P71" s="4" t="str">
        <f>IFERROR(__xludf.DUMMYFUNCTION("""COMPUTED_VALUE"""),"KONEKTOR/JUMPER")</f>
        <v>KONEKTOR/JUMPER</v>
      </c>
      <c r="Q71" s="4">
        <f>IFERROR(__xludf.DUMMYFUNCTION("""COMPUTED_VALUE"""),20.0)</f>
        <v>20</v>
      </c>
      <c r="R71" s="4">
        <f>IFERROR(__xludf.DUMMYFUNCTION("""COMPUTED_VALUE"""),19.0)</f>
        <v>19</v>
      </c>
      <c r="S71" s="4">
        <f>IFERROR(__xludf.DUMMYFUNCTION("""COMPUTED_VALUE"""),22.0)</f>
        <v>22</v>
      </c>
      <c r="T71" s="4"/>
      <c r="U71" s="4" t="str">
        <f>IFERROR(__xludf.DUMMYFUNCTION("""COMPUTED_VALUE"""),"CUKUP")</f>
        <v>CUKUP</v>
      </c>
      <c r="V71" s="4" t="str">
        <f>IFERROR(__xludf.DUMMYFUNCTION("""COMPUTED_VALUE"""),"Tidak Ada")</f>
        <v>Tidak Ada</v>
      </c>
      <c r="W71" s="4"/>
      <c r="X71" s="4"/>
      <c r="Y71" s="4"/>
      <c r="Z71" s="4"/>
      <c r="AA71" s="4"/>
      <c r="AB71" s="4"/>
      <c r="AC71" s="4" t="str">
        <f>IFERROR(__xludf.DUMMYFUNCTION("""COMPUTED_VALUE"""),"INSPEKSI SUTM - T2_Images/c5b7a145.FOTO.162408.jpg")</f>
        <v>INSPEKSI SUTM - T2_Images/c5b7a145.FOTO.162408.jpg</v>
      </c>
      <c r="AD71" s="4"/>
      <c r="AE71" s="4"/>
      <c r="AF71" s="4" t="str">
        <f>IFERROR(__xludf.DUMMYFUNCTION("""COMPUTED_VALUE"""),"BELUM")</f>
        <v>BELUM</v>
      </c>
      <c r="AG71" s="6">
        <f>IFERROR(__xludf.DUMMYFUNCTION("""COMPUTED_VALUE"""),46037.0)</f>
        <v>46037</v>
      </c>
      <c r="AH71" s="4"/>
      <c r="AI71" s="4"/>
    </row>
    <row r="72" ht="15.75" customHeight="1">
      <c r="A72" s="4" t="str">
        <f>IFERROR(__xludf.DUMMYFUNCTION("""COMPUTED_VALUE"""),"e0e71324")</f>
        <v>e0e71324</v>
      </c>
      <c r="B72" s="5">
        <f>IFERROR(__xludf.DUMMYFUNCTION("""COMPUTED_VALUE"""),46037.97652777778)</f>
        <v>46037.97653</v>
      </c>
      <c r="C72" s="4" t="str">
        <f>IFERROR(__xludf.DUMMYFUNCTION("""COMPUTED_VALUE"""),"-6.934061, 107.716605")</f>
        <v>-6.934061, 107.716605</v>
      </c>
      <c r="D72" s="4" t="str">
        <f>IFERROR(__xludf.DUMMYFUNCTION("""COMPUTED_VALUE"""),"Canra heri")</f>
        <v>Canra heri</v>
      </c>
      <c r="E72" s="4" t="str">
        <f>IFERROR(__xludf.DUMMYFUNCTION("""COMPUTED_VALUE"""),"BANDUNG")</f>
        <v>BANDUNG</v>
      </c>
      <c r="F72" s="4" t="str">
        <f>IFERROR(__xludf.DUMMYFUNCTION("""COMPUTED_VALUE"""),"UJUNGBERUNG")</f>
        <v>UJUNGBERUNG</v>
      </c>
      <c r="G72" s="4" t="str">
        <f>IFERROR(__xludf.DUMMYFUNCTION("""COMPUTED_VALUE"""),"UJUNGBERUNG")</f>
        <v>UJUNGBERUNG</v>
      </c>
      <c r="H72" s="4" t="str">
        <f>IFERROR(__xludf.DUMMYFUNCTION("""COMPUTED_VALUE"""),"CPDU")</f>
        <v>CPDU</v>
      </c>
      <c r="I72" s="4" t="str">
        <f>IFERROR(__xludf.DUMMYFUNCTION("""COMPUTED_VALUE"""),"REC CBUA - LBS MAN")</f>
        <v>REC CBUA - LBS MAN</v>
      </c>
      <c r="J72" s="4" t="str">
        <f>IFERROR(__xludf.DUMMYFUNCTION("""COMPUTED_VALUE"""),"ZONA 2")</f>
        <v>ZONA 2</v>
      </c>
      <c r="K72" s="4" t="str">
        <f>IFERROR(__xludf.DUMMYFUNCTION("""COMPUTED_VALUE"""),"048")</f>
        <v>048</v>
      </c>
      <c r="L72" s="4" t="str">
        <f>IFERROR(__xludf.DUMMYFUNCTION("""COMPUTED_VALUE"""),"TM - 4B/H (Afspan)")</f>
        <v>TM - 4B/H (Afspan)</v>
      </c>
      <c r="M72" s="4" t="str">
        <f>IFERROR(__xludf.DUMMYFUNCTION("""COMPUTED_VALUE"""),"Tidak Ada")</f>
        <v>Tidak Ada</v>
      </c>
      <c r="N72" s="4"/>
      <c r="O72" s="4" t="str">
        <f>IFERROR(__xludf.DUMMYFUNCTION("""COMPUTED_VALUE"""),"PEMBANDING SEJENIS")</f>
        <v>PEMBANDING SEJENIS</v>
      </c>
      <c r="P72" s="4" t="str">
        <f>IFERROR(__xludf.DUMMYFUNCTION("""COMPUTED_VALUE"""),"KONEKTOR/JUMPER")</f>
        <v>KONEKTOR/JUMPER</v>
      </c>
      <c r="Q72" s="4">
        <f>IFERROR(__xludf.DUMMYFUNCTION("""COMPUTED_VALUE"""),21.0)</f>
        <v>21</v>
      </c>
      <c r="R72" s="4">
        <f>IFERROR(__xludf.DUMMYFUNCTION("""COMPUTED_VALUE"""),150.0)</f>
        <v>150</v>
      </c>
      <c r="S72" s="4">
        <f>IFERROR(__xludf.DUMMYFUNCTION("""COMPUTED_VALUE"""),21.0)</f>
        <v>21</v>
      </c>
      <c r="T72" s="4"/>
      <c r="U72" s="4" t="str">
        <f>IFERROR(__xludf.DUMMYFUNCTION("""COMPUTED_VALUE"""),"BURUK")</f>
        <v>BURUK</v>
      </c>
      <c r="V72" s="4" t="str">
        <f>IFERROR(__xludf.DUMMYFUNCTION("""COMPUTED_VALUE"""),"Tidak Ada")</f>
        <v>Tidak Ada</v>
      </c>
      <c r="W72" s="4"/>
      <c r="X72" s="4"/>
      <c r="Y72" s="4"/>
      <c r="Z72" s="4"/>
      <c r="AA72" s="4"/>
      <c r="AB72" s="4"/>
      <c r="AC72" s="4" t="str">
        <f>IFERROR(__xludf.DUMMYFUNCTION("""COMPUTED_VALUE"""),"INSPEKSI SUTM - T2_Images/e0e71324.FOTO.162712.jpg")</f>
        <v>INSPEKSI SUTM - T2_Images/e0e71324.FOTO.162712.jpg</v>
      </c>
      <c r="AD72" s="4"/>
      <c r="AE72" s="4"/>
      <c r="AF72" s="4" t="str">
        <f>IFERROR(__xludf.DUMMYFUNCTION("""COMPUTED_VALUE"""),"BELUM")</f>
        <v>BELUM</v>
      </c>
      <c r="AG72" s="6">
        <f>IFERROR(__xludf.DUMMYFUNCTION("""COMPUTED_VALUE"""),46037.0)</f>
        <v>46037</v>
      </c>
      <c r="AH72" s="4"/>
      <c r="AI72" s="4"/>
    </row>
    <row r="73" ht="15.75" customHeight="1">
      <c r="A73" s="4" t="str">
        <f>IFERROR(__xludf.DUMMYFUNCTION("""COMPUTED_VALUE"""),"fdd04427")</f>
        <v>fdd04427</v>
      </c>
      <c r="B73" s="5">
        <f>IFERROR(__xludf.DUMMYFUNCTION("""COMPUTED_VALUE"""),46037.97895833333)</f>
        <v>46037.97896</v>
      </c>
      <c r="C73" s="4" t="str">
        <f>IFERROR(__xludf.DUMMYFUNCTION("""COMPUTED_VALUE"""),"-6.932417, 107.715832")</f>
        <v>-6.932417, 107.715832</v>
      </c>
      <c r="D73" s="4" t="str">
        <f>IFERROR(__xludf.DUMMYFUNCTION("""COMPUTED_VALUE"""),"Canra heri")</f>
        <v>Canra heri</v>
      </c>
      <c r="E73" s="4" t="str">
        <f>IFERROR(__xludf.DUMMYFUNCTION("""COMPUTED_VALUE"""),"BANDUNG")</f>
        <v>BANDUNG</v>
      </c>
      <c r="F73" s="4" t="str">
        <f>IFERROR(__xludf.DUMMYFUNCTION("""COMPUTED_VALUE"""),"UJUNGBERUNG")</f>
        <v>UJUNGBERUNG</v>
      </c>
      <c r="G73" s="4" t="str">
        <f>IFERROR(__xludf.DUMMYFUNCTION("""COMPUTED_VALUE"""),"UJUNGBERUNG")</f>
        <v>UJUNGBERUNG</v>
      </c>
      <c r="H73" s="4" t="str">
        <f>IFERROR(__xludf.DUMMYFUNCTION("""COMPUTED_VALUE"""),"CPDU")</f>
        <v>CPDU</v>
      </c>
      <c r="I73" s="4" t="str">
        <f>IFERROR(__xludf.DUMMYFUNCTION("""COMPUTED_VALUE"""),"REC CBUA - LBS MAN")</f>
        <v>REC CBUA - LBS MAN</v>
      </c>
      <c r="J73" s="4" t="str">
        <f>IFERROR(__xludf.DUMMYFUNCTION("""COMPUTED_VALUE"""),"ZONA 2")</f>
        <v>ZONA 2</v>
      </c>
      <c r="K73" s="4" t="str">
        <f>IFERROR(__xludf.DUMMYFUNCTION("""COMPUTED_VALUE"""),"052")</f>
        <v>052</v>
      </c>
      <c r="L73" s="4" t="str">
        <f>IFERROR(__xludf.DUMMYFUNCTION("""COMPUTED_VALUE"""),"TM - 16B/H (REC/SSO/LBS)")</f>
        <v>TM - 16B/H (REC/SSO/LBS)</v>
      </c>
      <c r="M73" s="4" t="str">
        <f>IFERROR(__xludf.DUMMYFUNCTION("""COMPUTED_VALUE"""),"LBS")</f>
        <v>LBS</v>
      </c>
      <c r="N73" s="4" t="str">
        <f>IFERROR(__xludf.DUMMYFUNCTION("""COMPUTED_VALUE"""),"Uin")</f>
        <v>Uin</v>
      </c>
      <c r="O73" s="4" t="str">
        <f>IFERROR(__xludf.DUMMYFUNCTION("""COMPUTED_VALUE"""),"PEMBANDING SEJENIS")</f>
        <v>PEMBANDING SEJENIS</v>
      </c>
      <c r="P73" s="4" t="str">
        <f>IFERROR(__xludf.DUMMYFUNCTION("""COMPUTED_VALUE"""),"TERMINAL BUSHING")</f>
        <v>TERMINAL BUSHING</v>
      </c>
      <c r="Q73" s="4">
        <f>IFERROR(__xludf.DUMMYFUNCTION("""COMPUTED_VALUE"""),22.0)</f>
        <v>22</v>
      </c>
      <c r="R73" s="4">
        <f>IFERROR(__xludf.DUMMYFUNCTION("""COMPUTED_VALUE"""),22.0)</f>
        <v>22</v>
      </c>
      <c r="S73" s="4">
        <f>IFERROR(__xludf.DUMMYFUNCTION("""COMPUTED_VALUE"""),22.0)</f>
        <v>22</v>
      </c>
      <c r="T73" s="4"/>
      <c r="U73" s="4" t="str">
        <f>IFERROR(__xludf.DUMMYFUNCTION("""COMPUTED_VALUE"""),"BAIK")</f>
        <v>BAIK</v>
      </c>
      <c r="V73" s="4" t="str">
        <f>IFERROR(__xludf.DUMMYFUNCTION("""COMPUTED_VALUE"""),"Tidak Ada")</f>
        <v>Tidak Ada</v>
      </c>
      <c r="W73" s="4"/>
      <c r="X73" s="4"/>
      <c r="Y73" s="4"/>
      <c r="Z73" s="4"/>
      <c r="AA73" s="4"/>
      <c r="AB73" s="4"/>
      <c r="AC73" s="4" t="str">
        <f>IFERROR(__xludf.DUMMYFUNCTION("""COMPUTED_VALUE"""),"INSPEKSI SUTM - T2_Images/fdd04427.FOTO.163046.jpg")</f>
        <v>INSPEKSI SUTM - T2_Images/fdd04427.FOTO.163046.jpg</v>
      </c>
      <c r="AD73" s="4"/>
      <c r="AE73" s="4"/>
      <c r="AF73" s="4" t="str">
        <f>IFERROR(__xludf.DUMMYFUNCTION("""COMPUTED_VALUE"""),"BELUM")</f>
        <v>BELUM</v>
      </c>
      <c r="AG73" s="6">
        <f>IFERROR(__xludf.DUMMYFUNCTION("""COMPUTED_VALUE"""),46037.0)</f>
        <v>46037</v>
      </c>
      <c r="AH73" s="4"/>
      <c r="AI73" s="4"/>
    </row>
    <row r="74" ht="15.75" customHeight="1">
      <c r="A74" s="4" t="str">
        <f>IFERROR(__xludf.DUMMYFUNCTION("""COMPUTED_VALUE"""),"999a249a")</f>
        <v>999a249a</v>
      </c>
      <c r="B74" s="5">
        <f>IFERROR(__xludf.DUMMYFUNCTION("""COMPUTED_VALUE"""),46037.984375)</f>
        <v>46037.98438</v>
      </c>
      <c r="C74" s="4" t="str">
        <f>IFERROR(__xludf.DUMMYFUNCTION("""COMPUTED_VALUE"""),"-6.933962, 107.721982")</f>
        <v>-6.933962, 107.721982</v>
      </c>
      <c r="D74" s="4" t="str">
        <f>IFERROR(__xludf.DUMMYFUNCTION("""COMPUTED_VALUE"""),"Canra heri")</f>
        <v>Canra heri</v>
      </c>
      <c r="E74" s="4" t="str">
        <f>IFERROR(__xludf.DUMMYFUNCTION("""COMPUTED_VALUE"""),"BANDUNG")</f>
        <v>BANDUNG</v>
      </c>
      <c r="F74" s="4" t="str">
        <f>IFERROR(__xludf.DUMMYFUNCTION("""COMPUTED_VALUE"""),"UJUNGBERUNG")</f>
        <v>UJUNGBERUNG</v>
      </c>
      <c r="G74" s="4" t="str">
        <f>IFERROR(__xludf.DUMMYFUNCTION("""COMPUTED_VALUE"""),"UJUNGBERUNG")</f>
        <v>UJUNGBERUNG</v>
      </c>
      <c r="H74" s="4" t="str">
        <f>IFERROR(__xludf.DUMMYFUNCTION("""COMPUTED_VALUE"""),"CPDU")</f>
        <v>CPDU</v>
      </c>
      <c r="I74" s="4" t="str">
        <f>IFERROR(__xludf.DUMMYFUNCTION("""COMPUTED_VALUE"""),"REC CBUA - LBS MAN")</f>
        <v>REC CBUA - LBS MAN</v>
      </c>
      <c r="J74" s="4" t="str">
        <f>IFERROR(__xludf.DUMMYFUNCTION("""COMPUTED_VALUE"""),"ZONA 2")</f>
        <v>ZONA 2</v>
      </c>
      <c r="K74" s="4" t="str">
        <f>IFERROR(__xludf.DUMMYFUNCTION("""COMPUTED_VALUE"""),"031")</f>
        <v>031</v>
      </c>
      <c r="L74" s="4" t="str">
        <f>IFERROR(__xludf.DUMMYFUNCTION("""COMPUTED_VALUE"""),"TM - 4B/H (Afspan)")</f>
        <v>TM - 4B/H (Afspan)</v>
      </c>
      <c r="M74" s="4" t="str">
        <f>IFERROR(__xludf.DUMMYFUNCTION("""COMPUTED_VALUE"""),"Tidak Ada")</f>
        <v>Tidak Ada</v>
      </c>
      <c r="N74" s="4"/>
      <c r="O74" s="4" t="str">
        <f>IFERROR(__xludf.DUMMYFUNCTION("""COMPUTED_VALUE"""),"PEMBANDING SEJENIS")</f>
        <v>PEMBANDING SEJENIS</v>
      </c>
      <c r="P74" s="4" t="str">
        <f>IFERROR(__xludf.DUMMYFUNCTION("""COMPUTED_VALUE"""),"KONEKTOR/JUMPER")</f>
        <v>KONEKTOR/JUMPER</v>
      </c>
      <c r="Q74" s="4">
        <f>IFERROR(__xludf.DUMMYFUNCTION("""COMPUTED_VALUE"""),22.0)</f>
        <v>22</v>
      </c>
      <c r="R74" s="4">
        <f>IFERROR(__xludf.DUMMYFUNCTION("""COMPUTED_VALUE"""),22.0)</f>
        <v>22</v>
      </c>
      <c r="S74" s="4">
        <f>IFERROR(__xludf.DUMMYFUNCTION("""COMPUTED_VALUE"""),20.0)</f>
        <v>20</v>
      </c>
      <c r="T74" s="4"/>
      <c r="U74" s="4" t="str">
        <f>IFERROR(__xludf.DUMMYFUNCTION("""COMPUTED_VALUE"""),"BAIK")</f>
        <v>BAIK</v>
      </c>
      <c r="V74" s="4" t="str">
        <f>IFERROR(__xludf.DUMMYFUNCTION("""COMPUTED_VALUE"""),"Tidak Ada")</f>
        <v>Tidak Ada</v>
      </c>
      <c r="W74" s="4"/>
      <c r="X74" s="4"/>
      <c r="Y74" s="4"/>
      <c r="Z74" s="4"/>
      <c r="AA74" s="4"/>
      <c r="AB74" s="4"/>
      <c r="AC74" s="4" t="str">
        <f>IFERROR(__xludf.DUMMYFUNCTION("""COMPUTED_VALUE"""),"INSPEKSI SUTM - T2_Images/999a249a.FOTO.163826.jpg")</f>
        <v>INSPEKSI SUTM - T2_Images/999a249a.FOTO.163826.jpg</v>
      </c>
      <c r="AD74" s="4"/>
      <c r="AE74" s="4"/>
      <c r="AF74" s="4" t="str">
        <f>IFERROR(__xludf.DUMMYFUNCTION("""COMPUTED_VALUE"""),"BELUM")</f>
        <v>BELUM</v>
      </c>
      <c r="AG74" s="6">
        <f>IFERROR(__xludf.DUMMYFUNCTION("""COMPUTED_VALUE"""),46037.0)</f>
        <v>46037</v>
      </c>
      <c r="AH74" s="4"/>
      <c r="AI74" s="4"/>
    </row>
    <row r="75" ht="15.75" customHeight="1">
      <c r="A75" s="4" t="str">
        <f>IFERROR(__xludf.DUMMYFUNCTION("""COMPUTED_VALUE"""),"9ed6ca8d")</f>
        <v>9ed6ca8d</v>
      </c>
      <c r="B75" s="5">
        <f>IFERROR(__xludf.DUMMYFUNCTION("""COMPUTED_VALUE"""),46024.95923611111)</f>
        <v>46024.95924</v>
      </c>
      <c r="C75" s="4" t="str">
        <f>IFERROR(__xludf.DUMMYFUNCTION("""COMPUTED_VALUE"""),"-6.949056, 107.611929")</f>
        <v>-6.949056, 107.611929</v>
      </c>
      <c r="D75" s="4" t="str">
        <f>IFERROR(__xludf.DUMMYFUNCTION("""COMPUTED_VALUE"""),"Nugi fuad")</f>
        <v>Nugi fuad</v>
      </c>
      <c r="E75" s="4" t="str">
        <f>IFERROR(__xludf.DUMMYFUNCTION("""COMPUTED_VALUE"""),"BANDUNG")</f>
        <v>BANDUNG</v>
      </c>
      <c r="F75" s="4" t="str">
        <f>IFERROR(__xludf.DUMMYFUNCTION("""COMPUTED_VALUE"""),"BANDUNG SELATAN")</f>
        <v>BANDUNG SELATAN</v>
      </c>
      <c r="G75" s="4" t="str">
        <f>IFERROR(__xludf.DUMMYFUNCTION("""COMPUTED_VALUE"""),"CIGERELENG")</f>
        <v>CIGERELENG</v>
      </c>
      <c r="H75" s="4" t="str">
        <f>IFERROR(__xludf.DUMMYFUNCTION("""COMPUTED_VALUE"""),"CMU")</f>
        <v>CMU</v>
      </c>
      <c r="I75" s="4" t="str">
        <f>IFERROR(__xludf.DUMMYFUNCTION("""COMPUTED_VALUE"""),"LBS CKGC-ujung")</f>
        <v>LBS CKGC-ujung</v>
      </c>
      <c r="J75" s="4" t="str">
        <f>IFERROR(__xludf.DUMMYFUNCTION("""COMPUTED_VALUE"""),"ZONA 2")</f>
        <v>ZONA 2</v>
      </c>
      <c r="K75" s="4" t="str">
        <f>IFERROR(__xludf.DUMMYFUNCTION("""COMPUTED_VALUE"""),"003L06")</f>
        <v>003L06</v>
      </c>
      <c r="L75" s="4" t="str">
        <f>IFERROR(__xludf.DUMMYFUNCTION("""COMPUTED_VALUE"""),"TM - 16B/H (REC/SSO/LBS)")</f>
        <v>TM - 16B/H (REC/SSO/LBS)</v>
      </c>
      <c r="M75" s="4" t="str">
        <f>IFERROR(__xludf.DUMMYFUNCTION("""COMPUTED_VALUE"""),"LBS")</f>
        <v>LBS</v>
      </c>
      <c r="N75" s="4" t="str">
        <f>IFERROR(__xludf.DUMMYFUNCTION("""COMPUTED_VALUE"""),"CKGC")</f>
        <v>CKGC</v>
      </c>
      <c r="O75" s="4" t="str">
        <f>IFERROR(__xludf.DUMMYFUNCTION("""COMPUTED_VALUE"""),"PEMBANDING SEJENIS")</f>
        <v>PEMBANDING SEJENIS</v>
      </c>
      <c r="P75" s="4" t="str">
        <f>IFERROR(__xludf.DUMMYFUNCTION("""COMPUTED_VALUE"""),"KONEKTOR/JUMPER")</f>
        <v>KONEKTOR/JUMPER</v>
      </c>
      <c r="Q75" s="4">
        <f>IFERROR(__xludf.DUMMYFUNCTION("""COMPUTED_VALUE"""),24.0)</f>
        <v>24</v>
      </c>
      <c r="R75" s="4">
        <f>IFERROR(__xludf.DUMMYFUNCTION("""COMPUTED_VALUE"""),24.0)</f>
        <v>24</v>
      </c>
      <c r="S75" s="4">
        <f>IFERROR(__xludf.DUMMYFUNCTION("""COMPUTED_VALUE"""),24.0)</f>
        <v>24</v>
      </c>
      <c r="T75" s="4"/>
      <c r="U75" s="4" t="str">
        <f>IFERROR(__xludf.DUMMYFUNCTION("""COMPUTED_VALUE"""),"BAIK")</f>
        <v>BAIK</v>
      </c>
      <c r="V75" s="4" t="str">
        <f>IFERROR(__xludf.DUMMYFUNCTION("""COMPUTED_VALUE"""),"Tidak Ada")</f>
        <v>Tidak Ada</v>
      </c>
      <c r="W75" s="4"/>
      <c r="X75" s="4"/>
      <c r="Y75" s="4"/>
      <c r="Z75" s="4"/>
      <c r="AA75" s="4"/>
      <c r="AB75" s="4"/>
      <c r="AC75" s="4" t="str">
        <f>IFERROR(__xludf.DUMMYFUNCTION("""COMPUTED_VALUE"""),"INSPEKSI SUTM - T2_Images/9ed6ca8d.FOTO.160910.jpg")</f>
        <v>INSPEKSI SUTM - T2_Images/9ed6ca8d.FOTO.160910.jpg</v>
      </c>
      <c r="AD75" s="4"/>
      <c r="AE75" s="4"/>
      <c r="AF75" s="4" t="str">
        <f>IFERROR(__xludf.DUMMYFUNCTION("""COMPUTED_VALUE"""),"BELUM")</f>
        <v>BELUM</v>
      </c>
      <c r="AG75" s="6">
        <f>IFERROR(__xludf.DUMMYFUNCTION("""COMPUTED_VALUE"""),46024.0)</f>
        <v>46024</v>
      </c>
      <c r="AH75" s="4"/>
      <c r="AI75" s="4"/>
    </row>
    <row r="76" ht="15.75" customHeight="1">
      <c r="A76" s="4" t="str">
        <f>IFERROR(__xludf.DUMMYFUNCTION("""COMPUTED_VALUE"""),"20a549ae")</f>
        <v>20a549ae</v>
      </c>
      <c r="B76" s="5">
        <f>IFERROR(__xludf.DUMMYFUNCTION("""COMPUTED_VALUE"""),46024.95989583333)</f>
        <v>46024.9599</v>
      </c>
      <c r="C76" s="4" t="str">
        <f>IFERROR(__xludf.DUMMYFUNCTION("""COMPUTED_VALUE"""),"-6.949056, 107.611929")</f>
        <v>-6.949056, 107.611929</v>
      </c>
      <c r="D76" s="4" t="str">
        <f>IFERROR(__xludf.DUMMYFUNCTION("""COMPUTED_VALUE"""),"Nugi fuad")</f>
        <v>Nugi fuad</v>
      </c>
      <c r="E76" s="4" t="str">
        <f>IFERROR(__xludf.DUMMYFUNCTION("""COMPUTED_VALUE"""),"BANDUNG")</f>
        <v>BANDUNG</v>
      </c>
      <c r="F76" s="4" t="str">
        <f>IFERROR(__xludf.DUMMYFUNCTION("""COMPUTED_VALUE"""),"BANDUNG SELATAN")</f>
        <v>BANDUNG SELATAN</v>
      </c>
      <c r="G76" s="4" t="str">
        <f>IFERROR(__xludf.DUMMYFUNCTION("""COMPUTED_VALUE"""),"CIGERELENG")</f>
        <v>CIGERELENG</v>
      </c>
      <c r="H76" s="4" t="str">
        <f>IFERROR(__xludf.DUMMYFUNCTION("""COMPUTED_VALUE"""),"CMU")</f>
        <v>CMU</v>
      </c>
      <c r="I76" s="4" t="str">
        <f>IFERROR(__xludf.DUMMYFUNCTION("""COMPUTED_VALUE"""),"LBS CKGC-ujung")</f>
        <v>LBS CKGC-ujung</v>
      </c>
      <c r="J76" s="4" t="str">
        <f>IFERROR(__xludf.DUMMYFUNCTION("""COMPUTED_VALUE"""),"ZONA 2")</f>
        <v>ZONA 2</v>
      </c>
      <c r="K76" s="4" t="str">
        <f>IFERROR(__xludf.DUMMYFUNCTION("""COMPUTED_VALUE"""),"003L07")</f>
        <v>003L07</v>
      </c>
      <c r="L76" s="4" t="str">
        <f>IFERROR(__xludf.DUMMYFUNCTION("""COMPUTED_VALUE"""),"TM - 7B/H (Afspan 90 Derajat)")</f>
        <v>TM - 7B/H (Afspan 90 Derajat)</v>
      </c>
      <c r="M76" s="4" t="str">
        <f>IFERROR(__xludf.DUMMYFUNCTION("""COMPUTED_VALUE"""),"Tidak Ada")</f>
        <v>Tidak Ada</v>
      </c>
      <c r="N76" s="4"/>
      <c r="O76" s="4" t="str">
        <f>IFERROR(__xludf.DUMMYFUNCTION("""COMPUTED_VALUE"""),"PEMBANDING SEJENIS")</f>
        <v>PEMBANDING SEJENIS</v>
      </c>
      <c r="P76" s="4" t="str">
        <f>IFERROR(__xludf.DUMMYFUNCTION("""COMPUTED_VALUE"""),"KONEKTOR/JUMPER")</f>
        <v>KONEKTOR/JUMPER</v>
      </c>
      <c r="Q76" s="4">
        <f>IFERROR(__xludf.DUMMYFUNCTION("""COMPUTED_VALUE"""),24.0)</f>
        <v>24</v>
      </c>
      <c r="R76" s="4">
        <f>IFERROR(__xludf.DUMMYFUNCTION("""COMPUTED_VALUE"""),23.0)</f>
        <v>23</v>
      </c>
      <c r="S76" s="4">
        <f>IFERROR(__xludf.DUMMYFUNCTION("""COMPUTED_VALUE"""),23.0)</f>
        <v>23</v>
      </c>
      <c r="T76" s="4"/>
      <c r="U76" s="4" t="str">
        <f>IFERROR(__xludf.DUMMYFUNCTION("""COMPUTED_VALUE"""),"BAIK")</f>
        <v>BAIK</v>
      </c>
      <c r="V76" s="4" t="str">
        <f>IFERROR(__xludf.DUMMYFUNCTION("""COMPUTED_VALUE"""),"Tidak Ada")</f>
        <v>Tidak Ada</v>
      </c>
      <c r="W76" s="4"/>
      <c r="X76" s="4"/>
      <c r="Y76" s="4"/>
      <c r="Z76" s="4"/>
      <c r="AA76" s="4"/>
      <c r="AB76" s="4"/>
      <c r="AC76" s="4" t="str">
        <f>IFERROR(__xludf.DUMMYFUNCTION("""COMPUTED_VALUE"""),"INSPEKSI SUTM - T2_Images/20a549ae.FOTO.160915.jpg")</f>
        <v>INSPEKSI SUTM - T2_Images/20a549ae.FOTO.160915.jpg</v>
      </c>
      <c r="AD76" s="4"/>
      <c r="AE76" s="4"/>
      <c r="AF76" s="4" t="str">
        <f>IFERROR(__xludf.DUMMYFUNCTION("""COMPUTED_VALUE"""),"BELUM")</f>
        <v>BELUM</v>
      </c>
      <c r="AG76" s="6">
        <f>IFERROR(__xludf.DUMMYFUNCTION("""COMPUTED_VALUE"""),46024.0)</f>
        <v>46024</v>
      </c>
      <c r="AH76" s="4"/>
      <c r="AI76" s="4"/>
    </row>
    <row r="77" ht="15.75" customHeight="1">
      <c r="A77" s="4" t="str">
        <f>IFERROR(__xludf.DUMMYFUNCTION("""COMPUTED_VALUE"""),"fc1476ac")</f>
        <v>fc1476ac</v>
      </c>
      <c r="B77" s="5">
        <f>IFERROR(__xludf.DUMMYFUNCTION("""COMPUTED_VALUE"""),46024.96050925926)</f>
        <v>46024.96051</v>
      </c>
      <c r="C77" s="4" t="str">
        <f>IFERROR(__xludf.DUMMYFUNCTION("""COMPUTED_VALUE"""),"-6.949056, 107.611929")</f>
        <v>-6.949056, 107.611929</v>
      </c>
      <c r="D77" s="4" t="str">
        <f>IFERROR(__xludf.DUMMYFUNCTION("""COMPUTED_VALUE"""),"Nugi fuad")</f>
        <v>Nugi fuad</v>
      </c>
      <c r="E77" s="4" t="str">
        <f>IFERROR(__xludf.DUMMYFUNCTION("""COMPUTED_VALUE"""),"BANDUNG")</f>
        <v>BANDUNG</v>
      </c>
      <c r="F77" s="4" t="str">
        <f>IFERROR(__xludf.DUMMYFUNCTION("""COMPUTED_VALUE"""),"BANDUNG SELATAN")</f>
        <v>BANDUNG SELATAN</v>
      </c>
      <c r="G77" s="4" t="str">
        <f>IFERROR(__xludf.DUMMYFUNCTION("""COMPUTED_VALUE"""),"CIGERELENG")</f>
        <v>CIGERELENG</v>
      </c>
      <c r="H77" s="4" t="str">
        <f>IFERROR(__xludf.DUMMYFUNCTION("""COMPUTED_VALUE"""),"CMU")</f>
        <v>CMU</v>
      </c>
      <c r="I77" s="4" t="str">
        <f>IFERROR(__xludf.DUMMYFUNCTION("""COMPUTED_VALUE"""),"LBS CKGC-ujung")</f>
        <v>LBS CKGC-ujung</v>
      </c>
      <c r="J77" s="4" t="str">
        <f>IFERROR(__xludf.DUMMYFUNCTION("""COMPUTED_VALUE"""),"ZONA 2")</f>
        <v>ZONA 2</v>
      </c>
      <c r="K77" s="4" t="str">
        <f>IFERROR(__xludf.DUMMYFUNCTION("""COMPUTED_VALUE"""),"003L13")</f>
        <v>003L13</v>
      </c>
      <c r="L77" s="4" t="str">
        <f>IFERROR(__xludf.DUMMYFUNCTION("""COMPUTED_VALUE"""),"TM - 8B/H (Percabangan)")</f>
        <v>TM - 8B/H (Percabangan)</v>
      </c>
      <c r="M77" s="4" t="str">
        <f>IFERROR(__xludf.DUMMYFUNCTION("""COMPUTED_VALUE"""),"Tidak Ada")</f>
        <v>Tidak Ada</v>
      </c>
      <c r="N77" s="4"/>
      <c r="O77" s="4" t="str">
        <f>IFERROR(__xludf.DUMMYFUNCTION("""COMPUTED_VALUE"""),"PEMBANDING SEJENIS")</f>
        <v>PEMBANDING SEJENIS</v>
      </c>
      <c r="P77" s="4" t="str">
        <f>IFERROR(__xludf.DUMMYFUNCTION("""COMPUTED_VALUE"""),"KONEKTOR/JUMPER")</f>
        <v>KONEKTOR/JUMPER</v>
      </c>
      <c r="Q77" s="4">
        <f>IFERROR(__xludf.DUMMYFUNCTION("""COMPUTED_VALUE"""),24.0)</f>
        <v>24</v>
      </c>
      <c r="R77" s="4">
        <f>IFERROR(__xludf.DUMMYFUNCTION("""COMPUTED_VALUE"""),24.0)</f>
        <v>24</v>
      </c>
      <c r="S77" s="4">
        <f>IFERROR(__xludf.DUMMYFUNCTION("""COMPUTED_VALUE"""),24.0)</f>
        <v>24</v>
      </c>
      <c r="T77" s="4"/>
      <c r="U77" s="4" t="str">
        <f>IFERROR(__xludf.DUMMYFUNCTION("""COMPUTED_VALUE"""),"BAIK")</f>
        <v>BAIK</v>
      </c>
      <c r="V77" s="4" t="str">
        <f>IFERROR(__xludf.DUMMYFUNCTION("""COMPUTED_VALUE"""),"Tidak Ada")</f>
        <v>Tidak Ada</v>
      </c>
      <c r="W77" s="4"/>
      <c r="X77" s="4"/>
      <c r="Y77" s="4"/>
      <c r="Z77" s="4"/>
      <c r="AA77" s="4"/>
      <c r="AB77" s="4"/>
      <c r="AC77" s="4" t="str">
        <f>IFERROR(__xludf.DUMMYFUNCTION("""COMPUTED_VALUE"""),"INSPEKSI SUTM - T2_Images/fc1476ac.FOTO.160931.jpg")</f>
        <v>INSPEKSI SUTM - T2_Images/fc1476ac.FOTO.160931.jpg</v>
      </c>
      <c r="AD77" s="4"/>
      <c r="AE77" s="4"/>
      <c r="AF77" s="4" t="str">
        <f>IFERROR(__xludf.DUMMYFUNCTION("""COMPUTED_VALUE"""),"BELUM")</f>
        <v>BELUM</v>
      </c>
      <c r="AG77" s="6">
        <f>IFERROR(__xludf.DUMMYFUNCTION("""COMPUTED_VALUE"""),46024.0)</f>
        <v>46024</v>
      </c>
      <c r="AH77" s="4"/>
      <c r="AI77" s="4"/>
    </row>
    <row r="78" ht="15.75" customHeight="1">
      <c r="A78" s="4" t="str">
        <f>IFERROR(__xludf.DUMMYFUNCTION("""COMPUTED_VALUE"""),"cb433399")</f>
        <v>cb433399</v>
      </c>
      <c r="B78" s="5">
        <f>IFERROR(__xludf.DUMMYFUNCTION("""COMPUTED_VALUE"""),46024.961064814815)</f>
        <v>46024.96106</v>
      </c>
      <c r="C78" s="4" t="str">
        <f>IFERROR(__xludf.DUMMYFUNCTION("""COMPUTED_VALUE"""),"-6.949056, 107.611929")</f>
        <v>-6.949056, 107.611929</v>
      </c>
      <c r="D78" s="4" t="str">
        <f>IFERROR(__xludf.DUMMYFUNCTION("""COMPUTED_VALUE"""),"Nugi fuad")</f>
        <v>Nugi fuad</v>
      </c>
      <c r="E78" s="4" t="str">
        <f>IFERROR(__xludf.DUMMYFUNCTION("""COMPUTED_VALUE"""),"BANDUNG")</f>
        <v>BANDUNG</v>
      </c>
      <c r="F78" s="4" t="str">
        <f>IFERROR(__xludf.DUMMYFUNCTION("""COMPUTED_VALUE"""),"BANDUNG SELATAN")</f>
        <v>BANDUNG SELATAN</v>
      </c>
      <c r="G78" s="4" t="str">
        <f>IFERROR(__xludf.DUMMYFUNCTION("""COMPUTED_VALUE"""),"CIGERELENG")</f>
        <v>CIGERELENG</v>
      </c>
      <c r="H78" s="4" t="str">
        <f>IFERROR(__xludf.DUMMYFUNCTION("""COMPUTED_VALUE"""),"CMU")</f>
        <v>CMU</v>
      </c>
      <c r="I78" s="4" t="str">
        <f>IFERROR(__xludf.DUMMYFUNCTION("""COMPUTED_VALUE"""),"LBS CKGC-ujung")</f>
        <v>LBS CKGC-ujung</v>
      </c>
      <c r="J78" s="4" t="str">
        <f>IFERROR(__xludf.DUMMYFUNCTION("""COMPUTED_VALUE"""),"ZONA 2")</f>
        <v>ZONA 2</v>
      </c>
      <c r="K78" s="4" t="str">
        <f>IFERROR(__xludf.DUMMYFUNCTION("""COMPUTED_VALUE"""),"003L13R01")</f>
        <v>003L13R01</v>
      </c>
      <c r="L78" s="4" t="str">
        <f>IFERROR(__xludf.DUMMYFUNCTION("""COMPUTED_VALUE"""),"TM - 14B/H (Akhir)")</f>
        <v>TM - 14B/H (Akhir)</v>
      </c>
      <c r="M78" s="4" t="str">
        <f>IFERROR(__xludf.DUMMYFUNCTION("""COMPUTED_VALUE"""),"Tidak Ada")</f>
        <v>Tidak Ada</v>
      </c>
      <c r="N78" s="4"/>
      <c r="O78" s="4" t="str">
        <f>IFERROR(__xludf.DUMMYFUNCTION("""COMPUTED_VALUE"""),"PEMBANDING SEJENIS")</f>
        <v>PEMBANDING SEJENIS</v>
      </c>
      <c r="P78" s="4" t="str">
        <f>IFERROR(__xludf.DUMMYFUNCTION("""COMPUTED_VALUE"""),"TERMINASI")</f>
        <v>TERMINASI</v>
      </c>
      <c r="Q78" s="4">
        <f>IFERROR(__xludf.DUMMYFUNCTION("""COMPUTED_VALUE"""),24.0)</f>
        <v>24</v>
      </c>
      <c r="R78" s="4">
        <f>IFERROR(__xludf.DUMMYFUNCTION("""COMPUTED_VALUE"""),24.0)</f>
        <v>24</v>
      </c>
      <c r="S78" s="4">
        <f>IFERROR(__xludf.DUMMYFUNCTION("""COMPUTED_VALUE"""),23.0)</f>
        <v>23</v>
      </c>
      <c r="T78" s="4"/>
      <c r="U78" s="4" t="str">
        <f>IFERROR(__xludf.DUMMYFUNCTION("""COMPUTED_VALUE"""),"BAIK")</f>
        <v>BAIK</v>
      </c>
      <c r="V78" s="4" t="str">
        <f>IFERROR(__xludf.DUMMYFUNCTION("""COMPUTED_VALUE"""),"Tidak Ada")</f>
        <v>Tidak Ada</v>
      </c>
      <c r="W78" s="4"/>
      <c r="X78" s="4"/>
      <c r="Y78" s="4"/>
      <c r="Z78" s="4"/>
      <c r="AA78" s="4"/>
      <c r="AB78" s="4"/>
      <c r="AC78" s="4" t="str">
        <f>IFERROR(__xludf.DUMMYFUNCTION("""COMPUTED_VALUE"""),"INSPEKSI SUTM - T2_Images/cb433399.FOTO.160934.jpg")</f>
        <v>INSPEKSI SUTM - T2_Images/cb433399.FOTO.160934.jpg</v>
      </c>
      <c r="AD78" s="4"/>
      <c r="AE78" s="4"/>
      <c r="AF78" s="4" t="str">
        <f>IFERROR(__xludf.DUMMYFUNCTION("""COMPUTED_VALUE"""),"BELUM")</f>
        <v>BELUM</v>
      </c>
      <c r="AG78" s="6">
        <f>IFERROR(__xludf.DUMMYFUNCTION("""COMPUTED_VALUE"""),46024.0)</f>
        <v>46024</v>
      </c>
      <c r="AH78" s="4"/>
      <c r="AI78" s="4"/>
    </row>
    <row r="79" ht="15.75" customHeight="1">
      <c r="A79" s="4" t="str">
        <f>IFERROR(__xludf.DUMMYFUNCTION("""COMPUTED_VALUE"""),"d6ff1ac1")</f>
        <v>d6ff1ac1</v>
      </c>
      <c r="B79" s="5">
        <f>IFERROR(__xludf.DUMMYFUNCTION("""COMPUTED_VALUE"""),46024.96162037037)</f>
        <v>46024.96162</v>
      </c>
      <c r="C79" s="4" t="str">
        <f>IFERROR(__xludf.DUMMYFUNCTION("""COMPUTED_VALUE"""),"-6.949056, 107.611929")</f>
        <v>-6.949056, 107.611929</v>
      </c>
      <c r="D79" s="4" t="str">
        <f>IFERROR(__xludf.DUMMYFUNCTION("""COMPUTED_VALUE"""),"Nugi fuad")</f>
        <v>Nugi fuad</v>
      </c>
      <c r="E79" s="4" t="str">
        <f>IFERROR(__xludf.DUMMYFUNCTION("""COMPUTED_VALUE"""),"BANDUNG")</f>
        <v>BANDUNG</v>
      </c>
      <c r="F79" s="4" t="str">
        <f>IFERROR(__xludf.DUMMYFUNCTION("""COMPUTED_VALUE"""),"BANDUNG SELATAN")</f>
        <v>BANDUNG SELATAN</v>
      </c>
      <c r="G79" s="4" t="str">
        <f>IFERROR(__xludf.DUMMYFUNCTION("""COMPUTED_VALUE"""),"CIGERELENG")</f>
        <v>CIGERELENG</v>
      </c>
      <c r="H79" s="4" t="str">
        <f>IFERROR(__xludf.DUMMYFUNCTION("""COMPUTED_VALUE"""),"CMU")</f>
        <v>CMU</v>
      </c>
      <c r="I79" s="4" t="str">
        <f>IFERROR(__xludf.DUMMYFUNCTION("""COMPUTED_VALUE"""),"LBS CKGC-ujung")</f>
        <v>LBS CKGC-ujung</v>
      </c>
      <c r="J79" s="4" t="str">
        <f>IFERROR(__xludf.DUMMYFUNCTION("""COMPUTED_VALUE"""),"ZONA 2")</f>
        <v>ZONA 2</v>
      </c>
      <c r="K79" s="4" t="str">
        <f>IFERROR(__xludf.DUMMYFUNCTION("""COMPUTED_VALUE"""),"003L14")</f>
        <v>003L14</v>
      </c>
      <c r="L79" s="4" t="str">
        <f>IFERROR(__xludf.DUMMYFUNCTION("""COMPUTED_VALUE"""),"TM - 7B/H (Afspan 90 Derajat)")</f>
        <v>TM - 7B/H (Afspan 90 Derajat)</v>
      </c>
      <c r="M79" s="4" t="str">
        <f>IFERROR(__xludf.DUMMYFUNCTION("""COMPUTED_VALUE"""),"Tidak Ada")</f>
        <v>Tidak Ada</v>
      </c>
      <c r="N79" s="4"/>
      <c r="O79" s="4" t="str">
        <f>IFERROR(__xludf.DUMMYFUNCTION("""COMPUTED_VALUE"""),"PEMBANDING SEJENIS")</f>
        <v>PEMBANDING SEJENIS</v>
      </c>
      <c r="P79" s="4" t="str">
        <f>IFERROR(__xludf.DUMMYFUNCTION("""COMPUTED_VALUE"""),"KONEKTOR/JUMPER")</f>
        <v>KONEKTOR/JUMPER</v>
      </c>
      <c r="Q79" s="4">
        <f>IFERROR(__xludf.DUMMYFUNCTION("""COMPUTED_VALUE"""),23.0)</f>
        <v>23</v>
      </c>
      <c r="R79" s="4">
        <f>IFERROR(__xludf.DUMMYFUNCTION("""COMPUTED_VALUE"""),23.0)</f>
        <v>23</v>
      </c>
      <c r="S79" s="4">
        <f>IFERROR(__xludf.DUMMYFUNCTION("""COMPUTED_VALUE"""),23.0)</f>
        <v>23</v>
      </c>
      <c r="T79" s="4"/>
      <c r="U79" s="4" t="str">
        <f>IFERROR(__xludf.DUMMYFUNCTION("""COMPUTED_VALUE"""),"BAIK")</f>
        <v>BAIK</v>
      </c>
      <c r="V79" s="4" t="str">
        <f>IFERROR(__xludf.DUMMYFUNCTION("""COMPUTED_VALUE"""),"Tidak Ada")</f>
        <v>Tidak Ada</v>
      </c>
      <c r="W79" s="4"/>
      <c r="X79" s="4"/>
      <c r="Y79" s="4"/>
      <c r="Z79" s="4"/>
      <c r="AA79" s="4"/>
      <c r="AB79" s="4"/>
      <c r="AC79" s="4" t="str">
        <f>IFERROR(__xludf.DUMMYFUNCTION("""COMPUTED_VALUE"""),"INSPEKSI SUTM - T2_Images/d6ff1ac1.FOTO.160939.jpg")</f>
        <v>INSPEKSI SUTM - T2_Images/d6ff1ac1.FOTO.160939.jpg</v>
      </c>
      <c r="AD79" s="4"/>
      <c r="AE79" s="4"/>
      <c r="AF79" s="4" t="str">
        <f>IFERROR(__xludf.DUMMYFUNCTION("""COMPUTED_VALUE"""),"BELUM")</f>
        <v>BELUM</v>
      </c>
      <c r="AG79" s="6">
        <f>IFERROR(__xludf.DUMMYFUNCTION("""COMPUTED_VALUE"""),46024.0)</f>
        <v>46024</v>
      </c>
      <c r="AH79" s="4"/>
      <c r="AI79" s="4"/>
    </row>
    <row r="80" ht="15.75" customHeight="1">
      <c r="A80" s="4" t="str">
        <f>IFERROR(__xludf.DUMMYFUNCTION("""COMPUTED_VALUE"""),"b5d1319f")</f>
        <v>b5d1319f</v>
      </c>
      <c r="B80" s="5">
        <f>IFERROR(__xludf.DUMMYFUNCTION("""COMPUTED_VALUE"""),46024.96208333333)</f>
        <v>46024.96208</v>
      </c>
      <c r="C80" s="4" t="str">
        <f>IFERROR(__xludf.DUMMYFUNCTION("""COMPUTED_VALUE"""),"-6.949056, 107.611929")</f>
        <v>-6.949056, 107.611929</v>
      </c>
      <c r="D80" s="4" t="str">
        <f>IFERROR(__xludf.DUMMYFUNCTION("""COMPUTED_VALUE"""),"Nugi fuad")</f>
        <v>Nugi fuad</v>
      </c>
      <c r="E80" s="4" t="str">
        <f>IFERROR(__xludf.DUMMYFUNCTION("""COMPUTED_VALUE"""),"BANDUNG")</f>
        <v>BANDUNG</v>
      </c>
      <c r="F80" s="4" t="str">
        <f>IFERROR(__xludf.DUMMYFUNCTION("""COMPUTED_VALUE"""),"BANDUNG SELATAN")</f>
        <v>BANDUNG SELATAN</v>
      </c>
      <c r="G80" s="4" t="str">
        <f>IFERROR(__xludf.DUMMYFUNCTION("""COMPUTED_VALUE"""),"CIGERELENG")</f>
        <v>CIGERELENG</v>
      </c>
      <c r="H80" s="4" t="str">
        <f>IFERROR(__xludf.DUMMYFUNCTION("""COMPUTED_VALUE"""),"CMU")</f>
        <v>CMU</v>
      </c>
      <c r="I80" s="4" t="str">
        <f>IFERROR(__xludf.DUMMYFUNCTION("""COMPUTED_VALUE"""),"LBS CKGC-ujung")</f>
        <v>LBS CKGC-ujung</v>
      </c>
      <c r="J80" s="4" t="str">
        <f>IFERROR(__xludf.DUMMYFUNCTION("""COMPUTED_VALUE"""),"ZONA 2")</f>
        <v>ZONA 2</v>
      </c>
      <c r="K80" s="4" t="str">
        <f>IFERROR(__xludf.DUMMYFUNCTION("""COMPUTED_VALUE"""),"003L31")</f>
        <v>003L31</v>
      </c>
      <c r="L80" s="4" t="str">
        <f>IFERROR(__xludf.DUMMYFUNCTION("""COMPUTED_VALUE"""),"TM - 10B/H (Dua Percabangan)")</f>
        <v>TM - 10B/H (Dua Percabangan)</v>
      </c>
      <c r="M80" s="4" t="str">
        <f>IFERROR(__xludf.DUMMYFUNCTION("""COMPUTED_VALUE"""),"Tidak Ada")</f>
        <v>Tidak Ada</v>
      </c>
      <c r="N80" s="4"/>
      <c r="O80" s="4" t="str">
        <f>IFERROR(__xludf.DUMMYFUNCTION("""COMPUTED_VALUE"""),"PEMBANDING SEJENIS")</f>
        <v>PEMBANDING SEJENIS</v>
      </c>
      <c r="P80" s="4" t="str">
        <f>IFERROR(__xludf.DUMMYFUNCTION("""COMPUTED_VALUE"""),"KONEKTOR/JUMPER")</f>
        <v>KONEKTOR/JUMPER</v>
      </c>
      <c r="Q80" s="4">
        <f>IFERROR(__xludf.DUMMYFUNCTION("""COMPUTED_VALUE"""),23.0)</f>
        <v>23</v>
      </c>
      <c r="R80" s="4">
        <f>IFERROR(__xludf.DUMMYFUNCTION("""COMPUTED_VALUE"""),24.0)</f>
        <v>24</v>
      </c>
      <c r="S80" s="4">
        <f>IFERROR(__xludf.DUMMYFUNCTION("""COMPUTED_VALUE"""),24.0)</f>
        <v>24</v>
      </c>
      <c r="T80" s="4"/>
      <c r="U80" s="4" t="str">
        <f>IFERROR(__xludf.DUMMYFUNCTION("""COMPUTED_VALUE"""),"BAIK")</f>
        <v>BAIK</v>
      </c>
      <c r="V80" s="4" t="str">
        <f>IFERROR(__xludf.DUMMYFUNCTION("""COMPUTED_VALUE"""),"Tidak Ada")</f>
        <v>Tidak Ada</v>
      </c>
      <c r="W80" s="4"/>
      <c r="X80" s="4"/>
      <c r="Y80" s="4"/>
      <c r="Z80" s="4"/>
      <c r="AA80" s="4"/>
      <c r="AB80" s="4"/>
      <c r="AC80" s="4" t="str">
        <f>IFERROR(__xludf.DUMMYFUNCTION("""COMPUTED_VALUE"""),"INSPEKSI SUTM - T2_Images/b5d1319f.FOTO.160943.jpg")</f>
        <v>INSPEKSI SUTM - T2_Images/b5d1319f.FOTO.160943.jpg</v>
      </c>
      <c r="AD80" s="4"/>
      <c r="AE80" s="4"/>
      <c r="AF80" s="4" t="str">
        <f>IFERROR(__xludf.DUMMYFUNCTION("""COMPUTED_VALUE"""),"BELUM")</f>
        <v>BELUM</v>
      </c>
      <c r="AG80" s="6">
        <f>IFERROR(__xludf.DUMMYFUNCTION("""COMPUTED_VALUE"""),46024.0)</f>
        <v>46024</v>
      </c>
      <c r="AH80" s="4"/>
      <c r="AI80" s="4"/>
    </row>
    <row r="81" ht="15.75" customHeight="1">
      <c r="A81" s="4" t="str">
        <f>IFERROR(__xludf.DUMMYFUNCTION("""COMPUTED_VALUE"""),"65f4e25f")</f>
        <v>65f4e25f</v>
      </c>
      <c r="B81" s="5">
        <f>IFERROR(__xludf.DUMMYFUNCTION("""COMPUTED_VALUE"""),46024.96267361111)</f>
        <v>46024.96267</v>
      </c>
      <c r="C81" s="4" t="str">
        <f>IFERROR(__xludf.DUMMYFUNCTION("""COMPUTED_VALUE"""),"-6.949056, 107.611929")</f>
        <v>-6.949056, 107.611929</v>
      </c>
      <c r="D81" s="4" t="str">
        <f>IFERROR(__xludf.DUMMYFUNCTION("""COMPUTED_VALUE"""),"Nugi fuad")</f>
        <v>Nugi fuad</v>
      </c>
      <c r="E81" s="4" t="str">
        <f>IFERROR(__xludf.DUMMYFUNCTION("""COMPUTED_VALUE"""),"BANDUNG")</f>
        <v>BANDUNG</v>
      </c>
      <c r="F81" s="4" t="str">
        <f>IFERROR(__xludf.DUMMYFUNCTION("""COMPUTED_VALUE"""),"BANDUNG SELATAN")</f>
        <v>BANDUNG SELATAN</v>
      </c>
      <c r="G81" s="4" t="str">
        <f>IFERROR(__xludf.DUMMYFUNCTION("""COMPUTED_VALUE"""),"CIGERELENG")</f>
        <v>CIGERELENG</v>
      </c>
      <c r="H81" s="4" t="str">
        <f>IFERROR(__xludf.DUMMYFUNCTION("""COMPUTED_VALUE"""),"CMU")</f>
        <v>CMU</v>
      </c>
      <c r="I81" s="4" t="str">
        <f>IFERROR(__xludf.DUMMYFUNCTION("""COMPUTED_VALUE"""),"LBS CKGC-ujung")</f>
        <v>LBS CKGC-ujung</v>
      </c>
      <c r="J81" s="4" t="str">
        <f>IFERROR(__xludf.DUMMYFUNCTION("""COMPUTED_VALUE"""),"ZONA 2")</f>
        <v>ZONA 2</v>
      </c>
      <c r="K81" s="4" t="str">
        <f>IFERROR(__xludf.DUMMYFUNCTION("""COMPUTED_VALUE"""),"003L31R05")</f>
        <v>003L31R05</v>
      </c>
      <c r="L81" s="4" t="str">
        <f>IFERROR(__xludf.DUMMYFUNCTION("""COMPUTED_VALUE"""),"TM - 14B/H (Akhir)")</f>
        <v>TM - 14B/H (Akhir)</v>
      </c>
      <c r="M81" s="4" t="str">
        <f>IFERROR(__xludf.DUMMYFUNCTION("""COMPUTED_VALUE"""),"Tidak Ada")</f>
        <v>Tidak Ada</v>
      </c>
      <c r="N81" s="4"/>
      <c r="O81" s="4" t="str">
        <f>IFERROR(__xludf.DUMMYFUNCTION("""COMPUTED_VALUE"""),"PEMBANDING SEJENIS")</f>
        <v>PEMBANDING SEJENIS</v>
      </c>
      <c r="P81" s="4" t="str">
        <f>IFERROR(__xludf.DUMMYFUNCTION("""COMPUTED_VALUE"""),"KONEKTOR/JUMPER")</f>
        <v>KONEKTOR/JUMPER</v>
      </c>
      <c r="Q81" s="4">
        <f>IFERROR(__xludf.DUMMYFUNCTION("""COMPUTED_VALUE"""),25.0)</f>
        <v>25</v>
      </c>
      <c r="R81" s="4">
        <f>IFERROR(__xludf.DUMMYFUNCTION("""COMPUTED_VALUE"""),24.0)</f>
        <v>24</v>
      </c>
      <c r="S81" s="4">
        <f>IFERROR(__xludf.DUMMYFUNCTION("""COMPUTED_VALUE"""),24.0)</f>
        <v>24</v>
      </c>
      <c r="T81" s="4"/>
      <c r="U81" s="4" t="str">
        <f>IFERROR(__xludf.DUMMYFUNCTION("""COMPUTED_VALUE"""),"BAIK")</f>
        <v>BAIK</v>
      </c>
      <c r="V81" s="4" t="str">
        <f>IFERROR(__xludf.DUMMYFUNCTION("""COMPUTED_VALUE"""),"Tidak Ada")</f>
        <v>Tidak Ada</v>
      </c>
      <c r="W81" s="4"/>
      <c r="X81" s="4"/>
      <c r="Y81" s="4"/>
      <c r="Z81" s="4"/>
      <c r="AA81" s="4"/>
      <c r="AB81" s="4"/>
      <c r="AC81" s="4" t="str">
        <f>IFERROR(__xludf.DUMMYFUNCTION("""COMPUTED_VALUE"""),"INSPEKSI SUTM - T2_Images/65f4e25f.FOTO.160947.jpg")</f>
        <v>INSPEKSI SUTM - T2_Images/65f4e25f.FOTO.160947.jpg</v>
      </c>
      <c r="AD81" s="4"/>
      <c r="AE81" s="4"/>
      <c r="AF81" s="4" t="str">
        <f>IFERROR(__xludf.DUMMYFUNCTION("""COMPUTED_VALUE"""),"BELUM")</f>
        <v>BELUM</v>
      </c>
      <c r="AG81" s="6">
        <f>IFERROR(__xludf.DUMMYFUNCTION("""COMPUTED_VALUE"""),46024.0)</f>
        <v>46024</v>
      </c>
      <c r="AH81" s="4"/>
      <c r="AI81" s="4"/>
    </row>
    <row r="82" ht="15.75" customHeight="1">
      <c r="A82" s="4" t="str">
        <f>IFERROR(__xludf.DUMMYFUNCTION("""COMPUTED_VALUE"""),"9a3ca53b")</f>
        <v>9a3ca53b</v>
      </c>
      <c r="B82" s="5">
        <f>IFERROR(__xludf.DUMMYFUNCTION("""COMPUTED_VALUE"""),46024.963125)</f>
        <v>46024.96313</v>
      </c>
      <c r="C82" s="4" t="str">
        <f>IFERROR(__xludf.DUMMYFUNCTION("""COMPUTED_VALUE"""),"-6.949056, 107.611929")</f>
        <v>-6.949056, 107.611929</v>
      </c>
      <c r="D82" s="4" t="str">
        <f>IFERROR(__xludf.DUMMYFUNCTION("""COMPUTED_VALUE"""),"Nugi fuad")</f>
        <v>Nugi fuad</v>
      </c>
      <c r="E82" s="4" t="str">
        <f>IFERROR(__xludf.DUMMYFUNCTION("""COMPUTED_VALUE"""),"BANDUNG")</f>
        <v>BANDUNG</v>
      </c>
      <c r="F82" s="4" t="str">
        <f>IFERROR(__xludf.DUMMYFUNCTION("""COMPUTED_VALUE"""),"BANDUNG SELATAN")</f>
        <v>BANDUNG SELATAN</v>
      </c>
      <c r="G82" s="4" t="str">
        <f>IFERROR(__xludf.DUMMYFUNCTION("""COMPUTED_VALUE"""),"CIGERELENG")</f>
        <v>CIGERELENG</v>
      </c>
      <c r="H82" s="4" t="str">
        <f>IFERROR(__xludf.DUMMYFUNCTION("""COMPUTED_VALUE"""),"CMU")</f>
        <v>CMU</v>
      </c>
      <c r="I82" s="4" t="str">
        <f>IFERROR(__xludf.DUMMYFUNCTION("""COMPUTED_VALUE"""),"LBS CKGC-ujung")</f>
        <v>LBS CKGC-ujung</v>
      </c>
      <c r="J82" s="4" t="str">
        <f>IFERROR(__xludf.DUMMYFUNCTION("""COMPUTED_VALUE"""),"ZONA 2")</f>
        <v>ZONA 2</v>
      </c>
      <c r="K82" s="4" t="str">
        <f>IFERROR(__xludf.DUMMYFUNCTION("""COMPUTED_VALUE"""),"003L34")</f>
        <v>003L34</v>
      </c>
      <c r="L82" s="4" t="str">
        <f>IFERROR(__xludf.DUMMYFUNCTION("""COMPUTED_VALUE"""),"TM - 7B/H (Afspan 90 Derajat)")</f>
        <v>TM - 7B/H (Afspan 90 Derajat)</v>
      </c>
      <c r="M82" s="4" t="str">
        <f>IFERROR(__xludf.DUMMYFUNCTION("""COMPUTED_VALUE"""),"Tidak Ada")</f>
        <v>Tidak Ada</v>
      </c>
      <c r="N82" s="4"/>
      <c r="O82" s="4" t="str">
        <f>IFERROR(__xludf.DUMMYFUNCTION("""COMPUTED_VALUE"""),"PEMBANDING SEJENIS")</f>
        <v>PEMBANDING SEJENIS</v>
      </c>
      <c r="P82" s="4" t="str">
        <f>IFERROR(__xludf.DUMMYFUNCTION("""COMPUTED_VALUE"""),"KONEKTOR/JUMPER")</f>
        <v>KONEKTOR/JUMPER</v>
      </c>
      <c r="Q82" s="4">
        <f>IFERROR(__xludf.DUMMYFUNCTION("""COMPUTED_VALUE"""),23.0)</f>
        <v>23</v>
      </c>
      <c r="R82" s="4">
        <f>IFERROR(__xludf.DUMMYFUNCTION("""COMPUTED_VALUE"""),24.0)</f>
        <v>24</v>
      </c>
      <c r="S82" s="4">
        <f>IFERROR(__xludf.DUMMYFUNCTION("""COMPUTED_VALUE"""),23.0)</f>
        <v>23</v>
      </c>
      <c r="T82" s="4"/>
      <c r="U82" s="4" t="str">
        <f>IFERROR(__xludf.DUMMYFUNCTION("""COMPUTED_VALUE"""),"BAIK")</f>
        <v>BAIK</v>
      </c>
      <c r="V82" s="4" t="str">
        <f>IFERROR(__xludf.DUMMYFUNCTION("""COMPUTED_VALUE"""),"Tidak Ada")</f>
        <v>Tidak Ada</v>
      </c>
      <c r="W82" s="4"/>
      <c r="X82" s="4"/>
      <c r="Y82" s="4"/>
      <c r="Z82" s="4"/>
      <c r="AA82" s="4"/>
      <c r="AB82" s="4"/>
      <c r="AC82" s="4" t="str">
        <f>IFERROR(__xludf.DUMMYFUNCTION("""COMPUTED_VALUE"""),"INSPEKSI SUTM - T2_Images/9a3ca53b.FOTO.160951.jpg")</f>
        <v>INSPEKSI SUTM - T2_Images/9a3ca53b.FOTO.160951.jpg</v>
      </c>
      <c r="AD82" s="4"/>
      <c r="AE82" s="4"/>
      <c r="AF82" s="4" t="str">
        <f>IFERROR(__xludf.DUMMYFUNCTION("""COMPUTED_VALUE"""),"BELUM")</f>
        <v>BELUM</v>
      </c>
      <c r="AG82" s="6">
        <f>IFERROR(__xludf.DUMMYFUNCTION("""COMPUTED_VALUE"""),46024.0)</f>
        <v>46024</v>
      </c>
      <c r="AH82" s="4"/>
      <c r="AI82" s="4"/>
    </row>
    <row r="83" ht="15.75" customHeight="1">
      <c r="A83" s="4" t="str">
        <f>IFERROR(__xludf.DUMMYFUNCTION("""COMPUTED_VALUE"""),"3a843047")</f>
        <v>3a843047</v>
      </c>
      <c r="B83" s="5">
        <f>IFERROR(__xludf.DUMMYFUNCTION("""COMPUTED_VALUE"""),46024.96368055556)</f>
        <v>46024.96368</v>
      </c>
      <c r="C83" s="4" t="str">
        <f>IFERROR(__xludf.DUMMYFUNCTION("""COMPUTED_VALUE"""),"-6.949056, 107.611929")</f>
        <v>-6.949056, 107.611929</v>
      </c>
      <c r="D83" s="4" t="str">
        <f>IFERROR(__xludf.DUMMYFUNCTION("""COMPUTED_VALUE"""),"Nugi fuad")</f>
        <v>Nugi fuad</v>
      </c>
      <c r="E83" s="4" t="str">
        <f>IFERROR(__xludf.DUMMYFUNCTION("""COMPUTED_VALUE"""),"BANDUNG")</f>
        <v>BANDUNG</v>
      </c>
      <c r="F83" s="4" t="str">
        <f>IFERROR(__xludf.DUMMYFUNCTION("""COMPUTED_VALUE"""),"BANDUNG SELATAN")</f>
        <v>BANDUNG SELATAN</v>
      </c>
      <c r="G83" s="4" t="str">
        <f>IFERROR(__xludf.DUMMYFUNCTION("""COMPUTED_VALUE"""),"CIGERELENG")</f>
        <v>CIGERELENG</v>
      </c>
      <c r="H83" s="4" t="str">
        <f>IFERROR(__xludf.DUMMYFUNCTION("""COMPUTED_VALUE"""),"CMU")</f>
        <v>CMU</v>
      </c>
      <c r="I83" s="4" t="str">
        <f>IFERROR(__xludf.DUMMYFUNCTION("""COMPUTED_VALUE"""),"LBS CKGC-ujung")</f>
        <v>LBS CKGC-ujung</v>
      </c>
      <c r="J83" s="4" t="str">
        <f>IFERROR(__xludf.DUMMYFUNCTION("""COMPUTED_VALUE"""),"ZONA 2")</f>
        <v>ZONA 2</v>
      </c>
      <c r="K83" s="4" t="str">
        <f>IFERROR(__xludf.DUMMYFUNCTION("""COMPUTED_VALUE"""),"003L35")</f>
        <v>003L35</v>
      </c>
      <c r="L83" s="4" t="str">
        <f>IFERROR(__xludf.DUMMYFUNCTION("""COMPUTED_VALUE"""),"TM - 7BC/HC (Afspan 90 Derajat dengan CO)")</f>
        <v>TM - 7BC/HC (Afspan 90 Derajat dengan CO)</v>
      </c>
      <c r="M83" s="4" t="str">
        <f>IFERROR(__xludf.DUMMYFUNCTION("""COMPUTED_VALUE"""),"FCO")</f>
        <v>FCO</v>
      </c>
      <c r="N83" s="4" t="str">
        <f>IFERROR(__xludf.DUMMYFUNCTION("""COMPUTED_VALUE"""),"CKGI")</f>
        <v>CKGI</v>
      </c>
      <c r="O83" s="4" t="str">
        <f>IFERROR(__xludf.DUMMYFUNCTION("""COMPUTED_VALUE"""),"PEMBANDING SEJENIS")</f>
        <v>PEMBANDING SEJENIS</v>
      </c>
      <c r="P83" s="4" t="str">
        <f>IFERROR(__xludf.DUMMYFUNCTION("""COMPUTED_VALUE"""),"FCO")</f>
        <v>FCO</v>
      </c>
      <c r="Q83" s="4">
        <f>IFERROR(__xludf.DUMMYFUNCTION("""COMPUTED_VALUE"""),26.0)</f>
        <v>26</v>
      </c>
      <c r="R83" s="4">
        <f>IFERROR(__xludf.DUMMYFUNCTION("""COMPUTED_VALUE"""),24.0)</f>
        <v>24</v>
      </c>
      <c r="S83" s="4">
        <f>IFERROR(__xludf.DUMMYFUNCTION("""COMPUTED_VALUE"""),28.0)</f>
        <v>28</v>
      </c>
      <c r="T83" s="4"/>
      <c r="U83" s="4" t="str">
        <f>IFERROR(__xludf.DUMMYFUNCTION("""COMPUTED_VALUE"""),"CUKUP")</f>
        <v>CUKUP</v>
      </c>
      <c r="V83" s="4" t="str">
        <f>IFERROR(__xludf.DUMMYFUNCTION("""COMPUTED_VALUE"""),"Tidak Ada")</f>
        <v>Tidak Ada</v>
      </c>
      <c r="W83" s="4"/>
      <c r="X83" s="4"/>
      <c r="Y83" s="4"/>
      <c r="Z83" s="4"/>
      <c r="AA83" s="4"/>
      <c r="AB83" s="4"/>
      <c r="AC83" s="4" t="str">
        <f>IFERROR(__xludf.DUMMYFUNCTION("""COMPUTED_VALUE"""),"INSPEKSI SUTM - T2_Images/3a843047.FOTO.160955.jpg")</f>
        <v>INSPEKSI SUTM - T2_Images/3a843047.FOTO.160955.jpg</v>
      </c>
      <c r="AD83" s="4"/>
      <c r="AE83" s="4"/>
      <c r="AF83" s="4" t="str">
        <f>IFERROR(__xludf.DUMMYFUNCTION("""COMPUTED_VALUE"""),"BELUM")</f>
        <v>BELUM</v>
      </c>
      <c r="AG83" s="6">
        <f>IFERROR(__xludf.DUMMYFUNCTION("""COMPUTED_VALUE"""),46024.0)</f>
        <v>46024</v>
      </c>
      <c r="AH83" s="4"/>
      <c r="AI83" s="4"/>
    </row>
    <row r="84" ht="15.75" customHeight="1">
      <c r="A84" s="4" t="str">
        <f>IFERROR(__xludf.DUMMYFUNCTION("""COMPUTED_VALUE"""),"3cfca58d")</f>
        <v>3cfca58d</v>
      </c>
      <c r="B84" s="5">
        <f>IFERROR(__xludf.DUMMYFUNCTION("""COMPUTED_VALUE"""),46034.966886574075)</f>
        <v>46034.96689</v>
      </c>
      <c r="C84" s="4" t="str">
        <f>IFERROR(__xludf.DUMMYFUNCTION("""COMPUTED_VALUE"""),"-6.949056, 107.611929")</f>
        <v>-6.949056, 107.611929</v>
      </c>
      <c r="D84" s="4" t="str">
        <f>IFERROR(__xludf.DUMMYFUNCTION("""COMPUTED_VALUE"""),"Nugi fuaf")</f>
        <v>Nugi fuaf</v>
      </c>
      <c r="E84" s="4" t="str">
        <f>IFERROR(__xludf.DUMMYFUNCTION("""COMPUTED_VALUE"""),"BANDUNG")</f>
        <v>BANDUNG</v>
      </c>
      <c r="F84" s="4" t="str">
        <f>IFERROR(__xludf.DUMMYFUNCTION("""COMPUTED_VALUE"""),"BANDUNG SELATAN")</f>
        <v>BANDUNG SELATAN</v>
      </c>
      <c r="G84" s="4" t="str">
        <f>IFERROR(__xludf.DUMMYFUNCTION("""COMPUTED_VALUE"""),"CIGERELENG")</f>
        <v>CIGERELENG</v>
      </c>
      <c r="H84" s="4" t="str">
        <f>IFERROR(__xludf.DUMMYFUNCTION("""COMPUTED_VALUE"""),"CMU")</f>
        <v>CMU</v>
      </c>
      <c r="I84" s="4" t="str">
        <f>IFERROR(__xludf.DUMMYFUNCTION("""COMPUTED_VALUE"""),"LBS ALM-LBS CKGC")</f>
        <v>LBS ALM-LBS CKGC</v>
      </c>
      <c r="J84" s="4" t="str">
        <f>IFERROR(__xludf.DUMMYFUNCTION("""COMPUTED_VALUE"""),"ZONA 2")</f>
        <v>ZONA 2</v>
      </c>
      <c r="K84" s="4" t="str">
        <f>IFERROR(__xludf.DUMMYFUNCTION("""COMPUTED_VALUE"""),"001")</f>
        <v>001</v>
      </c>
      <c r="L84" s="4" t="str">
        <f>IFERROR(__xludf.DUMMYFUNCTION("""COMPUTED_VALUE"""),"TM - 13B/H (Kabel Naik Pada Tiang Tumpu)")</f>
        <v>TM - 13B/H (Kabel Naik Pada Tiang Tumpu)</v>
      </c>
      <c r="M84" s="4" t="str">
        <f>IFERROR(__xludf.DUMMYFUNCTION("""COMPUTED_VALUE"""),"Gardu")</f>
        <v>Gardu</v>
      </c>
      <c r="N84" s="4" t="str">
        <f>IFERROR(__xludf.DUMMYFUNCTION("""COMPUTED_VALUE"""),"CKGB")</f>
        <v>CKGB</v>
      </c>
      <c r="O84" s="4" t="str">
        <f>IFERROR(__xludf.DUMMYFUNCTION("""COMPUTED_VALUE"""),"PEMBANDING SEJENIS")</f>
        <v>PEMBANDING SEJENIS</v>
      </c>
      <c r="P84" s="4" t="str">
        <f>IFERROR(__xludf.DUMMYFUNCTION("""COMPUTED_VALUE"""),"TERMINASI")</f>
        <v>TERMINASI</v>
      </c>
      <c r="Q84" s="4">
        <f>IFERROR(__xludf.DUMMYFUNCTION("""COMPUTED_VALUE"""),28.0)</f>
        <v>28</v>
      </c>
      <c r="R84" s="4">
        <f>IFERROR(__xludf.DUMMYFUNCTION("""COMPUTED_VALUE"""),23.0)</f>
        <v>23</v>
      </c>
      <c r="S84" s="4">
        <f>IFERROR(__xludf.DUMMYFUNCTION("""COMPUTED_VALUE"""),27.0)</f>
        <v>27</v>
      </c>
      <c r="T84" s="4"/>
      <c r="U84" s="4" t="str">
        <f>IFERROR(__xludf.DUMMYFUNCTION("""COMPUTED_VALUE"""),"CUKUP")</f>
        <v>CUKUP</v>
      </c>
      <c r="V84" s="4" t="str">
        <f>IFERROR(__xludf.DUMMYFUNCTION("""COMPUTED_VALUE"""),"Tidak Ada")</f>
        <v>Tidak Ada</v>
      </c>
      <c r="W84" s="4"/>
      <c r="X84" s="4"/>
      <c r="Y84" s="4"/>
      <c r="Z84" s="4"/>
      <c r="AA84" s="4"/>
      <c r="AB84" s="4"/>
      <c r="AC84" s="4" t="str">
        <f>IFERROR(__xludf.DUMMYFUNCTION("""COMPUTED_VALUE"""),"INSPEKSI SUTM - T2_Images/3cfca58d.FOTO.164109.jpg")</f>
        <v>INSPEKSI SUTM - T2_Images/3cfca58d.FOTO.164109.jpg</v>
      </c>
      <c r="AD84" s="4"/>
      <c r="AE84" s="4"/>
      <c r="AF84" s="4" t="str">
        <f>IFERROR(__xludf.DUMMYFUNCTION("""COMPUTED_VALUE"""),"BELUM")</f>
        <v>BELUM</v>
      </c>
      <c r="AG84" s="6">
        <f>IFERROR(__xludf.DUMMYFUNCTION("""COMPUTED_VALUE"""),46034.0)</f>
        <v>46034</v>
      </c>
      <c r="AH84" s="4"/>
      <c r="AI84" s="4"/>
    </row>
    <row r="85" ht="15.75" customHeight="1">
      <c r="A85" s="4" t="str">
        <f>IFERROR(__xludf.DUMMYFUNCTION("""COMPUTED_VALUE"""),"42aaf814")</f>
        <v>42aaf814</v>
      </c>
      <c r="B85" s="5">
        <f>IFERROR(__xludf.DUMMYFUNCTION("""COMPUTED_VALUE"""),46034.96765046296)</f>
        <v>46034.96765</v>
      </c>
      <c r="C85" s="4" t="str">
        <f>IFERROR(__xludf.DUMMYFUNCTION("""COMPUTED_VALUE"""),"-6.949056, 107.611929")</f>
        <v>-6.949056, 107.611929</v>
      </c>
      <c r="D85" s="4" t="str">
        <f>IFERROR(__xludf.DUMMYFUNCTION("""COMPUTED_VALUE"""),"Nugi fuaf")</f>
        <v>Nugi fuaf</v>
      </c>
      <c r="E85" s="4" t="str">
        <f>IFERROR(__xludf.DUMMYFUNCTION("""COMPUTED_VALUE"""),"BANDUNG")</f>
        <v>BANDUNG</v>
      </c>
      <c r="F85" s="4" t="str">
        <f>IFERROR(__xludf.DUMMYFUNCTION("""COMPUTED_VALUE"""),"BANDUNG SELATAN")</f>
        <v>BANDUNG SELATAN</v>
      </c>
      <c r="G85" s="4" t="str">
        <f>IFERROR(__xludf.DUMMYFUNCTION("""COMPUTED_VALUE"""),"CIGERELENG")</f>
        <v>CIGERELENG</v>
      </c>
      <c r="H85" s="4" t="str">
        <f>IFERROR(__xludf.DUMMYFUNCTION("""COMPUTED_VALUE"""),"CMU")</f>
        <v>CMU</v>
      </c>
      <c r="I85" s="4" t="str">
        <f>IFERROR(__xludf.DUMMYFUNCTION("""COMPUTED_VALUE"""),"LBS ALM-LBS CKGC")</f>
        <v>LBS ALM-LBS CKGC</v>
      </c>
      <c r="J85" s="4" t="str">
        <f>IFERROR(__xludf.DUMMYFUNCTION("""COMPUTED_VALUE"""),"ZONA 2")</f>
        <v>ZONA 2</v>
      </c>
      <c r="K85" s="4" t="str">
        <f>IFERROR(__xludf.DUMMYFUNCTION("""COMPUTED_VALUE"""),"002")</f>
        <v>002</v>
      </c>
      <c r="L85" s="4" t="str">
        <f>IFERROR(__xludf.DUMMYFUNCTION("""COMPUTED_VALUE"""),"TM - 13B/H (Kabel Naik Pada Tiang Tumpu)")</f>
        <v>TM - 13B/H (Kabel Naik Pada Tiang Tumpu)</v>
      </c>
      <c r="M85" s="4" t="str">
        <f>IFERROR(__xludf.DUMMYFUNCTION("""COMPUTED_VALUE"""),"Gardu")</f>
        <v>Gardu</v>
      </c>
      <c r="N85" s="4" t="str">
        <f>IFERROR(__xludf.DUMMYFUNCTION("""COMPUTED_VALUE"""),"CKGB")</f>
        <v>CKGB</v>
      </c>
      <c r="O85" s="4" t="str">
        <f>IFERROR(__xludf.DUMMYFUNCTION("""COMPUTED_VALUE"""),"PEMBANDING SEJENIS")</f>
        <v>PEMBANDING SEJENIS</v>
      </c>
      <c r="P85" s="4" t="str">
        <f>IFERROR(__xludf.DUMMYFUNCTION("""COMPUTED_VALUE"""),"KONEKTOR/JUMPER")</f>
        <v>KONEKTOR/JUMPER</v>
      </c>
      <c r="Q85" s="4">
        <f>IFERROR(__xludf.DUMMYFUNCTION("""COMPUTED_VALUE"""),26.0)</f>
        <v>26</v>
      </c>
      <c r="R85" s="4">
        <f>IFERROR(__xludf.DUMMYFUNCTION("""COMPUTED_VALUE"""),24.0)</f>
        <v>24</v>
      </c>
      <c r="S85" s="4">
        <f>IFERROR(__xludf.DUMMYFUNCTION("""COMPUTED_VALUE"""),26.0)</f>
        <v>26</v>
      </c>
      <c r="T85" s="4"/>
      <c r="U85" s="4" t="str">
        <f>IFERROR(__xludf.DUMMYFUNCTION("""COMPUTED_VALUE"""),"BAIK")</f>
        <v>BAIK</v>
      </c>
      <c r="V85" s="4" t="str">
        <f>IFERROR(__xludf.DUMMYFUNCTION("""COMPUTED_VALUE"""),"Tidak Ada")</f>
        <v>Tidak Ada</v>
      </c>
      <c r="W85" s="4"/>
      <c r="X85" s="4"/>
      <c r="Y85" s="4"/>
      <c r="Z85" s="4"/>
      <c r="AA85" s="4"/>
      <c r="AB85" s="4"/>
      <c r="AC85" s="4" t="str">
        <f>IFERROR(__xludf.DUMMYFUNCTION("""COMPUTED_VALUE"""),"INSPEKSI SUTM - T2_Images/42aaf814.FOTO.164118.jpg")</f>
        <v>INSPEKSI SUTM - T2_Images/42aaf814.FOTO.164118.jpg</v>
      </c>
      <c r="AD85" s="4"/>
      <c r="AE85" s="4"/>
      <c r="AF85" s="4" t="str">
        <f>IFERROR(__xludf.DUMMYFUNCTION("""COMPUTED_VALUE"""),"BELUM")</f>
        <v>BELUM</v>
      </c>
      <c r="AG85" s="6">
        <f>IFERROR(__xludf.DUMMYFUNCTION("""COMPUTED_VALUE"""),46034.0)</f>
        <v>46034</v>
      </c>
      <c r="AH85" s="4"/>
      <c r="AI85" s="4"/>
    </row>
    <row r="86" ht="15.75" customHeight="1">
      <c r="A86" s="4" t="str">
        <f>IFERROR(__xludf.DUMMYFUNCTION("""COMPUTED_VALUE"""),"564a1292")</f>
        <v>564a1292</v>
      </c>
      <c r="B86" s="5">
        <f>IFERROR(__xludf.DUMMYFUNCTION("""COMPUTED_VALUE"""),46034.96822916667)</f>
        <v>46034.96823</v>
      </c>
      <c r="C86" s="4" t="str">
        <f>IFERROR(__xludf.DUMMYFUNCTION("""COMPUTED_VALUE"""),"-6.949056, 107.611929")</f>
        <v>-6.949056, 107.611929</v>
      </c>
      <c r="D86" s="4" t="str">
        <f>IFERROR(__xludf.DUMMYFUNCTION("""COMPUTED_VALUE"""),"Nugi fuad")</f>
        <v>Nugi fuad</v>
      </c>
      <c r="E86" s="4" t="str">
        <f>IFERROR(__xludf.DUMMYFUNCTION("""COMPUTED_VALUE"""),"BANDUNG")</f>
        <v>BANDUNG</v>
      </c>
      <c r="F86" s="4" t="str">
        <f>IFERROR(__xludf.DUMMYFUNCTION("""COMPUTED_VALUE"""),"BANDUNG SELATAN")</f>
        <v>BANDUNG SELATAN</v>
      </c>
      <c r="G86" s="4" t="str">
        <f>IFERROR(__xludf.DUMMYFUNCTION("""COMPUTED_VALUE"""),"CIGERELENG")</f>
        <v>CIGERELENG</v>
      </c>
      <c r="H86" s="4" t="str">
        <f>IFERROR(__xludf.DUMMYFUNCTION("""COMPUTED_VALUE"""),"CMU")</f>
        <v>CMU</v>
      </c>
      <c r="I86" s="4" t="str">
        <f>IFERROR(__xludf.DUMMYFUNCTION("""COMPUTED_VALUE"""),"LBS ALM-LBS CKGC")</f>
        <v>LBS ALM-LBS CKGC</v>
      </c>
      <c r="J86" s="4" t="str">
        <f>IFERROR(__xludf.DUMMYFUNCTION("""COMPUTED_VALUE"""),"ZONA 2")</f>
        <v>ZONA 2</v>
      </c>
      <c r="K86" s="4" t="str">
        <f>IFERROR(__xludf.DUMMYFUNCTION("""COMPUTED_VALUE"""),"003")</f>
        <v>003</v>
      </c>
      <c r="L86" s="4" t="str">
        <f>IFERROR(__xludf.DUMMYFUNCTION("""COMPUTED_VALUE"""),"TM - 8B/H (Percabangan)")</f>
        <v>TM - 8B/H (Percabangan)</v>
      </c>
      <c r="M86" s="4" t="str">
        <f>IFERROR(__xludf.DUMMYFUNCTION("""COMPUTED_VALUE"""),"Tidak Ada")</f>
        <v>Tidak Ada</v>
      </c>
      <c r="N86" s="4"/>
      <c r="O86" s="4" t="str">
        <f>IFERROR(__xludf.DUMMYFUNCTION("""COMPUTED_VALUE"""),"PEMBANDING SEJENIS")</f>
        <v>PEMBANDING SEJENIS</v>
      </c>
      <c r="P86" s="4" t="str">
        <f>IFERROR(__xludf.DUMMYFUNCTION("""COMPUTED_VALUE"""),"KONEKTOR/JUMPER")</f>
        <v>KONEKTOR/JUMPER</v>
      </c>
      <c r="Q86" s="4">
        <f>IFERROR(__xludf.DUMMYFUNCTION("""COMPUTED_VALUE"""),23.0)</f>
        <v>23</v>
      </c>
      <c r="R86" s="4">
        <f>IFERROR(__xludf.DUMMYFUNCTION("""COMPUTED_VALUE"""),23.0)</f>
        <v>23</v>
      </c>
      <c r="S86" s="4">
        <f>IFERROR(__xludf.DUMMYFUNCTION("""COMPUTED_VALUE"""),23.0)</f>
        <v>23</v>
      </c>
      <c r="T86" s="4"/>
      <c r="U86" s="4" t="str">
        <f>IFERROR(__xludf.DUMMYFUNCTION("""COMPUTED_VALUE"""),"BAIK")</f>
        <v>BAIK</v>
      </c>
      <c r="V86" s="4" t="str">
        <f>IFERROR(__xludf.DUMMYFUNCTION("""COMPUTED_VALUE"""),"Tidak Ada")</f>
        <v>Tidak Ada</v>
      </c>
      <c r="W86" s="4"/>
      <c r="X86" s="4"/>
      <c r="Y86" s="4"/>
      <c r="Z86" s="4"/>
      <c r="AA86" s="4"/>
      <c r="AB86" s="4"/>
      <c r="AC86" s="4" t="str">
        <f>IFERROR(__xludf.DUMMYFUNCTION("""COMPUTED_VALUE"""),"INSPEKSI SUTM - T2_Images/564a1292.FOTO.164136.jpg")</f>
        <v>INSPEKSI SUTM - T2_Images/564a1292.FOTO.164136.jpg</v>
      </c>
      <c r="AD86" s="4"/>
      <c r="AE86" s="4"/>
      <c r="AF86" s="4" t="str">
        <f>IFERROR(__xludf.DUMMYFUNCTION("""COMPUTED_VALUE"""),"BELUM")</f>
        <v>BELUM</v>
      </c>
      <c r="AG86" s="6">
        <f>IFERROR(__xludf.DUMMYFUNCTION("""COMPUTED_VALUE"""),46034.0)</f>
        <v>46034</v>
      </c>
      <c r="AH86" s="4"/>
      <c r="AI86" s="4"/>
    </row>
    <row r="87" ht="15.75" customHeight="1">
      <c r="A87" s="4" t="str">
        <f>IFERROR(__xludf.DUMMYFUNCTION("""COMPUTED_VALUE"""),"1bcc8a7f")</f>
        <v>1bcc8a7f</v>
      </c>
      <c r="B87" s="5">
        <f>IFERROR(__xludf.DUMMYFUNCTION("""COMPUTED_VALUE"""),46034.9687962963)</f>
        <v>46034.9688</v>
      </c>
      <c r="C87" s="4" t="str">
        <f>IFERROR(__xludf.DUMMYFUNCTION("""COMPUTED_VALUE"""),"-6.949056, 107.611929")</f>
        <v>-6.949056, 107.611929</v>
      </c>
      <c r="D87" s="4" t="str">
        <f>IFERROR(__xludf.DUMMYFUNCTION("""COMPUTED_VALUE"""),"Nugi fuad")</f>
        <v>Nugi fuad</v>
      </c>
      <c r="E87" s="4" t="str">
        <f>IFERROR(__xludf.DUMMYFUNCTION("""COMPUTED_VALUE"""),"BANDUNG")</f>
        <v>BANDUNG</v>
      </c>
      <c r="F87" s="4" t="str">
        <f>IFERROR(__xludf.DUMMYFUNCTION("""COMPUTED_VALUE"""),"BANDUNG SELATAN")</f>
        <v>BANDUNG SELATAN</v>
      </c>
      <c r="G87" s="4" t="str">
        <f>IFERROR(__xludf.DUMMYFUNCTION("""COMPUTED_VALUE"""),"CIGERELENG")</f>
        <v>CIGERELENG</v>
      </c>
      <c r="H87" s="4" t="str">
        <f>IFERROR(__xludf.DUMMYFUNCTION("""COMPUTED_VALUE"""),"CMU")</f>
        <v>CMU</v>
      </c>
      <c r="I87" s="4" t="str">
        <f>IFERROR(__xludf.DUMMYFUNCTION("""COMPUTED_VALUE"""),"LBS ALM-LBS CKGC")</f>
        <v>LBS ALM-LBS CKGC</v>
      </c>
      <c r="J87" s="4" t="str">
        <f>IFERROR(__xludf.DUMMYFUNCTION("""COMPUTED_VALUE"""),"ZONA 2")</f>
        <v>ZONA 2</v>
      </c>
      <c r="K87" s="4" t="str">
        <f>IFERROR(__xludf.DUMMYFUNCTION("""COMPUTED_VALUE"""),"003L01")</f>
        <v>003L01</v>
      </c>
      <c r="L87" s="4" t="str">
        <f>IFERROR(__xludf.DUMMYFUNCTION("""COMPUTED_VALUE"""),"TM - 1B/H (Tumpu)")</f>
        <v>TM - 1B/H (Tumpu)</v>
      </c>
      <c r="M87" s="4" t="str">
        <f>IFERROR(__xludf.DUMMYFUNCTION("""COMPUTED_VALUE"""),"Tidak Ada")</f>
        <v>Tidak Ada</v>
      </c>
      <c r="N87" s="4"/>
      <c r="O87" s="4" t="str">
        <f>IFERROR(__xludf.DUMMYFUNCTION("""COMPUTED_VALUE"""),"PEMBANDING SEJENIS")</f>
        <v>PEMBANDING SEJENIS</v>
      </c>
      <c r="P87" s="4" t="str">
        <f>IFERROR(__xludf.DUMMYFUNCTION("""COMPUTED_VALUE"""),"ARRESTER")</f>
        <v>ARRESTER</v>
      </c>
      <c r="Q87" s="4">
        <f>IFERROR(__xludf.DUMMYFUNCTION("""COMPUTED_VALUE"""),22.0)</f>
        <v>22</v>
      </c>
      <c r="R87" s="4">
        <f>IFERROR(__xludf.DUMMYFUNCTION("""COMPUTED_VALUE"""),23.0)</f>
        <v>23</v>
      </c>
      <c r="S87" s="4">
        <f>IFERROR(__xludf.DUMMYFUNCTION("""COMPUTED_VALUE"""),22.0)</f>
        <v>22</v>
      </c>
      <c r="T87" s="4"/>
      <c r="U87" s="4" t="str">
        <f>IFERROR(__xludf.DUMMYFUNCTION("""COMPUTED_VALUE"""),"BAIK")</f>
        <v>BAIK</v>
      </c>
      <c r="V87" s="4" t="str">
        <f>IFERROR(__xludf.DUMMYFUNCTION("""COMPUTED_VALUE"""),"Tidak Ada")</f>
        <v>Tidak Ada</v>
      </c>
      <c r="W87" s="4"/>
      <c r="X87" s="4"/>
      <c r="Y87" s="4"/>
      <c r="Z87" s="4"/>
      <c r="AA87" s="4"/>
      <c r="AB87" s="4"/>
      <c r="AC87" s="4" t="str">
        <f>IFERROR(__xludf.DUMMYFUNCTION("""COMPUTED_VALUE"""),"INSPEKSI SUTM - T2_Images/1bcc8a7f.FOTO.164144.jpg")</f>
        <v>INSPEKSI SUTM - T2_Images/1bcc8a7f.FOTO.164144.jpg</v>
      </c>
      <c r="AD87" s="4"/>
      <c r="AE87" s="4"/>
      <c r="AF87" s="4" t="str">
        <f>IFERROR(__xludf.DUMMYFUNCTION("""COMPUTED_VALUE"""),"BELUM")</f>
        <v>BELUM</v>
      </c>
      <c r="AG87" s="6">
        <f>IFERROR(__xludf.DUMMYFUNCTION("""COMPUTED_VALUE"""),46034.0)</f>
        <v>46034</v>
      </c>
      <c r="AH87" s="4"/>
      <c r="AI87" s="4"/>
    </row>
    <row r="88" ht="15.75" customHeight="1">
      <c r="A88" s="4" t="str">
        <f>IFERROR(__xludf.DUMMYFUNCTION("""COMPUTED_VALUE"""),"1f7a12e9")</f>
        <v>1f7a12e9</v>
      </c>
      <c r="B88" s="5">
        <f>IFERROR(__xludf.DUMMYFUNCTION("""COMPUTED_VALUE"""),46034.969305555554)</f>
        <v>46034.96931</v>
      </c>
      <c r="C88" s="4" t="str">
        <f>IFERROR(__xludf.DUMMYFUNCTION("""COMPUTED_VALUE"""),"-6.949056, 107.611929")</f>
        <v>-6.949056, 107.611929</v>
      </c>
      <c r="D88" s="4" t="str">
        <f>IFERROR(__xludf.DUMMYFUNCTION("""COMPUTED_VALUE"""),"Nugi fuad")</f>
        <v>Nugi fuad</v>
      </c>
      <c r="E88" s="4" t="str">
        <f>IFERROR(__xludf.DUMMYFUNCTION("""COMPUTED_VALUE"""),"BANDUNG")</f>
        <v>BANDUNG</v>
      </c>
      <c r="F88" s="4" t="str">
        <f>IFERROR(__xludf.DUMMYFUNCTION("""COMPUTED_VALUE"""),"BANDUNG SELATAN")</f>
        <v>BANDUNG SELATAN</v>
      </c>
      <c r="G88" s="4" t="str">
        <f>IFERROR(__xludf.DUMMYFUNCTION("""COMPUTED_VALUE"""),"CIGERELENG")</f>
        <v>CIGERELENG</v>
      </c>
      <c r="H88" s="4" t="str">
        <f>IFERROR(__xludf.DUMMYFUNCTION("""COMPUTED_VALUE"""),"CMU")</f>
        <v>CMU</v>
      </c>
      <c r="I88" s="4" t="str">
        <f>IFERROR(__xludf.DUMMYFUNCTION("""COMPUTED_VALUE"""),"LBS ALM-LBS CKGC")</f>
        <v>LBS ALM-LBS CKGC</v>
      </c>
      <c r="J88" s="4" t="str">
        <f>IFERROR(__xludf.DUMMYFUNCTION("""COMPUTED_VALUE"""),"ZONA 2")</f>
        <v>ZONA 2</v>
      </c>
      <c r="K88" s="4" t="str">
        <f>IFERROR(__xludf.DUMMYFUNCTION("""COMPUTED_VALUE"""),"003L02")</f>
        <v>003L02</v>
      </c>
      <c r="L88" s="4" t="str">
        <f>IFERROR(__xludf.DUMMYFUNCTION("""COMPUTED_VALUE"""),"TM - 7B/H (Afspan 90 Derajat)")</f>
        <v>TM - 7B/H (Afspan 90 Derajat)</v>
      </c>
      <c r="M88" s="4" t="str">
        <f>IFERROR(__xludf.DUMMYFUNCTION("""COMPUTED_VALUE"""),"Tidak Ada")</f>
        <v>Tidak Ada</v>
      </c>
      <c r="N88" s="4"/>
      <c r="O88" s="4" t="str">
        <f>IFERROR(__xludf.DUMMYFUNCTION("""COMPUTED_VALUE"""),"PEMBANDING SEJENIS")</f>
        <v>PEMBANDING SEJENIS</v>
      </c>
      <c r="P88" s="4" t="str">
        <f>IFERROR(__xludf.DUMMYFUNCTION("""COMPUTED_VALUE"""),"KONEKTOR/JUMPER")</f>
        <v>KONEKTOR/JUMPER</v>
      </c>
      <c r="Q88" s="4">
        <f>IFERROR(__xludf.DUMMYFUNCTION("""COMPUTED_VALUE"""),23.0)</f>
        <v>23</v>
      </c>
      <c r="R88" s="4">
        <f>IFERROR(__xludf.DUMMYFUNCTION("""COMPUTED_VALUE"""),23.0)</f>
        <v>23</v>
      </c>
      <c r="S88" s="4">
        <f>IFERROR(__xludf.DUMMYFUNCTION("""COMPUTED_VALUE"""),22.0)</f>
        <v>22</v>
      </c>
      <c r="T88" s="4"/>
      <c r="U88" s="4" t="str">
        <f>IFERROR(__xludf.DUMMYFUNCTION("""COMPUTED_VALUE"""),"BAIK")</f>
        <v>BAIK</v>
      </c>
      <c r="V88" s="4" t="str">
        <f>IFERROR(__xludf.DUMMYFUNCTION("""COMPUTED_VALUE"""),"Tidak Ada")</f>
        <v>Tidak Ada</v>
      </c>
      <c r="W88" s="4"/>
      <c r="X88" s="4"/>
      <c r="Y88" s="4"/>
      <c r="Z88" s="4"/>
      <c r="AA88" s="4"/>
      <c r="AB88" s="4"/>
      <c r="AC88" s="4" t="str">
        <f>IFERROR(__xludf.DUMMYFUNCTION("""COMPUTED_VALUE"""),"INSPEKSI SUTM - T2_Images/1f7a12e9.FOTO.164148.jpg")</f>
        <v>INSPEKSI SUTM - T2_Images/1f7a12e9.FOTO.164148.jpg</v>
      </c>
      <c r="AD88" s="4"/>
      <c r="AE88" s="4"/>
      <c r="AF88" s="4" t="str">
        <f>IFERROR(__xludf.DUMMYFUNCTION("""COMPUTED_VALUE"""),"BELUM")</f>
        <v>BELUM</v>
      </c>
      <c r="AG88" s="6">
        <f>IFERROR(__xludf.DUMMYFUNCTION("""COMPUTED_VALUE"""),46034.0)</f>
        <v>46034</v>
      </c>
      <c r="AH88" s="4"/>
      <c r="AI88" s="4"/>
    </row>
    <row r="89" ht="15.75" customHeight="1">
      <c r="A89" s="4" t="str">
        <f>IFERROR(__xludf.DUMMYFUNCTION("""COMPUTED_VALUE"""),"2e5ac5dd")</f>
        <v>2e5ac5dd</v>
      </c>
      <c r="B89" s="5">
        <f>IFERROR(__xludf.DUMMYFUNCTION("""COMPUTED_VALUE"""),46034.96979166667)</f>
        <v>46034.96979</v>
      </c>
      <c r="C89" s="4" t="str">
        <f>IFERROR(__xludf.DUMMYFUNCTION("""COMPUTED_VALUE"""),"-6.949056, 107.611929")</f>
        <v>-6.949056, 107.611929</v>
      </c>
      <c r="D89" s="4" t="str">
        <f>IFERROR(__xludf.DUMMYFUNCTION("""COMPUTED_VALUE"""),"Nugi fuad")</f>
        <v>Nugi fuad</v>
      </c>
      <c r="E89" s="4" t="str">
        <f>IFERROR(__xludf.DUMMYFUNCTION("""COMPUTED_VALUE"""),"BANDUNG")</f>
        <v>BANDUNG</v>
      </c>
      <c r="F89" s="4" t="str">
        <f>IFERROR(__xludf.DUMMYFUNCTION("""COMPUTED_VALUE"""),"BANDUNG SELATAN")</f>
        <v>BANDUNG SELATAN</v>
      </c>
      <c r="G89" s="4" t="str">
        <f>IFERROR(__xludf.DUMMYFUNCTION("""COMPUTED_VALUE"""),"CIGERELENG")</f>
        <v>CIGERELENG</v>
      </c>
      <c r="H89" s="4" t="str">
        <f>IFERROR(__xludf.DUMMYFUNCTION("""COMPUTED_VALUE"""),"CMU")</f>
        <v>CMU</v>
      </c>
      <c r="I89" s="4" t="str">
        <f>IFERROR(__xludf.DUMMYFUNCTION("""COMPUTED_VALUE"""),"LBS ALM-LBS CKGC")</f>
        <v>LBS ALM-LBS CKGC</v>
      </c>
      <c r="J89" s="4" t="str">
        <f>IFERROR(__xludf.DUMMYFUNCTION("""COMPUTED_VALUE"""),"ZONA 2")</f>
        <v>ZONA 2</v>
      </c>
      <c r="K89" s="4" t="str">
        <f>IFERROR(__xludf.DUMMYFUNCTION("""COMPUTED_VALUE"""),"003L03")</f>
        <v>003L03</v>
      </c>
      <c r="L89" s="4" t="str">
        <f>IFERROR(__xludf.DUMMYFUNCTION("""COMPUTED_VALUE"""),"TM - 2B/H (Double Tumpu)")</f>
        <v>TM - 2B/H (Double Tumpu)</v>
      </c>
      <c r="M89" s="4" t="str">
        <f>IFERROR(__xludf.DUMMYFUNCTION("""COMPUTED_VALUE"""),"Tidak Ada")</f>
        <v>Tidak Ada</v>
      </c>
      <c r="N89" s="4"/>
      <c r="O89" s="4" t="str">
        <f>IFERROR(__xludf.DUMMYFUNCTION("""COMPUTED_VALUE"""),"PEMBANDING SEJENIS")</f>
        <v>PEMBANDING SEJENIS</v>
      </c>
      <c r="P89" s="4" t="str">
        <f>IFERROR(__xludf.DUMMYFUNCTION("""COMPUTED_VALUE"""),"ARRESTER")</f>
        <v>ARRESTER</v>
      </c>
      <c r="Q89" s="4">
        <f>IFERROR(__xludf.DUMMYFUNCTION("""COMPUTED_VALUE"""),23.0)</f>
        <v>23</v>
      </c>
      <c r="R89" s="4">
        <f>IFERROR(__xludf.DUMMYFUNCTION("""COMPUTED_VALUE"""),23.0)</f>
        <v>23</v>
      </c>
      <c r="S89" s="4">
        <f>IFERROR(__xludf.DUMMYFUNCTION("""COMPUTED_VALUE"""),23.0)</f>
        <v>23</v>
      </c>
      <c r="T89" s="4"/>
      <c r="U89" s="4" t="str">
        <f>IFERROR(__xludf.DUMMYFUNCTION("""COMPUTED_VALUE"""),"BAIK")</f>
        <v>BAIK</v>
      </c>
      <c r="V89" s="4" t="str">
        <f>IFERROR(__xludf.DUMMYFUNCTION("""COMPUTED_VALUE"""),"Tidak Ada")</f>
        <v>Tidak Ada</v>
      </c>
      <c r="W89" s="4"/>
      <c r="X89" s="4"/>
      <c r="Y89" s="4"/>
      <c r="Z89" s="4"/>
      <c r="AA89" s="4"/>
      <c r="AB89" s="4"/>
      <c r="AC89" s="4" t="str">
        <f>IFERROR(__xludf.DUMMYFUNCTION("""COMPUTED_VALUE"""),"INSPEKSI SUTM - T2_Images/2e5ac5dd.FOTO.164151.jpg")</f>
        <v>INSPEKSI SUTM - T2_Images/2e5ac5dd.FOTO.164151.jpg</v>
      </c>
      <c r="AD89" s="4"/>
      <c r="AE89" s="4"/>
      <c r="AF89" s="4" t="str">
        <f>IFERROR(__xludf.DUMMYFUNCTION("""COMPUTED_VALUE"""),"BELUM")</f>
        <v>BELUM</v>
      </c>
      <c r="AG89" s="6">
        <f>IFERROR(__xludf.DUMMYFUNCTION("""COMPUTED_VALUE"""),46034.0)</f>
        <v>46034</v>
      </c>
      <c r="AH89" s="4"/>
      <c r="AI89" s="4"/>
    </row>
    <row r="90" ht="15.75" customHeight="1">
      <c r="A90" s="4" t="str">
        <f>IFERROR(__xludf.DUMMYFUNCTION("""COMPUTED_VALUE"""),"5df2203c")</f>
        <v>5df2203c</v>
      </c>
      <c r="B90" s="5">
        <f>IFERROR(__xludf.DUMMYFUNCTION("""COMPUTED_VALUE"""),46034.970289351855)</f>
        <v>46034.97029</v>
      </c>
      <c r="C90" s="4" t="str">
        <f>IFERROR(__xludf.DUMMYFUNCTION("""COMPUTED_VALUE"""),"-6.949056, 107.611929")</f>
        <v>-6.949056, 107.611929</v>
      </c>
      <c r="D90" s="4" t="str">
        <f>IFERROR(__xludf.DUMMYFUNCTION("""COMPUTED_VALUE"""),"Nugi fuad")</f>
        <v>Nugi fuad</v>
      </c>
      <c r="E90" s="4" t="str">
        <f>IFERROR(__xludf.DUMMYFUNCTION("""COMPUTED_VALUE"""),"BANDUNG")</f>
        <v>BANDUNG</v>
      </c>
      <c r="F90" s="4" t="str">
        <f>IFERROR(__xludf.DUMMYFUNCTION("""COMPUTED_VALUE"""),"BANDUNG SELATAN")</f>
        <v>BANDUNG SELATAN</v>
      </c>
      <c r="G90" s="4" t="str">
        <f>IFERROR(__xludf.DUMMYFUNCTION("""COMPUTED_VALUE"""),"CIGERELENG")</f>
        <v>CIGERELENG</v>
      </c>
      <c r="H90" s="4" t="str">
        <f>IFERROR(__xludf.DUMMYFUNCTION("""COMPUTED_VALUE"""),"CMU")</f>
        <v>CMU</v>
      </c>
      <c r="I90" s="4" t="str">
        <f>IFERROR(__xludf.DUMMYFUNCTION("""COMPUTED_VALUE"""),"LBS ALM-LBS CKGC")</f>
        <v>LBS ALM-LBS CKGC</v>
      </c>
      <c r="J90" s="4" t="str">
        <f>IFERROR(__xludf.DUMMYFUNCTION("""COMPUTED_VALUE"""),"ZONA 2")</f>
        <v>ZONA 2</v>
      </c>
      <c r="K90" s="4" t="str">
        <f>IFERROR(__xludf.DUMMYFUNCTION("""COMPUTED_VALUE"""),"003L05")</f>
        <v>003L05</v>
      </c>
      <c r="L90" s="4" t="str">
        <f>IFERROR(__xludf.DUMMYFUNCTION("""COMPUTED_VALUE"""),"TM - 7B/H (Afspan 90 Derajat)")</f>
        <v>TM - 7B/H (Afspan 90 Derajat)</v>
      </c>
      <c r="M90" s="4" t="str">
        <f>IFERROR(__xludf.DUMMYFUNCTION("""COMPUTED_VALUE"""),"Tidak Ada")</f>
        <v>Tidak Ada</v>
      </c>
      <c r="N90" s="4"/>
      <c r="O90" s="4" t="str">
        <f>IFERROR(__xludf.DUMMYFUNCTION("""COMPUTED_VALUE"""),"PEMBANDING SEJENIS")</f>
        <v>PEMBANDING SEJENIS</v>
      </c>
      <c r="P90" s="4" t="str">
        <f>IFERROR(__xludf.DUMMYFUNCTION("""COMPUTED_VALUE"""),"KONEKTOR/JUMPER")</f>
        <v>KONEKTOR/JUMPER</v>
      </c>
      <c r="Q90" s="4">
        <f>IFERROR(__xludf.DUMMYFUNCTION("""COMPUTED_VALUE"""),24.0)</f>
        <v>24</v>
      </c>
      <c r="R90" s="4">
        <f>IFERROR(__xludf.DUMMYFUNCTION("""COMPUTED_VALUE"""),24.0)</f>
        <v>24</v>
      </c>
      <c r="S90" s="4">
        <f>IFERROR(__xludf.DUMMYFUNCTION("""COMPUTED_VALUE"""),24.0)</f>
        <v>24</v>
      </c>
      <c r="T90" s="4"/>
      <c r="U90" s="4" t="str">
        <f>IFERROR(__xludf.DUMMYFUNCTION("""COMPUTED_VALUE"""),"BAIK")</f>
        <v>BAIK</v>
      </c>
      <c r="V90" s="4" t="str">
        <f>IFERROR(__xludf.DUMMYFUNCTION("""COMPUTED_VALUE"""),"Tidak Ada")</f>
        <v>Tidak Ada</v>
      </c>
      <c r="W90" s="4"/>
      <c r="X90" s="4"/>
      <c r="Y90" s="4"/>
      <c r="Z90" s="4"/>
      <c r="AA90" s="4"/>
      <c r="AB90" s="4"/>
      <c r="AC90" s="4" t="str">
        <f>IFERROR(__xludf.DUMMYFUNCTION("""COMPUTED_VALUE"""),"INSPEKSI SUTM - T2_Images/5df2203c.FOTO.164156.jpg")</f>
        <v>INSPEKSI SUTM - T2_Images/5df2203c.FOTO.164156.jpg</v>
      </c>
      <c r="AD90" s="4"/>
      <c r="AE90" s="4"/>
      <c r="AF90" s="4" t="str">
        <f>IFERROR(__xludf.DUMMYFUNCTION("""COMPUTED_VALUE"""),"BELUM")</f>
        <v>BELUM</v>
      </c>
      <c r="AG90" s="6">
        <f>IFERROR(__xludf.DUMMYFUNCTION("""COMPUTED_VALUE"""),46034.0)</f>
        <v>46034</v>
      </c>
      <c r="AH90" s="4"/>
      <c r="AI90" s="4"/>
    </row>
    <row r="91" ht="15.75" customHeight="1">
      <c r="A91" s="4" t="str">
        <f>IFERROR(__xludf.DUMMYFUNCTION("""COMPUTED_VALUE"""),"95815c6d")</f>
        <v>95815c6d</v>
      </c>
      <c r="B91" s="5">
        <f>IFERROR(__xludf.DUMMYFUNCTION("""COMPUTED_VALUE"""),46034.97083333333)</f>
        <v>46034.97083</v>
      </c>
      <c r="C91" s="4" t="str">
        <f>IFERROR(__xludf.DUMMYFUNCTION("""COMPUTED_VALUE"""),"-6.949056, 107.611929")</f>
        <v>-6.949056, 107.611929</v>
      </c>
      <c r="D91" s="4" t="str">
        <f>IFERROR(__xludf.DUMMYFUNCTION("""COMPUTED_VALUE"""),"Nugi fuad")</f>
        <v>Nugi fuad</v>
      </c>
      <c r="E91" s="4" t="str">
        <f>IFERROR(__xludf.DUMMYFUNCTION("""COMPUTED_VALUE"""),"BANDUNG")</f>
        <v>BANDUNG</v>
      </c>
      <c r="F91" s="4" t="str">
        <f>IFERROR(__xludf.DUMMYFUNCTION("""COMPUTED_VALUE"""),"BANDUNG SELATAN")</f>
        <v>BANDUNG SELATAN</v>
      </c>
      <c r="G91" s="4" t="str">
        <f>IFERROR(__xludf.DUMMYFUNCTION("""COMPUTED_VALUE"""),"CIGERELENG")</f>
        <v>CIGERELENG</v>
      </c>
      <c r="H91" s="4" t="str">
        <f>IFERROR(__xludf.DUMMYFUNCTION("""COMPUTED_VALUE"""),"CMU")</f>
        <v>CMU</v>
      </c>
      <c r="I91" s="4" t="str">
        <f>IFERROR(__xludf.DUMMYFUNCTION("""COMPUTED_VALUE"""),"LBS ALM-LBS CKGC")</f>
        <v>LBS ALM-LBS CKGC</v>
      </c>
      <c r="J91" s="4" t="str">
        <f>IFERROR(__xludf.DUMMYFUNCTION("""COMPUTED_VALUE"""),"ZONA 2")</f>
        <v>ZONA 2</v>
      </c>
      <c r="K91" s="4" t="str">
        <f>IFERROR(__xludf.DUMMYFUNCTION("""COMPUTED_VALUE"""),"004")</f>
        <v>004</v>
      </c>
      <c r="L91" s="4" t="str">
        <f>IFERROR(__xludf.DUMMYFUNCTION("""COMPUTED_VALUE"""),"TM - 1B/H (Tumpu)")</f>
        <v>TM - 1B/H (Tumpu)</v>
      </c>
      <c r="M91" s="4" t="str">
        <f>IFERROR(__xludf.DUMMYFUNCTION("""COMPUTED_VALUE"""),"Tidak Ada")</f>
        <v>Tidak Ada</v>
      </c>
      <c r="N91" s="4"/>
      <c r="O91" s="4" t="str">
        <f>IFERROR(__xludf.DUMMYFUNCTION("""COMPUTED_VALUE"""),"PEMBANDING SEJENIS")</f>
        <v>PEMBANDING SEJENIS</v>
      </c>
      <c r="P91" s="4" t="str">
        <f>IFERROR(__xludf.DUMMYFUNCTION("""COMPUTED_VALUE"""),"ARRESTER")</f>
        <v>ARRESTER</v>
      </c>
      <c r="Q91" s="4">
        <f>IFERROR(__xludf.DUMMYFUNCTION("""COMPUTED_VALUE"""),22.0)</f>
        <v>22</v>
      </c>
      <c r="R91" s="4">
        <f>IFERROR(__xludf.DUMMYFUNCTION("""COMPUTED_VALUE"""),22.0)</f>
        <v>22</v>
      </c>
      <c r="S91" s="4">
        <f>IFERROR(__xludf.DUMMYFUNCTION("""COMPUTED_VALUE"""),23.0)</f>
        <v>23</v>
      </c>
      <c r="T91" s="4"/>
      <c r="U91" s="4" t="str">
        <f>IFERROR(__xludf.DUMMYFUNCTION("""COMPUTED_VALUE"""),"BAIK")</f>
        <v>BAIK</v>
      </c>
      <c r="V91" s="4" t="str">
        <f>IFERROR(__xludf.DUMMYFUNCTION("""COMPUTED_VALUE"""),"Tidak Ada")</f>
        <v>Tidak Ada</v>
      </c>
      <c r="W91" s="4"/>
      <c r="X91" s="4"/>
      <c r="Y91" s="4"/>
      <c r="Z91" s="4"/>
      <c r="AA91" s="4"/>
      <c r="AB91" s="4"/>
      <c r="AC91" s="4" t="str">
        <f>IFERROR(__xludf.DUMMYFUNCTION("""COMPUTED_VALUE"""),"INSPEKSI SUTM - T2_Images/95815c6d.FOTO.164200.jpg")</f>
        <v>INSPEKSI SUTM - T2_Images/95815c6d.FOTO.164200.jpg</v>
      </c>
      <c r="AD91" s="4"/>
      <c r="AE91" s="4"/>
      <c r="AF91" s="4" t="str">
        <f>IFERROR(__xludf.DUMMYFUNCTION("""COMPUTED_VALUE"""),"BELUM")</f>
        <v>BELUM</v>
      </c>
      <c r="AG91" s="6">
        <f>IFERROR(__xludf.DUMMYFUNCTION("""COMPUTED_VALUE"""),46034.0)</f>
        <v>46034</v>
      </c>
      <c r="AH91" s="4"/>
      <c r="AI91" s="4"/>
    </row>
    <row r="92" ht="15.75" customHeight="1">
      <c r="A92" s="4" t="str">
        <f>IFERROR(__xludf.DUMMYFUNCTION("""COMPUTED_VALUE"""),"0fb6ada6")</f>
        <v>0fb6ada6</v>
      </c>
      <c r="B92" s="5">
        <f>IFERROR(__xludf.DUMMYFUNCTION("""COMPUTED_VALUE"""),46034.971284722225)</f>
        <v>46034.97128</v>
      </c>
      <c r="C92" s="4" t="str">
        <f>IFERROR(__xludf.DUMMYFUNCTION("""COMPUTED_VALUE"""),"-6.949056, 107.611929")</f>
        <v>-6.949056, 107.611929</v>
      </c>
      <c r="D92" s="4" t="str">
        <f>IFERROR(__xludf.DUMMYFUNCTION("""COMPUTED_VALUE"""),"Nugi fuad")</f>
        <v>Nugi fuad</v>
      </c>
      <c r="E92" s="4" t="str">
        <f>IFERROR(__xludf.DUMMYFUNCTION("""COMPUTED_VALUE"""),"BANDUNG")</f>
        <v>BANDUNG</v>
      </c>
      <c r="F92" s="4" t="str">
        <f>IFERROR(__xludf.DUMMYFUNCTION("""COMPUTED_VALUE"""),"BANDUNG SELATAN")</f>
        <v>BANDUNG SELATAN</v>
      </c>
      <c r="G92" s="4" t="str">
        <f>IFERROR(__xludf.DUMMYFUNCTION("""COMPUTED_VALUE"""),"CIGERELENG")</f>
        <v>CIGERELENG</v>
      </c>
      <c r="H92" s="4" t="str">
        <f>IFERROR(__xludf.DUMMYFUNCTION("""COMPUTED_VALUE"""),"CMU")</f>
        <v>CMU</v>
      </c>
      <c r="I92" s="4" t="str">
        <f>IFERROR(__xludf.DUMMYFUNCTION("""COMPUTED_VALUE"""),"LBS ALM-LBS CKGC")</f>
        <v>LBS ALM-LBS CKGC</v>
      </c>
      <c r="J92" s="4" t="str">
        <f>IFERROR(__xludf.DUMMYFUNCTION("""COMPUTED_VALUE"""),"ZONA 2")</f>
        <v>ZONA 2</v>
      </c>
      <c r="K92" s="4" t="str">
        <f>IFERROR(__xludf.DUMMYFUNCTION("""COMPUTED_VALUE"""),"006")</f>
        <v>006</v>
      </c>
      <c r="L92" s="4" t="str">
        <f>IFERROR(__xludf.DUMMYFUNCTION("""COMPUTED_VALUE"""),"TM - 1B/H (Tumpu)")</f>
        <v>TM - 1B/H (Tumpu)</v>
      </c>
      <c r="M92" s="4" t="str">
        <f>IFERROR(__xludf.DUMMYFUNCTION("""COMPUTED_VALUE"""),"Tidak Ada")</f>
        <v>Tidak Ada</v>
      </c>
      <c r="N92" s="4"/>
      <c r="O92" s="4" t="str">
        <f>IFERROR(__xludf.DUMMYFUNCTION("""COMPUTED_VALUE"""),"PEMBANDING SEJENIS")</f>
        <v>PEMBANDING SEJENIS</v>
      </c>
      <c r="P92" s="4" t="str">
        <f>IFERROR(__xludf.DUMMYFUNCTION("""COMPUTED_VALUE"""),"ARRESTER")</f>
        <v>ARRESTER</v>
      </c>
      <c r="Q92" s="4">
        <f>IFERROR(__xludf.DUMMYFUNCTION("""COMPUTED_VALUE"""),23.0)</f>
        <v>23</v>
      </c>
      <c r="R92" s="4">
        <f>IFERROR(__xludf.DUMMYFUNCTION("""COMPUTED_VALUE"""),22.0)</f>
        <v>22</v>
      </c>
      <c r="S92" s="4">
        <f>IFERROR(__xludf.DUMMYFUNCTION("""COMPUTED_VALUE"""),22.0)</f>
        <v>22</v>
      </c>
      <c r="T92" s="4"/>
      <c r="U92" s="4" t="str">
        <f>IFERROR(__xludf.DUMMYFUNCTION("""COMPUTED_VALUE"""),"BAIK")</f>
        <v>BAIK</v>
      </c>
      <c r="V92" s="4" t="str">
        <f>IFERROR(__xludf.DUMMYFUNCTION("""COMPUTED_VALUE"""),"Tidak Ada")</f>
        <v>Tidak Ada</v>
      </c>
      <c r="W92" s="4"/>
      <c r="X92" s="4"/>
      <c r="Y92" s="4"/>
      <c r="Z92" s="4"/>
      <c r="AA92" s="4"/>
      <c r="AB92" s="4"/>
      <c r="AC92" s="4" t="str">
        <f>IFERROR(__xludf.DUMMYFUNCTION("""COMPUTED_VALUE"""),"INSPEKSI SUTM - T2_Images/0fb6ada6.FOTO.164205.jpg")</f>
        <v>INSPEKSI SUTM - T2_Images/0fb6ada6.FOTO.164205.jpg</v>
      </c>
      <c r="AD92" s="4"/>
      <c r="AE92" s="4"/>
      <c r="AF92" s="4" t="str">
        <f>IFERROR(__xludf.DUMMYFUNCTION("""COMPUTED_VALUE"""),"BELUM")</f>
        <v>BELUM</v>
      </c>
      <c r="AG92" s="6">
        <f>IFERROR(__xludf.DUMMYFUNCTION("""COMPUTED_VALUE"""),46034.0)</f>
        <v>46034</v>
      </c>
      <c r="AH92" s="4"/>
      <c r="AI92" s="4"/>
    </row>
    <row r="93" ht="15.75" customHeight="1">
      <c r="A93" s="4" t="str">
        <f>IFERROR(__xludf.DUMMYFUNCTION("""COMPUTED_VALUE"""),"5b675b7d")</f>
        <v>5b675b7d</v>
      </c>
      <c r="B93" s="5">
        <f>IFERROR(__xludf.DUMMYFUNCTION("""COMPUTED_VALUE"""),46034.97273148148)</f>
        <v>46034.97273</v>
      </c>
      <c r="C93" s="4" t="str">
        <f>IFERROR(__xludf.DUMMYFUNCTION("""COMPUTED_VALUE"""),"-6.949056, 107.611929")</f>
        <v>-6.949056, 107.611929</v>
      </c>
      <c r="D93" s="4" t="str">
        <f>IFERROR(__xludf.DUMMYFUNCTION("""COMPUTED_VALUE"""),"Nugi fuad")</f>
        <v>Nugi fuad</v>
      </c>
      <c r="E93" s="4" t="str">
        <f>IFERROR(__xludf.DUMMYFUNCTION("""COMPUTED_VALUE"""),"BANDUNG")</f>
        <v>BANDUNG</v>
      </c>
      <c r="F93" s="4" t="str">
        <f>IFERROR(__xludf.DUMMYFUNCTION("""COMPUTED_VALUE"""),"BANDUNG SELATAN")</f>
        <v>BANDUNG SELATAN</v>
      </c>
      <c r="G93" s="4" t="str">
        <f>IFERROR(__xludf.DUMMYFUNCTION("""COMPUTED_VALUE"""),"CIGERELENG")</f>
        <v>CIGERELENG</v>
      </c>
      <c r="H93" s="4" t="str">
        <f>IFERROR(__xludf.DUMMYFUNCTION("""COMPUTED_VALUE"""),"CMU")</f>
        <v>CMU</v>
      </c>
      <c r="I93" s="4" t="str">
        <f>IFERROR(__xludf.DUMMYFUNCTION("""COMPUTED_VALUE"""),"LBS ALM-LBS CKGC")</f>
        <v>LBS ALM-LBS CKGC</v>
      </c>
      <c r="J93" s="4" t="str">
        <f>IFERROR(__xludf.DUMMYFUNCTION("""COMPUTED_VALUE"""),"ZONA 2")</f>
        <v>ZONA 2</v>
      </c>
      <c r="K93" s="4" t="str">
        <f>IFERROR(__xludf.DUMMYFUNCTION("""COMPUTED_VALUE"""),"007")</f>
        <v>007</v>
      </c>
      <c r="L93" s="4" t="str">
        <f>IFERROR(__xludf.DUMMYFUNCTION("""COMPUTED_VALUE"""),"TM - 4B/H (Afspan)")</f>
        <v>TM - 4B/H (Afspan)</v>
      </c>
      <c r="M93" s="4" t="str">
        <f>IFERROR(__xludf.DUMMYFUNCTION("""COMPUTED_VALUE"""),"Tidak Ada")</f>
        <v>Tidak Ada</v>
      </c>
      <c r="N93" s="4"/>
      <c r="O93" s="4" t="str">
        <f>IFERROR(__xludf.DUMMYFUNCTION("""COMPUTED_VALUE"""),"PEMBANDING SEJENIS")</f>
        <v>PEMBANDING SEJENIS</v>
      </c>
      <c r="P93" s="4" t="str">
        <f>IFERROR(__xludf.DUMMYFUNCTION("""COMPUTED_VALUE"""),"KONEKTOR/JUMPER")</f>
        <v>KONEKTOR/JUMPER</v>
      </c>
      <c r="Q93" s="4">
        <f>IFERROR(__xludf.DUMMYFUNCTION("""COMPUTED_VALUE"""),23.0)</f>
        <v>23</v>
      </c>
      <c r="R93" s="4">
        <f>IFERROR(__xludf.DUMMYFUNCTION("""COMPUTED_VALUE"""),22.0)</f>
        <v>22</v>
      </c>
      <c r="S93" s="4">
        <f>IFERROR(__xludf.DUMMYFUNCTION("""COMPUTED_VALUE"""),22.0)</f>
        <v>22</v>
      </c>
      <c r="T93" s="4"/>
      <c r="U93" s="4" t="str">
        <f>IFERROR(__xludf.DUMMYFUNCTION("""COMPUTED_VALUE"""),"BAIK")</f>
        <v>BAIK</v>
      </c>
      <c r="V93" s="4" t="str">
        <f>IFERROR(__xludf.DUMMYFUNCTION("""COMPUTED_VALUE"""),"Tidak Ada")</f>
        <v>Tidak Ada</v>
      </c>
      <c r="W93" s="4"/>
      <c r="X93" s="4"/>
      <c r="Y93" s="4"/>
      <c r="Z93" s="4"/>
      <c r="AA93" s="4"/>
      <c r="AB93" s="4"/>
      <c r="AC93" s="4" t="str">
        <f>IFERROR(__xludf.DUMMYFUNCTION("""COMPUTED_VALUE"""),"INSPEKSI SUTM - T2_Images/5b675b7d.FOTO.164211.jpg")</f>
        <v>INSPEKSI SUTM - T2_Images/5b675b7d.FOTO.164211.jpg</v>
      </c>
      <c r="AD93" s="4"/>
      <c r="AE93" s="4"/>
      <c r="AF93" s="4" t="str">
        <f>IFERROR(__xludf.DUMMYFUNCTION("""COMPUTED_VALUE"""),"BELUM")</f>
        <v>BELUM</v>
      </c>
      <c r="AG93" s="6">
        <f>IFERROR(__xludf.DUMMYFUNCTION("""COMPUTED_VALUE"""),46034.0)</f>
        <v>46034</v>
      </c>
      <c r="AH93" s="4"/>
      <c r="AI93" s="4"/>
    </row>
    <row r="94" ht="15.75" customHeight="1">
      <c r="A94" s="4" t="str">
        <f>IFERROR(__xludf.DUMMYFUNCTION("""COMPUTED_VALUE"""),"418015cf")</f>
        <v>418015cf</v>
      </c>
      <c r="B94" s="5">
        <f>IFERROR(__xludf.DUMMYFUNCTION("""COMPUTED_VALUE"""),46034.97325231481)</f>
        <v>46034.97325</v>
      </c>
      <c r="C94" s="4" t="str">
        <f>IFERROR(__xludf.DUMMYFUNCTION("""COMPUTED_VALUE"""),"-6.949056, 107.611929")</f>
        <v>-6.949056, 107.611929</v>
      </c>
      <c r="D94" s="4" t="str">
        <f>IFERROR(__xludf.DUMMYFUNCTION("""COMPUTED_VALUE"""),"Nugi fuad")</f>
        <v>Nugi fuad</v>
      </c>
      <c r="E94" s="4" t="str">
        <f>IFERROR(__xludf.DUMMYFUNCTION("""COMPUTED_VALUE"""),"BANDUNG")</f>
        <v>BANDUNG</v>
      </c>
      <c r="F94" s="4" t="str">
        <f>IFERROR(__xludf.DUMMYFUNCTION("""COMPUTED_VALUE"""),"BANDUNG SELATAN")</f>
        <v>BANDUNG SELATAN</v>
      </c>
      <c r="G94" s="4" t="str">
        <f>IFERROR(__xludf.DUMMYFUNCTION("""COMPUTED_VALUE"""),"CIGERELENG")</f>
        <v>CIGERELENG</v>
      </c>
      <c r="H94" s="4" t="str">
        <f>IFERROR(__xludf.DUMMYFUNCTION("""COMPUTED_VALUE"""),"CMU")</f>
        <v>CMU</v>
      </c>
      <c r="I94" s="4" t="str">
        <f>IFERROR(__xludf.DUMMYFUNCTION("""COMPUTED_VALUE"""),"LBS ALM-LBS CKGC")</f>
        <v>LBS ALM-LBS CKGC</v>
      </c>
      <c r="J94" s="4" t="str">
        <f>IFERROR(__xludf.DUMMYFUNCTION("""COMPUTED_VALUE"""),"ZONA 2")</f>
        <v>ZONA 2</v>
      </c>
      <c r="K94" s="4" t="str">
        <f>IFERROR(__xludf.DUMMYFUNCTION("""COMPUTED_VALUE"""),"010")</f>
        <v>010</v>
      </c>
      <c r="L94" s="4" t="str">
        <f>IFERROR(__xludf.DUMMYFUNCTION("""COMPUTED_VALUE"""),"TM - 8B/H (Percabangan)")</f>
        <v>TM - 8B/H (Percabangan)</v>
      </c>
      <c r="M94" s="4" t="str">
        <f>IFERROR(__xludf.DUMMYFUNCTION("""COMPUTED_VALUE"""),"Tidak Ada")</f>
        <v>Tidak Ada</v>
      </c>
      <c r="N94" s="4"/>
      <c r="O94" s="4" t="str">
        <f>IFERROR(__xludf.DUMMYFUNCTION("""COMPUTED_VALUE"""),"PEMBANDING SEJENIS")</f>
        <v>PEMBANDING SEJENIS</v>
      </c>
      <c r="P94" s="4" t="str">
        <f>IFERROR(__xludf.DUMMYFUNCTION("""COMPUTED_VALUE"""),"KONEKTOR/JUMPER")</f>
        <v>KONEKTOR/JUMPER</v>
      </c>
      <c r="Q94" s="4">
        <f>IFERROR(__xludf.DUMMYFUNCTION("""COMPUTED_VALUE"""),22.0)</f>
        <v>22</v>
      </c>
      <c r="R94" s="4">
        <f>IFERROR(__xludf.DUMMYFUNCTION("""COMPUTED_VALUE"""),22.0)</f>
        <v>22</v>
      </c>
      <c r="S94" s="4">
        <f>IFERROR(__xludf.DUMMYFUNCTION("""COMPUTED_VALUE"""),22.0)</f>
        <v>22</v>
      </c>
      <c r="T94" s="4"/>
      <c r="U94" s="4" t="str">
        <f>IFERROR(__xludf.DUMMYFUNCTION("""COMPUTED_VALUE"""),"BAIK")</f>
        <v>BAIK</v>
      </c>
      <c r="V94" s="4" t="str">
        <f>IFERROR(__xludf.DUMMYFUNCTION("""COMPUTED_VALUE"""),"Tidak Ada")</f>
        <v>Tidak Ada</v>
      </c>
      <c r="W94" s="4"/>
      <c r="X94" s="4"/>
      <c r="Y94" s="4"/>
      <c r="Z94" s="4"/>
      <c r="AA94" s="4"/>
      <c r="AB94" s="4"/>
      <c r="AC94" s="4" t="str">
        <f>IFERROR(__xludf.DUMMYFUNCTION("""COMPUTED_VALUE"""),"INSPEKSI SUTM - T2_Images/418015cf.FOTO.164215.jpg")</f>
        <v>INSPEKSI SUTM - T2_Images/418015cf.FOTO.164215.jpg</v>
      </c>
      <c r="AD94" s="4"/>
      <c r="AE94" s="4"/>
      <c r="AF94" s="4" t="str">
        <f>IFERROR(__xludf.DUMMYFUNCTION("""COMPUTED_VALUE"""),"BELUM")</f>
        <v>BELUM</v>
      </c>
      <c r="AG94" s="6">
        <f>IFERROR(__xludf.DUMMYFUNCTION("""COMPUTED_VALUE"""),46034.0)</f>
        <v>46034</v>
      </c>
      <c r="AH94" s="4"/>
      <c r="AI94" s="4"/>
    </row>
    <row r="95" ht="15.75" customHeight="1">
      <c r="A95" s="4" t="str">
        <f>IFERROR(__xludf.DUMMYFUNCTION("""COMPUTED_VALUE"""),"dee2c32e")</f>
        <v>dee2c32e</v>
      </c>
      <c r="B95" s="5">
        <f>IFERROR(__xludf.DUMMYFUNCTION("""COMPUTED_VALUE"""),46034.973761574074)</f>
        <v>46034.97376</v>
      </c>
      <c r="C95" s="4" t="str">
        <f>IFERROR(__xludf.DUMMYFUNCTION("""COMPUTED_VALUE"""),"-6.949056, 107.611929")</f>
        <v>-6.949056, 107.611929</v>
      </c>
      <c r="D95" s="4" t="str">
        <f>IFERROR(__xludf.DUMMYFUNCTION("""COMPUTED_VALUE"""),"Nugi fuad")</f>
        <v>Nugi fuad</v>
      </c>
      <c r="E95" s="4" t="str">
        <f>IFERROR(__xludf.DUMMYFUNCTION("""COMPUTED_VALUE"""),"BANDUNG")</f>
        <v>BANDUNG</v>
      </c>
      <c r="F95" s="4" t="str">
        <f>IFERROR(__xludf.DUMMYFUNCTION("""COMPUTED_VALUE"""),"BANDUNG SELATAN")</f>
        <v>BANDUNG SELATAN</v>
      </c>
      <c r="G95" s="4" t="str">
        <f>IFERROR(__xludf.DUMMYFUNCTION("""COMPUTED_VALUE"""),"CIGERELENG")</f>
        <v>CIGERELENG</v>
      </c>
      <c r="H95" s="4" t="str">
        <f>IFERROR(__xludf.DUMMYFUNCTION("""COMPUTED_VALUE"""),"CMU")</f>
        <v>CMU</v>
      </c>
      <c r="I95" s="4" t="str">
        <f>IFERROR(__xludf.DUMMYFUNCTION("""COMPUTED_VALUE"""),"LBS ALM-LBS CKGC")</f>
        <v>LBS ALM-LBS CKGC</v>
      </c>
      <c r="J95" s="4" t="str">
        <f>IFERROR(__xludf.DUMMYFUNCTION("""COMPUTED_VALUE"""),"ZONA 2")</f>
        <v>ZONA 2</v>
      </c>
      <c r="K95" s="4" t="str">
        <f>IFERROR(__xludf.DUMMYFUNCTION("""COMPUTED_VALUE"""),"012")</f>
        <v>012</v>
      </c>
      <c r="L95" s="4" t="str">
        <f>IFERROR(__xludf.DUMMYFUNCTION("""COMPUTED_VALUE"""),"TM - 7B/H (Afspan 90 Derajat)")</f>
        <v>TM - 7B/H (Afspan 90 Derajat)</v>
      </c>
      <c r="M95" s="4" t="str">
        <f>IFERROR(__xludf.DUMMYFUNCTION("""COMPUTED_VALUE"""),"Tidak Ada")</f>
        <v>Tidak Ada</v>
      </c>
      <c r="N95" s="4"/>
      <c r="O95" s="4" t="str">
        <f>IFERROR(__xludf.DUMMYFUNCTION("""COMPUTED_VALUE"""),"PEMBANDING SEJENIS")</f>
        <v>PEMBANDING SEJENIS</v>
      </c>
      <c r="P95" s="4" t="str">
        <f>IFERROR(__xludf.DUMMYFUNCTION("""COMPUTED_VALUE"""),"KONEKTOR/JUMPER")</f>
        <v>KONEKTOR/JUMPER</v>
      </c>
      <c r="Q95" s="4">
        <f>IFERROR(__xludf.DUMMYFUNCTION("""COMPUTED_VALUE"""),22.0)</f>
        <v>22</v>
      </c>
      <c r="R95" s="4">
        <f>IFERROR(__xludf.DUMMYFUNCTION("""COMPUTED_VALUE"""),22.0)</f>
        <v>22</v>
      </c>
      <c r="S95" s="4">
        <f>IFERROR(__xludf.DUMMYFUNCTION("""COMPUTED_VALUE"""),22.0)</f>
        <v>22</v>
      </c>
      <c r="T95" s="4"/>
      <c r="U95" s="4" t="str">
        <f>IFERROR(__xludf.DUMMYFUNCTION("""COMPUTED_VALUE"""),"BAIK")</f>
        <v>BAIK</v>
      </c>
      <c r="V95" s="4" t="str">
        <f>IFERROR(__xludf.DUMMYFUNCTION("""COMPUTED_VALUE"""),"Tidak Ada")</f>
        <v>Tidak Ada</v>
      </c>
      <c r="W95" s="4"/>
      <c r="X95" s="4"/>
      <c r="Y95" s="4"/>
      <c r="Z95" s="4"/>
      <c r="AA95" s="4"/>
      <c r="AB95" s="4"/>
      <c r="AC95" s="4" t="str">
        <f>IFERROR(__xludf.DUMMYFUNCTION("""COMPUTED_VALUE"""),"INSPEKSI SUTM - T2_Images/dee2c32e.FOTO.164218.jpg")</f>
        <v>INSPEKSI SUTM - T2_Images/dee2c32e.FOTO.164218.jpg</v>
      </c>
      <c r="AD95" s="4"/>
      <c r="AE95" s="4"/>
      <c r="AF95" s="4" t="str">
        <f>IFERROR(__xludf.DUMMYFUNCTION("""COMPUTED_VALUE"""),"BELUM")</f>
        <v>BELUM</v>
      </c>
      <c r="AG95" s="6">
        <f>IFERROR(__xludf.DUMMYFUNCTION("""COMPUTED_VALUE"""),46034.0)</f>
        <v>46034</v>
      </c>
      <c r="AH95" s="4"/>
      <c r="AI95" s="4"/>
    </row>
    <row r="96" ht="15.75" customHeight="1">
      <c r="A96" s="4" t="str">
        <f>IFERROR(__xludf.DUMMYFUNCTION("""COMPUTED_VALUE"""),"651e113d")</f>
        <v>651e113d</v>
      </c>
      <c r="B96" s="5">
        <f>IFERROR(__xludf.DUMMYFUNCTION("""COMPUTED_VALUE"""),46034.974270833336)</f>
        <v>46034.97427</v>
      </c>
      <c r="C96" s="4" t="str">
        <f>IFERROR(__xludf.DUMMYFUNCTION("""COMPUTED_VALUE"""),"-6.949056, 107.611929")</f>
        <v>-6.949056, 107.611929</v>
      </c>
      <c r="D96" s="4" t="str">
        <f>IFERROR(__xludf.DUMMYFUNCTION("""COMPUTED_VALUE"""),"Nugi fuad")</f>
        <v>Nugi fuad</v>
      </c>
      <c r="E96" s="4" t="str">
        <f>IFERROR(__xludf.DUMMYFUNCTION("""COMPUTED_VALUE"""),"BANDUNG")</f>
        <v>BANDUNG</v>
      </c>
      <c r="F96" s="4" t="str">
        <f>IFERROR(__xludf.DUMMYFUNCTION("""COMPUTED_VALUE"""),"BANDUNG SELATAN")</f>
        <v>BANDUNG SELATAN</v>
      </c>
      <c r="G96" s="4" t="str">
        <f>IFERROR(__xludf.DUMMYFUNCTION("""COMPUTED_VALUE"""),"CIGERELENG")</f>
        <v>CIGERELENG</v>
      </c>
      <c r="H96" s="4" t="str">
        <f>IFERROR(__xludf.DUMMYFUNCTION("""COMPUTED_VALUE"""),"CMU")</f>
        <v>CMU</v>
      </c>
      <c r="I96" s="4" t="str">
        <f>IFERROR(__xludf.DUMMYFUNCTION("""COMPUTED_VALUE"""),"LBS ALM-LBS CKGC")</f>
        <v>LBS ALM-LBS CKGC</v>
      </c>
      <c r="J96" s="4" t="str">
        <f>IFERROR(__xludf.DUMMYFUNCTION("""COMPUTED_VALUE"""),"ZONA 2")</f>
        <v>ZONA 2</v>
      </c>
      <c r="K96" s="4" t="str">
        <f>IFERROR(__xludf.DUMMYFUNCTION("""COMPUTED_VALUE"""),"015")</f>
        <v>015</v>
      </c>
      <c r="L96" s="4" t="str">
        <f>IFERROR(__xludf.DUMMYFUNCTION("""COMPUTED_VALUE"""),"TM - 1B/H (Tumpu)")</f>
        <v>TM - 1B/H (Tumpu)</v>
      </c>
      <c r="M96" s="4" t="str">
        <f>IFERROR(__xludf.DUMMYFUNCTION("""COMPUTED_VALUE"""),"Tidak Ada")</f>
        <v>Tidak Ada</v>
      </c>
      <c r="N96" s="4"/>
      <c r="O96" s="4" t="str">
        <f>IFERROR(__xludf.DUMMYFUNCTION("""COMPUTED_VALUE"""),"PEMBANDING SEJENIS")</f>
        <v>PEMBANDING SEJENIS</v>
      </c>
      <c r="P96" s="4" t="str">
        <f>IFERROR(__xludf.DUMMYFUNCTION("""COMPUTED_VALUE"""),"KONEKTOR/JUMPER")</f>
        <v>KONEKTOR/JUMPER</v>
      </c>
      <c r="Q96" s="4">
        <f>IFERROR(__xludf.DUMMYFUNCTION("""COMPUTED_VALUE"""),21.0)</f>
        <v>21</v>
      </c>
      <c r="R96" s="4">
        <f>IFERROR(__xludf.DUMMYFUNCTION("""COMPUTED_VALUE"""),21.0)</f>
        <v>21</v>
      </c>
      <c r="S96" s="4">
        <f>IFERROR(__xludf.DUMMYFUNCTION("""COMPUTED_VALUE"""),21.0)</f>
        <v>21</v>
      </c>
      <c r="T96" s="4"/>
      <c r="U96" s="4" t="str">
        <f>IFERROR(__xludf.DUMMYFUNCTION("""COMPUTED_VALUE"""),"BAIK")</f>
        <v>BAIK</v>
      </c>
      <c r="V96" s="4" t="str">
        <f>IFERROR(__xludf.DUMMYFUNCTION("""COMPUTED_VALUE"""),"Tidak Ada")</f>
        <v>Tidak Ada</v>
      </c>
      <c r="W96" s="4"/>
      <c r="X96" s="4"/>
      <c r="Y96" s="4"/>
      <c r="Z96" s="4"/>
      <c r="AA96" s="4"/>
      <c r="AB96" s="4"/>
      <c r="AC96" s="4" t="str">
        <f>IFERROR(__xludf.DUMMYFUNCTION("""COMPUTED_VALUE"""),"INSPEKSI SUTM - T2_Images/651e113d.FOTO.164224.jpg")</f>
        <v>INSPEKSI SUTM - T2_Images/651e113d.FOTO.164224.jpg</v>
      </c>
      <c r="AD96" s="4"/>
      <c r="AE96" s="4"/>
      <c r="AF96" s="4" t="str">
        <f>IFERROR(__xludf.DUMMYFUNCTION("""COMPUTED_VALUE"""),"BELUM")</f>
        <v>BELUM</v>
      </c>
      <c r="AG96" s="6">
        <f>IFERROR(__xludf.DUMMYFUNCTION("""COMPUTED_VALUE"""),46034.0)</f>
        <v>46034</v>
      </c>
      <c r="AH96" s="4"/>
      <c r="AI96" s="4"/>
    </row>
    <row r="97" ht="15.75" customHeight="1">
      <c r="A97" s="4" t="str">
        <f>IFERROR(__xludf.DUMMYFUNCTION("""COMPUTED_VALUE"""),"9c77f0ee")</f>
        <v>9c77f0ee</v>
      </c>
      <c r="B97" s="5">
        <f>IFERROR(__xludf.DUMMYFUNCTION("""COMPUTED_VALUE"""),46034.97478009259)</f>
        <v>46034.97478</v>
      </c>
      <c r="C97" s="4" t="str">
        <f>IFERROR(__xludf.DUMMYFUNCTION("""COMPUTED_VALUE"""),"-6.949056, 107.611929")</f>
        <v>-6.949056, 107.611929</v>
      </c>
      <c r="D97" s="4" t="str">
        <f>IFERROR(__xludf.DUMMYFUNCTION("""COMPUTED_VALUE"""),"Nugi fuad")</f>
        <v>Nugi fuad</v>
      </c>
      <c r="E97" s="4" t="str">
        <f>IFERROR(__xludf.DUMMYFUNCTION("""COMPUTED_VALUE"""),"BANDUNG")</f>
        <v>BANDUNG</v>
      </c>
      <c r="F97" s="4" t="str">
        <f>IFERROR(__xludf.DUMMYFUNCTION("""COMPUTED_VALUE"""),"BANDUNG SELATAN")</f>
        <v>BANDUNG SELATAN</v>
      </c>
      <c r="G97" s="4" t="str">
        <f>IFERROR(__xludf.DUMMYFUNCTION("""COMPUTED_VALUE"""),"CIGERELENG")</f>
        <v>CIGERELENG</v>
      </c>
      <c r="H97" s="4" t="str">
        <f>IFERROR(__xludf.DUMMYFUNCTION("""COMPUTED_VALUE"""),"CMU")</f>
        <v>CMU</v>
      </c>
      <c r="I97" s="4" t="str">
        <f>IFERROR(__xludf.DUMMYFUNCTION("""COMPUTED_VALUE"""),"LBS ALM-LBS CKGC")</f>
        <v>LBS ALM-LBS CKGC</v>
      </c>
      <c r="J97" s="4" t="str">
        <f>IFERROR(__xludf.DUMMYFUNCTION("""COMPUTED_VALUE"""),"ZONA 2")</f>
        <v>ZONA 2</v>
      </c>
      <c r="K97" s="4" t="str">
        <f>IFERROR(__xludf.DUMMYFUNCTION("""COMPUTED_VALUE"""),"019")</f>
        <v>019</v>
      </c>
      <c r="L97" s="4" t="str">
        <f>IFERROR(__xludf.DUMMYFUNCTION("""COMPUTED_VALUE"""),"TM - 8B/H (Percabangan)")</f>
        <v>TM - 8B/H (Percabangan)</v>
      </c>
      <c r="M97" s="4" t="str">
        <f>IFERROR(__xludf.DUMMYFUNCTION("""COMPUTED_VALUE"""),"Tidak Ada")</f>
        <v>Tidak Ada</v>
      </c>
      <c r="N97" s="4"/>
      <c r="O97" s="4" t="str">
        <f>IFERROR(__xludf.DUMMYFUNCTION("""COMPUTED_VALUE"""),"PEMBANDING SEJENIS")</f>
        <v>PEMBANDING SEJENIS</v>
      </c>
      <c r="P97" s="4" t="str">
        <f>IFERROR(__xludf.DUMMYFUNCTION("""COMPUTED_VALUE"""),"KONEKTOR/JUMPER")</f>
        <v>KONEKTOR/JUMPER</v>
      </c>
      <c r="Q97" s="4">
        <f>IFERROR(__xludf.DUMMYFUNCTION("""COMPUTED_VALUE"""),22.0)</f>
        <v>22</v>
      </c>
      <c r="R97" s="4">
        <f>IFERROR(__xludf.DUMMYFUNCTION("""COMPUTED_VALUE"""),22.0)</f>
        <v>22</v>
      </c>
      <c r="S97" s="4">
        <f>IFERROR(__xludf.DUMMYFUNCTION("""COMPUTED_VALUE"""),23.0)</f>
        <v>23</v>
      </c>
      <c r="T97" s="4"/>
      <c r="U97" s="4" t="str">
        <f>IFERROR(__xludf.DUMMYFUNCTION("""COMPUTED_VALUE"""),"BAIK")</f>
        <v>BAIK</v>
      </c>
      <c r="V97" s="4" t="str">
        <f>IFERROR(__xludf.DUMMYFUNCTION("""COMPUTED_VALUE"""),"Tidak Ada")</f>
        <v>Tidak Ada</v>
      </c>
      <c r="W97" s="4"/>
      <c r="X97" s="4"/>
      <c r="Y97" s="4"/>
      <c r="Z97" s="4"/>
      <c r="AA97" s="4"/>
      <c r="AB97" s="4"/>
      <c r="AC97" s="4" t="str">
        <f>IFERROR(__xludf.DUMMYFUNCTION("""COMPUTED_VALUE"""),"INSPEKSI SUTM - T2_Images/9c77f0ee.FOTO.164229.jpg")</f>
        <v>INSPEKSI SUTM - T2_Images/9c77f0ee.FOTO.164229.jpg</v>
      </c>
      <c r="AD97" s="4"/>
      <c r="AE97" s="4"/>
      <c r="AF97" s="4" t="str">
        <f>IFERROR(__xludf.DUMMYFUNCTION("""COMPUTED_VALUE"""),"BELUM")</f>
        <v>BELUM</v>
      </c>
      <c r="AG97" s="6">
        <f>IFERROR(__xludf.DUMMYFUNCTION("""COMPUTED_VALUE"""),46034.0)</f>
        <v>46034</v>
      </c>
      <c r="AH97" s="4"/>
      <c r="AI97" s="4"/>
    </row>
    <row r="98" ht="15.75" customHeight="1">
      <c r="A98" s="4" t="str">
        <f>IFERROR(__xludf.DUMMYFUNCTION("""COMPUTED_VALUE"""),"c847c321")</f>
        <v>c847c321</v>
      </c>
      <c r="B98" s="5">
        <f>IFERROR(__xludf.DUMMYFUNCTION("""COMPUTED_VALUE"""),46034.97537037037)</f>
        <v>46034.97537</v>
      </c>
      <c r="C98" s="4" t="str">
        <f>IFERROR(__xludf.DUMMYFUNCTION("""COMPUTED_VALUE"""),"-6.949056, 107.611929")</f>
        <v>-6.949056, 107.611929</v>
      </c>
      <c r="D98" s="4" t="str">
        <f>IFERROR(__xludf.DUMMYFUNCTION("""COMPUTED_VALUE"""),"Nugi fuad")</f>
        <v>Nugi fuad</v>
      </c>
      <c r="E98" s="4" t="str">
        <f>IFERROR(__xludf.DUMMYFUNCTION("""COMPUTED_VALUE"""),"BANDUNG")</f>
        <v>BANDUNG</v>
      </c>
      <c r="F98" s="4" t="str">
        <f>IFERROR(__xludf.DUMMYFUNCTION("""COMPUTED_VALUE"""),"BANDUNG SELATAN")</f>
        <v>BANDUNG SELATAN</v>
      </c>
      <c r="G98" s="4" t="str">
        <f>IFERROR(__xludf.DUMMYFUNCTION("""COMPUTED_VALUE"""),"CIGERELENG")</f>
        <v>CIGERELENG</v>
      </c>
      <c r="H98" s="4" t="str">
        <f>IFERROR(__xludf.DUMMYFUNCTION("""COMPUTED_VALUE"""),"CMU")</f>
        <v>CMU</v>
      </c>
      <c r="I98" s="4" t="str">
        <f>IFERROR(__xludf.DUMMYFUNCTION("""COMPUTED_VALUE"""),"LBS ALM-LBS CKGC")</f>
        <v>LBS ALM-LBS CKGC</v>
      </c>
      <c r="J98" s="4" t="str">
        <f>IFERROR(__xludf.DUMMYFUNCTION("""COMPUTED_VALUE"""),"ZONA 2")</f>
        <v>ZONA 2</v>
      </c>
      <c r="K98" s="4" t="str">
        <f>IFERROR(__xludf.DUMMYFUNCTION("""COMPUTED_VALUE"""),"019L02")</f>
        <v>019L02</v>
      </c>
      <c r="L98" s="4" t="str">
        <f>IFERROR(__xludf.DUMMYFUNCTION("""COMPUTED_VALUE"""),"TM - 7B/H (Afspan 90 Derajat)")</f>
        <v>TM - 7B/H (Afspan 90 Derajat)</v>
      </c>
      <c r="M98" s="4" t="str">
        <f>IFERROR(__xludf.DUMMYFUNCTION("""COMPUTED_VALUE"""),"Tidak Ada")</f>
        <v>Tidak Ada</v>
      </c>
      <c r="N98" s="4"/>
      <c r="O98" s="4" t="str">
        <f>IFERROR(__xludf.DUMMYFUNCTION("""COMPUTED_VALUE"""),"PEMBANDING SEJENIS")</f>
        <v>PEMBANDING SEJENIS</v>
      </c>
      <c r="P98" s="4" t="str">
        <f>IFERROR(__xludf.DUMMYFUNCTION("""COMPUTED_VALUE"""),"KONEKTOR/JUMPER")</f>
        <v>KONEKTOR/JUMPER</v>
      </c>
      <c r="Q98" s="4">
        <f>IFERROR(__xludf.DUMMYFUNCTION("""COMPUTED_VALUE"""),23.0)</f>
        <v>23</v>
      </c>
      <c r="R98" s="4">
        <f>IFERROR(__xludf.DUMMYFUNCTION("""COMPUTED_VALUE"""),23.0)</f>
        <v>23</v>
      </c>
      <c r="S98" s="4">
        <f>IFERROR(__xludf.DUMMYFUNCTION("""COMPUTED_VALUE"""),23.0)</f>
        <v>23</v>
      </c>
      <c r="T98" s="4"/>
      <c r="U98" s="4" t="str">
        <f>IFERROR(__xludf.DUMMYFUNCTION("""COMPUTED_VALUE"""),"BAIK")</f>
        <v>BAIK</v>
      </c>
      <c r="V98" s="4" t="str">
        <f>IFERROR(__xludf.DUMMYFUNCTION("""COMPUTED_VALUE"""),"Tidak Ada")</f>
        <v>Tidak Ada</v>
      </c>
      <c r="W98" s="4"/>
      <c r="X98" s="4"/>
      <c r="Y98" s="4"/>
      <c r="Z98" s="4"/>
      <c r="AA98" s="4"/>
      <c r="AB98" s="4"/>
      <c r="AC98" s="4" t="str">
        <f>IFERROR(__xludf.DUMMYFUNCTION("""COMPUTED_VALUE"""),"INSPEKSI SUTM - T2_Images/c847c321.FOTO.164233.jpg")</f>
        <v>INSPEKSI SUTM - T2_Images/c847c321.FOTO.164233.jpg</v>
      </c>
      <c r="AD98" s="4"/>
      <c r="AE98" s="4"/>
      <c r="AF98" s="4" t="str">
        <f>IFERROR(__xludf.DUMMYFUNCTION("""COMPUTED_VALUE"""),"BELUM")</f>
        <v>BELUM</v>
      </c>
      <c r="AG98" s="6">
        <f>IFERROR(__xludf.DUMMYFUNCTION("""COMPUTED_VALUE"""),46034.0)</f>
        <v>46034</v>
      </c>
      <c r="AH98" s="4"/>
      <c r="AI98" s="4"/>
    </row>
    <row r="99" ht="15.75" customHeight="1">
      <c r="A99" s="4" t="str">
        <f>IFERROR(__xludf.DUMMYFUNCTION("""COMPUTED_VALUE"""),"24c5c452")</f>
        <v>24c5c452</v>
      </c>
      <c r="B99" s="5">
        <f>IFERROR(__xludf.DUMMYFUNCTION("""COMPUTED_VALUE"""),46034.97688657408)</f>
        <v>46034.97689</v>
      </c>
      <c r="C99" s="4" t="str">
        <f>IFERROR(__xludf.DUMMYFUNCTION("""COMPUTED_VALUE"""),"-6.949056, 107.611929")</f>
        <v>-6.949056, 107.611929</v>
      </c>
      <c r="D99" s="4" t="str">
        <f>IFERROR(__xludf.DUMMYFUNCTION("""COMPUTED_VALUE"""),"Nugi fuad")</f>
        <v>Nugi fuad</v>
      </c>
      <c r="E99" s="4" t="str">
        <f>IFERROR(__xludf.DUMMYFUNCTION("""COMPUTED_VALUE"""),"BANDUNG")</f>
        <v>BANDUNG</v>
      </c>
      <c r="F99" s="4" t="str">
        <f>IFERROR(__xludf.DUMMYFUNCTION("""COMPUTED_VALUE"""),"BANDUNG SELATAN")</f>
        <v>BANDUNG SELATAN</v>
      </c>
      <c r="G99" s="4" t="str">
        <f>IFERROR(__xludf.DUMMYFUNCTION("""COMPUTED_VALUE"""),"CIGERELENG")</f>
        <v>CIGERELENG</v>
      </c>
      <c r="H99" s="4" t="str">
        <f>IFERROR(__xludf.DUMMYFUNCTION("""COMPUTED_VALUE"""),"CMU")</f>
        <v>CMU</v>
      </c>
      <c r="I99" s="4" t="str">
        <f>IFERROR(__xludf.DUMMYFUNCTION("""COMPUTED_VALUE"""),"LBS ALM-LBS CKGC")</f>
        <v>LBS ALM-LBS CKGC</v>
      </c>
      <c r="J99" s="4" t="str">
        <f>IFERROR(__xludf.DUMMYFUNCTION("""COMPUTED_VALUE"""),"ZONA 2")</f>
        <v>ZONA 2</v>
      </c>
      <c r="K99" s="4" t="str">
        <f>IFERROR(__xludf.DUMMYFUNCTION("""COMPUTED_VALUE"""),"024")</f>
        <v>024</v>
      </c>
      <c r="L99" s="4" t="str">
        <f>IFERROR(__xludf.DUMMYFUNCTION("""COMPUTED_VALUE"""),"TM - 8B/H (Percabangan)")</f>
        <v>TM - 8B/H (Percabangan)</v>
      </c>
      <c r="M99" s="4" t="str">
        <f>IFERROR(__xludf.DUMMYFUNCTION("""COMPUTED_VALUE"""),"Tidak Ada")</f>
        <v>Tidak Ada</v>
      </c>
      <c r="N99" s="4"/>
      <c r="O99" s="4" t="str">
        <f>IFERROR(__xludf.DUMMYFUNCTION("""COMPUTED_VALUE"""),"PEMBANDING SEJENIS")</f>
        <v>PEMBANDING SEJENIS</v>
      </c>
      <c r="P99" s="4" t="str">
        <f>IFERROR(__xludf.DUMMYFUNCTION("""COMPUTED_VALUE"""),"KONEKTOR/JUMPER")</f>
        <v>KONEKTOR/JUMPER</v>
      </c>
      <c r="Q99" s="4">
        <f>IFERROR(__xludf.DUMMYFUNCTION("""COMPUTED_VALUE"""),22.0)</f>
        <v>22</v>
      </c>
      <c r="R99" s="4">
        <f>IFERROR(__xludf.DUMMYFUNCTION("""COMPUTED_VALUE"""),22.0)</f>
        <v>22</v>
      </c>
      <c r="S99" s="4">
        <f>IFERROR(__xludf.DUMMYFUNCTION("""COMPUTED_VALUE"""),22.0)</f>
        <v>22</v>
      </c>
      <c r="T99" s="4"/>
      <c r="U99" s="4" t="str">
        <f>IFERROR(__xludf.DUMMYFUNCTION("""COMPUTED_VALUE"""),"BAIK")</f>
        <v>BAIK</v>
      </c>
      <c r="V99" s="4" t="str">
        <f>IFERROR(__xludf.DUMMYFUNCTION("""COMPUTED_VALUE"""),"Tidak Ada")</f>
        <v>Tidak Ada</v>
      </c>
      <c r="W99" s="4"/>
      <c r="X99" s="4"/>
      <c r="Y99" s="4"/>
      <c r="Z99" s="4"/>
      <c r="AA99" s="4"/>
      <c r="AB99" s="4"/>
      <c r="AC99" s="4" t="str">
        <f>IFERROR(__xludf.DUMMYFUNCTION("""COMPUTED_VALUE"""),"INSPEKSI SUTM - T2_Images/24c5c452.FOTO.164238.jpg")</f>
        <v>INSPEKSI SUTM - T2_Images/24c5c452.FOTO.164238.jpg</v>
      </c>
      <c r="AD99" s="4"/>
      <c r="AE99" s="4"/>
      <c r="AF99" s="4" t="str">
        <f>IFERROR(__xludf.DUMMYFUNCTION("""COMPUTED_VALUE"""),"BELUM")</f>
        <v>BELUM</v>
      </c>
      <c r="AG99" s="6">
        <f>IFERROR(__xludf.DUMMYFUNCTION("""COMPUTED_VALUE"""),46034.0)</f>
        <v>46034</v>
      </c>
      <c r="AH99" s="4"/>
      <c r="AI99" s="4"/>
    </row>
    <row r="100" ht="15.75" customHeight="1">
      <c r="A100" s="4" t="str">
        <f>IFERROR(__xludf.DUMMYFUNCTION("""COMPUTED_VALUE"""),"1ad212ac")</f>
        <v>1ad212ac</v>
      </c>
      <c r="B100" s="5">
        <f>IFERROR(__xludf.DUMMYFUNCTION("""COMPUTED_VALUE"""),46034.97741898148)</f>
        <v>46034.97742</v>
      </c>
      <c r="C100" s="4" t="str">
        <f>IFERROR(__xludf.DUMMYFUNCTION("""COMPUTED_VALUE"""),"-6.949056, 107.611929")</f>
        <v>-6.949056, 107.611929</v>
      </c>
      <c r="D100" s="4" t="str">
        <f>IFERROR(__xludf.DUMMYFUNCTION("""COMPUTED_VALUE"""),"Nugi fuad")</f>
        <v>Nugi fuad</v>
      </c>
      <c r="E100" s="4" t="str">
        <f>IFERROR(__xludf.DUMMYFUNCTION("""COMPUTED_VALUE"""),"BANDUNG")</f>
        <v>BANDUNG</v>
      </c>
      <c r="F100" s="4" t="str">
        <f>IFERROR(__xludf.DUMMYFUNCTION("""COMPUTED_VALUE"""),"BANDUNG SELATAN")</f>
        <v>BANDUNG SELATAN</v>
      </c>
      <c r="G100" s="4" t="str">
        <f>IFERROR(__xludf.DUMMYFUNCTION("""COMPUTED_VALUE"""),"CIGERELENG")</f>
        <v>CIGERELENG</v>
      </c>
      <c r="H100" s="4" t="str">
        <f>IFERROR(__xludf.DUMMYFUNCTION("""COMPUTED_VALUE"""),"CMU")</f>
        <v>CMU</v>
      </c>
      <c r="I100" s="4" t="str">
        <f>IFERROR(__xludf.DUMMYFUNCTION("""COMPUTED_VALUE"""),"LBS ALM-LBS CKGC")</f>
        <v>LBS ALM-LBS CKGC</v>
      </c>
      <c r="J100" s="4" t="str">
        <f>IFERROR(__xludf.DUMMYFUNCTION("""COMPUTED_VALUE"""),"ZONA 2")</f>
        <v>ZONA 2</v>
      </c>
      <c r="K100" s="4" t="str">
        <f>IFERROR(__xludf.DUMMYFUNCTION("""COMPUTED_VALUE"""),"025")</f>
        <v>025</v>
      </c>
      <c r="L100" s="4" t="str">
        <f>IFERROR(__xludf.DUMMYFUNCTION("""COMPUTED_VALUE"""),"TM - 13B/H (Kabel Naik Pada Tiang Tumpu)")</f>
        <v>TM - 13B/H (Kabel Naik Pada Tiang Tumpu)</v>
      </c>
      <c r="M100" s="4" t="str">
        <f>IFERROR(__xludf.DUMMYFUNCTION("""COMPUTED_VALUE"""),"Tidak Ada")</f>
        <v>Tidak Ada</v>
      </c>
      <c r="N100" s="4"/>
      <c r="O100" s="4" t="str">
        <f>IFERROR(__xludf.DUMMYFUNCTION("""COMPUTED_VALUE"""),"PEMBANDING SEJENIS")</f>
        <v>PEMBANDING SEJENIS</v>
      </c>
      <c r="P100" s="4" t="str">
        <f>IFERROR(__xludf.DUMMYFUNCTION("""COMPUTED_VALUE"""),"TERMINASI")</f>
        <v>TERMINASI</v>
      </c>
      <c r="Q100" s="4">
        <f>IFERROR(__xludf.DUMMYFUNCTION("""COMPUTED_VALUE"""),23.0)</f>
        <v>23</v>
      </c>
      <c r="R100" s="4">
        <f>IFERROR(__xludf.DUMMYFUNCTION("""COMPUTED_VALUE"""),23.0)</f>
        <v>23</v>
      </c>
      <c r="S100" s="4">
        <f>IFERROR(__xludf.DUMMYFUNCTION("""COMPUTED_VALUE"""),23.0)</f>
        <v>23</v>
      </c>
      <c r="T100" s="4"/>
      <c r="U100" s="4" t="str">
        <f>IFERROR(__xludf.DUMMYFUNCTION("""COMPUTED_VALUE"""),"BAIK")</f>
        <v>BAIK</v>
      </c>
      <c r="V100" s="4" t="str">
        <f>IFERROR(__xludf.DUMMYFUNCTION("""COMPUTED_VALUE"""),"Tidak Ada")</f>
        <v>Tidak Ada</v>
      </c>
      <c r="W100" s="4"/>
      <c r="X100" s="4"/>
      <c r="Y100" s="4"/>
      <c r="Z100" s="4"/>
      <c r="AA100" s="4"/>
      <c r="AB100" s="4"/>
      <c r="AC100" s="4" t="str">
        <f>IFERROR(__xludf.DUMMYFUNCTION("""COMPUTED_VALUE"""),"INSPEKSI SUTM - T2_Images/1ad212ac.FOTO.164248.jpg")</f>
        <v>INSPEKSI SUTM - T2_Images/1ad212ac.FOTO.164248.jpg</v>
      </c>
      <c r="AD100" s="4"/>
      <c r="AE100" s="4"/>
      <c r="AF100" s="4" t="str">
        <f>IFERROR(__xludf.DUMMYFUNCTION("""COMPUTED_VALUE"""),"BELUM")</f>
        <v>BELUM</v>
      </c>
      <c r="AG100" s="6">
        <f>IFERROR(__xludf.DUMMYFUNCTION("""COMPUTED_VALUE"""),46034.0)</f>
        <v>46034</v>
      </c>
      <c r="AH100" s="4"/>
      <c r="AI100" s="4"/>
    </row>
    <row r="101" ht="15.75" customHeight="1">
      <c r="A101" s="4" t="str">
        <f>IFERROR(__xludf.DUMMYFUNCTION("""COMPUTED_VALUE"""),"e743114d")</f>
        <v>e743114d</v>
      </c>
      <c r="B101" s="5">
        <f>IFERROR(__xludf.DUMMYFUNCTION("""COMPUTED_VALUE"""),46034.978125)</f>
        <v>46034.97813</v>
      </c>
      <c r="C101" s="4" t="str">
        <f>IFERROR(__xludf.DUMMYFUNCTION("""COMPUTED_VALUE"""),"-6.949056, 107.611929")</f>
        <v>-6.949056, 107.611929</v>
      </c>
      <c r="D101" s="4" t="str">
        <f>IFERROR(__xludf.DUMMYFUNCTION("""COMPUTED_VALUE"""),"Nugi fuad")</f>
        <v>Nugi fuad</v>
      </c>
      <c r="E101" s="4" t="str">
        <f>IFERROR(__xludf.DUMMYFUNCTION("""COMPUTED_VALUE"""),"BANDUNG")</f>
        <v>BANDUNG</v>
      </c>
      <c r="F101" s="4" t="str">
        <f>IFERROR(__xludf.DUMMYFUNCTION("""COMPUTED_VALUE"""),"BANDUNG SELATAN")</f>
        <v>BANDUNG SELATAN</v>
      </c>
      <c r="G101" s="4" t="str">
        <f>IFERROR(__xludf.DUMMYFUNCTION("""COMPUTED_VALUE"""),"CIGERELENG")</f>
        <v>CIGERELENG</v>
      </c>
      <c r="H101" s="4" t="str">
        <f>IFERROR(__xludf.DUMMYFUNCTION("""COMPUTED_VALUE"""),"CMU")</f>
        <v>CMU</v>
      </c>
      <c r="I101" s="4" t="str">
        <f>IFERROR(__xludf.DUMMYFUNCTION("""COMPUTED_VALUE"""),"LBS ALM-LBS CKGC")</f>
        <v>LBS ALM-LBS CKGC</v>
      </c>
      <c r="J101" s="4" t="str">
        <f>IFERROR(__xludf.DUMMYFUNCTION("""COMPUTED_VALUE"""),"ZONA 2")</f>
        <v>ZONA 2</v>
      </c>
      <c r="K101" s="4" t="str">
        <f>IFERROR(__xludf.DUMMYFUNCTION("""COMPUTED_VALUE"""),"027")</f>
        <v>027</v>
      </c>
      <c r="L101" s="4" t="str">
        <f>IFERROR(__xludf.DUMMYFUNCTION("""COMPUTED_VALUE"""),"TM - 8B/H (Percabangan)")</f>
        <v>TM - 8B/H (Percabangan)</v>
      </c>
      <c r="M101" s="4" t="str">
        <f>IFERROR(__xludf.DUMMYFUNCTION("""COMPUTED_VALUE"""),"Tidak Ada")</f>
        <v>Tidak Ada</v>
      </c>
      <c r="N101" s="4"/>
      <c r="O101" s="4" t="str">
        <f>IFERROR(__xludf.DUMMYFUNCTION("""COMPUTED_VALUE"""),"PEMBANDING SEJENIS")</f>
        <v>PEMBANDING SEJENIS</v>
      </c>
      <c r="P101" s="4" t="str">
        <f>IFERROR(__xludf.DUMMYFUNCTION("""COMPUTED_VALUE"""),"KONEKTOR/JUMPER")</f>
        <v>KONEKTOR/JUMPER</v>
      </c>
      <c r="Q101" s="4">
        <f>IFERROR(__xludf.DUMMYFUNCTION("""COMPUTED_VALUE"""),23.0)</f>
        <v>23</v>
      </c>
      <c r="R101" s="4">
        <f>IFERROR(__xludf.DUMMYFUNCTION("""COMPUTED_VALUE"""),23.0)</f>
        <v>23</v>
      </c>
      <c r="S101" s="4">
        <f>IFERROR(__xludf.DUMMYFUNCTION("""COMPUTED_VALUE"""),23.0)</f>
        <v>23</v>
      </c>
      <c r="T101" s="4"/>
      <c r="U101" s="4" t="str">
        <f>IFERROR(__xludf.DUMMYFUNCTION("""COMPUTED_VALUE"""),"BAIK")</f>
        <v>BAIK</v>
      </c>
      <c r="V101" s="4" t="str">
        <f>IFERROR(__xludf.DUMMYFUNCTION("""COMPUTED_VALUE"""),"Tidak Ada")</f>
        <v>Tidak Ada</v>
      </c>
      <c r="W101" s="4"/>
      <c r="X101" s="4"/>
      <c r="Y101" s="4"/>
      <c r="Z101" s="4"/>
      <c r="AA101" s="4"/>
      <c r="AB101" s="4"/>
      <c r="AC101" s="4" t="str">
        <f>IFERROR(__xludf.DUMMYFUNCTION("""COMPUTED_VALUE"""),"INSPEKSI SUTM - T2_Images/e743114d.FOTO.164254.jpg")</f>
        <v>INSPEKSI SUTM - T2_Images/e743114d.FOTO.164254.jpg</v>
      </c>
      <c r="AD101" s="4"/>
      <c r="AE101" s="4"/>
      <c r="AF101" s="4" t="str">
        <f>IFERROR(__xludf.DUMMYFUNCTION("""COMPUTED_VALUE"""),"BELUM")</f>
        <v>BELUM</v>
      </c>
      <c r="AG101" s="6">
        <f>IFERROR(__xludf.DUMMYFUNCTION("""COMPUTED_VALUE"""),46034.0)</f>
        <v>46034</v>
      </c>
      <c r="AH101" s="4"/>
      <c r="AI101" s="4"/>
    </row>
    <row r="102" ht="15.75" customHeight="1">
      <c r="A102" s="4" t="str">
        <f>IFERROR(__xludf.DUMMYFUNCTION("""COMPUTED_VALUE"""),"62ebf24c")</f>
        <v>62ebf24c</v>
      </c>
      <c r="B102" s="5">
        <f>IFERROR(__xludf.DUMMYFUNCTION("""COMPUTED_VALUE"""),46034.97869212963)</f>
        <v>46034.97869</v>
      </c>
      <c r="C102" s="4" t="str">
        <f>IFERROR(__xludf.DUMMYFUNCTION("""COMPUTED_VALUE"""),"-6.949056, 107.611929")</f>
        <v>-6.949056, 107.611929</v>
      </c>
      <c r="D102" s="4" t="str">
        <f>IFERROR(__xludf.DUMMYFUNCTION("""COMPUTED_VALUE"""),"Nugi fuad")</f>
        <v>Nugi fuad</v>
      </c>
      <c r="E102" s="4" t="str">
        <f>IFERROR(__xludf.DUMMYFUNCTION("""COMPUTED_VALUE"""),"BANDUNG")</f>
        <v>BANDUNG</v>
      </c>
      <c r="F102" s="4" t="str">
        <f>IFERROR(__xludf.DUMMYFUNCTION("""COMPUTED_VALUE"""),"BANDUNG SELATAN")</f>
        <v>BANDUNG SELATAN</v>
      </c>
      <c r="G102" s="4" t="str">
        <f>IFERROR(__xludf.DUMMYFUNCTION("""COMPUTED_VALUE"""),"CIGERELENG")</f>
        <v>CIGERELENG</v>
      </c>
      <c r="H102" s="4" t="str">
        <f>IFERROR(__xludf.DUMMYFUNCTION("""COMPUTED_VALUE"""),"CMU")</f>
        <v>CMU</v>
      </c>
      <c r="I102" s="4" t="str">
        <f>IFERROR(__xludf.DUMMYFUNCTION("""COMPUTED_VALUE"""),"LBS ALM-LBS CKGC")</f>
        <v>LBS ALM-LBS CKGC</v>
      </c>
      <c r="J102" s="4" t="str">
        <f>IFERROR(__xludf.DUMMYFUNCTION("""COMPUTED_VALUE"""),"ZONA 2")</f>
        <v>ZONA 2</v>
      </c>
      <c r="K102" s="4" t="str">
        <f>IFERROR(__xludf.DUMMYFUNCTION("""COMPUTED_VALUE"""),"030")</f>
        <v>030</v>
      </c>
      <c r="L102" s="4" t="str">
        <f>IFERROR(__xludf.DUMMYFUNCTION("""COMPUTED_VALUE"""),"TM - 7B/H (Afspan 90 Derajat)")</f>
        <v>TM - 7B/H (Afspan 90 Derajat)</v>
      </c>
      <c r="M102" s="4" t="str">
        <f>IFERROR(__xludf.DUMMYFUNCTION("""COMPUTED_VALUE"""),"Tidak Ada")</f>
        <v>Tidak Ada</v>
      </c>
      <c r="N102" s="4"/>
      <c r="O102" s="4" t="str">
        <f>IFERROR(__xludf.DUMMYFUNCTION("""COMPUTED_VALUE"""),"PEMBANDING SEJENIS")</f>
        <v>PEMBANDING SEJENIS</v>
      </c>
      <c r="P102" s="4" t="str">
        <f>IFERROR(__xludf.DUMMYFUNCTION("""COMPUTED_VALUE"""),"KONEKTOR/JUMPER")</f>
        <v>KONEKTOR/JUMPER</v>
      </c>
      <c r="Q102" s="4">
        <f>IFERROR(__xludf.DUMMYFUNCTION("""COMPUTED_VALUE"""),23.0)</f>
        <v>23</v>
      </c>
      <c r="R102" s="4">
        <f>IFERROR(__xludf.DUMMYFUNCTION("""COMPUTED_VALUE"""),23.0)</f>
        <v>23</v>
      </c>
      <c r="S102" s="4">
        <f>IFERROR(__xludf.DUMMYFUNCTION("""COMPUTED_VALUE"""),22.0)</f>
        <v>22</v>
      </c>
      <c r="T102" s="4"/>
      <c r="U102" s="4" t="str">
        <f>IFERROR(__xludf.DUMMYFUNCTION("""COMPUTED_VALUE"""),"BAIK")</f>
        <v>BAIK</v>
      </c>
      <c r="V102" s="4" t="str">
        <f>IFERROR(__xludf.DUMMYFUNCTION("""COMPUTED_VALUE"""),"Tidak Ada")</f>
        <v>Tidak Ada</v>
      </c>
      <c r="W102" s="4"/>
      <c r="X102" s="4"/>
      <c r="Y102" s="4"/>
      <c r="Z102" s="4"/>
      <c r="AA102" s="4"/>
      <c r="AB102" s="4"/>
      <c r="AC102" s="4" t="str">
        <f>IFERROR(__xludf.DUMMYFUNCTION("""COMPUTED_VALUE"""),"INSPEKSI SUTM - T2_Images/62ebf24c.FOTO.164300.jpg")</f>
        <v>INSPEKSI SUTM - T2_Images/62ebf24c.FOTO.164300.jpg</v>
      </c>
      <c r="AD102" s="4"/>
      <c r="AE102" s="4"/>
      <c r="AF102" s="4" t="str">
        <f>IFERROR(__xludf.DUMMYFUNCTION("""COMPUTED_VALUE"""),"BELUM")</f>
        <v>BELUM</v>
      </c>
      <c r="AG102" s="6">
        <f>IFERROR(__xludf.DUMMYFUNCTION("""COMPUTED_VALUE"""),46034.0)</f>
        <v>46034</v>
      </c>
      <c r="AH102" s="4"/>
      <c r="AI102" s="4"/>
    </row>
    <row r="103" ht="15.75" customHeight="1">
      <c r="A103" s="4" t="str">
        <f>IFERROR(__xludf.DUMMYFUNCTION("""COMPUTED_VALUE"""),"5fd3b3a6")</f>
        <v>5fd3b3a6</v>
      </c>
      <c r="B103" s="5">
        <f>IFERROR(__xludf.DUMMYFUNCTION("""COMPUTED_VALUE"""),46034.98018518519)</f>
        <v>46034.98019</v>
      </c>
      <c r="C103" s="4" t="str">
        <f>IFERROR(__xludf.DUMMYFUNCTION("""COMPUTED_VALUE"""),"-6.949056, 107.611929")</f>
        <v>-6.949056, 107.611929</v>
      </c>
      <c r="D103" s="4" t="str">
        <f>IFERROR(__xludf.DUMMYFUNCTION("""COMPUTED_VALUE"""),"Nugi fuad")</f>
        <v>Nugi fuad</v>
      </c>
      <c r="E103" s="4" t="str">
        <f>IFERROR(__xludf.DUMMYFUNCTION("""COMPUTED_VALUE"""),"BANDUNG")</f>
        <v>BANDUNG</v>
      </c>
      <c r="F103" s="4" t="str">
        <f>IFERROR(__xludf.DUMMYFUNCTION("""COMPUTED_VALUE"""),"BANDUNG SELATAN")</f>
        <v>BANDUNG SELATAN</v>
      </c>
      <c r="G103" s="4" t="str">
        <f>IFERROR(__xludf.DUMMYFUNCTION("""COMPUTED_VALUE"""),"CIGERELENG")</f>
        <v>CIGERELENG</v>
      </c>
      <c r="H103" s="4" t="str">
        <f>IFERROR(__xludf.DUMMYFUNCTION("""COMPUTED_VALUE"""),"CMU")</f>
        <v>CMU</v>
      </c>
      <c r="I103" s="4" t="str">
        <f>IFERROR(__xludf.DUMMYFUNCTION("""COMPUTED_VALUE"""),"LBS ALM-LBS CKGC")</f>
        <v>LBS ALM-LBS CKGC</v>
      </c>
      <c r="J103" s="4" t="str">
        <f>IFERROR(__xludf.DUMMYFUNCTION("""COMPUTED_VALUE"""),"ZONA 2")</f>
        <v>ZONA 2</v>
      </c>
      <c r="K103" s="4" t="str">
        <f>IFERROR(__xludf.DUMMYFUNCTION("""COMPUTED_VALUE"""),"010L03")</f>
        <v>010L03</v>
      </c>
      <c r="L103" s="4" t="str">
        <f>IFERROR(__xludf.DUMMYFUNCTION("""COMPUTED_VALUE"""),"TM - 8B/H (Percabangan)")</f>
        <v>TM - 8B/H (Percabangan)</v>
      </c>
      <c r="M103" s="4" t="str">
        <f>IFERROR(__xludf.DUMMYFUNCTION("""COMPUTED_VALUE"""),"Tidak Ada")</f>
        <v>Tidak Ada</v>
      </c>
      <c r="N103" s="4"/>
      <c r="O103" s="4" t="str">
        <f>IFERROR(__xludf.DUMMYFUNCTION("""COMPUTED_VALUE"""),"PEMBANDING SEJENIS")</f>
        <v>PEMBANDING SEJENIS</v>
      </c>
      <c r="P103" s="4" t="str">
        <f>IFERROR(__xludf.DUMMYFUNCTION("""COMPUTED_VALUE"""),"KONEKTOR/JUMPER")</f>
        <v>KONEKTOR/JUMPER</v>
      </c>
      <c r="Q103" s="4">
        <f>IFERROR(__xludf.DUMMYFUNCTION("""COMPUTED_VALUE"""),22.0)</f>
        <v>22</v>
      </c>
      <c r="R103" s="4">
        <f>IFERROR(__xludf.DUMMYFUNCTION("""COMPUTED_VALUE"""),22.0)</f>
        <v>22</v>
      </c>
      <c r="S103" s="4">
        <f>IFERROR(__xludf.DUMMYFUNCTION("""COMPUTED_VALUE"""),22.0)</f>
        <v>22</v>
      </c>
      <c r="T103" s="4"/>
      <c r="U103" s="4" t="str">
        <f>IFERROR(__xludf.DUMMYFUNCTION("""COMPUTED_VALUE"""),"BAIK")</f>
        <v>BAIK</v>
      </c>
      <c r="V103" s="4" t="str">
        <f>IFERROR(__xludf.DUMMYFUNCTION("""COMPUTED_VALUE"""),"Tidak Ada")</f>
        <v>Tidak Ada</v>
      </c>
      <c r="W103" s="4"/>
      <c r="X103" s="4"/>
      <c r="Y103" s="4"/>
      <c r="Z103" s="4"/>
      <c r="AA103" s="4"/>
      <c r="AB103" s="4"/>
      <c r="AC103" s="4" t="str">
        <f>IFERROR(__xludf.DUMMYFUNCTION("""COMPUTED_VALUE"""),"INSPEKSI SUTM - T2_Images/5fd3b3a6.FOTO.164304.jpg")</f>
        <v>INSPEKSI SUTM - T2_Images/5fd3b3a6.FOTO.164304.jpg</v>
      </c>
      <c r="AD103" s="4"/>
      <c r="AE103" s="4"/>
      <c r="AF103" s="4" t="str">
        <f>IFERROR(__xludf.DUMMYFUNCTION("""COMPUTED_VALUE"""),"BELUM")</f>
        <v>BELUM</v>
      </c>
      <c r="AG103" s="6">
        <f>IFERROR(__xludf.DUMMYFUNCTION("""COMPUTED_VALUE"""),46034.0)</f>
        <v>46034</v>
      </c>
      <c r="AH103" s="4"/>
      <c r="AI103" s="4"/>
    </row>
    <row r="104" ht="15.75" customHeight="1">
      <c r="A104" s="4" t="str">
        <f>IFERROR(__xludf.DUMMYFUNCTION("""COMPUTED_VALUE"""),"835c70fa")</f>
        <v>835c70fa</v>
      </c>
      <c r="B104" s="5">
        <f>IFERROR(__xludf.DUMMYFUNCTION("""COMPUTED_VALUE"""),46034.980729166666)</f>
        <v>46034.98073</v>
      </c>
      <c r="C104" s="4" t="str">
        <f>IFERROR(__xludf.DUMMYFUNCTION("""COMPUTED_VALUE"""),"-6.949056, 107.611929")</f>
        <v>-6.949056, 107.611929</v>
      </c>
      <c r="D104" s="4" t="str">
        <f>IFERROR(__xludf.DUMMYFUNCTION("""COMPUTED_VALUE"""),"Nugi fuad")</f>
        <v>Nugi fuad</v>
      </c>
      <c r="E104" s="4" t="str">
        <f>IFERROR(__xludf.DUMMYFUNCTION("""COMPUTED_VALUE"""),"BANDUNG")</f>
        <v>BANDUNG</v>
      </c>
      <c r="F104" s="4" t="str">
        <f>IFERROR(__xludf.DUMMYFUNCTION("""COMPUTED_VALUE"""),"BANDUNG SELATAN")</f>
        <v>BANDUNG SELATAN</v>
      </c>
      <c r="G104" s="4" t="str">
        <f>IFERROR(__xludf.DUMMYFUNCTION("""COMPUTED_VALUE"""),"CIGERELENG")</f>
        <v>CIGERELENG</v>
      </c>
      <c r="H104" s="4" t="str">
        <f>IFERROR(__xludf.DUMMYFUNCTION("""COMPUTED_VALUE"""),"CMU")</f>
        <v>CMU</v>
      </c>
      <c r="I104" s="4" t="str">
        <f>IFERROR(__xludf.DUMMYFUNCTION("""COMPUTED_VALUE"""),"LBS ALM-LBS CKGC")</f>
        <v>LBS ALM-LBS CKGC</v>
      </c>
      <c r="J104" s="4" t="str">
        <f>IFERROR(__xludf.DUMMYFUNCTION("""COMPUTED_VALUE"""),"ZONA 2")</f>
        <v>ZONA 2</v>
      </c>
      <c r="K104" s="4" t="str">
        <f>IFERROR(__xludf.DUMMYFUNCTION("""COMPUTED_VALUE"""),"010L04")</f>
        <v>010L04</v>
      </c>
      <c r="L104" s="4" t="str">
        <f>IFERROR(__xludf.DUMMYFUNCTION("""COMPUTED_VALUE"""),"TM - 7B/H (Afspan 90 Derajat)")</f>
        <v>TM - 7B/H (Afspan 90 Derajat)</v>
      </c>
      <c r="M104" s="4" t="str">
        <f>IFERROR(__xludf.DUMMYFUNCTION("""COMPUTED_VALUE"""),"Tidak Ada")</f>
        <v>Tidak Ada</v>
      </c>
      <c r="N104" s="4"/>
      <c r="O104" s="4" t="str">
        <f>IFERROR(__xludf.DUMMYFUNCTION("""COMPUTED_VALUE"""),"PEMBANDING SEJENIS")</f>
        <v>PEMBANDING SEJENIS</v>
      </c>
      <c r="P104" s="4" t="str">
        <f>IFERROR(__xludf.DUMMYFUNCTION("""COMPUTED_VALUE"""),"KONEKTOR/JUMPER")</f>
        <v>KONEKTOR/JUMPER</v>
      </c>
      <c r="Q104" s="4">
        <f>IFERROR(__xludf.DUMMYFUNCTION("""COMPUTED_VALUE"""),23.0)</f>
        <v>23</v>
      </c>
      <c r="R104" s="4">
        <f>IFERROR(__xludf.DUMMYFUNCTION("""COMPUTED_VALUE"""),23.0)</f>
        <v>23</v>
      </c>
      <c r="S104" s="4">
        <f>IFERROR(__xludf.DUMMYFUNCTION("""COMPUTED_VALUE"""),23.0)</f>
        <v>23</v>
      </c>
      <c r="T104" s="4"/>
      <c r="U104" s="4" t="str">
        <f>IFERROR(__xludf.DUMMYFUNCTION("""COMPUTED_VALUE"""),"BAIK")</f>
        <v>BAIK</v>
      </c>
      <c r="V104" s="4" t="str">
        <f>IFERROR(__xludf.DUMMYFUNCTION("""COMPUTED_VALUE"""),"Tidak Ada")</f>
        <v>Tidak Ada</v>
      </c>
      <c r="W104" s="4"/>
      <c r="X104" s="4"/>
      <c r="Y104" s="4"/>
      <c r="Z104" s="4"/>
      <c r="AA104" s="4"/>
      <c r="AB104" s="4"/>
      <c r="AC104" s="4" t="str">
        <f>IFERROR(__xludf.DUMMYFUNCTION("""COMPUTED_VALUE"""),"INSPEKSI SUTM - T2_Images/835c70fa.FOTO.164308.jpg")</f>
        <v>INSPEKSI SUTM - T2_Images/835c70fa.FOTO.164308.jpg</v>
      </c>
      <c r="AD104" s="4"/>
      <c r="AE104" s="4"/>
      <c r="AF104" s="4" t="str">
        <f>IFERROR(__xludf.DUMMYFUNCTION("""COMPUTED_VALUE"""),"BELUM")</f>
        <v>BELUM</v>
      </c>
      <c r="AG104" s="6">
        <f>IFERROR(__xludf.DUMMYFUNCTION("""COMPUTED_VALUE"""),46034.0)</f>
        <v>46034</v>
      </c>
      <c r="AH104" s="4"/>
      <c r="AI104" s="4"/>
    </row>
    <row r="105" ht="15.75" customHeight="1">
      <c r="A105" s="4" t="str">
        <f>IFERROR(__xludf.DUMMYFUNCTION("""COMPUTED_VALUE"""),"8d52e997")</f>
        <v>8d52e997</v>
      </c>
      <c r="B105" s="5">
        <f>IFERROR(__xludf.DUMMYFUNCTION("""COMPUTED_VALUE"""),46034.98131944444)</f>
        <v>46034.98132</v>
      </c>
      <c r="C105" s="4" t="str">
        <f>IFERROR(__xludf.DUMMYFUNCTION("""COMPUTED_VALUE"""),"-6.949056, 107.611929")</f>
        <v>-6.949056, 107.611929</v>
      </c>
      <c r="D105" s="4" t="str">
        <f>IFERROR(__xludf.DUMMYFUNCTION("""COMPUTED_VALUE"""),"Nugi fuad")</f>
        <v>Nugi fuad</v>
      </c>
      <c r="E105" s="4" t="str">
        <f>IFERROR(__xludf.DUMMYFUNCTION("""COMPUTED_VALUE"""),"BANDUNG")</f>
        <v>BANDUNG</v>
      </c>
      <c r="F105" s="4" t="str">
        <f>IFERROR(__xludf.DUMMYFUNCTION("""COMPUTED_VALUE"""),"BANDUNG SELATAN")</f>
        <v>BANDUNG SELATAN</v>
      </c>
      <c r="G105" s="4" t="str">
        <f>IFERROR(__xludf.DUMMYFUNCTION("""COMPUTED_VALUE"""),"CIGERELENG")</f>
        <v>CIGERELENG</v>
      </c>
      <c r="H105" s="4" t="str">
        <f>IFERROR(__xludf.DUMMYFUNCTION("""COMPUTED_VALUE"""),"CMU")</f>
        <v>CMU</v>
      </c>
      <c r="I105" s="4" t="str">
        <f>IFERROR(__xludf.DUMMYFUNCTION("""COMPUTED_VALUE"""),"LBS ALM-LBS CKGC")</f>
        <v>LBS ALM-LBS CKGC</v>
      </c>
      <c r="J105" s="4" t="str">
        <f>IFERROR(__xludf.DUMMYFUNCTION("""COMPUTED_VALUE"""),"ZONA 2")</f>
        <v>ZONA 2</v>
      </c>
      <c r="K105" s="4" t="str">
        <f>IFERROR(__xludf.DUMMYFUNCTION("""COMPUTED_VALUE"""),"010L05")</f>
        <v>010L05</v>
      </c>
      <c r="L105" s="4" t="str">
        <f>IFERROR(__xludf.DUMMYFUNCTION("""COMPUTED_VALUE"""),"TM - 7B/H (Afspan 90 Derajat)")</f>
        <v>TM - 7B/H (Afspan 90 Derajat)</v>
      </c>
      <c r="M105" s="4" t="str">
        <f>IFERROR(__xludf.DUMMYFUNCTION("""COMPUTED_VALUE"""),"Tidak Ada")</f>
        <v>Tidak Ada</v>
      </c>
      <c r="N105" s="4"/>
      <c r="O105" s="4" t="str">
        <f>IFERROR(__xludf.DUMMYFUNCTION("""COMPUTED_VALUE"""),"PEMBANDING SEJENIS")</f>
        <v>PEMBANDING SEJENIS</v>
      </c>
      <c r="P105" s="4" t="str">
        <f>IFERROR(__xludf.DUMMYFUNCTION("""COMPUTED_VALUE"""),"KONEKTOR/JUMPER")</f>
        <v>KONEKTOR/JUMPER</v>
      </c>
      <c r="Q105" s="4">
        <f>IFERROR(__xludf.DUMMYFUNCTION("""COMPUTED_VALUE"""),23.0)</f>
        <v>23</v>
      </c>
      <c r="R105" s="4">
        <f>IFERROR(__xludf.DUMMYFUNCTION("""COMPUTED_VALUE"""),23.0)</f>
        <v>23</v>
      </c>
      <c r="S105" s="4">
        <f>IFERROR(__xludf.DUMMYFUNCTION("""COMPUTED_VALUE"""),23.0)</f>
        <v>23</v>
      </c>
      <c r="T105" s="4"/>
      <c r="U105" s="4" t="str">
        <f>IFERROR(__xludf.DUMMYFUNCTION("""COMPUTED_VALUE"""),"BAIK")</f>
        <v>BAIK</v>
      </c>
      <c r="V105" s="4" t="str">
        <f>IFERROR(__xludf.DUMMYFUNCTION("""COMPUTED_VALUE"""),"Tidak Ada")</f>
        <v>Tidak Ada</v>
      </c>
      <c r="W105" s="4"/>
      <c r="X105" s="4"/>
      <c r="Y105" s="4"/>
      <c r="Z105" s="4"/>
      <c r="AA105" s="4"/>
      <c r="AB105" s="4"/>
      <c r="AC105" s="4" t="str">
        <f>IFERROR(__xludf.DUMMYFUNCTION("""COMPUTED_VALUE"""),"INSPEKSI SUTM - T2_Images/8d52e997.FOTO.164311.jpg")</f>
        <v>INSPEKSI SUTM - T2_Images/8d52e997.FOTO.164311.jpg</v>
      </c>
      <c r="AD105" s="4"/>
      <c r="AE105" s="4"/>
      <c r="AF105" s="4" t="str">
        <f>IFERROR(__xludf.DUMMYFUNCTION("""COMPUTED_VALUE"""),"BELUM")</f>
        <v>BELUM</v>
      </c>
      <c r="AG105" s="6">
        <f>IFERROR(__xludf.DUMMYFUNCTION("""COMPUTED_VALUE"""),46034.0)</f>
        <v>46034</v>
      </c>
      <c r="AH105" s="4"/>
      <c r="AI105" s="4"/>
    </row>
    <row r="106" ht="15.75" customHeight="1">
      <c r="A106" s="4" t="str">
        <f>IFERROR(__xludf.DUMMYFUNCTION("""COMPUTED_VALUE"""),"e1907bb1")</f>
        <v>e1907bb1</v>
      </c>
      <c r="B106" s="5">
        <f>IFERROR(__xludf.DUMMYFUNCTION("""COMPUTED_VALUE"""),46034.981875)</f>
        <v>46034.98188</v>
      </c>
      <c r="C106" s="4" t="str">
        <f>IFERROR(__xludf.DUMMYFUNCTION("""COMPUTED_VALUE"""),"-6.949056, 107.611929")</f>
        <v>-6.949056, 107.611929</v>
      </c>
      <c r="D106" s="4" t="str">
        <f>IFERROR(__xludf.DUMMYFUNCTION("""COMPUTED_VALUE"""),"Nugi fuad")</f>
        <v>Nugi fuad</v>
      </c>
      <c r="E106" s="4" t="str">
        <f>IFERROR(__xludf.DUMMYFUNCTION("""COMPUTED_VALUE"""),"BANDUNG")</f>
        <v>BANDUNG</v>
      </c>
      <c r="F106" s="4" t="str">
        <f>IFERROR(__xludf.DUMMYFUNCTION("""COMPUTED_VALUE"""),"BANDUNG SELATAN")</f>
        <v>BANDUNG SELATAN</v>
      </c>
      <c r="G106" s="4" t="str">
        <f>IFERROR(__xludf.DUMMYFUNCTION("""COMPUTED_VALUE"""),"CIGERELENG")</f>
        <v>CIGERELENG</v>
      </c>
      <c r="H106" s="4" t="str">
        <f>IFERROR(__xludf.DUMMYFUNCTION("""COMPUTED_VALUE"""),"CMU")</f>
        <v>CMU</v>
      </c>
      <c r="I106" s="4" t="str">
        <f>IFERROR(__xludf.DUMMYFUNCTION("""COMPUTED_VALUE"""),"LBS ALM-LBS CKGC")</f>
        <v>LBS ALM-LBS CKGC</v>
      </c>
      <c r="J106" s="4" t="str">
        <f>IFERROR(__xludf.DUMMYFUNCTION("""COMPUTED_VALUE"""),"ZONA 2")</f>
        <v>ZONA 2</v>
      </c>
      <c r="K106" s="4" t="str">
        <f>IFERROR(__xludf.DUMMYFUNCTION("""COMPUTED_VALUE"""),"010L06")</f>
        <v>010L06</v>
      </c>
      <c r="L106" s="4" t="str">
        <f>IFERROR(__xludf.DUMMYFUNCTION("""COMPUTED_VALUE"""),"TM - 7B/H (Afspan 90 Derajat)")</f>
        <v>TM - 7B/H (Afspan 90 Derajat)</v>
      </c>
      <c r="M106" s="4" t="str">
        <f>IFERROR(__xludf.DUMMYFUNCTION("""COMPUTED_VALUE"""),"Tidak Ada")</f>
        <v>Tidak Ada</v>
      </c>
      <c r="N106" s="4"/>
      <c r="O106" s="4" t="str">
        <f>IFERROR(__xludf.DUMMYFUNCTION("""COMPUTED_VALUE"""),"PEMBANDING SEJENIS")</f>
        <v>PEMBANDING SEJENIS</v>
      </c>
      <c r="P106" s="4" t="str">
        <f>IFERROR(__xludf.DUMMYFUNCTION("""COMPUTED_VALUE"""),"KONEKTOR/JUMPER")</f>
        <v>KONEKTOR/JUMPER</v>
      </c>
      <c r="Q106" s="4">
        <f>IFERROR(__xludf.DUMMYFUNCTION("""COMPUTED_VALUE"""),23.0)</f>
        <v>23</v>
      </c>
      <c r="R106" s="4">
        <f>IFERROR(__xludf.DUMMYFUNCTION("""COMPUTED_VALUE"""),23.0)</f>
        <v>23</v>
      </c>
      <c r="S106" s="4">
        <f>IFERROR(__xludf.DUMMYFUNCTION("""COMPUTED_VALUE"""),23.0)</f>
        <v>23</v>
      </c>
      <c r="T106" s="4"/>
      <c r="U106" s="4" t="str">
        <f>IFERROR(__xludf.DUMMYFUNCTION("""COMPUTED_VALUE"""),"BAIK")</f>
        <v>BAIK</v>
      </c>
      <c r="V106" s="4" t="str">
        <f>IFERROR(__xludf.DUMMYFUNCTION("""COMPUTED_VALUE"""),"Tidak Ada")</f>
        <v>Tidak Ada</v>
      </c>
      <c r="W106" s="4"/>
      <c r="X106" s="4"/>
      <c r="Y106" s="4"/>
      <c r="Z106" s="4"/>
      <c r="AA106" s="4"/>
      <c r="AB106" s="4"/>
      <c r="AC106" s="4" t="str">
        <f>IFERROR(__xludf.DUMMYFUNCTION("""COMPUTED_VALUE"""),"INSPEKSI SUTM - T2_Images/e1907bb1.FOTO.164316.jpg")</f>
        <v>INSPEKSI SUTM - T2_Images/e1907bb1.FOTO.164316.jpg</v>
      </c>
      <c r="AD106" s="4"/>
      <c r="AE106" s="4"/>
      <c r="AF106" s="4" t="str">
        <f>IFERROR(__xludf.DUMMYFUNCTION("""COMPUTED_VALUE"""),"BELUM")</f>
        <v>BELUM</v>
      </c>
      <c r="AG106" s="6">
        <f>IFERROR(__xludf.DUMMYFUNCTION("""COMPUTED_VALUE"""),46034.0)</f>
        <v>46034</v>
      </c>
      <c r="AH106" s="4"/>
      <c r="AI106" s="4"/>
    </row>
    <row r="107" ht="15.75" customHeight="1">
      <c r="A107" s="4" t="str">
        <f>IFERROR(__xludf.DUMMYFUNCTION("""COMPUTED_VALUE"""),"8f87e4c5")</f>
        <v>8f87e4c5</v>
      </c>
      <c r="B107" s="5">
        <f>IFERROR(__xludf.DUMMYFUNCTION("""COMPUTED_VALUE"""),46034.98237268518)</f>
        <v>46034.98237</v>
      </c>
      <c r="C107" s="4" t="str">
        <f>IFERROR(__xludf.DUMMYFUNCTION("""COMPUTED_VALUE"""),"-6.949056, 107.611929")</f>
        <v>-6.949056, 107.611929</v>
      </c>
      <c r="D107" s="4" t="str">
        <f>IFERROR(__xludf.DUMMYFUNCTION("""COMPUTED_VALUE"""),"Nugi fuad")</f>
        <v>Nugi fuad</v>
      </c>
      <c r="E107" s="4" t="str">
        <f>IFERROR(__xludf.DUMMYFUNCTION("""COMPUTED_VALUE"""),"BANDUNG")</f>
        <v>BANDUNG</v>
      </c>
      <c r="F107" s="4" t="str">
        <f>IFERROR(__xludf.DUMMYFUNCTION("""COMPUTED_VALUE"""),"BANDUNG SELATAN")</f>
        <v>BANDUNG SELATAN</v>
      </c>
      <c r="G107" s="4" t="str">
        <f>IFERROR(__xludf.DUMMYFUNCTION("""COMPUTED_VALUE"""),"CIGERELENG")</f>
        <v>CIGERELENG</v>
      </c>
      <c r="H107" s="4" t="str">
        <f>IFERROR(__xludf.DUMMYFUNCTION("""COMPUTED_VALUE"""),"CMU")</f>
        <v>CMU</v>
      </c>
      <c r="I107" s="4" t="str">
        <f>IFERROR(__xludf.DUMMYFUNCTION("""COMPUTED_VALUE"""),"LBS ALM-LBS CKGC")</f>
        <v>LBS ALM-LBS CKGC</v>
      </c>
      <c r="J107" s="4" t="str">
        <f>IFERROR(__xludf.DUMMYFUNCTION("""COMPUTED_VALUE"""),"ZONA 2")</f>
        <v>ZONA 2</v>
      </c>
      <c r="K107" s="4" t="str">
        <f>IFERROR(__xludf.DUMMYFUNCTION("""COMPUTED_VALUE"""),"010L07")</f>
        <v>010L07</v>
      </c>
      <c r="L107" s="4" t="str">
        <f>IFERROR(__xludf.DUMMYFUNCTION("""COMPUTED_VALUE"""),"TM - 7B/H (Afspan 90 Derajat)")</f>
        <v>TM - 7B/H (Afspan 90 Derajat)</v>
      </c>
      <c r="M107" s="4" t="str">
        <f>IFERROR(__xludf.DUMMYFUNCTION("""COMPUTED_VALUE"""),"Tidak Ada")</f>
        <v>Tidak Ada</v>
      </c>
      <c r="N107" s="4"/>
      <c r="O107" s="4" t="str">
        <f>IFERROR(__xludf.DUMMYFUNCTION("""COMPUTED_VALUE"""),"PEMBANDING SEJENIS")</f>
        <v>PEMBANDING SEJENIS</v>
      </c>
      <c r="P107" s="4" t="str">
        <f>IFERROR(__xludf.DUMMYFUNCTION("""COMPUTED_VALUE"""),"KONEKTOR/JUMPER")</f>
        <v>KONEKTOR/JUMPER</v>
      </c>
      <c r="Q107" s="4">
        <f>IFERROR(__xludf.DUMMYFUNCTION("""COMPUTED_VALUE"""),23.0)</f>
        <v>23</v>
      </c>
      <c r="R107" s="4">
        <f>IFERROR(__xludf.DUMMYFUNCTION("""COMPUTED_VALUE"""),23.0)</f>
        <v>23</v>
      </c>
      <c r="S107" s="4">
        <f>IFERROR(__xludf.DUMMYFUNCTION("""COMPUTED_VALUE"""),23.0)</f>
        <v>23</v>
      </c>
      <c r="T107" s="4"/>
      <c r="U107" s="4" t="str">
        <f>IFERROR(__xludf.DUMMYFUNCTION("""COMPUTED_VALUE"""),"BAIK")</f>
        <v>BAIK</v>
      </c>
      <c r="V107" s="4" t="str">
        <f>IFERROR(__xludf.DUMMYFUNCTION("""COMPUTED_VALUE"""),"Tidak Ada")</f>
        <v>Tidak Ada</v>
      </c>
      <c r="W107" s="4"/>
      <c r="X107" s="4"/>
      <c r="Y107" s="4"/>
      <c r="Z107" s="4"/>
      <c r="AA107" s="4"/>
      <c r="AB107" s="4"/>
      <c r="AC107" s="4" t="str">
        <f>IFERROR(__xludf.DUMMYFUNCTION("""COMPUTED_VALUE"""),"INSPEKSI SUTM - T2_Images/8f87e4c5.FOTO.164322.jpg")</f>
        <v>INSPEKSI SUTM - T2_Images/8f87e4c5.FOTO.164322.jpg</v>
      </c>
      <c r="AD107" s="4"/>
      <c r="AE107" s="4"/>
      <c r="AF107" s="4" t="str">
        <f>IFERROR(__xludf.DUMMYFUNCTION("""COMPUTED_VALUE"""),"BELUM")</f>
        <v>BELUM</v>
      </c>
      <c r="AG107" s="6">
        <f>IFERROR(__xludf.DUMMYFUNCTION("""COMPUTED_VALUE"""),46034.0)</f>
        <v>46034</v>
      </c>
      <c r="AH107" s="4"/>
      <c r="AI107" s="4"/>
    </row>
    <row r="108" ht="15.75" customHeight="1">
      <c r="A108" s="4" t="str">
        <f>IFERROR(__xludf.DUMMYFUNCTION("""COMPUTED_VALUE"""),"f683c506")</f>
        <v>f683c506</v>
      </c>
      <c r="B108" s="5">
        <f>IFERROR(__xludf.DUMMYFUNCTION("""COMPUTED_VALUE"""),46034.982824074075)</f>
        <v>46034.98282</v>
      </c>
      <c r="C108" s="4" t="str">
        <f>IFERROR(__xludf.DUMMYFUNCTION("""COMPUTED_VALUE"""),"-6.949056, 107.611929")</f>
        <v>-6.949056, 107.611929</v>
      </c>
      <c r="D108" s="4" t="str">
        <f>IFERROR(__xludf.DUMMYFUNCTION("""COMPUTED_VALUE"""),"Nugi fuad")</f>
        <v>Nugi fuad</v>
      </c>
      <c r="E108" s="4" t="str">
        <f>IFERROR(__xludf.DUMMYFUNCTION("""COMPUTED_VALUE"""),"BANDUNG")</f>
        <v>BANDUNG</v>
      </c>
      <c r="F108" s="4" t="str">
        <f>IFERROR(__xludf.DUMMYFUNCTION("""COMPUTED_VALUE"""),"BANDUNG SELATAN")</f>
        <v>BANDUNG SELATAN</v>
      </c>
      <c r="G108" s="4" t="str">
        <f>IFERROR(__xludf.DUMMYFUNCTION("""COMPUTED_VALUE"""),"CIGERELENG")</f>
        <v>CIGERELENG</v>
      </c>
      <c r="H108" s="4" t="str">
        <f>IFERROR(__xludf.DUMMYFUNCTION("""COMPUTED_VALUE"""),"CMU")</f>
        <v>CMU</v>
      </c>
      <c r="I108" s="4" t="str">
        <f>IFERROR(__xludf.DUMMYFUNCTION("""COMPUTED_VALUE"""),"LBS ALM-LBS CKGC")</f>
        <v>LBS ALM-LBS CKGC</v>
      </c>
      <c r="J108" s="4" t="str">
        <f>IFERROR(__xludf.DUMMYFUNCTION("""COMPUTED_VALUE"""),"ZONA 2")</f>
        <v>ZONA 2</v>
      </c>
      <c r="K108" s="4" t="str">
        <f>IFERROR(__xludf.DUMMYFUNCTION("""COMPUTED_VALUE"""),"010L10")</f>
        <v>010L10</v>
      </c>
      <c r="L108" s="4" t="str">
        <f>IFERROR(__xludf.DUMMYFUNCTION("""COMPUTED_VALUE"""),"TM - 8B/H (Percabangan)")</f>
        <v>TM - 8B/H (Percabangan)</v>
      </c>
      <c r="M108" s="4" t="str">
        <f>IFERROR(__xludf.DUMMYFUNCTION("""COMPUTED_VALUE"""),"Tidak Ada")</f>
        <v>Tidak Ada</v>
      </c>
      <c r="N108" s="4"/>
      <c r="O108" s="4" t="str">
        <f>IFERROR(__xludf.DUMMYFUNCTION("""COMPUTED_VALUE"""),"PEMBANDING SEJENIS")</f>
        <v>PEMBANDING SEJENIS</v>
      </c>
      <c r="P108" s="4" t="str">
        <f>IFERROR(__xludf.DUMMYFUNCTION("""COMPUTED_VALUE"""),"KONEKTOR/JUMPER")</f>
        <v>KONEKTOR/JUMPER</v>
      </c>
      <c r="Q108" s="4">
        <f>IFERROR(__xludf.DUMMYFUNCTION("""COMPUTED_VALUE"""),21.0)</f>
        <v>21</v>
      </c>
      <c r="R108" s="4">
        <f>IFERROR(__xludf.DUMMYFUNCTION("""COMPUTED_VALUE"""),22.0)</f>
        <v>22</v>
      </c>
      <c r="S108" s="4">
        <f>IFERROR(__xludf.DUMMYFUNCTION("""COMPUTED_VALUE"""),22.0)</f>
        <v>22</v>
      </c>
      <c r="T108" s="4"/>
      <c r="U108" s="4" t="str">
        <f>IFERROR(__xludf.DUMMYFUNCTION("""COMPUTED_VALUE"""),"BAIK")</f>
        <v>BAIK</v>
      </c>
      <c r="V108" s="4" t="str">
        <f>IFERROR(__xludf.DUMMYFUNCTION("""COMPUTED_VALUE"""),"Tidak Ada")</f>
        <v>Tidak Ada</v>
      </c>
      <c r="W108" s="4"/>
      <c r="X108" s="4"/>
      <c r="Y108" s="4"/>
      <c r="Z108" s="4"/>
      <c r="AA108" s="4"/>
      <c r="AB108" s="4"/>
      <c r="AC108" s="4" t="str">
        <f>IFERROR(__xludf.DUMMYFUNCTION("""COMPUTED_VALUE"""),"INSPEKSI SUTM - T2_Images/f683c506.FOTO.164326.jpg")</f>
        <v>INSPEKSI SUTM - T2_Images/f683c506.FOTO.164326.jpg</v>
      </c>
      <c r="AD108" s="4"/>
      <c r="AE108" s="4"/>
      <c r="AF108" s="4" t="str">
        <f>IFERROR(__xludf.DUMMYFUNCTION("""COMPUTED_VALUE"""),"BELUM")</f>
        <v>BELUM</v>
      </c>
      <c r="AG108" s="6">
        <f>IFERROR(__xludf.DUMMYFUNCTION("""COMPUTED_VALUE"""),46034.0)</f>
        <v>46034</v>
      </c>
      <c r="AH108" s="4"/>
      <c r="AI108" s="4"/>
    </row>
    <row r="109" ht="15.75" customHeight="1">
      <c r="A109" s="4" t="str">
        <f>IFERROR(__xludf.DUMMYFUNCTION("""COMPUTED_VALUE"""),"a126665a")</f>
        <v>a126665a</v>
      </c>
      <c r="B109" s="5">
        <f>IFERROR(__xludf.DUMMYFUNCTION("""COMPUTED_VALUE"""),46034.984988425924)</f>
        <v>46034.98499</v>
      </c>
      <c r="C109" s="4" t="str">
        <f>IFERROR(__xludf.DUMMYFUNCTION("""COMPUTED_VALUE"""),"-6.949056, 107.611929")</f>
        <v>-6.949056, 107.611929</v>
      </c>
      <c r="D109" s="4" t="str">
        <f>IFERROR(__xludf.DUMMYFUNCTION("""COMPUTED_VALUE"""),"Nugi fuad")</f>
        <v>Nugi fuad</v>
      </c>
      <c r="E109" s="4" t="str">
        <f>IFERROR(__xludf.DUMMYFUNCTION("""COMPUTED_VALUE"""),"BANDUNG")</f>
        <v>BANDUNG</v>
      </c>
      <c r="F109" s="4" t="str">
        <f>IFERROR(__xludf.DUMMYFUNCTION("""COMPUTED_VALUE"""),"BANDUNG SELATAN")</f>
        <v>BANDUNG SELATAN</v>
      </c>
      <c r="G109" s="4" t="str">
        <f>IFERROR(__xludf.DUMMYFUNCTION("""COMPUTED_VALUE"""),"CIGERELENG")</f>
        <v>CIGERELENG</v>
      </c>
      <c r="H109" s="4" t="str">
        <f>IFERROR(__xludf.DUMMYFUNCTION("""COMPUTED_VALUE"""),"CMU")</f>
        <v>CMU</v>
      </c>
      <c r="I109" s="4" t="str">
        <f>IFERROR(__xludf.DUMMYFUNCTION("""COMPUTED_VALUE"""),"LBS ALM-LBS CKGC")</f>
        <v>LBS ALM-LBS CKGC</v>
      </c>
      <c r="J109" s="4" t="str">
        <f>IFERROR(__xludf.DUMMYFUNCTION("""COMPUTED_VALUE"""),"ZONA 2")</f>
        <v>ZONA 2</v>
      </c>
      <c r="K109" s="4" t="str">
        <f>IFERROR(__xludf.DUMMYFUNCTION("""COMPUTED_VALUE"""),"010L12")</f>
        <v>010L12</v>
      </c>
      <c r="L109" s="4" t="str">
        <f>IFERROR(__xludf.DUMMYFUNCTION("""COMPUTED_VALUE"""),"TM - 4B/H (Afspan)")</f>
        <v>TM - 4B/H (Afspan)</v>
      </c>
      <c r="M109" s="4" t="str">
        <f>IFERROR(__xludf.DUMMYFUNCTION("""COMPUTED_VALUE"""),"Tidak Ada")</f>
        <v>Tidak Ada</v>
      </c>
      <c r="N109" s="4"/>
      <c r="O109" s="4" t="str">
        <f>IFERROR(__xludf.DUMMYFUNCTION("""COMPUTED_VALUE"""),"PEMBANDING SEJENIS")</f>
        <v>PEMBANDING SEJENIS</v>
      </c>
      <c r="P109" s="4" t="str">
        <f>IFERROR(__xludf.DUMMYFUNCTION("""COMPUTED_VALUE"""),"KONEKTOR/JUMPER")</f>
        <v>KONEKTOR/JUMPER</v>
      </c>
      <c r="Q109" s="4">
        <f>IFERROR(__xludf.DUMMYFUNCTION("""COMPUTED_VALUE"""),23.0)</f>
        <v>23</v>
      </c>
      <c r="R109" s="4">
        <f>IFERROR(__xludf.DUMMYFUNCTION("""COMPUTED_VALUE"""),23.0)</f>
        <v>23</v>
      </c>
      <c r="S109" s="4">
        <f>IFERROR(__xludf.DUMMYFUNCTION("""COMPUTED_VALUE"""),23.0)</f>
        <v>23</v>
      </c>
      <c r="T109" s="4"/>
      <c r="U109" s="4" t="str">
        <f>IFERROR(__xludf.DUMMYFUNCTION("""COMPUTED_VALUE"""),"BAIK")</f>
        <v>BAIK</v>
      </c>
      <c r="V109" s="4" t="str">
        <f>IFERROR(__xludf.DUMMYFUNCTION("""COMPUTED_VALUE"""),"Tidak Ada")</f>
        <v>Tidak Ada</v>
      </c>
      <c r="W109" s="4"/>
      <c r="X109" s="4"/>
      <c r="Y109" s="4"/>
      <c r="Z109" s="4"/>
      <c r="AA109" s="4"/>
      <c r="AB109" s="4"/>
      <c r="AC109" s="4" t="str">
        <f>IFERROR(__xludf.DUMMYFUNCTION("""COMPUTED_VALUE"""),"INSPEKSI SUTM - T2_Images/a126665a.FOTO.164332.jpg")</f>
        <v>INSPEKSI SUTM - T2_Images/a126665a.FOTO.164332.jpg</v>
      </c>
      <c r="AD109" s="4"/>
      <c r="AE109" s="4"/>
      <c r="AF109" s="4" t="str">
        <f>IFERROR(__xludf.DUMMYFUNCTION("""COMPUTED_VALUE"""),"BELUM")</f>
        <v>BELUM</v>
      </c>
      <c r="AG109" s="6">
        <f>IFERROR(__xludf.DUMMYFUNCTION("""COMPUTED_VALUE"""),46034.0)</f>
        <v>46034</v>
      </c>
      <c r="AH109" s="4"/>
      <c r="AI109" s="4"/>
    </row>
    <row r="110" ht="15.75" customHeight="1">
      <c r="A110" s="4" t="str">
        <f>IFERROR(__xludf.DUMMYFUNCTION("""COMPUTED_VALUE"""),"b2a093d8")</f>
        <v>b2a093d8</v>
      </c>
      <c r="B110" s="5">
        <f>IFERROR(__xludf.DUMMYFUNCTION("""COMPUTED_VALUE"""),46034.98542824074)</f>
        <v>46034.98543</v>
      </c>
      <c r="C110" s="4" t="str">
        <f>IFERROR(__xludf.DUMMYFUNCTION("""COMPUTED_VALUE"""),"-6.949056, 107.611929")</f>
        <v>-6.949056, 107.611929</v>
      </c>
      <c r="D110" s="4" t="str">
        <f>IFERROR(__xludf.DUMMYFUNCTION("""COMPUTED_VALUE"""),"Nugi fuad")</f>
        <v>Nugi fuad</v>
      </c>
      <c r="E110" s="4" t="str">
        <f>IFERROR(__xludf.DUMMYFUNCTION("""COMPUTED_VALUE"""),"BANDUNG")</f>
        <v>BANDUNG</v>
      </c>
      <c r="F110" s="4" t="str">
        <f>IFERROR(__xludf.DUMMYFUNCTION("""COMPUTED_VALUE"""),"BANDUNG SELATAN")</f>
        <v>BANDUNG SELATAN</v>
      </c>
      <c r="G110" s="4" t="str">
        <f>IFERROR(__xludf.DUMMYFUNCTION("""COMPUTED_VALUE"""),"CIGERELENG")</f>
        <v>CIGERELENG</v>
      </c>
      <c r="H110" s="4" t="str">
        <f>IFERROR(__xludf.DUMMYFUNCTION("""COMPUTED_VALUE"""),"CMU")</f>
        <v>CMU</v>
      </c>
      <c r="I110" s="4" t="str">
        <f>IFERROR(__xludf.DUMMYFUNCTION("""COMPUTED_VALUE"""),"LBS ALM-LBS CKGC")</f>
        <v>LBS ALM-LBS CKGC</v>
      </c>
      <c r="J110" s="4" t="str">
        <f>IFERROR(__xludf.DUMMYFUNCTION("""COMPUTED_VALUE"""),"ZONA 2")</f>
        <v>ZONA 2</v>
      </c>
      <c r="K110" s="4" t="str">
        <f>IFERROR(__xludf.DUMMYFUNCTION("""COMPUTED_VALUE"""),"010L13")</f>
        <v>010L13</v>
      </c>
      <c r="L110" s="4" t="str">
        <f>IFERROR(__xludf.DUMMYFUNCTION("""COMPUTED_VALUE"""),"TM - 7B/H (Afspan 90 Derajat)")</f>
        <v>TM - 7B/H (Afspan 90 Derajat)</v>
      </c>
      <c r="M110" s="4" t="str">
        <f>IFERROR(__xludf.DUMMYFUNCTION("""COMPUTED_VALUE"""),"Tidak Ada")</f>
        <v>Tidak Ada</v>
      </c>
      <c r="N110" s="4"/>
      <c r="O110" s="4" t="str">
        <f>IFERROR(__xludf.DUMMYFUNCTION("""COMPUTED_VALUE"""),"PEMBANDING SEJENIS")</f>
        <v>PEMBANDING SEJENIS</v>
      </c>
      <c r="P110" s="4" t="str">
        <f>IFERROR(__xludf.DUMMYFUNCTION("""COMPUTED_VALUE"""),"KONEKTOR/JUMPER")</f>
        <v>KONEKTOR/JUMPER</v>
      </c>
      <c r="Q110" s="4">
        <f>IFERROR(__xludf.DUMMYFUNCTION("""COMPUTED_VALUE"""),23.0)</f>
        <v>23</v>
      </c>
      <c r="R110" s="4">
        <f>IFERROR(__xludf.DUMMYFUNCTION("""COMPUTED_VALUE"""),23.0)</f>
        <v>23</v>
      </c>
      <c r="S110" s="4">
        <f>IFERROR(__xludf.DUMMYFUNCTION("""COMPUTED_VALUE"""),23.0)</f>
        <v>23</v>
      </c>
      <c r="T110" s="4"/>
      <c r="U110" s="4" t="str">
        <f>IFERROR(__xludf.DUMMYFUNCTION("""COMPUTED_VALUE"""),"BAIK")</f>
        <v>BAIK</v>
      </c>
      <c r="V110" s="4" t="str">
        <f>IFERROR(__xludf.DUMMYFUNCTION("""COMPUTED_VALUE"""),"Tidak Ada")</f>
        <v>Tidak Ada</v>
      </c>
      <c r="W110" s="4"/>
      <c r="X110" s="4"/>
      <c r="Y110" s="4"/>
      <c r="Z110" s="4"/>
      <c r="AA110" s="4"/>
      <c r="AB110" s="4"/>
      <c r="AC110" s="4" t="str">
        <f>IFERROR(__xludf.DUMMYFUNCTION("""COMPUTED_VALUE"""),"INSPEKSI SUTM - T2_Images/b2a093d8.FOTO.164336.jpg")</f>
        <v>INSPEKSI SUTM - T2_Images/b2a093d8.FOTO.164336.jpg</v>
      </c>
      <c r="AD110" s="4"/>
      <c r="AE110" s="4"/>
      <c r="AF110" s="4" t="str">
        <f>IFERROR(__xludf.DUMMYFUNCTION("""COMPUTED_VALUE"""),"BELUM")</f>
        <v>BELUM</v>
      </c>
      <c r="AG110" s="6">
        <f>IFERROR(__xludf.DUMMYFUNCTION("""COMPUTED_VALUE"""),46034.0)</f>
        <v>46034</v>
      </c>
      <c r="AH110" s="4"/>
      <c r="AI110" s="4"/>
    </row>
    <row r="111" ht="15.75" customHeight="1">
      <c r="A111" s="4" t="str">
        <f>IFERROR(__xludf.DUMMYFUNCTION("""COMPUTED_VALUE"""),"2f011549")</f>
        <v>2f011549</v>
      </c>
      <c r="B111" s="5">
        <f>IFERROR(__xludf.DUMMYFUNCTION("""COMPUTED_VALUE"""),46034.98590277778)</f>
        <v>46034.9859</v>
      </c>
      <c r="C111" s="4" t="str">
        <f>IFERROR(__xludf.DUMMYFUNCTION("""COMPUTED_VALUE"""),"-6.949056, 107.611929")</f>
        <v>-6.949056, 107.611929</v>
      </c>
      <c r="D111" s="4" t="str">
        <f>IFERROR(__xludf.DUMMYFUNCTION("""COMPUTED_VALUE"""),"Nugi fuad")</f>
        <v>Nugi fuad</v>
      </c>
      <c r="E111" s="4" t="str">
        <f>IFERROR(__xludf.DUMMYFUNCTION("""COMPUTED_VALUE"""),"BANDUNG")</f>
        <v>BANDUNG</v>
      </c>
      <c r="F111" s="4" t="str">
        <f>IFERROR(__xludf.DUMMYFUNCTION("""COMPUTED_VALUE"""),"BANDUNG SELATAN")</f>
        <v>BANDUNG SELATAN</v>
      </c>
      <c r="G111" s="4" t="str">
        <f>IFERROR(__xludf.DUMMYFUNCTION("""COMPUTED_VALUE"""),"CIGERELENG")</f>
        <v>CIGERELENG</v>
      </c>
      <c r="H111" s="4" t="str">
        <f>IFERROR(__xludf.DUMMYFUNCTION("""COMPUTED_VALUE"""),"CMU")</f>
        <v>CMU</v>
      </c>
      <c r="I111" s="4" t="str">
        <f>IFERROR(__xludf.DUMMYFUNCTION("""COMPUTED_VALUE"""),"LBS ALM-LBS CKGC")</f>
        <v>LBS ALM-LBS CKGC</v>
      </c>
      <c r="J111" s="4" t="str">
        <f>IFERROR(__xludf.DUMMYFUNCTION("""COMPUTED_VALUE"""),"ZONA 2")</f>
        <v>ZONA 2</v>
      </c>
      <c r="K111" s="4" t="str">
        <f>IFERROR(__xludf.DUMMYFUNCTION("""COMPUTED_VALUE"""),"010L15")</f>
        <v>010L15</v>
      </c>
      <c r="L111" s="4" t="str">
        <f>IFERROR(__xludf.DUMMYFUNCTION("""COMPUTED_VALUE"""),"TM - 7B/H (Afspan 90 Derajat)")</f>
        <v>TM - 7B/H (Afspan 90 Derajat)</v>
      </c>
      <c r="M111" s="4" t="str">
        <f>IFERROR(__xludf.DUMMYFUNCTION("""COMPUTED_VALUE"""),"Tidak Ada")</f>
        <v>Tidak Ada</v>
      </c>
      <c r="N111" s="4"/>
      <c r="O111" s="4" t="str">
        <f>IFERROR(__xludf.DUMMYFUNCTION("""COMPUTED_VALUE"""),"PEMBANDING SEJENIS")</f>
        <v>PEMBANDING SEJENIS</v>
      </c>
      <c r="P111" s="4" t="str">
        <f>IFERROR(__xludf.DUMMYFUNCTION("""COMPUTED_VALUE"""),"KONEKTOR/JUMPER")</f>
        <v>KONEKTOR/JUMPER</v>
      </c>
      <c r="Q111" s="4">
        <f>IFERROR(__xludf.DUMMYFUNCTION("""COMPUTED_VALUE"""),24.0)</f>
        <v>24</v>
      </c>
      <c r="R111" s="4">
        <f>IFERROR(__xludf.DUMMYFUNCTION("""COMPUTED_VALUE"""),23.0)</f>
        <v>23</v>
      </c>
      <c r="S111" s="4">
        <f>IFERROR(__xludf.DUMMYFUNCTION("""COMPUTED_VALUE"""),23.0)</f>
        <v>23</v>
      </c>
      <c r="T111" s="4"/>
      <c r="U111" s="4" t="str">
        <f>IFERROR(__xludf.DUMMYFUNCTION("""COMPUTED_VALUE"""),"BAIK")</f>
        <v>BAIK</v>
      </c>
      <c r="V111" s="4" t="str">
        <f>IFERROR(__xludf.DUMMYFUNCTION("""COMPUTED_VALUE"""),"Tidak Ada")</f>
        <v>Tidak Ada</v>
      </c>
      <c r="W111" s="4"/>
      <c r="X111" s="4"/>
      <c r="Y111" s="4"/>
      <c r="Z111" s="4"/>
      <c r="AA111" s="4"/>
      <c r="AB111" s="4"/>
      <c r="AC111" s="4" t="str">
        <f>IFERROR(__xludf.DUMMYFUNCTION("""COMPUTED_VALUE"""),"INSPEKSI SUTM - T2_Images/2f011549.FOTO.164341.jpg")</f>
        <v>INSPEKSI SUTM - T2_Images/2f011549.FOTO.164341.jpg</v>
      </c>
      <c r="AD111" s="4"/>
      <c r="AE111" s="4"/>
      <c r="AF111" s="4" t="str">
        <f>IFERROR(__xludf.DUMMYFUNCTION("""COMPUTED_VALUE"""),"BELUM")</f>
        <v>BELUM</v>
      </c>
      <c r="AG111" s="6">
        <f>IFERROR(__xludf.DUMMYFUNCTION("""COMPUTED_VALUE"""),46034.0)</f>
        <v>46034</v>
      </c>
      <c r="AH111" s="4"/>
      <c r="AI111" s="4"/>
    </row>
    <row r="112" ht="15.75" customHeight="1">
      <c r="A112" s="4" t="str">
        <f>IFERROR(__xludf.DUMMYFUNCTION("""COMPUTED_VALUE"""),"73bb63c3")</f>
        <v>73bb63c3</v>
      </c>
      <c r="B112" s="5">
        <f>IFERROR(__xludf.DUMMYFUNCTION("""COMPUTED_VALUE"""),46042.80116898148)</f>
        <v>46042.80117</v>
      </c>
      <c r="C112" s="4" t="str">
        <f>IFERROR(__xludf.DUMMYFUNCTION("""COMPUTED_VALUE"""),"-6.950106, 107.571914")</f>
        <v>-6.950106, 107.571914</v>
      </c>
      <c r="D112" s="4" t="str">
        <f>IFERROR(__xludf.DUMMYFUNCTION("""COMPUTED_VALUE"""),"fuad nugi")</f>
        <v>fuad nugi</v>
      </c>
      <c r="E112" s="4" t="str">
        <f>IFERROR(__xludf.DUMMYFUNCTION("""COMPUTED_VALUE"""),"BANDUNG")</f>
        <v>BANDUNG</v>
      </c>
      <c r="F112" s="4" t="str">
        <f>IFERROR(__xludf.DUMMYFUNCTION("""COMPUTED_VALUE"""),"KOPO")</f>
        <v>KOPO</v>
      </c>
      <c r="G112" s="4" t="str">
        <f>IFERROR(__xludf.DUMMYFUNCTION("""COMPUTED_VALUE"""),"NEW CIBEUREUM")</f>
        <v>NEW CIBEUREUM</v>
      </c>
      <c r="H112" s="4" t="str">
        <f>IFERROR(__xludf.DUMMYFUNCTION("""COMPUTED_VALUE"""),"WTHO")</f>
        <v>WTHO</v>
      </c>
      <c r="I112" s="4" t="str">
        <f>IFERROR(__xludf.DUMMYFUNCTION("""COMPUTED_VALUE"""),"LBS TKN - UJUNG")</f>
        <v>LBS TKN - UJUNG</v>
      </c>
      <c r="J112" s="4" t="str">
        <f>IFERROR(__xludf.DUMMYFUNCTION("""COMPUTED_VALUE"""),"ZONA 2")</f>
        <v>ZONA 2</v>
      </c>
      <c r="K112" s="4" t="str">
        <f>IFERROR(__xludf.DUMMYFUNCTION("""COMPUTED_VALUE"""),"023")</f>
        <v>023</v>
      </c>
      <c r="L112" s="4" t="str">
        <f>IFERROR(__xludf.DUMMYFUNCTION("""COMPUTED_VALUE"""),"TM - 16B/H (REC/SSO/LBS)")</f>
        <v>TM - 16B/H (REC/SSO/LBS)</v>
      </c>
      <c r="M112" s="4" t="str">
        <f>IFERROR(__xludf.DUMMYFUNCTION("""COMPUTED_VALUE"""),"LBS")</f>
        <v>LBS</v>
      </c>
      <c r="N112" s="4" t="str">
        <f>IFERROR(__xludf.DUMMYFUNCTION("""COMPUTED_VALUE"""),"tkn")</f>
        <v>tkn</v>
      </c>
      <c r="O112" s="4" t="str">
        <f>IFERROR(__xludf.DUMMYFUNCTION("""COMPUTED_VALUE"""),"PEMBANDING SEJENIS")</f>
        <v>PEMBANDING SEJENIS</v>
      </c>
      <c r="P112" s="4" t="str">
        <f>IFERROR(__xludf.DUMMYFUNCTION("""COMPUTED_VALUE"""),"TERMINASI")</f>
        <v>TERMINASI</v>
      </c>
      <c r="Q112" s="4">
        <f>IFERROR(__xludf.DUMMYFUNCTION("""COMPUTED_VALUE"""),22.0)</f>
        <v>22</v>
      </c>
      <c r="R112" s="4">
        <f>IFERROR(__xludf.DUMMYFUNCTION("""COMPUTED_VALUE"""),22.0)</f>
        <v>22</v>
      </c>
      <c r="S112" s="4">
        <f>IFERROR(__xludf.DUMMYFUNCTION("""COMPUTED_VALUE"""),23.0)</f>
        <v>23</v>
      </c>
      <c r="T112" s="4"/>
      <c r="U112" s="4" t="str">
        <f>IFERROR(__xludf.DUMMYFUNCTION("""COMPUTED_VALUE"""),"BAIK")</f>
        <v>BAIK</v>
      </c>
      <c r="V112" s="4" t="str">
        <f>IFERROR(__xludf.DUMMYFUNCTION("""COMPUTED_VALUE"""),"Tidak Ada")</f>
        <v>Tidak Ada</v>
      </c>
      <c r="W112" s="4"/>
      <c r="X112" s="4"/>
      <c r="Y112" s="4"/>
      <c r="Z112" s="4"/>
      <c r="AA112" s="4"/>
      <c r="AB112" s="4"/>
      <c r="AC112" s="4" t="str">
        <f>IFERROR(__xludf.DUMMYFUNCTION("""COMPUTED_VALUE"""),"INSPEKSI SUTM - T2_Images/73bb63c3.FOTO.121537.jpg")</f>
        <v>INSPEKSI SUTM - T2_Images/73bb63c3.FOTO.121537.jpg</v>
      </c>
      <c r="AD112" s="4"/>
      <c r="AE112" s="4"/>
      <c r="AF112" s="4" t="str">
        <f>IFERROR(__xludf.DUMMYFUNCTION("""COMPUTED_VALUE"""),"BELUM")</f>
        <v>BELUM</v>
      </c>
      <c r="AG112" s="6">
        <f>IFERROR(__xludf.DUMMYFUNCTION("""COMPUTED_VALUE"""),46042.0)</f>
        <v>46042</v>
      </c>
      <c r="AH112" s="4"/>
      <c r="AI112" s="4"/>
    </row>
    <row r="113" ht="15.75" customHeight="1">
      <c r="A113" s="4" t="str">
        <f>IFERROR(__xludf.DUMMYFUNCTION("""COMPUTED_VALUE"""),"7c3acea7")</f>
        <v>7c3acea7</v>
      </c>
      <c r="B113" s="5">
        <f>IFERROR(__xludf.DUMMYFUNCTION("""COMPUTED_VALUE"""),46042.802708333336)</f>
        <v>46042.80271</v>
      </c>
      <c r="C113" s="4" t="str">
        <f>IFERROR(__xludf.DUMMYFUNCTION("""COMPUTED_VALUE"""),"-6.950117, 107.571998")</f>
        <v>-6.950117, 107.571998</v>
      </c>
      <c r="D113" s="4" t="str">
        <f>IFERROR(__xludf.DUMMYFUNCTION("""COMPUTED_VALUE"""),"fuad nugi")</f>
        <v>fuad nugi</v>
      </c>
      <c r="E113" s="4" t="str">
        <f>IFERROR(__xludf.DUMMYFUNCTION("""COMPUTED_VALUE"""),"BANDUNG")</f>
        <v>BANDUNG</v>
      </c>
      <c r="F113" s="4" t="str">
        <f>IFERROR(__xludf.DUMMYFUNCTION("""COMPUTED_VALUE"""),"KOPO")</f>
        <v>KOPO</v>
      </c>
      <c r="G113" s="4" t="str">
        <f>IFERROR(__xludf.DUMMYFUNCTION("""COMPUTED_VALUE"""),"NEW CIBEUREUM")</f>
        <v>NEW CIBEUREUM</v>
      </c>
      <c r="H113" s="4" t="str">
        <f>IFERROR(__xludf.DUMMYFUNCTION("""COMPUTED_VALUE"""),"WTHO")</f>
        <v>WTHO</v>
      </c>
      <c r="I113" s="4" t="str">
        <f>IFERROR(__xludf.DUMMYFUNCTION("""COMPUTED_VALUE"""),"LBS TKN - UJUNG")</f>
        <v>LBS TKN - UJUNG</v>
      </c>
      <c r="J113" s="4" t="str">
        <f>IFERROR(__xludf.DUMMYFUNCTION("""COMPUTED_VALUE"""),"ZONA 2")</f>
        <v>ZONA 2</v>
      </c>
      <c r="K113" s="4" t="str">
        <f>IFERROR(__xludf.DUMMYFUNCTION("""COMPUTED_VALUE"""),"023")</f>
        <v>023</v>
      </c>
      <c r="L113" s="4" t="str">
        <f>IFERROR(__xludf.DUMMYFUNCTION("""COMPUTED_VALUE"""),"TM - 16B/H (REC/SSO/LBS)")</f>
        <v>TM - 16B/H (REC/SSO/LBS)</v>
      </c>
      <c r="M113" s="4" t="str">
        <f>IFERROR(__xludf.DUMMYFUNCTION("""COMPUTED_VALUE"""),"LBS")</f>
        <v>LBS</v>
      </c>
      <c r="N113" s="4" t="str">
        <f>IFERROR(__xludf.DUMMYFUNCTION("""COMPUTED_VALUE"""),"tkn")</f>
        <v>tkn</v>
      </c>
      <c r="O113" s="4" t="str">
        <f>IFERROR(__xludf.DUMMYFUNCTION("""COMPUTED_VALUE"""),"PEMBANDING SEJENIS")</f>
        <v>PEMBANDING SEJENIS</v>
      </c>
      <c r="P113" s="4" t="str">
        <f>IFERROR(__xludf.DUMMYFUNCTION("""COMPUTED_VALUE"""),"TERMINASI")</f>
        <v>TERMINASI</v>
      </c>
      <c r="Q113" s="4">
        <f>IFERROR(__xludf.DUMMYFUNCTION("""COMPUTED_VALUE"""),22.0)</f>
        <v>22</v>
      </c>
      <c r="R113" s="4">
        <f>IFERROR(__xludf.DUMMYFUNCTION("""COMPUTED_VALUE"""),22.0)</f>
        <v>22</v>
      </c>
      <c r="S113" s="4">
        <f>IFERROR(__xludf.DUMMYFUNCTION("""COMPUTED_VALUE"""),23.0)</f>
        <v>23</v>
      </c>
      <c r="T113" s="4"/>
      <c r="U113" s="4" t="str">
        <f>IFERROR(__xludf.DUMMYFUNCTION("""COMPUTED_VALUE"""),"BAIK")</f>
        <v>BAIK</v>
      </c>
      <c r="V113" s="4" t="str">
        <f>IFERROR(__xludf.DUMMYFUNCTION("""COMPUTED_VALUE"""),"Tidak Ada")</f>
        <v>Tidak Ada</v>
      </c>
      <c r="W113" s="4"/>
      <c r="X113" s="4"/>
      <c r="Y113" s="4"/>
      <c r="Z113" s="4"/>
      <c r="AA113" s="4"/>
      <c r="AB113" s="4"/>
      <c r="AC113" s="4" t="str">
        <f>IFERROR(__xludf.DUMMYFUNCTION("""COMPUTED_VALUE"""),"INSPEKSI SUTM - T2_Images/7c3acea7.FOTO.121636.jpg")</f>
        <v>INSPEKSI SUTM - T2_Images/7c3acea7.FOTO.121636.jpg</v>
      </c>
      <c r="AD113" s="4"/>
      <c r="AE113" s="4"/>
      <c r="AF113" s="4" t="str">
        <f>IFERROR(__xludf.DUMMYFUNCTION("""COMPUTED_VALUE"""),"BELUM")</f>
        <v>BELUM</v>
      </c>
      <c r="AG113" s="6">
        <f>IFERROR(__xludf.DUMMYFUNCTION("""COMPUTED_VALUE"""),46042.0)</f>
        <v>46042</v>
      </c>
      <c r="AH113" s="4"/>
      <c r="AI113" s="4"/>
    </row>
    <row r="114" ht="15.75" customHeight="1">
      <c r="A114" s="4" t="str">
        <f>IFERROR(__xludf.DUMMYFUNCTION("""COMPUTED_VALUE"""),"fe10aa20")</f>
        <v>fe10aa20</v>
      </c>
      <c r="B114" s="5">
        <f>IFERROR(__xludf.DUMMYFUNCTION("""COMPUTED_VALUE"""),46042.80761574074)</f>
        <v>46042.80762</v>
      </c>
      <c r="C114" s="4" t="str">
        <f>IFERROR(__xludf.DUMMYFUNCTION("""COMPUTED_VALUE"""),"-6.950262, 107.572098")</f>
        <v>-6.950262, 107.572098</v>
      </c>
      <c r="D114" s="4" t="str">
        <f>IFERROR(__xludf.DUMMYFUNCTION("""COMPUTED_VALUE"""),"fuad nugi")</f>
        <v>fuad nugi</v>
      </c>
      <c r="E114" s="4" t="str">
        <f>IFERROR(__xludf.DUMMYFUNCTION("""COMPUTED_VALUE"""),"BANDUNG")</f>
        <v>BANDUNG</v>
      </c>
      <c r="F114" s="4" t="str">
        <f>IFERROR(__xludf.DUMMYFUNCTION("""COMPUTED_VALUE"""),"KOPO")</f>
        <v>KOPO</v>
      </c>
      <c r="G114" s="4" t="str">
        <f>IFERROR(__xludf.DUMMYFUNCTION("""COMPUTED_VALUE"""),"NEW CIBEUREUM")</f>
        <v>NEW CIBEUREUM</v>
      </c>
      <c r="H114" s="4" t="str">
        <f>IFERROR(__xludf.DUMMYFUNCTION("""COMPUTED_VALUE"""),"WTHO")</f>
        <v>WTHO</v>
      </c>
      <c r="I114" s="4" t="str">
        <f>IFERROR(__xludf.DUMMYFUNCTION("""COMPUTED_VALUE"""),"LBS TKN - UJUNG")</f>
        <v>LBS TKN - UJUNG</v>
      </c>
      <c r="J114" s="4" t="str">
        <f>IFERROR(__xludf.DUMMYFUNCTION("""COMPUTED_VALUE"""),"ZONA 2")</f>
        <v>ZONA 2</v>
      </c>
      <c r="K114" s="4" t="str">
        <f>IFERROR(__xludf.DUMMYFUNCTION("""COMPUTED_VALUE"""),"023R01")</f>
        <v>023R01</v>
      </c>
      <c r="L114" s="4" t="str">
        <f>IFERROR(__xludf.DUMMYFUNCTION("""COMPUTED_VALUE"""),"TM - 7B/H (Afspan 90 Derajat)")</f>
        <v>TM - 7B/H (Afspan 90 Derajat)</v>
      </c>
      <c r="M114" s="4" t="str">
        <f>IFERROR(__xludf.DUMMYFUNCTION("""COMPUTED_VALUE"""),"Tidak Ada")</f>
        <v>Tidak Ada</v>
      </c>
      <c r="N114" s="4"/>
      <c r="O114" s="4" t="str">
        <f>IFERROR(__xludf.DUMMYFUNCTION("""COMPUTED_VALUE"""),"PEMBANDING SEJENIS")</f>
        <v>PEMBANDING SEJENIS</v>
      </c>
      <c r="P114" s="4" t="str">
        <f>IFERROR(__xludf.DUMMYFUNCTION("""COMPUTED_VALUE"""),"KONEKTOR/JUMPER")</f>
        <v>KONEKTOR/JUMPER</v>
      </c>
      <c r="Q114" s="4">
        <f>IFERROR(__xludf.DUMMYFUNCTION("""COMPUTED_VALUE"""),23.0)</f>
        <v>23</v>
      </c>
      <c r="R114" s="4">
        <f>IFERROR(__xludf.DUMMYFUNCTION("""COMPUTED_VALUE"""),23.0)</f>
        <v>23</v>
      </c>
      <c r="S114" s="4">
        <f>IFERROR(__xludf.DUMMYFUNCTION("""COMPUTED_VALUE"""),22.0)</f>
        <v>22</v>
      </c>
      <c r="T114" s="4"/>
      <c r="U114" s="4" t="str">
        <f>IFERROR(__xludf.DUMMYFUNCTION("""COMPUTED_VALUE"""),"BAIK")</f>
        <v>BAIK</v>
      </c>
      <c r="V114" s="4" t="str">
        <f>IFERROR(__xludf.DUMMYFUNCTION("""COMPUTED_VALUE"""),"Tidak Ada")</f>
        <v>Tidak Ada</v>
      </c>
      <c r="W114" s="4"/>
      <c r="X114" s="4"/>
      <c r="Y114" s="4"/>
      <c r="Z114" s="4"/>
      <c r="AA114" s="4"/>
      <c r="AB114" s="4"/>
      <c r="AC114" s="4" t="str">
        <f>IFERROR(__xludf.DUMMYFUNCTION("""COMPUTED_VALUE"""),"INSPEKSI SUTM - T2_Images/fe10aa20.FOTO.122344.jpg")</f>
        <v>INSPEKSI SUTM - T2_Images/fe10aa20.FOTO.122344.jpg</v>
      </c>
      <c r="AD114" s="4"/>
      <c r="AE114" s="4"/>
      <c r="AF114" s="4" t="str">
        <f>IFERROR(__xludf.DUMMYFUNCTION("""COMPUTED_VALUE"""),"BELUM")</f>
        <v>BELUM</v>
      </c>
      <c r="AG114" s="6">
        <f>IFERROR(__xludf.DUMMYFUNCTION("""COMPUTED_VALUE"""),46042.0)</f>
        <v>46042</v>
      </c>
      <c r="AH114" s="4"/>
      <c r="AI114" s="4"/>
    </row>
    <row r="115" ht="15.75" customHeight="1">
      <c r="A115" s="4" t="str">
        <f>IFERROR(__xludf.DUMMYFUNCTION("""COMPUTED_VALUE"""),"a3358a2c")</f>
        <v>a3358a2c</v>
      </c>
      <c r="B115" s="5">
        <f>IFERROR(__xludf.DUMMYFUNCTION("""COMPUTED_VALUE"""),46042.80815972222)</f>
        <v>46042.80816</v>
      </c>
      <c r="C115" s="4" t="str">
        <f>IFERROR(__xludf.DUMMYFUNCTION("""COMPUTED_VALUE"""),"-6.950142, 107.571951")</f>
        <v>-6.950142, 107.571951</v>
      </c>
      <c r="D115" s="4" t="str">
        <f>IFERROR(__xludf.DUMMYFUNCTION("""COMPUTED_VALUE"""),"fuad nufi")</f>
        <v>fuad nufi</v>
      </c>
      <c r="E115" s="4" t="str">
        <f>IFERROR(__xludf.DUMMYFUNCTION("""COMPUTED_VALUE"""),"BANDUNG")</f>
        <v>BANDUNG</v>
      </c>
      <c r="F115" s="4" t="str">
        <f>IFERROR(__xludf.DUMMYFUNCTION("""COMPUTED_VALUE"""),"KOPO")</f>
        <v>KOPO</v>
      </c>
      <c r="G115" s="4" t="str">
        <f>IFERROR(__xludf.DUMMYFUNCTION("""COMPUTED_VALUE"""),"NEW CIBEUREUM")</f>
        <v>NEW CIBEUREUM</v>
      </c>
      <c r="H115" s="4" t="str">
        <f>IFERROR(__xludf.DUMMYFUNCTION("""COMPUTED_VALUE"""),"WTHO")</f>
        <v>WTHO</v>
      </c>
      <c r="I115" s="4" t="str">
        <f>IFERROR(__xludf.DUMMYFUNCTION("""COMPUTED_VALUE"""),"LBS TKN - UJUNG")</f>
        <v>LBS TKN - UJUNG</v>
      </c>
      <c r="J115" s="4" t="str">
        <f>IFERROR(__xludf.DUMMYFUNCTION("""COMPUTED_VALUE"""),"ZONA 2")</f>
        <v>ZONA 2</v>
      </c>
      <c r="K115" s="4" t="str">
        <f>IFERROR(__xludf.DUMMYFUNCTION("""COMPUTED_VALUE"""),"023R03")</f>
        <v>023R03</v>
      </c>
      <c r="L115" s="4" t="str">
        <f>IFERROR(__xludf.DUMMYFUNCTION("""COMPUTED_VALUE"""),"TM - 8B/H (Percabangan)")</f>
        <v>TM - 8B/H (Percabangan)</v>
      </c>
      <c r="M115" s="4" t="str">
        <f>IFERROR(__xludf.DUMMYFUNCTION("""COMPUTED_VALUE"""),"Tidak Ada")</f>
        <v>Tidak Ada</v>
      </c>
      <c r="N115" s="4"/>
      <c r="O115" s="4" t="str">
        <f>IFERROR(__xludf.DUMMYFUNCTION("""COMPUTED_VALUE"""),"PEMBANDING SEJENIS")</f>
        <v>PEMBANDING SEJENIS</v>
      </c>
      <c r="P115" s="4" t="str">
        <f>IFERROR(__xludf.DUMMYFUNCTION("""COMPUTED_VALUE"""),"KONEKTOR/JUMPER")</f>
        <v>KONEKTOR/JUMPER</v>
      </c>
      <c r="Q115" s="4">
        <f>IFERROR(__xludf.DUMMYFUNCTION("""COMPUTED_VALUE"""),24.0)</f>
        <v>24</v>
      </c>
      <c r="R115" s="4">
        <f>IFERROR(__xludf.DUMMYFUNCTION("""COMPUTED_VALUE"""),24.0)</f>
        <v>24</v>
      </c>
      <c r="S115" s="4">
        <f>IFERROR(__xludf.DUMMYFUNCTION("""COMPUTED_VALUE"""),23.0)</f>
        <v>23</v>
      </c>
      <c r="T115" s="4"/>
      <c r="U115" s="4" t="str">
        <f>IFERROR(__xludf.DUMMYFUNCTION("""COMPUTED_VALUE"""),"BAIK")</f>
        <v>BAIK</v>
      </c>
      <c r="V115" s="4" t="str">
        <f>IFERROR(__xludf.DUMMYFUNCTION("""COMPUTED_VALUE"""),"Tidak Ada")</f>
        <v>Tidak Ada</v>
      </c>
      <c r="W115" s="4"/>
      <c r="X115" s="4"/>
      <c r="Y115" s="4"/>
      <c r="Z115" s="4"/>
      <c r="AA115" s="4"/>
      <c r="AB115" s="4"/>
      <c r="AC115" s="4" t="str">
        <f>IFERROR(__xludf.DUMMYFUNCTION("""COMPUTED_VALUE"""),"INSPEKSI SUTM - T2_Images/a3358a2c.FOTO.122450.jpg")</f>
        <v>INSPEKSI SUTM - T2_Images/a3358a2c.FOTO.122450.jpg</v>
      </c>
      <c r="AD115" s="4"/>
      <c r="AE115" s="4"/>
      <c r="AF115" s="4" t="str">
        <f>IFERROR(__xludf.DUMMYFUNCTION("""COMPUTED_VALUE"""),"BELUM")</f>
        <v>BELUM</v>
      </c>
      <c r="AG115" s="6">
        <f>IFERROR(__xludf.DUMMYFUNCTION("""COMPUTED_VALUE"""),46042.0)</f>
        <v>46042</v>
      </c>
      <c r="AH115" s="4"/>
      <c r="AI115" s="4"/>
    </row>
    <row r="116" ht="15.75" customHeight="1">
      <c r="A116" s="4" t="str">
        <f>IFERROR(__xludf.DUMMYFUNCTION("""COMPUTED_VALUE"""),"33fee372")</f>
        <v>33fee372</v>
      </c>
      <c r="B116" s="5">
        <f>IFERROR(__xludf.DUMMYFUNCTION("""COMPUTED_VALUE"""),46042.808969907404)</f>
        <v>46042.80897</v>
      </c>
      <c r="C116" s="4" t="str">
        <f>IFERROR(__xludf.DUMMYFUNCTION("""COMPUTED_VALUE"""),"-6.950110, 107.571940")</f>
        <v>-6.950110, 107.571940</v>
      </c>
      <c r="D116" s="4" t="str">
        <f>IFERROR(__xludf.DUMMYFUNCTION("""COMPUTED_VALUE"""),"fuad nugi")</f>
        <v>fuad nugi</v>
      </c>
      <c r="E116" s="4" t="str">
        <f>IFERROR(__xludf.DUMMYFUNCTION("""COMPUTED_VALUE"""),"BANDUNG")</f>
        <v>BANDUNG</v>
      </c>
      <c r="F116" s="4" t="str">
        <f>IFERROR(__xludf.DUMMYFUNCTION("""COMPUTED_VALUE"""),"KOPO")</f>
        <v>KOPO</v>
      </c>
      <c r="G116" s="4" t="str">
        <f>IFERROR(__xludf.DUMMYFUNCTION("""COMPUTED_VALUE"""),"NEW CIBEUREUM")</f>
        <v>NEW CIBEUREUM</v>
      </c>
      <c r="H116" s="4" t="str">
        <f>IFERROR(__xludf.DUMMYFUNCTION("""COMPUTED_VALUE"""),"WTHO")</f>
        <v>WTHO</v>
      </c>
      <c r="I116" s="4" t="str">
        <f>IFERROR(__xludf.DUMMYFUNCTION("""COMPUTED_VALUE"""),"LBS TKN - UJUNG")</f>
        <v>LBS TKN - UJUNG</v>
      </c>
      <c r="J116" s="4" t="str">
        <f>IFERROR(__xludf.DUMMYFUNCTION("""COMPUTED_VALUE"""),"ZONA 2")</f>
        <v>ZONA 2</v>
      </c>
      <c r="K116" s="4" t="str">
        <f>IFERROR(__xludf.DUMMYFUNCTION("""COMPUTED_VALUE"""),"024")</f>
        <v>024</v>
      </c>
      <c r="L116" s="4" t="str">
        <f>IFERROR(__xludf.DUMMYFUNCTION("""COMPUTED_VALUE"""),"TM - 1B/H (Tumpu)")</f>
        <v>TM - 1B/H (Tumpu)</v>
      </c>
      <c r="M116" s="4" t="str">
        <f>IFERROR(__xludf.DUMMYFUNCTION("""COMPUTED_VALUE"""),"Tidak Ada")</f>
        <v>Tidak Ada</v>
      </c>
      <c r="N116" s="4"/>
      <c r="O116" s="4" t="str">
        <f>IFERROR(__xludf.DUMMYFUNCTION("""COMPUTED_VALUE"""),"PEMBANDING SEJENIS")</f>
        <v>PEMBANDING SEJENIS</v>
      </c>
      <c r="P116" s="4" t="str">
        <f>IFERROR(__xludf.DUMMYFUNCTION("""COMPUTED_VALUE"""),"ARRESTER")</f>
        <v>ARRESTER</v>
      </c>
      <c r="Q116" s="4">
        <f>IFERROR(__xludf.DUMMYFUNCTION("""COMPUTED_VALUE"""),23.0)</f>
        <v>23</v>
      </c>
      <c r="R116" s="4">
        <f>IFERROR(__xludf.DUMMYFUNCTION("""COMPUTED_VALUE"""),23.0)</f>
        <v>23</v>
      </c>
      <c r="S116" s="4">
        <f>IFERROR(__xludf.DUMMYFUNCTION("""COMPUTED_VALUE"""),23.0)</f>
        <v>23</v>
      </c>
      <c r="T116" s="4"/>
      <c r="U116" s="4" t="str">
        <f>IFERROR(__xludf.DUMMYFUNCTION("""COMPUTED_VALUE"""),"BAIK")</f>
        <v>BAIK</v>
      </c>
      <c r="V116" s="4" t="str">
        <f>IFERROR(__xludf.DUMMYFUNCTION("""COMPUTED_VALUE"""),"Tidak Ada")</f>
        <v>Tidak Ada</v>
      </c>
      <c r="W116" s="4"/>
      <c r="X116" s="4"/>
      <c r="Y116" s="4"/>
      <c r="Z116" s="4"/>
      <c r="AA116" s="4"/>
      <c r="AB116" s="4"/>
      <c r="AC116" s="4" t="str">
        <f>IFERROR(__xludf.DUMMYFUNCTION("""COMPUTED_VALUE"""),"INSPEKSI SUTM - T2_Images/33fee372.FOTO.122530.jpg")</f>
        <v>INSPEKSI SUTM - T2_Images/33fee372.FOTO.122530.jpg</v>
      </c>
      <c r="AD116" s="4"/>
      <c r="AE116" s="4"/>
      <c r="AF116" s="4" t="str">
        <f>IFERROR(__xludf.DUMMYFUNCTION("""COMPUTED_VALUE"""),"BELUM")</f>
        <v>BELUM</v>
      </c>
      <c r="AG116" s="6">
        <f>IFERROR(__xludf.DUMMYFUNCTION("""COMPUTED_VALUE"""),46042.0)</f>
        <v>46042</v>
      </c>
      <c r="AH116" s="4"/>
      <c r="AI116" s="4"/>
    </row>
    <row r="117" ht="15.75" customHeight="1">
      <c r="A117" s="4" t="str">
        <f>IFERROR(__xludf.DUMMYFUNCTION("""COMPUTED_VALUE"""),"16051bce")</f>
        <v>16051bce</v>
      </c>
      <c r="B117" s="5">
        <f>IFERROR(__xludf.DUMMYFUNCTION("""COMPUTED_VALUE"""),46042.80945601852)</f>
        <v>46042.80946</v>
      </c>
      <c r="C117" s="4" t="str">
        <f>IFERROR(__xludf.DUMMYFUNCTION("""COMPUTED_VALUE"""),"-6.950132, 107.571960")</f>
        <v>-6.950132, 107.571960</v>
      </c>
      <c r="D117" s="4" t="str">
        <f>IFERROR(__xludf.DUMMYFUNCTION("""COMPUTED_VALUE"""),"fuad nugi")</f>
        <v>fuad nugi</v>
      </c>
      <c r="E117" s="4" t="str">
        <f>IFERROR(__xludf.DUMMYFUNCTION("""COMPUTED_VALUE"""),"BANDUNG")</f>
        <v>BANDUNG</v>
      </c>
      <c r="F117" s="4" t="str">
        <f>IFERROR(__xludf.DUMMYFUNCTION("""COMPUTED_VALUE"""),"KOPO")</f>
        <v>KOPO</v>
      </c>
      <c r="G117" s="4" t="str">
        <f>IFERROR(__xludf.DUMMYFUNCTION("""COMPUTED_VALUE"""),"NEW CIBEUREUM")</f>
        <v>NEW CIBEUREUM</v>
      </c>
      <c r="H117" s="4" t="str">
        <f>IFERROR(__xludf.DUMMYFUNCTION("""COMPUTED_VALUE"""),"WTHO")</f>
        <v>WTHO</v>
      </c>
      <c r="I117" s="4" t="str">
        <f>IFERROR(__xludf.DUMMYFUNCTION("""COMPUTED_VALUE"""),"LBS TKN - UJUNG")</f>
        <v>LBS TKN - UJUNG</v>
      </c>
      <c r="J117" s="4" t="str">
        <f>IFERROR(__xludf.DUMMYFUNCTION("""COMPUTED_VALUE"""),"ZONA 2")</f>
        <v>ZONA 2</v>
      </c>
      <c r="K117" s="4" t="str">
        <f>IFERROR(__xludf.DUMMYFUNCTION("""COMPUTED_VALUE"""),"025")</f>
        <v>025</v>
      </c>
      <c r="L117" s="4" t="str">
        <f>IFERROR(__xludf.DUMMYFUNCTION("""COMPUTED_VALUE"""),"TM - 8BC/HC (Percabangan dengan CO)")</f>
        <v>TM - 8BC/HC (Percabangan dengan CO)</v>
      </c>
      <c r="M117" s="4" t="str">
        <f>IFERROR(__xludf.DUMMYFUNCTION("""COMPUTED_VALUE"""),"FCO")</f>
        <v>FCO</v>
      </c>
      <c r="N117" s="4" t="str">
        <f>IFERROR(__xludf.DUMMYFUNCTION("""COMPUTED_VALUE"""),"-")</f>
        <v>-</v>
      </c>
      <c r="O117" s="4" t="str">
        <f>IFERROR(__xludf.DUMMYFUNCTION("""COMPUTED_VALUE"""),"PEMBANDING SEJENIS")</f>
        <v>PEMBANDING SEJENIS</v>
      </c>
      <c r="P117" s="4" t="str">
        <f>IFERROR(__xludf.DUMMYFUNCTION("""COMPUTED_VALUE"""),"FCO")</f>
        <v>FCO</v>
      </c>
      <c r="Q117" s="4">
        <f>IFERROR(__xludf.DUMMYFUNCTION("""COMPUTED_VALUE"""),24.0)</f>
        <v>24</v>
      </c>
      <c r="R117" s="4">
        <f>IFERROR(__xludf.DUMMYFUNCTION("""COMPUTED_VALUE"""),24.0)</f>
        <v>24</v>
      </c>
      <c r="S117" s="4">
        <f>IFERROR(__xludf.DUMMYFUNCTION("""COMPUTED_VALUE"""),24.0)</f>
        <v>24</v>
      </c>
      <c r="T117" s="4"/>
      <c r="U117" s="4" t="str">
        <f>IFERROR(__xludf.DUMMYFUNCTION("""COMPUTED_VALUE"""),"BAIK")</f>
        <v>BAIK</v>
      </c>
      <c r="V117" s="4" t="str">
        <f>IFERROR(__xludf.DUMMYFUNCTION("""COMPUTED_VALUE"""),"Tidak Ada")</f>
        <v>Tidak Ada</v>
      </c>
      <c r="W117" s="4"/>
      <c r="X117" s="4"/>
      <c r="Y117" s="4"/>
      <c r="Z117" s="4"/>
      <c r="AA117" s="4"/>
      <c r="AB117" s="4"/>
      <c r="AC117" s="4" t="str">
        <f>IFERROR(__xludf.DUMMYFUNCTION("""COMPUTED_VALUE"""),"INSPEKSI SUTM - T2_Images/16051bce.FOTO.122621.jpg")</f>
        <v>INSPEKSI SUTM - T2_Images/16051bce.FOTO.122621.jpg</v>
      </c>
      <c r="AD117" s="4"/>
      <c r="AE117" s="4"/>
      <c r="AF117" s="4" t="str">
        <f>IFERROR(__xludf.DUMMYFUNCTION("""COMPUTED_VALUE"""),"BELUM")</f>
        <v>BELUM</v>
      </c>
      <c r="AG117" s="6">
        <f>IFERROR(__xludf.DUMMYFUNCTION("""COMPUTED_VALUE"""),46042.0)</f>
        <v>46042</v>
      </c>
      <c r="AH117" s="4"/>
      <c r="AI117" s="4"/>
    </row>
    <row r="118" ht="15.75" customHeight="1">
      <c r="A118" s="4" t="str">
        <f>IFERROR(__xludf.DUMMYFUNCTION("""COMPUTED_VALUE"""),"6e34e0f0")</f>
        <v>6e34e0f0</v>
      </c>
      <c r="B118" s="5">
        <f>IFERROR(__xludf.DUMMYFUNCTION("""COMPUTED_VALUE"""),46042.81003472222)</f>
        <v>46042.81003</v>
      </c>
      <c r="C118" s="4" t="str">
        <f>IFERROR(__xludf.DUMMYFUNCTION("""COMPUTED_VALUE"""),"-6.950129, 107.571963")</f>
        <v>-6.950129, 107.571963</v>
      </c>
      <c r="D118" s="4" t="str">
        <f>IFERROR(__xludf.DUMMYFUNCTION("""COMPUTED_VALUE"""),"fuad nugi")</f>
        <v>fuad nugi</v>
      </c>
      <c r="E118" s="4" t="str">
        <f>IFERROR(__xludf.DUMMYFUNCTION("""COMPUTED_VALUE"""),"BANDUNG")</f>
        <v>BANDUNG</v>
      </c>
      <c r="F118" s="4" t="str">
        <f>IFERROR(__xludf.DUMMYFUNCTION("""COMPUTED_VALUE"""),"KOPO")</f>
        <v>KOPO</v>
      </c>
      <c r="G118" s="4" t="str">
        <f>IFERROR(__xludf.DUMMYFUNCTION("""COMPUTED_VALUE"""),"NEW CIBEUREUM")</f>
        <v>NEW CIBEUREUM</v>
      </c>
      <c r="H118" s="4" t="str">
        <f>IFERROR(__xludf.DUMMYFUNCTION("""COMPUTED_VALUE"""),"WTHO")</f>
        <v>WTHO</v>
      </c>
      <c r="I118" s="4" t="str">
        <f>IFERROR(__xludf.DUMMYFUNCTION("""COMPUTED_VALUE"""),"LBS TKN - UJUNG")</f>
        <v>LBS TKN - UJUNG</v>
      </c>
      <c r="J118" s="4" t="str">
        <f>IFERROR(__xludf.DUMMYFUNCTION("""COMPUTED_VALUE"""),"ZONA 2")</f>
        <v>ZONA 2</v>
      </c>
      <c r="K118" s="4" t="str">
        <f>IFERROR(__xludf.DUMMYFUNCTION("""COMPUTED_VALUE"""),"025L02")</f>
        <v>025L02</v>
      </c>
      <c r="L118" s="4" t="str">
        <f>IFERROR(__xludf.DUMMYFUNCTION("""COMPUTED_VALUE"""),"TM - 7B/H (Afspan 90 Derajat)")</f>
        <v>TM - 7B/H (Afspan 90 Derajat)</v>
      </c>
      <c r="M118" s="4" t="str">
        <f>IFERROR(__xludf.DUMMYFUNCTION("""COMPUTED_VALUE"""),"Tidak Ada")</f>
        <v>Tidak Ada</v>
      </c>
      <c r="N118" s="4"/>
      <c r="O118" s="4" t="str">
        <f>IFERROR(__xludf.DUMMYFUNCTION("""COMPUTED_VALUE"""),"PEMBANDING SEJENIS")</f>
        <v>PEMBANDING SEJENIS</v>
      </c>
      <c r="P118" s="4" t="str">
        <f>IFERROR(__xludf.DUMMYFUNCTION("""COMPUTED_VALUE"""),"KONEKTOR/JUMPER")</f>
        <v>KONEKTOR/JUMPER</v>
      </c>
      <c r="Q118" s="4">
        <f>IFERROR(__xludf.DUMMYFUNCTION("""COMPUTED_VALUE"""),24.0)</f>
        <v>24</v>
      </c>
      <c r="R118" s="4">
        <f>IFERROR(__xludf.DUMMYFUNCTION("""COMPUTED_VALUE"""),24.0)</f>
        <v>24</v>
      </c>
      <c r="S118" s="4">
        <f>IFERROR(__xludf.DUMMYFUNCTION("""COMPUTED_VALUE"""),24.0)</f>
        <v>24</v>
      </c>
      <c r="T118" s="4"/>
      <c r="U118" s="4" t="str">
        <f>IFERROR(__xludf.DUMMYFUNCTION("""COMPUTED_VALUE"""),"BAIK")</f>
        <v>BAIK</v>
      </c>
      <c r="V118" s="4" t="str">
        <f>IFERROR(__xludf.DUMMYFUNCTION("""COMPUTED_VALUE"""),"Tidak Ada")</f>
        <v>Tidak Ada</v>
      </c>
      <c r="W118" s="4"/>
      <c r="X118" s="4"/>
      <c r="Y118" s="4"/>
      <c r="Z118" s="4"/>
      <c r="AA118" s="4"/>
      <c r="AB118" s="4"/>
      <c r="AC118" s="4" t="str">
        <f>IFERROR(__xludf.DUMMYFUNCTION("""COMPUTED_VALUE"""),"INSPEKSI SUTM - T2_Images/6e34e0f0.FOTO.122712.jpg")</f>
        <v>INSPEKSI SUTM - T2_Images/6e34e0f0.FOTO.122712.jpg</v>
      </c>
      <c r="AD118" s="4"/>
      <c r="AE118" s="4"/>
      <c r="AF118" s="4" t="str">
        <f>IFERROR(__xludf.DUMMYFUNCTION("""COMPUTED_VALUE"""),"BELUM")</f>
        <v>BELUM</v>
      </c>
      <c r="AG118" s="6">
        <f>IFERROR(__xludf.DUMMYFUNCTION("""COMPUTED_VALUE"""),46042.0)</f>
        <v>46042</v>
      </c>
      <c r="AH118" s="4"/>
      <c r="AI118" s="4"/>
    </row>
    <row r="119" ht="15.75" customHeight="1">
      <c r="A119" s="4" t="str">
        <f>IFERROR(__xludf.DUMMYFUNCTION("""COMPUTED_VALUE"""),"c30a9f07")</f>
        <v>c30a9f07</v>
      </c>
      <c r="B119" s="5">
        <f>IFERROR(__xludf.DUMMYFUNCTION("""COMPUTED_VALUE"""),46042.810625)</f>
        <v>46042.81063</v>
      </c>
      <c r="C119" s="4" t="str">
        <f>IFERROR(__xludf.DUMMYFUNCTION("""COMPUTED_VALUE"""),"-6.950134, 107.572000")</f>
        <v>-6.950134, 107.572000</v>
      </c>
      <c r="D119" s="4" t="str">
        <f>IFERROR(__xludf.DUMMYFUNCTION("""COMPUTED_VALUE"""),"fuad nugi")</f>
        <v>fuad nugi</v>
      </c>
      <c r="E119" s="4" t="str">
        <f>IFERROR(__xludf.DUMMYFUNCTION("""COMPUTED_VALUE"""),"BANDUNG")</f>
        <v>BANDUNG</v>
      </c>
      <c r="F119" s="4" t="str">
        <f>IFERROR(__xludf.DUMMYFUNCTION("""COMPUTED_VALUE"""),"KOPO")</f>
        <v>KOPO</v>
      </c>
      <c r="G119" s="4" t="str">
        <f>IFERROR(__xludf.DUMMYFUNCTION("""COMPUTED_VALUE"""),"NEW CIBEUREUM")</f>
        <v>NEW CIBEUREUM</v>
      </c>
      <c r="H119" s="4" t="str">
        <f>IFERROR(__xludf.DUMMYFUNCTION("""COMPUTED_VALUE"""),"WTHO")</f>
        <v>WTHO</v>
      </c>
      <c r="I119" s="4" t="str">
        <f>IFERROR(__xludf.DUMMYFUNCTION("""COMPUTED_VALUE"""),"LBS TKN - UJUNG")</f>
        <v>LBS TKN - UJUNG</v>
      </c>
      <c r="J119" s="4" t="str">
        <f>IFERROR(__xludf.DUMMYFUNCTION("""COMPUTED_VALUE"""),"ZONA 2")</f>
        <v>ZONA 2</v>
      </c>
      <c r="K119" s="4" t="str">
        <f>IFERROR(__xludf.DUMMYFUNCTION("""COMPUTED_VALUE"""),"031")</f>
        <v>031</v>
      </c>
      <c r="L119" s="4" t="str">
        <f>IFERROR(__xludf.DUMMYFUNCTION("""COMPUTED_VALUE"""),"TM - 8BC/HC (Percabangan dengan CO)")</f>
        <v>TM - 8BC/HC (Percabangan dengan CO)</v>
      </c>
      <c r="M119" s="4" t="str">
        <f>IFERROR(__xludf.DUMMYFUNCTION("""COMPUTED_VALUE"""),"FCO")</f>
        <v>FCO</v>
      </c>
      <c r="N119" s="4" t="str">
        <f>IFERROR(__xludf.DUMMYFUNCTION("""COMPUTED_VALUE"""),"-")</f>
        <v>-</v>
      </c>
      <c r="O119" s="4" t="str">
        <f>IFERROR(__xludf.DUMMYFUNCTION("""COMPUTED_VALUE"""),"PEMBANDING SEJENIS")</f>
        <v>PEMBANDING SEJENIS</v>
      </c>
      <c r="P119" s="4" t="str">
        <f>IFERROR(__xludf.DUMMYFUNCTION("""COMPUTED_VALUE"""),"FCO")</f>
        <v>FCO</v>
      </c>
      <c r="Q119" s="4">
        <f>IFERROR(__xludf.DUMMYFUNCTION("""COMPUTED_VALUE"""),24.0)</f>
        <v>24</v>
      </c>
      <c r="R119" s="4">
        <f>IFERROR(__xludf.DUMMYFUNCTION("""COMPUTED_VALUE"""),24.0)</f>
        <v>24</v>
      </c>
      <c r="S119" s="4">
        <f>IFERROR(__xludf.DUMMYFUNCTION("""COMPUTED_VALUE"""),24.0)</f>
        <v>24</v>
      </c>
      <c r="T119" s="4"/>
      <c r="U119" s="4" t="str">
        <f>IFERROR(__xludf.DUMMYFUNCTION("""COMPUTED_VALUE"""),"BAIK")</f>
        <v>BAIK</v>
      </c>
      <c r="V119" s="4" t="str">
        <f>IFERROR(__xludf.DUMMYFUNCTION("""COMPUTED_VALUE"""),"Tidak Ada")</f>
        <v>Tidak Ada</v>
      </c>
      <c r="W119" s="4"/>
      <c r="X119" s="4"/>
      <c r="Y119" s="4"/>
      <c r="Z119" s="4"/>
      <c r="AA119" s="4"/>
      <c r="AB119" s="4"/>
      <c r="AC119" s="4" t="str">
        <f>IFERROR(__xludf.DUMMYFUNCTION("""COMPUTED_VALUE"""),"INSPEKSI SUTM - T2_Images/c30a9f07.FOTO.122808.jpg")</f>
        <v>INSPEKSI SUTM - T2_Images/c30a9f07.FOTO.122808.jpg</v>
      </c>
      <c r="AD119" s="4"/>
      <c r="AE119" s="4"/>
      <c r="AF119" s="4" t="str">
        <f>IFERROR(__xludf.DUMMYFUNCTION("""COMPUTED_VALUE"""),"BELUM")</f>
        <v>BELUM</v>
      </c>
      <c r="AG119" s="6">
        <f>IFERROR(__xludf.DUMMYFUNCTION("""COMPUTED_VALUE"""),46042.0)</f>
        <v>46042</v>
      </c>
      <c r="AH119" s="4"/>
      <c r="AI119" s="4"/>
    </row>
    <row r="120" ht="15.75" customHeight="1">
      <c r="A120" s="4" t="str">
        <f>IFERROR(__xludf.DUMMYFUNCTION("""COMPUTED_VALUE"""),"b1904256")</f>
        <v>b1904256</v>
      </c>
      <c r="B120" s="5">
        <f>IFERROR(__xludf.DUMMYFUNCTION("""COMPUTED_VALUE"""),46042.81133101852)</f>
        <v>46042.81133</v>
      </c>
      <c r="C120" s="4" t="str">
        <f>IFERROR(__xludf.DUMMYFUNCTION("""COMPUTED_VALUE"""),"-6.950133, 107.571968")</f>
        <v>-6.950133, 107.571968</v>
      </c>
      <c r="D120" s="4" t="str">
        <f>IFERROR(__xludf.DUMMYFUNCTION("""COMPUTED_VALUE"""),"fuad nugi")</f>
        <v>fuad nugi</v>
      </c>
      <c r="E120" s="4" t="str">
        <f>IFERROR(__xludf.DUMMYFUNCTION("""COMPUTED_VALUE"""),"BANDUNG")</f>
        <v>BANDUNG</v>
      </c>
      <c r="F120" s="4" t="str">
        <f>IFERROR(__xludf.DUMMYFUNCTION("""COMPUTED_VALUE"""),"KOPO")</f>
        <v>KOPO</v>
      </c>
      <c r="G120" s="4" t="str">
        <f>IFERROR(__xludf.DUMMYFUNCTION("""COMPUTED_VALUE"""),"NEW CIBEUREUM")</f>
        <v>NEW CIBEUREUM</v>
      </c>
      <c r="H120" s="4" t="str">
        <f>IFERROR(__xludf.DUMMYFUNCTION("""COMPUTED_VALUE"""),"WTHO")</f>
        <v>WTHO</v>
      </c>
      <c r="I120" s="4" t="str">
        <f>IFERROR(__xludf.DUMMYFUNCTION("""COMPUTED_VALUE"""),"LBS TKN - UJUNG")</f>
        <v>LBS TKN - UJUNG</v>
      </c>
      <c r="J120" s="4" t="str">
        <f>IFERROR(__xludf.DUMMYFUNCTION("""COMPUTED_VALUE"""),"ZONA 2")</f>
        <v>ZONA 2</v>
      </c>
      <c r="K120" s="4" t="str">
        <f>IFERROR(__xludf.DUMMYFUNCTION("""COMPUTED_VALUE"""),"031R08")</f>
        <v>031R08</v>
      </c>
      <c r="L120" s="4" t="str">
        <f>IFERROR(__xludf.DUMMYFUNCTION("""COMPUTED_VALUE"""),"TM - 8B/H (Percabangan)")</f>
        <v>TM - 8B/H (Percabangan)</v>
      </c>
      <c r="M120" s="4" t="str">
        <f>IFERROR(__xludf.DUMMYFUNCTION("""COMPUTED_VALUE"""),"Tidak Ada")</f>
        <v>Tidak Ada</v>
      </c>
      <c r="N120" s="4"/>
      <c r="O120" s="4" t="str">
        <f>IFERROR(__xludf.DUMMYFUNCTION("""COMPUTED_VALUE"""),"PEMBANDING SEJENIS")</f>
        <v>PEMBANDING SEJENIS</v>
      </c>
      <c r="P120" s="4" t="str">
        <f>IFERROR(__xludf.DUMMYFUNCTION("""COMPUTED_VALUE"""),"KONEKTOR/JUMPER")</f>
        <v>KONEKTOR/JUMPER</v>
      </c>
      <c r="Q120" s="4">
        <f>IFERROR(__xludf.DUMMYFUNCTION("""COMPUTED_VALUE"""),22.0)</f>
        <v>22</v>
      </c>
      <c r="R120" s="4">
        <f>IFERROR(__xludf.DUMMYFUNCTION("""COMPUTED_VALUE"""),23.0)</f>
        <v>23</v>
      </c>
      <c r="S120" s="4">
        <f>IFERROR(__xludf.DUMMYFUNCTION("""COMPUTED_VALUE"""),23.0)</f>
        <v>23</v>
      </c>
      <c r="T120" s="4"/>
      <c r="U120" s="4" t="str">
        <f>IFERROR(__xludf.DUMMYFUNCTION("""COMPUTED_VALUE"""),"BAIK")</f>
        <v>BAIK</v>
      </c>
      <c r="V120" s="4" t="str">
        <f>IFERROR(__xludf.DUMMYFUNCTION("""COMPUTED_VALUE"""),"Tidak Ada")</f>
        <v>Tidak Ada</v>
      </c>
      <c r="W120" s="4"/>
      <c r="X120" s="4"/>
      <c r="Y120" s="4"/>
      <c r="Z120" s="4"/>
      <c r="AA120" s="4"/>
      <c r="AB120" s="4"/>
      <c r="AC120" s="4" t="str">
        <f>IFERROR(__xludf.DUMMYFUNCTION("""COMPUTED_VALUE"""),"INSPEKSI SUTM - T2_Images/b1904256.FOTO.122920.jpg")</f>
        <v>INSPEKSI SUTM - T2_Images/b1904256.FOTO.122920.jpg</v>
      </c>
      <c r="AD120" s="4"/>
      <c r="AE120" s="4"/>
      <c r="AF120" s="4" t="str">
        <f>IFERROR(__xludf.DUMMYFUNCTION("""COMPUTED_VALUE"""),"BELUM")</f>
        <v>BELUM</v>
      </c>
      <c r="AG120" s="6">
        <f>IFERROR(__xludf.DUMMYFUNCTION("""COMPUTED_VALUE"""),46042.0)</f>
        <v>46042</v>
      </c>
      <c r="AH120" s="4"/>
      <c r="AI120" s="4"/>
    </row>
    <row r="121" ht="15.75" customHeight="1">
      <c r="A121" s="4" t="str">
        <f>IFERROR(__xludf.DUMMYFUNCTION("""COMPUTED_VALUE"""),"4cc6e557")</f>
        <v>4cc6e557</v>
      </c>
      <c r="B121" s="5">
        <f>IFERROR(__xludf.DUMMYFUNCTION("""COMPUTED_VALUE"""),46042.81215277778)</f>
        <v>46042.81215</v>
      </c>
      <c r="C121" s="4" t="str">
        <f>IFERROR(__xludf.DUMMYFUNCTION("""COMPUTED_VALUE"""),"-6.950126, 107.571896")</f>
        <v>-6.950126, 107.571896</v>
      </c>
      <c r="D121" s="4" t="str">
        <f>IFERROR(__xludf.DUMMYFUNCTION("""COMPUTED_VALUE"""),"fuad nugi")</f>
        <v>fuad nugi</v>
      </c>
      <c r="E121" s="4" t="str">
        <f>IFERROR(__xludf.DUMMYFUNCTION("""COMPUTED_VALUE"""),"BANDUNG")</f>
        <v>BANDUNG</v>
      </c>
      <c r="F121" s="4" t="str">
        <f>IFERROR(__xludf.DUMMYFUNCTION("""COMPUTED_VALUE"""),"KOPO")</f>
        <v>KOPO</v>
      </c>
      <c r="G121" s="4" t="str">
        <f>IFERROR(__xludf.DUMMYFUNCTION("""COMPUTED_VALUE"""),"NEW CIBEUREUM")</f>
        <v>NEW CIBEUREUM</v>
      </c>
      <c r="H121" s="4" t="str">
        <f>IFERROR(__xludf.DUMMYFUNCTION("""COMPUTED_VALUE"""),"WTHO")</f>
        <v>WTHO</v>
      </c>
      <c r="I121" s="4" t="str">
        <f>IFERROR(__xludf.DUMMYFUNCTION("""COMPUTED_VALUE"""),"LBS TKN - UJUNG")</f>
        <v>LBS TKN - UJUNG</v>
      </c>
      <c r="J121" s="4" t="str">
        <f>IFERROR(__xludf.DUMMYFUNCTION("""COMPUTED_VALUE"""),"ZONA 2")</f>
        <v>ZONA 2</v>
      </c>
      <c r="K121" s="4" t="str">
        <f>IFERROR(__xludf.DUMMYFUNCTION("""COMPUTED_VALUE"""),"031R08R04")</f>
        <v>031R08R04</v>
      </c>
      <c r="L121" s="4" t="str">
        <f>IFERROR(__xludf.DUMMYFUNCTION("""COMPUTED_VALUE"""),"TM - 7B/H (Afspan 90 Derajat)")</f>
        <v>TM - 7B/H (Afspan 90 Derajat)</v>
      </c>
      <c r="M121" s="4" t="str">
        <f>IFERROR(__xludf.DUMMYFUNCTION("""COMPUTED_VALUE"""),"Tidak Ada")</f>
        <v>Tidak Ada</v>
      </c>
      <c r="N121" s="4"/>
      <c r="O121" s="4" t="str">
        <f>IFERROR(__xludf.DUMMYFUNCTION("""COMPUTED_VALUE"""),"PEMBANDING SEJENIS")</f>
        <v>PEMBANDING SEJENIS</v>
      </c>
      <c r="P121" s="4" t="str">
        <f>IFERROR(__xludf.DUMMYFUNCTION("""COMPUTED_VALUE"""),"KONEKTOR/JUMPER")</f>
        <v>KONEKTOR/JUMPER</v>
      </c>
      <c r="Q121" s="4">
        <f>IFERROR(__xludf.DUMMYFUNCTION("""COMPUTED_VALUE"""),22.0)</f>
        <v>22</v>
      </c>
      <c r="R121" s="4">
        <f>IFERROR(__xludf.DUMMYFUNCTION("""COMPUTED_VALUE"""),23.0)</f>
        <v>23</v>
      </c>
      <c r="S121" s="4">
        <f>IFERROR(__xludf.DUMMYFUNCTION("""COMPUTED_VALUE"""),22.0)</f>
        <v>22</v>
      </c>
      <c r="T121" s="4"/>
      <c r="U121" s="4" t="str">
        <f>IFERROR(__xludf.DUMMYFUNCTION("""COMPUTED_VALUE"""),"BAIK")</f>
        <v>BAIK</v>
      </c>
      <c r="V121" s="4" t="str">
        <f>IFERROR(__xludf.DUMMYFUNCTION("""COMPUTED_VALUE"""),"Tidak Ada")</f>
        <v>Tidak Ada</v>
      </c>
      <c r="W121" s="4"/>
      <c r="X121" s="4"/>
      <c r="Y121" s="4"/>
      <c r="Z121" s="4"/>
      <c r="AA121" s="4"/>
      <c r="AB121" s="4"/>
      <c r="AC121" s="4" t="str">
        <f>IFERROR(__xludf.DUMMYFUNCTION("""COMPUTED_VALUE"""),"INSPEKSI SUTM - T2_Images/4cc6e557.FOTO.123028.jpg")</f>
        <v>INSPEKSI SUTM - T2_Images/4cc6e557.FOTO.123028.jpg</v>
      </c>
      <c r="AD121" s="4"/>
      <c r="AE121" s="4"/>
      <c r="AF121" s="4" t="str">
        <f>IFERROR(__xludf.DUMMYFUNCTION("""COMPUTED_VALUE"""),"BELUM")</f>
        <v>BELUM</v>
      </c>
      <c r="AG121" s="6">
        <f>IFERROR(__xludf.DUMMYFUNCTION("""COMPUTED_VALUE"""),46042.0)</f>
        <v>46042</v>
      </c>
      <c r="AH121" s="4"/>
      <c r="AI121" s="4"/>
    </row>
    <row r="122" ht="15.75" customHeight="1">
      <c r="A122" s="4" t="str">
        <f>IFERROR(__xludf.DUMMYFUNCTION("""COMPUTED_VALUE"""),"2c559c25")</f>
        <v>2c559c25</v>
      </c>
      <c r="B122" s="5">
        <f>IFERROR(__xludf.DUMMYFUNCTION("""COMPUTED_VALUE"""),46042.813252314816)</f>
        <v>46042.81325</v>
      </c>
      <c r="C122" s="4" t="str">
        <f>IFERROR(__xludf.DUMMYFUNCTION("""COMPUTED_VALUE"""),"-6.950126, 107.571896")</f>
        <v>-6.950126, 107.571896</v>
      </c>
      <c r="D122" s="4" t="str">
        <f>IFERROR(__xludf.DUMMYFUNCTION("""COMPUTED_VALUE"""),"fuad nugi")</f>
        <v>fuad nugi</v>
      </c>
      <c r="E122" s="4" t="str">
        <f>IFERROR(__xludf.DUMMYFUNCTION("""COMPUTED_VALUE"""),"BANDUNG")</f>
        <v>BANDUNG</v>
      </c>
      <c r="F122" s="4" t="str">
        <f>IFERROR(__xludf.DUMMYFUNCTION("""COMPUTED_VALUE"""),"KOPO")</f>
        <v>KOPO</v>
      </c>
      <c r="G122" s="4" t="str">
        <f>IFERROR(__xludf.DUMMYFUNCTION("""COMPUTED_VALUE"""),"NEW CIBEUREUM")</f>
        <v>NEW CIBEUREUM</v>
      </c>
      <c r="H122" s="4" t="str">
        <f>IFERROR(__xludf.DUMMYFUNCTION("""COMPUTED_VALUE"""),"WTHO")</f>
        <v>WTHO</v>
      </c>
      <c r="I122" s="4" t="str">
        <f>IFERROR(__xludf.DUMMYFUNCTION("""COMPUTED_VALUE"""),"LBS TKN - UJUNG")</f>
        <v>LBS TKN - UJUNG</v>
      </c>
      <c r="J122" s="4" t="str">
        <f>IFERROR(__xludf.DUMMYFUNCTION("""COMPUTED_VALUE"""),"ZONA 2")</f>
        <v>ZONA 2</v>
      </c>
      <c r="K122" s="4" t="str">
        <f>IFERROR(__xludf.DUMMYFUNCTION("""COMPUTED_VALUE"""),"033")</f>
        <v>033</v>
      </c>
      <c r="L122" s="4" t="str">
        <f>IFERROR(__xludf.DUMMYFUNCTION("""COMPUTED_VALUE"""),"TM - 8BC/HC (Percabangan dengan CO)")</f>
        <v>TM - 8BC/HC (Percabangan dengan CO)</v>
      </c>
      <c r="M122" s="4" t="str">
        <f>IFERROR(__xludf.DUMMYFUNCTION("""COMPUTED_VALUE"""),"FCO")</f>
        <v>FCO</v>
      </c>
      <c r="N122" s="4" t="str">
        <f>IFERROR(__xludf.DUMMYFUNCTION("""COMPUTED_VALUE"""),"-")</f>
        <v>-</v>
      </c>
      <c r="O122" s="4" t="str">
        <f>IFERROR(__xludf.DUMMYFUNCTION("""COMPUTED_VALUE"""),"PEMBANDING SEJENIS")</f>
        <v>PEMBANDING SEJENIS</v>
      </c>
      <c r="P122" s="4" t="str">
        <f>IFERROR(__xludf.DUMMYFUNCTION("""COMPUTED_VALUE"""),"FCO")</f>
        <v>FCO</v>
      </c>
      <c r="Q122" s="4">
        <f>IFERROR(__xludf.DUMMYFUNCTION("""COMPUTED_VALUE"""),24.0)</f>
        <v>24</v>
      </c>
      <c r="R122" s="4">
        <f>IFERROR(__xludf.DUMMYFUNCTION("""COMPUTED_VALUE"""),24.0)</f>
        <v>24</v>
      </c>
      <c r="S122" s="4">
        <f>IFERROR(__xludf.DUMMYFUNCTION("""COMPUTED_VALUE"""),25.0)</f>
        <v>25</v>
      </c>
      <c r="T122" s="4"/>
      <c r="U122" s="4" t="str">
        <f>IFERROR(__xludf.DUMMYFUNCTION("""COMPUTED_VALUE"""),"BAIK")</f>
        <v>BAIK</v>
      </c>
      <c r="V122" s="4" t="str">
        <f>IFERROR(__xludf.DUMMYFUNCTION("""COMPUTED_VALUE"""),"Tidak Ada")</f>
        <v>Tidak Ada</v>
      </c>
      <c r="W122" s="4"/>
      <c r="X122" s="4"/>
      <c r="Y122" s="4"/>
      <c r="Z122" s="4"/>
      <c r="AA122" s="4"/>
      <c r="AB122" s="4"/>
      <c r="AC122" s="4" t="str">
        <f>IFERROR(__xludf.DUMMYFUNCTION("""COMPUTED_VALUE"""),"INSPEKSI SUTM - T2_Images/2c559c25.FOTO.123537.jpg")</f>
        <v>INSPEKSI SUTM - T2_Images/2c559c25.FOTO.123537.jpg</v>
      </c>
      <c r="AD122" s="4"/>
      <c r="AE122" s="4"/>
      <c r="AF122" s="4" t="str">
        <f>IFERROR(__xludf.DUMMYFUNCTION("""COMPUTED_VALUE"""),"BELUM")</f>
        <v>BELUM</v>
      </c>
      <c r="AG122" s="6">
        <f>IFERROR(__xludf.DUMMYFUNCTION("""COMPUTED_VALUE"""),46042.0)</f>
        <v>46042</v>
      </c>
      <c r="AH122" s="4"/>
      <c r="AI122" s="4"/>
    </row>
    <row r="123" ht="15.75" customHeight="1">
      <c r="A123" s="4" t="str">
        <f>IFERROR(__xludf.DUMMYFUNCTION("""COMPUTED_VALUE"""),"203e34de")</f>
        <v>203e34de</v>
      </c>
      <c r="B123" s="5">
        <f>IFERROR(__xludf.DUMMYFUNCTION("""COMPUTED_VALUE"""),46042.81385416666)</f>
        <v>46042.81385</v>
      </c>
      <c r="C123" s="4" t="str">
        <f>IFERROR(__xludf.DUMMYFUNCTION("""COMPUTED_VALUE"""),"-6.950089, 107.571987")</f>
        <v>-6.950089, 107.571987</v>
      </c>
      <c r="D123" s="4" t="str">
        <f>IFERROR(__xludf.DUMMYFUNCTION("""COMPUTED_VALUE"""),"fuad nugi")</f>
        <v>fuad nugi</v>
      </c>
      <c r="E123" s="4" t="str">
        <f>IFERROR(__xludf.DUMMYFUNCTION("""COMPUTED_VALUE"""),"BANDUNG")</f>
        <v>BANDUNG</v>
      </c>
      <c r="F123" s="4" t="str">
        <f>IFERROR(__xludf.DUMMYFUNCTION("""COMPUTED_VALUE"""),"KOPO")</f>
        <v>KOPO</v>
      </c>
      <c r="G123" s="4" t="str">
        <f>IFERROR(__xludf.DUMMYFUNCTION("""COMPUTED_VALUE"""),"NEW CIBEUREUM")</f>
        <v>NEW CIBEUREUM</v>
      </c>
      <c r="H123" s="4" t="str">
        <f>IFERROR(__xludf.DUMMYFUNCTION("""COMPUTED_VALUE"""),"WTHO")</f>
        <v>WTHO</v>
      </c>
      <c r="I123" s="4" t="str">
        <f>IFERROR(__xludf.DUMMYFUNCTION("""COMPUTED_VALUE"""),"LBS TKN - UJUNG")</f>
        <v>LBS TKN - UJUNG</v>
      </c>
      <c r="J123" s="4" t="str">
        <f>IFERROR(__xludf.DUMMYFUNCTION("""COMPUTED_VALUE"""),"ZONA 2")</f>
        <v>ZONA 2</v>
      </c>
      <c r="K123" s="4" t="str">
        <f>IFERROR(__xludf.DUMMYFUNCTION("""COMPUTED_VALUE"""),"033L06")</f>
        <v>033L06</v>
      </c>
      <c r="L123" s="4" t="str">
        <f>IFERROR(__xludf.DUMMYFUNCTION("""COMPUTED_VALUE"""),"TM - 7B/H (Afspan 90 Derajat)")</f>
        <v>TM - 7B/H (Afspan 90 Derajat)</v>
      </c>
      <c r="M123" s="4" t="str">
        <f>IFERROR(__xludf.DUMMYFUNCTION("""COMPUTED_VALUE"""),"Tidak Ada")</f>
        <v>Tidak Ada</v>
      </c>
      <c r="N123" s="4"/>
      <c r="O123" s="4" t="str">
        <f>IFERROR(__xludf.DUMMYFUNCTION("""COMPUTED_VALUE"""),"PEMBANDING SEJENIS")</f>
        <v>PEMBANDING SEJENIS</v>
      </c>
      <c r="P123" s="4" t="str">
        <f>IFERROR(__xludf.DUMMYFUNCTION("""COMPUTED_VALUE"""),"KONEKTOR/JUMPER")</f>
        <v>KONEKTOR/JUMPER</v>
      </c>
      <c r="Q123" s="4">
        <f>IFERROR(__xludf.DUMMYFUNCTION("""COMPUTED_VALUE"""),23.0)</f>
        <v>23</v>
      </c>
      <c r="R123" s="4">
        <f>IFERROR(__xludf.DUMMYFUNCTION("""COMPUTED_VALUE"""),23.0)</f>
        <v>23</v>
      </c>
      <c r="S123" s="4">
        <f>IFERROR(__xludf.DUMMYFUNCTION("""COMPUTED_VALUE"""),22.0)</f>
        <v>22</v>
      </c>
      <c r="T123" s="4"/>
      <c r="U123" s="4" t="str">
        <f>IFERROR(__xludf.DUMMYFUNCTION("""COMPUTED_VALUE"""),"BAIK")</f>
        <v>BAIK</v>
      </c>
      <c r="V123" s="4" t="str">
        <f>IFERROR(__xludf.DUMMYFUNCTION("""COMPUTED_VALUE"""),"Tidak Ada")</f>
        <v>Tidak Ada</v>
      </c>
      <c r="W123" s="4"/>
      <c r="X123" s="4"/>
      <c r="Y123" s="4"/>
      <c r="Z123" s="4"/>
      <c r="AA123" s="4"/>
      <c r="AB123" s="4"/>
      <c r="AC123" s="4" t="str">
        <f>IFERROR(__xludf.DUMMYFUNCTION("""COMPUTED_VALUE"""),"INSPEKSI SUTM - T2_Images/203e34de.FOTO.123542.jpg")</f>
        <v>INSPEKSI SUTM - T2_Images/203e34de.FOTO.123542.jpg</v>
      </c>
      <c r="AD123" s="4"/>
      <c r="AE123" s="4"/>
      <c r="AF123" s="4" t="str">
        <f>IFERROR(__xludf.DUMMYFUNCTION("""COMPUTED_VALUE"""),"BELUM")</f>
        <v>BELUM</v>
      </c>
      <c r="AG123" s="6">
        <f>IFERROR(__xludf.DUMMYFUNCTION("""COMPUTED_VALUE"""),46042.0)</f>
        <v>46042</v>
      </c>
      <c r="AH123" s="4"/>
      <c r="AI123" s="4"/>
    </row>
    <row r="124" ht="15.75" customHeight="1">
      <c r="A124" s="4" t="str">
        <f>IFERROR(__xludf.DUMMYFUNCTION("""COMPUTED_VALUE"""),"37ed0fc6")</f>
        <v>37ed0fc6</v>
      </c>
      <c r="B124" s="5">
        <f>IFERROR(__xludf.DUMMYFUNCTION("""COMPUTED_VALUE"""),46042.81445601852)</f>
        <v>46042.81446</v>
      </c>
      <c r="C124" s="4" t="str">
        <f>IFERROR(__xludf.DUMMYFUNCTION("""COMPUTED_VALUE"""),"-6.950123, 107.571917")</f>
        <v>-6.950123, 107.571917</v>
      </c>
      <c r="D124" s="4" t="str">
        <f>IFERROR(__xludf.DUMMYFUNCTION("""COMPUTED_VALUE"""),"fuad nugi")</f>
        <v>fuad nugi</v>
      </c>
      <c r="E124" s="4" t="str">
        <f>IFERROR(__xludf.DUMMYFUNCTION("""COMPUTED_VALUE"""),"BANDUNG")</f>
        <v>BANDUNG</v>
      </c>
      <c r="F124" s="4" t="str">
        <f>IFERROR(__xludf.DUMMYFUNCTION("""COMPUTED_VALUE"""),"KOPO")</f>
        <v>KOPO</v>
      </c>
      <c r="G124" s="4" t="str">
        <f>IFERROR(__xludf.DUMMYFUNCTION("""COMPUTED_VALUE"""),"NEW CIBEUREUM")</f>
        <v>NEW CIBEUREUM</v>
      </c>
      <c r="H124" s="4" t="str">
        <f>IFERROR(__xludf.DUMMYFUNCTION("""COMPUTED_VALUE"""),"WTHO")</f>
        <v>WTHO</v>
      </c>
      <c r="I124" s="4" t="str">
        <f>IFERROR(__xludf.DUMMYFUNCTION("""COMPUTED_VALUE"""),"LBS TKN - UJUNG")</f>
        <v>LBS TKN - UJUNG</v>
      </c>
      <c r="J124" s="4" t="str">
        <f>IFERROR(__xludf.DUMMYFUNCTION("""COMPUTED_VALUE"""),"ZONA 2")</f>
        <v>ZONA 2</v>
      </c>
      <c r="K124" s="4" t="str">
        <f>IFERROR(__xludf.DUMMYFUNCTION("""COMPUTED_VALUE"""),"039")</f>
        <v>039</v>
      </c>
      <c r="L124" s="4" t="str">
        <f>IFERROR(__xludf.DUMMYFUNCTION("""COMPUTED_VALUE"""),"TM - 1B/H (Tumpu)")</f>
        <v>TM - 1B/H (Tumpu)</v>
      </c>
      <c r="M124" s="4" t="str">
        <f>IFERROR(__xludf.DUMMYFUNCTION("""COMPUTED_VALUE"""),"Tidak Ada")</f>
        <v>Tidak Ada</v>
      </c>
      <c r="N124" s="4"/>
      <c r="O124" s="4" t="str">
        <f>IFERROR(__xludf.DUMMYFUNCTION("""COMPUTED_VALUE"""),"PEMBANDING SEJENIS")</f>
        <v>PEMBANDING SEJENIS</v>
      </c>
      <c r="P124" s="4" t="str">
        <f>IFERROR(__xludf.DUMMYFUNCTION("""COMPUTED_VALUE"""),"ARRESTER")</f>
        <v>ARRESTER</v>
      </c>
      <c r="Q124" s="4">
        <f>IFERROR(__xludf.DUMMYFUNCTION("""COMPUTED_VALUE"""),23.0)</f>
        <v>23</v>
      </c>
      <c r="R124" s="4">
        <f>IFERROR(__xludf.DUMMYFUNCTION("""COMPUTED_VALUE"""),23.0)</f>
        <v>23</v>
      </c>
      <c r="S124" s="4">
        <f>IFERROR(__xludf.DUMMYFUNCTION("""COMPUTED_VALUE"""),23.0)</f>
        <v>23</v>
      </c>
      <c r="T124" s="4"/>
      <c r="U124" s="4" t="str">
        <f>IFERROR(__xludf.DUMMYFUNCTION("""COMPUTED_VALUE"""),"BAIK")</f>
        <v>BAIK</v>
      </c>
      <c r="V124" s="4" t="str">
        <f>IFERROR(__xludf.DUMMYFUNCTION("""COMPUTED_VALUE"""),"Tidak Ada")</f>
        <v>Tidak Ada</v>
      </c>
      <c r="W124" s="4"/>
      <c r="X124" s="4"/>
      <c r="Y124" s="4"/>
      <c r="Z124" s="4"/>
      <c r="AA124" s="4"/>
      <c r="AB124" s="4"/>
      <c r="AC124" s="4" t="str">
        <f>IFERROR(__xludf.DUMMYFUNCTION("""COMPUTED_VALUE"""),"INSPEKSI SUTM - T2_Images/37ed0fc6.FOTO.123546.jpg")</f>
        <v>INSPEKSI SUTM - T2_Images/37ed0fc6.FOTO.123546.jpg</v>
      </c>
      <c r="AD124" s="4"/>
      <c r="AE124" s="4"/>
      <c r="AF124" s="4" t="str">
        <f>IFERROR(__xludf.DUMMYFUNCTION("""COMPUTED_VALUE"""),"BELUM")</f>
        <v>BELUM</v>
      </c>
      <c r="AG124" s="6">
        <f>IFERROR(__xludf.DUMMYFUNCTION("""COMPUTED_VALUE"""),46042.0)</f>
        <v>46042</v>
      </c>
      <c r="AH124" s="4"/>
      <c r="AI124" s="4"/>
    </row>
    <row r="125" ht="15.75" customHeight="1">
      <c r="A125" s="4" t="str">
        <f>IFERROR(__xludf.DUMMYFUNCTION("""COMPUTED_VALUE"""),"c743f27e")</f>
        <v>c743f27e</v>
      </c>
      <c r="B125" s="5">
        <f>IFERROR(__xludf.DUMMYFUNCTION("""COMPUTED_VALUE"""),46042.81508101852)</f>
        <v>46042.81508</v>
      </c>
      <c r="C125" s="4" t="str">
        <f>IFERROR(__xludf.DUMMYFUNCTION("""COMPUTED_VALUE"""),"-6.950126, 107.572003")</f>
        <v>-6.950126, 107.572003</v>
      </c>
      <c r="D125" s="4" t="str">
        <f>IFERROR(__xludf.DUMMYFUNCTION("""COMPUTED_VALUE"""),"fuad nugi")</f>
        <v>fuad nugi</v>
      </c>
      <c r="E125" s="4" t="str">
        <f>IFERROR(__xludf.DUMMYFUNCTION("""COMPUTED_VALUE"""),"BANDUNG")</f>
        <v>BANDUNG</v>
      </c>
      <c r="F125" s="4" t="str">
        <f>IFERROR(__xludf.DUMMYFUNCTION("""COMPUTED_VALUE"""),"KOPO")</f>
        <v>KOPO</v>
      </c>
      <c r="G125" s="4" t="str">
        <f>IFERROR(__xludf.DUMMYFUNCTION("""COMPUTED_VALUE"""),"NEW CIBEUREUM")</f>
        <v>NEW CIBEUREUM</v>
      </c>
      <c r="H125" s="4" t="str">
        <f>IFERROR(__xludf.DUMMYFUNCTION("""COMPUTED_VALUE"""),"WTHO")</f>
        <v>WTHO</v>
      </c>
      <c r="I125" s="4" t="str">
        <f>IFERROR(__xludf.DUMMYFUNCTION("""COMPUTED_VALUE"""),"LBS TKN - UJUNG")</f>
        <v>LBS TKN - UJUNG</v>
      </c>
      <c r="J125" s="4" t="str">
        <f>IFERROR(__xludf.DUMMYFUNCTION("""COMPUTED_VALUE"""),"ZONA 2")</f>
        <v>ZONA 2</v>
      </c>
      <c r="K125" s="4" t="str">
        <f>IFERROR(__xludf.DUMMYFUNCTION("""COMPUTED_VALUE"""),"040")</f>
        <v>040</v>
      </c>
      <c r="L125" s="4" t="str">
        <f>IFERROR(__xludf.DUMMYFUNCTION("""COMPUTED_VALUE"""),"TM - 8B/H (Percabangan)")</f>
        <v>TM - 8B/H (Percabangan)</v>
      </c>
      <c r="M125" s="4" t="str">
        <f>IFERROR(__xludf.DUMMYFUNCTION("""COMPUTED_VALUE"""),"Tidak Ada")</f>
        <v>Tidak Ada</v>
      </c>
      <c r="N125" s="4"/>
      <c r="O125" s="4" t="str">
        <f>IFERROR(__xludf.DUMMYFUNCTION("""COMPUTED_VALUE"""),"PEMBANDING SEJENIS")</f>
        <v>PEMBANDING SEJENIS</v>
      </c>
      <c r="P125" s="4" t="str">
        <f>IFERROR(__xludf.DUMMYFUNCTION("""COMPUTED_VALUE"""),"KONEKTOR/JUMPER")</f>
        <v>KONEKTOR/JUMPER</v>
      </c>
      <c r="Q125" s="4">
        <f>IFERROR(__xludf.DUMMYFUNCTION("""COMPUTED_VALUE"""),22.0)</f>
        <v>22</v>
      </c>
      <c r="R125" s="4">
        <f>IFERROR(__xludf.DUMMYFUNCTION("""COMPUTED_VALUE"""),22.0)</f>
        <v>22</v>
      </c>
      <c r="S125" s="4">
        <f>IFERROR(__xludf.DUMMYFUNCTION("""COMPUTED_VALUE"""),22.0)</f>
        <v>22</v>
      </c>
      <c r="T125" s="4"/>
      <c r="U125" s="4" t="str">
        <f>IFERROR(__xludf.DUMMYFUNCTION("""COMPUTED_VALUE"""),"BAIK")</f>
        <v>BAIK</v>
      </c>
      <c r="V125" s="4" t="str">
        <f>IFERROR(__xludf.DUMMYFUNCTION("""COMPUTED_VALUE"""),"Tidak Ada")</f>
        <v>Tidak Ada</v>
      </c>
      <c r="W125" s="4"/>
      <c r="X125" s="4"/>
      <c r="Y125" s="4"/>
      <c r="Z125" s="4"/>
      <c r="AA125" s="4"/>
      <c r="AB125" s="4"/>
      <c r="AC125" s="4" t="str">
        <f>IFERROR(__xludf.DUMMYFUNCTION("""COMPUTED_VALUE"""),"INSPEKSI SUTM - T2_Images/c743f27e.FOTO.123550.jpg")</f>
        <v>INSPEKSI SUTM - T2_Images/c743f27e.FOTO.123550.jpg</v>
      </c>
      <c r="AD125" s="4"/>
      <c r="AE125" s="4"/>
      <c r="AF125" s="4" t="str">
        <f>IFERROR(__xludf.DUMMYFUNCTION("""COMPUTED_VALUE"""),"BELUM")</f>
        <v>BELUM</v>
      </c>
      <c r="AG125" s="6">
        <f>IFERROR(__xludf.DUMMYFUNCTION("""COMPUTED_VALUE"""),46042.0)</f>
        <v>46042</v>
      </c>
      <c r="AH125" s="4"/>
      <c r="AI125" s="4"/>
    </row>
    <row r="126" ht="15.75" customHeight="1">
      <c r="A126" s="4" t="str">
        <f>IFERROR(__xludf.DUMMYFUNCTION("""COMPUTED_VALUE"""),"402f37f7")</f>
        <v>402f37f7</v>
      </c>
      <c r="B126" s="5">
        <f>IFERROR(__xludf.DUMMYFUNCTION("""COMPUTED_VALUE"""),46042.81554398148)</f>
        <v>46042.81554</v>
      </c>
      <c r="C126" s="4" t="str">
        <f>IFERROR(__xludf.DUMMYFUNCTION("""COMPUTED_VALUE"""),"-6.950123, 107.571953")</f>
        <v>-6.950123, 107.571953</v>
      </c>
      <c r="D126" s="4" t="str">
        <f>IFERROR(__xludf.DUMMYFUNCTION("""COMPUTED_VALUE"""),"fuad nugi")</f>
        <v>fuad nugi</v>
      </c>
      <c r="E126" s="4" t="str">
        <f>IFERROR(__xludf.DUMMYFUNCTION("""COMPUTED_VALUE"""),"BANDUNG")</f>
        <v>BANDUNG</v>
      </c>
      <c r="F126" s="4" t="str">
        <f>IFERROR(__xludf.DUMMYFUNCTION("""COMPUTED_VALUE"""),"KOPO")</f>
        <v>KOPO</v>
      </c>
      <c r="G126" s="4" t="str">
        <f>IFERROR(__xludf.DUMMYFUNCTION("""COMPUTED_VALUE"""),"NEW CIBEUREUM")</f>
        <v>NEW CIBEUREUM</v>
      </c>
      <c r="H126" s="4" t="str">
        <f>IFERROR(__xludf.DUMMYFUNCTION("""COMPUTED_VALUE"""),"WTHO")</f>
        <v>WTHO</v>
      </c>
      <c r="I126" s="4" t="str">
        <f>IFERROR(__xludf.DUMMYFUNCTION("""COMPUTED_VALUE"""),"LBS TKN - UJUNG")</f>
        <v>LBS TKN - UJUNG</v>
      </c>
      <c r="J126" s="4" t="str">
        <f>IFERROR(__xludf.DUMMYFUNCTION("""COMPUTED_VALUE"""),"ZONA 2")</f>
        <v>ZONA 2</v>
      </c>
      <c r="K126" s="4" t="str">
        <f>IFERROR(__xludf.DUMMYFUNCTION("""COMPUTED_VALUE"""),"041")</f>
        <v>041</v>
      </c>
      <c r="L126" s="4" t="str">
        <f>IFERROR(__xludf.DUMMYFUNCTION("""COMPUTED_VALUE"""),"TM - 8B/H (Percabangan)")</f>
        <v>TM - 8B/H (Percabangan)</v>
      </c>
      <c r="M126" s="4" t="str">
        <f>IFERROR(__xludf.DUMMYFUNCTION("""COMPUTED_VALUE"""),"Tidak Ada")</f>
        <v>Tidak Ada</v>
      </c>
      <c r="N126" s="4"/>
      <c r="O126" s="4" t="str">
        <f>IFERROR(__xludf.DUMMYFUNCTION("""COMPUTED_VALUE"""),"PEMBANDING SEJENIS")</f>
        <v>PEMBANDING SEJENIS</v>
      </c>
      <c r="P126" s="4" t="str">
        <f>IFERROR(__xludf.DUMMYFUNCTION("""COMPUTED_VALUE"""),"KONEKTOR/JUMPER")</f>
        <v>KONEKTOR/JUMPER</v>
      </c>
      <c r="Q126" s="4">
        <f>IFERROR(__xludf.DUMMYFUNCTION("""COMPUTED_VALUE"""),22.0)</f>
        <v>22</v>
      </c>
      <c r="R126" s="4">
        <f>IFERROR(__xludf.DUMMYFUNCTION("""COMPUTED_VALUE"""),22.0)</f>
        <v>22</v>
      </c>
      <c r="S126" s="4">
        <f>IFERROR(__xludf.DUMMYFUNCTION("""COMPUTED_VALUE"""),23.0)</f>
        <v>23</v>
      </c>
      <c r="T126" s="4"/>
      <c r="U126" s="4" t="str">
        <f>IFERROR(__xludf.DUMMYFUNCTION("""COMPUTED_VALUE"""),"BAIK")</f>
        <v>BAIK</v>
      </c>
      <c r="V126" s="4" t="str">
        <f>IFERROR(__xludf.DUMMYFUNCTION("""COMPUTED_VALUE"""),"Tidak Ada")</f>
        <v>Tidak Ada</v>
      </c>
      <c r="W126" s="4"/>
      <c r="X126" s="4"/>
      <c r="Y126" s="4"/>
      <c r="Z126" s="4"/>
      <c r="AA126" s="4"/>
      <c r="AB126" s="4"/>
      <c r="AC126" s="4" t="str">
        <f>IFERROR(__xludf.DUMMYFUNCTION("""COMPUTED_VALUE"""),"INSPEKSI SUTM - T2_Images/402f37f7.FOTO.123554.jpg")</f>
        <v>INSPEKSI SUTM - T2_Images/402f37f7.FOTO.123554.jpg</v>
      </c>
      <c r="AD126" s="4"/>
      <c r="AE126" s="4"/>
      <c r="AF126" s="4" t="str">
        <f>IFERROR(__xludf.DUMMYFUNCTION("""COMPUTED_VALUE"""),"BELUM")</f>
        <v>BELUM</v>
      </c>
      <c r="AG126" s="6">
        <f>IFERROR(__xludf.DUMMYFUNCTION("""COMPUTED_VALUE"""),46042.0)</f>
        <v>46042</v>
      </c>
      <c r="AH126" s="4"/>
      <c r="AI126" s="4"/>
    </row>
    <row r="127" ht="15.75" customHeight="1">
      <c r="A127" s="4" t="str">
        <f>IFERROR(__xludf.DUMMYFUNCTION("""COMPUTED_VALUE"""),"01fea4d3")</f>
        <v>01fea4d3</v>
      </c>
      <c r="B127" s="5">
        <f>IFERROR(__xludf.DUMMYFUNCTION("""COMPUTED_VALUE"""),46042.81597222222)</f>
        <v>46042.81597</v>
      </c>
      <c r="C127" s="4" t="str">
        <f>IFERROR(__xludf.DUMMYFUNCTION("""COMPUTED_VALUE"""),"-6.950122, 107.571963")</f>
        <v>-6.950122, 107.571963</v>
      </c>
      <c r="D127" s="4" t="str">
        <f>IFERROR(__xludf.DUMMYFUNCTION("""COMPUTED_VALUE"""),"fuad nugi")</f>
        <v>fuad nugi</v>
      </c>
      <c r="E127" s="4" t="str">
        <f>IFERROR(__xludf.DUMMYFUNCTION("""COMPUTED_VALUE"""),"BANDUNG")</f>
        <v>BANDUNG</v>
      </c>
      <c r="F127" s="4" t="str">
        <f>IFERROR(__xludf.DUMMYFUNCTION("""COMPUTED_VALUE"""),"KOPO")</f>
        <v>KOPO</v>
      </c>
      <c r="G127" s="4" t="str">
        <f>IFERROR(__xludf.DUMMYFUNCTION("""COMPUTED_VALUE"""),"NEW CIBEUREUM")</f>
        <v>NEW CIBEUREUM</v>
      </c>
      <c r="H127" s="4" t="str">
        <f>IFERROR(__xludf.DUMMYFUNCTION("""COMPUTED_VALUE"""),"WTHO")</f>
        <v>WTHO</v>
      </c>
      <c r="I127" s="4" t="str">
        <f>IFERROR(__xludf.DUMMYFUNCTION("""COMPUTED_VALUE"""),"LBS TKN - UJUNG")</f>
        <v>LBS TKN - UJUNG</v>
      </c>
      <c r="J127" s="4" t="str">
        <f>IFERROR(__xludf.DUMMYFUNCTION("""COMPUTED_VALUE"""),"ZONA 2")</f>
        <v>ZONA 2</v>
      </c>
      <c r="K127" s="4" t="str">
        <f>IFERROR(__xludf.DUMMYFUNCTION("""COMPUTED_VALUE"""),"044")</f>
        <v>044</v>
      </c>
      <c r="L127" s="4" t="str">
        <f>IFERROR(__xludf.DUMMYFUNCTION("""COMPUTED_VALUE"""),"TM - 14B/H (Akhir)")</f>
        <v>TM - 14B/H (Akhir)</v>
      </c>
      <c r="M127" s="4" t="str">
        <f>IFERROR(__xludf.DUMMYFUNCTION("""COMPUTED_VALUE"""),"Tidak Ada")</f>
        <v>Tidak Ada</v>
      </c>
      <c r="N127" s="4"/>
      <c r="O127" s="4" t="str">
        <f>IFERROR(__xludf.DUMMYFUNCTION("""COMPUTED_VALUE"""),"PEMBANDING SEJENIS")</f>
        <v>PEMBANDING SEJENIS</v>
      </c>
      <c r="P127" s="4" t="str">
        <f>IFERROR(__xludf.DUMMYFUNCTION("""COMPUTED_VALUE"""),"TERMINASI")</f>
        <v>TERMINASI</v>
      </c>
      <c r="Q127" s="4">
        <f>IFERROR(__xludf.DUMMYFUNCTION("""COMPUTED_VALUE"""),22.0)</f>
        <v>22</v>
      </c>
      <c r="R127" s="4">
        <f>IFERROR(__xludf.DUMMYFUNCTION("""COMPUTED_VALUE"""),23.0)</f>
        <v>23</v>
      </c>
      <c r="S127" s="4">
        <f>IFERROR(__xludf.DUMMYFUNCTION("""COMPUTED_VALUE"""),21.0)</f>
        <v>21</v>
      </c>
      <c r="T127" s="4"/>
      <c r="U127" s="4" t="str">
        <f>IFERROR(__xludf.DUMMYFUNCTION("""COMPUTED_VALUE"""),"BAIK")</f>
        <v>BAIK</v>
      </c>
      <c r="V127" s="4" t="str">
        <f>IFERROR(__xludf.DUMMYFUNCTION("""COMPUTED_VALUE"""),"Tidak Ada")</f>
        <v>Tidak Ada</v>
      </c>
      <c r="W127" s="4"/>
      <c r="X127" s="4"/>
      <c r="Y127" s="4"/>
      <c r="Z127" s="4"/>
      <c r="AA127" s="4"/>
      <c r="AB127" s="4"/>
      <c r="AC127" s="4" t="str">
        <f>IFERROR(__xludf.DUMMYFUNCTION("""COMPUTED_VALUE"""),"INSPEKSI SUTM - T2_Images/01fea4d3.FOTO.123558.jpg")</f>
        <v>INSPEKSI SUTM - T2_Images/01fea4d3.FOTO.123558.jpg</v>
      </c>
      <c r="AD127" s="4"/>
      <c r="AE127" s="4"/>
      <c r="AF127" s="4" t="str">
        <f>IFERROR(__xludf.DUMMYFUNCTION("""COMPUTED_VALUE"""),"BELUM")</f>
        <v>BELUM</v>
      </c>
      <c r="AG127" s="6">
        <f>IFERROR(__xludf.DUMMYFUNCTION("""COMPUTED_VALUE"""),46042.0)</f>
        <v>46042</v>
      </c>
      <c r="AH127" s="4"/>
      <c r="AI127" s="4"/>
    </row>
    <row r="128" ht="15.75" customHeight="1">
      <c r="A128" s="4" t="str">
        <f>IFERROR(__xludf.DUMMYFUNCTION("""COMPUTED_VALUE"""),"3de433fb")</f>
        <v>3de433fb</v>
      </c>
      <c r="B128" s="5">
        <f>IFERROR(__xludf.DUMMYFUNCTION("""COMPUTED_VALUE"""),46042.81699074074)</f>
        <v>46042.81699</v>
      </c>
      <c r="C128" s="4" t="str">
        <f>IFERROR(__xludf.DUMMYFUNCTION("""COMPUTED_VALUE"""),"-6.950102, 107.571970")</f>
        <v>-6.950102, 107.571970</v>
      </c>
      <c r="D128" s="4" t="str">
        <f>IFERROR(__xludf.DUMMYFUNCTION("""COMPUTED_VALUE"""),"fuad nugi")</f>
        <v>fuad nugi</v>
      </c>
      <c r="E128" s="4" t="str">
        <f>IFERROR(__xludf.DUMMYFUNCTION("""COMPUTED_VALUE"""),"BANDUNG")</f>
        <v>BANDUNG</v>
      </c>
      <c r="F128" s="4" t="str">
        <f>IFERROR(__xludf.DUMMYFUNCTION("""COMPUTED_VALUE"""),"KOPO")</f>
        <v>KOPO</v>
      </c>
      <c r="G128" s="4" t="str">
        <f>IFERROR(__xludf.DUMMYFUNCTION("""COMPUTED_VALUE"""),"NEW CIBEUREUM")</f>
        <v>NEW CIBEUREUM</v>
      </c>
      <c r="H128" s="4" t="str">
        <f>IFERROR(__xludf.DUMMYFUNCTION("""COMPUTED_VALUE"""),"WTHO")</f>
        <v>WTHO</v>
      </c>
      <c r="I128" s="4" t="str">
        <f>IFERROR(__xludf.DUMMYFUNCTION("""COMPUTED_VALUE"""),"LBS KIC - UJUNG")</f>
        <v>LBS KIC - UJUNG</v>
      </c>
      <c r="J128" s="4" t="str">
        <f>IFERROR(__xludf.DUMMYFUNCTION("""COMPUTED_VALUE"""),"ZONA 2")</f>
        <v>ZONA 2</v>
      </c>
      <c r="K128" s="4" t="str">
        <f>IFERROR(__xludf.DUMMYFUNCTION("""COMPUTED_VALUE"""),"023R04")</f>
        <v>023R04</v>
      </c>
      <c r="L128" s="4" t="str">
        <f>IFERROR(__xludf.DUMMYFUNCTION("""COMPUTED_VALUE"""),"TM - 16B/H (REC/SSO/LBS)")</f>
        <v>TM - 16B/H (REC/SSO/LBS)</v>
      </c>
      <c r="M128" s="4" t="str">
        <f>IFERROR(__xludf.DUMMYFUNCTION("""COMPUTED_VALUE"""),"LBS")</f>
        <v>LBS</v>
      </c>
      <c r="N128" s="4" t="str">
        <f>IFERROR(__xludf.DUMMYFUNCTION("""COMPUTED_VALUE"""),"kic")</f>
        <v>kic</v>
      </c>
      <c r="O128" s="4" t="str">
        <f>IFERROR(__xludf.DUMMYFUNCTION("""COMPUTED_VALUE"""),"PEMBANDING SEJENIS")</f>
        <v>PEMBANDING SEJENIS</v>
      </c>
      <c r="P128" s="4" t="str">
        <f>IFERROR(__xludf.DUMMYFUNCTION("""COMPUTED_VALUE"""),"KONEKTOR/JUMPER")</f>
        <v>KONEKTOR/JUMPER</v>
      </c>
      <c r="Q128" s="4">
        <f>IFERROR(__xludf.DUMMYFUNCTION("""COMPUTED_VALUE"""),23.0)</f>
        <v>23</v>
      </c>
      <c r="R128" s="4">
        <f>IFERROR(__xludf.DUMMYFUNCTION("""COMPUTED_VALUE"""),21.0)</f>
        <v>21</v>
      </c>
      <c r="S128" s="4">
        <f>IFERROR(__xludf.DUMMYFUNCTION("""COMPUTED_VALUE"""),22.0)</f>
        <v>22</v>
      </c>
      <c r="T128" s="4"/>
      <c r="U128" s="4" t="str">
        <f>IFERROR(__xludf.DUMMYFUNCTION("""COMPUTED_VALUE"""),"BAIK")</f>
        <v>BAIK</v>
      </c>
      <c r="V128" s="4" t="str">
        <f>IFERROR(__xludf.DUMMYFUNCTION("""COMPUTED_VALUE"""),"Tidak Ada")</f>
        <v>Tidak Ada</v>
      </c>
      <c r="W128" s="4"/>
      <c r="X128" s="4"/>
      <c r="Y128" s="4"/>
      <c r="Z128" s="4"/>
      <c r="AA128" s="4"/>
      <c r="AB128" s="4"/>
      <c r="AC128" s="4" t="str">
        <f>IFERROR(__xludf.DUMMYFUNCTION("""COMPUTED_VALUE"""),"INSPEKSI SUTM - T2_Images/3de433fb.FOTO.123717.jpg")</f>
        <v>INSPEKSI SUTM - T2_Images/3de433fb.FOTO.123717.jpg</v>
      </c>
      <c r="AD128" s="4"/>
      <c r="AE128" s="4"/>
      <c r="AF128" s="4" t="str">
        <f>IFERROR(__xludf.DUMMYFUNCTION("""COMPUTED_VALUE"""),"BELUM")</f>
        <v>BELUM</v>
      </c>
      <c r="AG128" s="6">
        <f>IFERROR(__xludf.DUMMYFUNCTION("""COMPUTED_VALUE"""),46042.0)</f>
        <v>46042</v>
      </c>
      <c r="AH128" s="4"/>
      <c r="AI128" s="4"/>
    </row>
    <row r="129" ht="15.75" customHeight="1">
      <c r="A129" s="4" t="str">
        <f>IFERROR(__xludf.DUMMYFUNCTION("""COMPUTED_VALUE"""),"b3c82dc1")</f>
        <v>b3c82dc1</v>
      </c>
      <c r="B129" s="5">
        <f>IFERROR(__xludf.DUMMYFUNCTION("""COMPUTED_VALUE"""),46042.81759259259)</f>
        <v>46042.81759</v>
      </c>
      <c r="C129" s="4" t="str">
        <f>IFERROR(__xludf.DUMMYFUNCTION("""COMPUTED_VALUE"""),"-6.950105, 107.572011")</f>
        <v>-6.950105, 107.572011</v>
      </c>
      <c r="D129" s="4" t="str">
        <f>IFERROR(__xludf.DUMMYFUNCTION("""COMPUTED_VALUE"""),"fuad nugi")</f>
        <v>fuad nugi</v>
      </c>
      <c r="E129" s="4" t="str">
        <f>IFERROR(__xludf.DUMMYFUNCTION("""COMPUTED_VALUE"""),"BANDUNG")</f>
        <v>BANDUNG</v>
      </c>
      <c r="F129" s="4" t="str">
        <f>IFERROR(__xludf.DUMMYFUNCTION("""COMPUTED_VALUE"""),"KOPO")</f>
        <v>KOPO</v>
      </c>
      <c r="G129" s="4" t="str">
        <f>IFERROR(__xludf.DUMMYFUNCTION("""COMPUTED_VALUE"""),"NEW CIBEUREUM")</f>
        <v>NEW CIBEUREUM</v>
      </c>
      <c r="H129" s="4" t="str">
        <f>IFERROR(__xludf.DUMMYFUNCTION("""COMPUTED_VALUE"""),"WTHO")</f>
        <v>WTHO</v>
      </c>
      <c r="I129" s="4" t="str">
        <f>IFERROR(__xludf.DUMMYFUNCTION("""COMPUTED_VALUE"""),"LBS KIC - UJUNG")</f>
        <v>LBS KIC - UJUNG</v>
      </c>
      <c r="J129" s="4" t="str">
        <f>IFERROR(__xludf.DUMMYFUNCTION("""COMPUTED_VALUE"""),"ZONA 2")</f>
        <v>ZONA 2</v>
      </c>
      <c r="K129" s="4" t="str">
        <f>IFERROR(__xludf.DUMMYFUNCTION("""COMPUTED_VALUE"""),"023R05")</f>
        <v>023R05</v>
      </c>
      <c r="L129" s="4" t="str">
        <f>IFERROR(__xludf.DUMMYFUNCTION("""COMPUTED_VALUE"""),"TM - 8B/H (Percabangan)")</f>
        <v>TM - 8B/H (Percabangan)</v>
      </c>
      <c r="M129" s="4" t="str">
        <f>IFERROR(__xludf.DUMMYFUNCTION("""COMPUTED_VALUE"""),"Tidak Ada")</f>
        <v>Tidak Ada</v>
      </c>
      <c r="N129" s="4"/>
      <c r="O129" s="4" t="str">
        <f>IFERROR(__xludf.DUMMYFUNCTION("""COMPUTED_VALUE"""),"PEMBANDING SEJENIS")</f>
        <v>PEMBANDING SEJENIS</v>
      </c>
      <c r="P129" s="4" t="str">
        <f>IFERROR(__xludf.DUMMYFUNCTION("""COMPUTED_VALUE"""),"KONEKTOR/JUMPER")</f>
        <v>KONEKTOR/JUMPER</v>
      </c>
      <c r="Q129" s="4">
        <f>IFERROR(__xludf.DUMMYFUNCTION("""COMPUTED_VALUE"""),22.0)</f>
        <v>22</v>
      </c>
      <c r="R129" s="4">
        <f>IFERROR(__xludf.DUMMYFUNCTION("""COMPUTED_VALUE"""),22.0)</f>
        <v>22</v>
      </c>
      <c r="S129" s="4">
        <f>IFERROR(__xludf.DUMMYFUNCTION("""COMPUTED_VALUE"""),23.0)</f>
        <v>23</v>
      </c>
      <c r="T129" s="4"/>
      <c r="U129" s="4" t="str">
        <f>IFERROR(__xludf.DUMMYFUNCTION("""COMPUTED_VALUE"""),"BAIK")</f>
        <v>BAIK</v>
      </c>
      <c r="V129" s="4" t="str">
        <f>IFERROR(__xludf.DUMMYFUNCTION("""COMPUTED_VALUE"""),"Tidak Ada")</f>
        <v>Tidak Ada</v>
      </c>
      <c r="W129" s="4"/>
      <c r="X129" s="4"/>
      <c r="Y129" s="4"/>
      <c r="Z129" s="4"/>
      <c r="AA129" s="4"/>
      <c r="AB129" s="4"/>
      <c r="AC129" s="4" t="str">
        <f>IFERROR(__xludf.DUMMYFUNCTION("""COMPUTED_VALUE"""),"INSPEKSI SUTM - T2_Images/b3c82dc1.FOTO.123814.jpg")</f>
        <v>INSPEKSI SUTM - T2_Images/b3c82dc1.FOTO.123814.jpg</v>
      </c>
      <c r="AD129" s="4"/>
      <c r="AE129" s="4"/>
      <c r="AF129" s="4" t="str">
        <f>IFERROR(__xludf.DUMMYFUNCTION("""COMPUTED_VALUE"""),"BELUM")</f>
        <v>BELUM</v>
      </c>
      <c r="AG129" s="6">
        <f>IFERROR(__xludf.DUMMYFUNCTION("""COMPUTED_VALUE"""),46042.0)</f>
        <v>46042</v>
      </c>
      <c r="AH129" s="4"/>
      <c r="AI129" s="4"/>
    </row>
    <row r="130" ht="15.75" customHeight="1">
      <c r="A130" s="4" t="str">
        <f>IFERROR(__xludf.DUMMYFUNCTION("""COMPUTED_VALUE"""),"f43ea569")</f>
        <v>f43ea569</v>
      </c>
      <c r="B130" s="5">
        <f>IFERROR(__xludf.DUMMYFUNCTION("""COMPUTED_VALUE"""),46042.81826388889)</f>
        <v>46042.81826</v>
      </c>
      <c r="C130" s="4" t="str">
        <f>IFERROR(__xludf.DUMMYFUNCTION("""COMPUTED_VALUE"""),"-6.950109, 107.572039")</f>
        <v>-6.950109, 107.572039</v>
      </c>
      <c r="D130" s="4" t="str">
        <f>IFERROR(__xludf.DUMMYFUNCTION("""COMPUTED_VALUE"""),"fuad nugi")</f>
        <v>fuad nugi</v>
      </c>
      <c r="E130" s="4" t="str">
        <f>IFERROR(__xludf.DUMMYFUNCTION("""COMPUTED_VALUE"""),"BANDUNG")</f>
        <v>BANDUNG</v>
      </c>
      <c r="F130" s="4" t="str">
        <f>IFERROR(__xludf.DUMMYFUNCTION("""COMPUTED_VALUE"""),"KOPO")</f>
        <v>KOPO</v>
      </c>
      <c r="G130" s="4" t="str">
        <f>IFERROR(__xludf.DUMMYFUNCTION("""COMPUTED_VALUE"""),"NEW CIBEUREUM")</f>
        <v>NEW CIBEUREUM</v>
      </c>
      <c r="H130" s="4" t="str">
        <f>IFERROR(__xludf.DUMMYFUNCTION("""COMPUTED_VALUE"""),"WTHO")</f>
        <v>WTHO</v>
      </c>
      <c r="I130" s="4" t="str">
        <f>IFERROR(__xludf.DUMMYFUNCTION("""COMPUTED_VALUE"""),"LBS KIC - UJUNG")</f>
        <v>LBS KIC - UJUNG</v>
      </c>
      <c r="J130" s="4" t="str">
        <f>IFERROR(__xludf.DUMMYFUNCTION("""COMPUTED_VALUE"""),"ZONA 2")</f>
        <v>ZONA 2</v>
      </c>
      <c r="K130" s="4" t="str">
        <f>IFERROR(__xludf.DUMMYFUNCTION("""COMPUTED_VALUE"""),"023R05L03")</f>
        <v>023R05L03</v>
      </c>
      <c r="L130" s="4" t="str">
        <f>IFERROR(__xludf.DUMMYFUNCTION("""COMPUTED_VALUE"""),"TM - 13B/H (Kabel Naik Pada Tiang Tumpu)")</f>
        <v>TM - 13B/H (Kabel Naik Pada Tiang Tumpu)</v>
      </c>
      <c r="M130" s="4" t="str">
        <f>IFERROR(__xludf.DUMMYFUNCTION("""COMPUTED_VALUE"""),"Tidak Ada")</f>
        <v>Tidak Ada</v>
      </c>
      <c r="N130" s="4"/>
      <c r="O130" s="4" t="str">
        <f>IFERROR(__xludf.DUMMYFUNCTION("""COMPUTED_VALUE"""),"PEMBANDING SEJENIS")</f>
        <v>PEMBANDING SEJENIS</v>
      </c>
      <c r="P130" s="4" t="str">
        <f>IFERROR(__xludf.DUMMYFUNCTION("""COMPUTED_VALUE"""),"TERMINASI")</f>
        <v>TERMINASI</v>
      </c>
      <c r="Q130" s="4">
        <f>IFERROR(__xludf.DUMMYFUNCTION("""COMPUTED_VALUE"""),19.0)</f>
        <v>19</v>
      </c>
      <c r="R130" s="4">
        <f>IFERROR(__xludf.DUMMYFUNCTION("""COMPUTED_VALUE"""),19.0)</f>
        <v>19</v>
      </c>
      <c r="S130" s="4">
        <f>IFERROR(__xludf.DUMMYFUNCTION("""COMPUTED_VALUE"""),21.0)</f>
        <v>21</v>
      </c>
      <c r="T130" s="4"/>
      <c r="U130" s="4" t="str">
        <f>IFERROR(__xludf.DUMMYFUNCTION("""COMPUTED_VALUE"""),"BAIK")</f>
        <v>BAIK</v>
      </c>
      <c r="V130" s="4" t="str">
        <f>IFERROR(__xludf.DUMMYFUNCTION("""COMPUTED_VALUE"""),"Tidak Ada")</f>
        <v>Tidak Ada</v>
      </c>
      <c r="W130" s="4"/>
      <c r="X130" s="4"/>
      <c r="Y130" s="4"/>
      <c r="Z130" s="4"/>
      <c r="AA130" s="4"/>
      <c r="AB130" s="4"/>
      <c r="AC130" s="4" t="str">
        <f>IFERROR(__xludf.DUMMYFUNCTION("""COMPUTED_VALUE"""),"INSPEKSI SUTM - T2_Images/f43ea569.FOTO.123912.jpg")</f>
        <v>INSPEKSI SUTM - T2_Images/f43ea569.FOTO.123912.jpg</v>
      </c>
      <c r="AD130" s="4"/>
      <c r="AE130" s="4"/>
      <c r="AF130" s="4" t="str">
        <f>IFERROR(__xludf.DUMMYFUNCTION("""COMPUTED_VALUE"""),"BELUM")</f>
        <v>BELUM</v>
      </c>
      <c r="AG130" s="6">
        <f>IFERROR(__xludf.DUMMYFUNCTION("""COMPUTED_VALUE"""),46042.0)</f>
        <v>46042</v>
      </c>
      <c r="AH130" s="4"/>
      <c r="AI130" s="4"/>
    </row>
    <row r="131" ht="15.75" customHeight="1">
      <c r="A131" s="4" t="str">
        <f>IFERROR(__xludf.DUMMYFUNCTION("""COMPUTED_VALUE"""),"825e1f92")</f>
        <v>825e1f92</v>
      </c>
      <c r="B131" s="5">
        <f>IFERROR(__xludf.DUMMYFUNCTION("""COMPUTED_VALUE"""),46042.818923611114)</f>
        <v>46042.81892</v>
      </c>
      <c r="C131" s="4" t="str">
        <f>IFERROR(__xludf.DUMMYFUNCTION("""COMPUTED_VALUE"""),"-6.950127, 107.571965")</f>
        <v>-6.950127, 107.571965</v>
      </c>
      <c r="D131" s="4" t="str">
        <f>IFERROR(__xludf.DUMMYFUNCTION("""COMPUTED_VALUE"""),"fuad nugi")</f>
        <v>fuad nugi</v>
      </c>
      <c r="E131" s="4" t="str">
        <f>IFERROR(__xludf.DUMMYFUNCTION("""COMPUTED_VALUE"""),"BANDUNG")</f>
        <v>BANDUNG</v>
      </c>
      <c r="F131" s="4" t="str">
        <f>IFERROR(__xludf.DUMMYFUNCTION("""COMPUTED_VALUE"""),"KOPO")</f>
        <v>KOPO</v>
      </c>
      <c r="G131" s="4" t="str">
        <f>IFERROR(__xludf.DUMMYFUNCTION("""COMPUTED_VALUE"""),"NEW CIBEUREUM")</f>
        <v>NEW CIBEUREUM</v>
      </c>
      <c r="H131" s="4" t="str">
        <f>IFERROR(__xludf.DUMMYFUNCTION("""COMPUTED_VALUE"""),"WTHO")</f>
        <v>WTHO</v>
      </c>
      <c r="I131" s="4" t="str">
        <f>IFERROR(__xludf.DUMMYFUNCTION("""COMPUTED_VALUE"""),"LBS KIC - UJUNG")</f>
        <v>LBS KIC - UJUNG</v>
      </c>
      <c r="J131" s="4" t="str">
        <f>IFERROR(__xludf.DUMMYFUNCTION("""COMPUTED_VALUE"""),"ZONA 2")</f>
        <v>ZONA 2</v>
      </c>
      <c r="K131" s="4" t="str">
        <f>IFERROR(__xludf.DUMMYFUNCTION("""COMPUTED_VALUE"""),"023R06")</f>
        <v>023R06</v>
      </c>
      <c r="L131" s="4" t="str">
        <f>IFERROR(__xludf.DUMMYFUNCTION("""COMPUTED_VALUE"""),"TM - 8B/H (Percabangan)")</f>
        <v>TM - 8B/H (Percabangan)</v>
      </c>
      <c r="M131" s="4" t="str">
        <f>IFERROR(__xludf.DUMMYFUNCTION("""COMPUTED_VALUE"""),"Tidak Ada")</f>
        <v>Tidak Ada</v>
      </c>
      <c r="N131" s="4"/>
      <c r="O131" s="4" t="str">
        <f>IFERROR(__xludf.DUMMYFUNCTION("""COMPUTED_VALUE"""),"PEMBANDING SEJENIS")</f>
        <v>PEMBANDING SEJENIS</v>
      </c>
      <c r="P131" s="4" t="str">
        <f>IFERROR(__xludf.DUMMYFUNCTION("""COMPUTED_VALUE"""),"KONEKTOR/JUMPER")</f>
        <v>KONEKTOR/JUMPER</v>
      </c>
      <c r="Q131" s="4">
        <f>IFERROR(__xludf.DUMMYFUNCTION("""COMPUTED_VALUE"""),21.0)</f>
        <v>21</v>
      </c>
      <c r="R131" s="4">
        <f>IFERROR(__xludf.DUMMYFUNCTION("""COMPUTED_VALUE"""),21.0)</f>
        <v>21</v>
      </c>
      <c r="S131" s="4">
        <f>IFERROR(__xludf.DUMMYFUNCTION("""COMPUTED_VALUE"""),20.0)</f>
        <v>20</v>
      </c>
      <c r="T131" s="4"/>
      <c r="U131" s="4" t="str">
        <f>IFERROR(__xludf.DUMMYFUNCTION("""COMPUTED_VALUE"""),"BAIK")</f>
        <v>BAIK</v>
      </c>
      <c r="V131" s="4" t="str">
        <f>IFERROR(__xludf.DUMMYFUNCTION("""COMPUTED_VALUE"""),"Tidak Ada")</f>
        <v>Tidak Ada</v>
      </c>
      <c r="W131" s="4"/>
      <c r="X131" s="4"/>
      <c r="Y131" s="4"/>
      <c r="Z131" s="4"/>
      <c r="AA131" s="4"/>
      <c r="AB131" s="4"/>
      <c r="AC131" s="4" t="str">
        <f>IFERROR(__xludf.DUMMYFUNCTION("""COMPUTED_VALUE"""),"INSPEKSI SUTM - T2_Images/825e1f92.FOTO.123958.jpg")</f>
        <v>INSPEKSI SUTM - T2_Images/825e1f92.FOTO.123958.jpg</v>
      </c>
      <c r="AD131" s="4"/>
      <c r="AE131" s="4"/>
      <c r="AF131" s="4" t="str">
        <f>IFERROR(__xludf.DUMMYFUNCTION("""COMPUTED_VALUE"""),"BELUM")</f>
        <v>BELUM</v>
      </c>
      <c r="AG131" s="6">
        <f>IFERROR(__xludf.DUMMYFUNCTION("""COMPUTED_VALUE"""),46042.0)</f>
        <v>46042</v>
      </c>
      <c r="AH131" s="4"/>
      <c r="AI131" s="4"/>
    </row>
    <row r="132" ht="15.75" customHeight="1">
      <c r="A132" s="4" t="str">
        <f>IFERROR(__xludf.DUMMYFUNCTION("""COMPUTED_VALUE"""),"fdaab41d")</f>
        <v>fdaab41d</v>
      </c>
      <c r="B132" s="5">
        <f>IFERROR(__xludf.DUMMYFUNCTION("""COMPUTED_VALUE"""),46042.819560185184)</f>
        <v>46042.81956</v>
      </c>
      <c r="C132" s="4" t="str">
        <f>IFERROR(__xludf.DUMMYFUNCTION("""COMPUTED_VALUE"""),"-6.950125, 107.572019")</f>
        <v>-6.950125, 107.572019</v>
      </c>
      <c r="D132" s="4" t="str">
        <f>IFERROR(__xludf.DUMMYFUNCTION("""COMPUTED_VALUE"""),"fuad nugi")</f>
        <v>fuad nugi</v>
      </c>
      <c r="E132" s="4" t="str">
        <f>IFERROR(__xludf.DUMMYFUNCTION("""COMPUTED_VALUE"""),"BANDUNG")</f>
        <v>BANDUNG</v>
      </c>
      <c r="F132" s="4" t="str">
        <f>IFERROR(__xludf.DUMMYFUNCTION("""COMPUTED_VALUE"""),"KOPO")</f>
        <v>KOPO</v>
      </c>
      <c r="G132" s="4" t="str">
        <f>IFERROR(__xludf.DUMMYFUNCTION("""COMPUTED_VALUE"""),"NEW CIBEUREUM")</f>
        <v>NEW CIBEUREUM</v>
      </c>
      <c r="H132" s="4" t="str">
        <f>IFERROR(__xludf.DUMMYFUNCTION("""COMPUTED_VALUE"""),"WTHO")</f>
        <v>WTHO</v>
      </c>
      <c r="I132" s="4" t="str">
        <f>IFERROR(__xludf.DUMMYFUNCTION("""COMPUTED_VALUE"""),"LBS KIC - UJUNG")</f>
        <v>LBS KIC - UJUNG</v>
      </c>
      <c r="J132" s="4" t="str">
        <f>IFERROR(__xludf.DUMMYFUNCTION("""COMPUTED_VALUE"""),"ZONA 2")</f>
        <v>ZONA 2</v>
      </c>
      <c r="K132" s="4" t="str">
        <f>IFERROR(__xludf.DUMMYFUNCTION("""COMPUTED_VALUE"""),"023R06R01")</f>
        <v>023R06R01</v>
      </c>
      <c r="L132" s="4" t="str">
        <f>IFERROR(__xludf.DUMMYFUNCTION("""COMPUTED_VALUE"""),"TM - 1B/H (Tumpu)")</f>
        <v>TM - 1B/H (Tumpu)</v>
      </c>
      <c r="M132" s="4" t="str">
        <f>IFERROR(__xludf.DUMMYFUNCTION("""COMPUTED_VALUE"""),"Tidak Ada")</f>
        <v>Tidak Ada</v>
      </c>
      <c r="N132" s="4"/>
      <c r="O132" s="4" t="str">
        <f>IFERROR(__xludf.DUMMYFUNCTION("""COMPUTED_VALUE"""),"PEMBANDING SEJENIS")</f>
        <v>PEMBANDING SEJENIS</v>
      </c>
      <c r="P132" s="4" t="str">
        <f>IFERROR(__xludf.DUMMYFUNCTION("""COMPUTED_VALUE"""),"ARRESTER")</f>
        <v>ARRESTER</v>
      </c>
      <c r="Q132" s="4">
        <f>IFERROR(__xludf.DUMMYFUNCTION("""COMPUTED_VALUE"""),22.0)</f>
        <v>22</v>
      </c>
      <c r="R132" s="4">
        <f>IFERROR(__xludf.DUMMYFUNCTION("""COMPUTED_VALUE"""),23.0)</f>
        <v>23</v>
      </c>
      <c r="S132" s="4">
        <f>IFERROR(__xludf.DUMMYFUNCTION("""COMPUTED_VALUE"""),23.0)</f>
        <v>23</v>
      </c>
      <c r="T132" s="4"/>
      <c r="U132" s="4" t="str">
        <f>IFERROR(__xludf.DUMMYFUNCTION("""COMPUTED_VALUE"""),"BAIK")</f>
        <v>BAIK</v>
      </c>
      <c r="V132" s="4" t="str">
        <f>IFERROR(__xludf.DUMMYFUNCTION("""COMPUTED_VALUE"""),"Tidak Ada")</f>
        <v>Tidak Ada</v>
      </c>
      <c r="W132" s="4"/>
      <c r="X132" s="4"/>
      <c r="Y132" s="4"/>
      <c r="Z132" s="4"/>
      <c r="AA132" s="4"/>
      <c r="AB132" s="4"/>
      <c r="AC132" s="4" t="str">
        <f>IFERROR(__xludf.DUMMYFUNCTION("""COMPUTED_VALUE"""),"INSPEKSI SUTM - T2_Images/fdaab41d.FOTO.124055.jpg")</f>
        <v>INSPEKSI SUTM - T2_Images/fdaab41d.FOTO.124055.jpg</v>
      </c>
      <c r="AD132" s="4"/>
      <c r="AE132" s="4"/>
      <c r="AF132" s="4" t="str">
        <f>IFERROR(__xludf.DUMMYFUNCTION("""COMPUTED_VALUE"""),"BELUM")</f>
        <v>BELUM</v>
      </c>
      <c r="AG132" s="6">
        <f>IFERROR(__xludf.DUMMYFUNCTION("""COMPUTED_VALUE"""),46042.0)</f>
        <v>46042</v>
      </c>
      <c r="AH132" s="4"/>
      <c r="AI132" s="4"/>
    </row>
    <row r="133" ht="15.75" customHeight="1">
      <c r="A133" s="4" t="str">
        <f>IFERROR(__xludf.DUMMYFUNCTION("""COMPUTED_VALUE"""),"8f1632b4")</f>
        <v>8f1632b4</v>
      </c>
      <c r="B133" s="5">
        <f>IFERROR(__xludf.DUMMYFUNCTION("""COMPUTED_VALUE"""),46042.82010416667)</f>
        <v>46042.8201</v>
      </c>
      <c r="C133" s="4" t="str">
        <f>IFERROR(__xludf.DUMMYFUNCTION("""COMPUTED_VALUE"""),"-6.950104, 107.571999")</f>
        <v>-6.950104, 107.571999</v>
      </c>
      <c r="D133" s="4" t="str">
        <f>IFERROR(__xludf.DUMMYFUNCTION("""COMPUTED_VALUE"""),"fuad nugi")</f>
        <v>fuad nugi</v>
      </c>
      <c r="E133" s="4" t="str">
        <f>IFERROR(__xludf.DUMMYFUNCTION("""COMPUTED_VALUE"""),"BANDUNG")</f>
        <v>BANDUNG</v>
      </c>
      <c r="F133" s="4" t="str">
        <f>IFERROR(__xludf.DUMMYFUNCTION("""COMPUTED_VALUE"""),"KOPO")</f>
        <v>KOPO</v>
      </c>
      <c r="G133" s="4" t="str">
        <f>IFERROR(__xludf.DUMMYFUNCTION("""COMPUTED_VALUE"""),"NEW CIBEUREUM")</f>
        <v>NEW CIBEUREUM</v>
      </c>
      <c r="H133" s="4" t="str">
        <f>IFERROR(__xludf.DUMMYFUNCTION("""COMPUTED_VALUE"""),"WTHO")</f>
        <v>WTHO</v>
      </c>
      <c r="I133" s="4" t="str">
        <f>IFERROR(__xludf.DUMMYFUNCTION("""COMPUTED_VALUE"""),"LBS KIC - UJUNG")</f>
        <v>LBS KIC - UJUNG</v>
      </c>
      <c r="J133" s="4" t="str">
        <f>IFERROR(__xludf.DUMMYFUNCTION("""COMPUTED_VALUE"""),"ZONA 2")</f>
        <v>ZONA 2</v>
      </c>
      <c r="K133" s="4" t="str">
        <f>IFERROR(__xludf.DUMMYFUNCTION("""COMPUTED_VALUE"""),"023R07")</f>
        <v>023R07</v>
      </c>
      <c r="L133" s="4" t="str">
        <f>IFERROR(__xludf.DUMMYFUNCTION("""COMPUTED_VALUE"""),"TM - 1B/H (Tumpu)")</f>
        <v>TM - 1B/H (Tumpu)</v>
      </c>
      <c r="M133" s="4" t="str">
        <f>IFERROR(__xludf.DUMMYFUNCTION("""COMPUTED_VALUE"""),"Tidak Ada")</f>
        <v>Tidak Ada</v>
      </c>
      <c r="N133" s="4"/>
      <c r="O133" s="4" t="str">
        <f>IFERROR(__xludf.DUMMYFUNCTION("""COMPUTED_VALUE"""),"PEMBANDING SEJENIS")</f>
        <v>PEMBANDING SEJENIS</v>
      </c>
      <c r="P133" s="4" t="str">
        <f>IFERROR(__xludf.DUMMYFUNCTION("""COMPUTED_VALUE"""),"ARRESTER")</f>
        <v>ARRESTER</v>
      </c>
      <c r="Q133" s="4">
        <f>IFERROR(__xludf.DUMMYFUNCTION("""COMPUTED_VALUE"""),23.0)</f>
        <v>23</v>
      </c>
      <c r="R133" s="4">
        <f>IFERROR(__xludf.DUMMYFUNCTION("""COMPUTED_VALUE"""),22.0)</f>
        <v>22</v>
      </c>
      <c r="S133" s="4">
        <f>IFERROR(__xludf.DUMMYFUNCTION("""COMPUTED_VALUE"""),23.0)</f>
        <v>23</v>
      </c>
      <c r="T133" s="4"/>
      <c r="U133" s="4" t="str">
        <f>IFERROR(__xludf.DUMMYFUNCTION("""COMPUTED_VALUE"""),"BAIK")</f>
        <v>BAIK</v>
      </c>
      <c r="V133" s="4" t="str">
        <f>IFERROR(__xludf.DUMMYFUNCTION("""COMPUTED_VALUE"""),"Tidak Ada")</f>
        <v>Tidak Ada</v>
      </c>
      <c r="W133" s="4"/>
      <c r="X133" s="4"/>
      <c r="Y133" s="4"/>
      <c r="Z133" s="4"/>
      <c r="AA133" s="4"/>
      <c r="AB133" s="4"/>
      <c r="AC133" s="4" t="str">
        <f>IFERROR(__xludf.DUMMYFUNCTION("""COMPUTED_VALUE"""),"INSPEKSI SUTM - T2_Images/8f1632b4.FOTO.124145.jpg")</f>
        <v>INSPEKSI SUTM - T2_Images/8f1632b4.FOTO.124145.jpg</v>
      </c>
      <c r="AD133" s="4"/>
      <c r="AE133" s="4"/>
      <c r="AF133" s="4" t="str">
        <f>IFERROR(__xludf.DUMMYFUNCTION("""COMPUTED_VALUE"""),"BELUM")</f>
        <v>BELUM</v>
      </c>
      <c r="AG133" s="6">
        <f>IFERROR(__xludf.DUMMYFUNCTION("""COMPUTED_VALUE"""),46042.0)</f>
        <v>46042</v>
      </c>
      <c r="AH133" s="4"/>
      <c r="AI133" s="4"/>
    </row>
    <row r="134" ht="15.75" customHeight="1">
      <c r="A134" s="4" t="str">
        <f>IFERROR(__xludf.DUMMYFUNCTION("""COMPUTED_VALUE"""),"7cc68147")</f>
        <v>7cc68147</v>
      </c>
      <c r="B134" s="5">
        <f>IFERROR(__xludf.DUMMYFUNCTION("""COMPUTED_VALUE"""),46042.82098379629)</f>
        <v>46042.82098</v>
      </c>
      <c r="C134" s="4" t="str">
        <f>IFERROR(__xludf.DUMMYFUNCTION("""COMPUTED_VALUE"""),"-6.950101, 107.571969")</f>
        <v>-6.950101, 107.571969</v>
      </c>
      <c r="D134" s="4" t="str">
        <f>IFERROR(__xludf.DUMMYFUNCTION("""COMPUTED_VALUE"""),"fuad nugi")</f>
        <v>fuad nugi</v>
      </c>
      <c r="E134" s="4" t="str">
        <f>IFERROR(__xludf.DUMMYFUNCTION("""COMPUTED_VALUE"""),"BANDUNG")</f>
        <v>BANDUNG</v>
      </c>
      <c r="F134" s="4" t="str">
        <f>IFERROR(__xludf.DUMMYFUNCTION("""COMPUTED_VALUE"""),"KOPO")</f>
        <v>KOPO</v>
      </c>
      <c r="G134" s="4" t="str">
        <f>IFERROR(__xludf.DUMMYFUNCTION("""COMPUTED_VALUE"""),"NEW CIBEUREUM")</f>
        <v>NEW CIBEUREUM</v>
      </c>
      <c r="H134" s="4" t="str">
        <f>IFERROR(__xludf.DUMMYFUNCTION("""COMPUTED_VALUE"""),"WTHO")</f>
        <v>WTHO</v>
      </c>
      <c r="I134" s="4" t="str">
        <f>IFERROR(__xludf.DUMMYFUNCTION("""COMPUTED_VALUE"""),"LBS KIC - UJUNG")</f>
        <v>LBS KIC - UJUNG</v>
      </c>
      <c r="J134" s="4" t="str">
        <f>IFERROR(__xludf.DUMMYFUNCTION("""COMPUTED_VALUE"""),"ZONA 2")</f>
        <v>ZONA 2</v>
      </c>
      <c r="K134" s="4" t="str">
        <f>IFERROR(__xludf.DUMMYFUNCTION("""COMPUTED_VALUE"""),"023R09")</f>
        <v>023R09</v>
      </c>
      <c r="L134" s="4" t="str">
        <f>IFERROR(__xludf.DUMMYFUNCTION("""COMPUTED_VALUE"""),"TM - 10B/H (Dua Percabangan)")</f>
        <v>TM - 10B/H (Dua Percabangan)</v>
      </c>
      <c r="M134" s="4" t="str">
        <f>IFERROR(__xludf.DUMMYFUNCTION("""COMPUTED_VALUE"""),"Tidak Ada")</f>
        <v>Tidak Ada</v>
      </c>
      <c r="N134" s="4"/>
      <c r="O134" s="4" t="str">
        <f>IFERROR(__xludf.DUMMYFUNCTION("""COMPUTED_VALUE"""),"PEMBANDING SEJENIS")</f>
        <v>PEMBANDING SEJENIS</v>
      </c>
      <c r="P134" s="4" t="str">
        <f>IFERROR(__xludf.DUMMYFUNCTION("""COMPUTED_VALUE"""),"KONEKTOR/JUMPER")</f>
        <v>KONEKTOR/JUMPER</v>
      </c>
      <c r="Q134" s="4">
        <f>IFERROR(__xludf.DUMMYFUNCTION("""COMPUTED_VALUE"""),24.0)</f>
        <v>24</v>
      </c>
      <c r="R134" s="4">
        <f>IFERROR(__xludf.DUMMYFUNCTION("""COMPUTED_VALUE"""),23.0)</f>
        <v>23</v>
      </c>
      <c r="S134" s="4">
        <f>IFERROR(__xludf.DUMMYFUNCTION("""COMPUTED_VALUE"""),23.0)</f>
        <v>23</v>
      </c>
      <c r="T134" s="4"/>
      <c r="U134" s="4" t="str">
        <f>IFERROR(__xludf.DUMMYFUNCTION("""COMPUTED_VALUE"""),"BAIK")</f>
        <v>BAIK</v>
      </c>
      <c r="V134" s="4" t="str">
        <f>IFERROR(__xludf.DUMMYFUNCTION("""COMPUTED_VALUE"""),"Tidak Ada")</f>
        <v>Tidak Ada</v>
      </c>
      <c r="W134" s="4"/>
      <c r="X134" s="4"/>
      <c r="Y134" s="4"/>
      <c r="Z134" s="4"/>
      <c r="AA134" s="4"/>
      <c r="AB134" s="4"/>
      <c r="AC134" s="4" t="str">
        <f>IFERROR(__xludf.DUMMYFUNCTION("""COMPUTED_VALUE"""),"INSPEKSI SUTM - T2_Images/7cc68147.FOTO.124318.jpg")</f>
        <v>INSPEKSI SUTM - T2_Images/7cc68147.FOTO.124318.jpg</v>
      </c>
      <c r="AD134" s="4"/>
      <c r="AE134" s="4"/>
      <c r="AF134" s="4" t="str">
        <f>IFERROR(__xludf.DUMMYFUNCTION("""COMPUTED_VALUE"""),"BELUM")</f>
        <v>BELUM</v>
      </c>
      <c r="AG134" s="6">
        <f>IFERROR(__xludf.DUMMYFUNCTION("""COMPUTED_VALUE"""),46042.0)</f>
        <v>46042</v>
      </c>
      <c r="AH134" s="4"/>
      <c r="AI134" s="4"/>
    </row>
    <row r="135" ht="15.75" customHeight="1">
      <c r="A135" s="4" t="str">
        <f>IFERROR(__xludf.DUMMYFUNCTION("""COMPUTED_VALUE"""),"419686ef")</f>
        <v>419686ef</v>
      </c>
      <c r="B135" s="5">
        <f>IFERROR(__xludf.DUMMYFUNCTION("""COMPUTED_VALUE"""),46042.82175925926)</f>
        <v>46042.82176</v>
      </c>
      <c r="C135" s="4" t="str">
        <f>IFERROR(__xludf.DUMMYFUNCTION("""COMPUTED_VALUE"""),"-6.950117, 107.571971")</f>
        <v>-6.950117, 107.571971</v>
      </c>
      <c r="D135" s="4" t="str">
        <f>IFERROR(__xludf.DUMMYFUNCTION("""COMPUTED_VALUE"""),"fuad nugi")</f>
        <v>fuad nugi</v>
      </c>
      <c r="E135" s="4" t="str">
        <f>IFERROR(__xludf.DUMMYFUNCTION("""COMPUTED_VALUE"""),"BANDUNG")</f>
        <v>BANDUNG</v>
      </c>
      <c r="F135" s="4" t="str">
        <f>IFERROR(__xludf.DUMMYFUNCTION("""COMPUTED_VALUE"""),"KOPO")</f>
        <v>KOPO</v>
      </c>
      <c r="G135" s="4" t="str">
        <f>IFERROR(__xludf.DUMMYFUNCTION("""COMPUTED_VALUE"""),"NEW CIBEUREUM")</f>
        <v>NEW CIBEUREUM</v>
      </c>
      <c r="H135" s="4" t="str">
        <f>IFERROR(__xludf.DUMMYFUNCTION("""COMPUTED_VALUE"""),"WTHO")</f>
        <v>WTHO</v>
      </c>
      <c r="I135" s="4" t="str">
        <f>IFERROR(__xludf.DUMMYFUNCTION("""COMPUTED_VALUE"""),"LBS KIC - UJUNG")</f>
        <v>LBS KIC - UJUNG</v>
      </c>
      <c r="J135" s="4" t="str">
        <f>IFERROR(__xludf.DUMMYFUNCTION("""COMPUTED_VALUE"""),"ZONA 2")</f>
        <v>ZONA 2</v>
      </c>
      <c r="K135" s="4" t="str">
        <f>IFERROR(__xludf.DUMMYFUNCTION("""COMPUTED_VALUE"""),"023R09R01")</f>
        <v>023R09R01</v>
      </c>
      <c r="L135" s="4" t="str">
        <f>IFERROR(__xludf.DUMMYFUNCTION("""COMPUTED_VALUE"""),"TM - 1B/H (Tumpu)")</f>
        <v>TM - 1B/H (Tumpu)</v>
      </c>
      <c r="M135" s="4" t="str">
        <f>IFERROR(__xludf.DUMMYFUNCTION("""COMPUTED_VALUE"""),"Tidak Ada")</f>
        <v>Tidak Ada</v>
      </c>
      <c r="N135" s="4"/>
      <c r="O135" s="4" t="str">
        <f>IFERROR(__xludf.DUMMYFUNCTION("""COMPUTED_VALUE"""),"PEMBANDING SEJENIS")</f>
        <v>PEMBANDING SEJENIS</v>
      </c>
      <c r="P135" s="4" t="str">
        <f>IFERROR(__xludf.DUMMYFUNCTION("""COMPUTED_VALUE"""),"ARRESTER")</f>
        <v>ARRESTER</v>
      </c>
      <c r="Q135" s="4">
        <f>IFERROR(__xludf.DUMMYFUNCTION("""COMPUTED_VALUE"""),23.0)</f>
        <v>23</v>
      </c>
      <c r="R135" s="4">
        <f>IFERROR(__xludf.DUMMYFUNCTION("""COMPUTED_VALUE"""),22.0)</f>
        <v>22</v>
      </c>
      <c r="S135" s="4">
        <f>IFERROR(__xludf.DUMMYFUNCTION("""COMPUTED_VALUE"""),23.0)</f>
        <v>23</v>
      </c>
      <c r="T135" s="4"/>
      <c r="U135" s="4" t="str">
        <f>IFERROR(__xludf.DUMMYFUNCTION("""COMPUTED_VALUE"""),"BAIK")</f>
        <v>BAIK</v>
      </c>
      <c r="V135" s="4" t="str">
        <f>IFERROR(__xludf.DUMMYFUNCTION("""COMPUTED_VALUE"""),"Tidak Ada")</f>
        <v>Tidak Ada</v>
      </c>
      <c r="W135" s="4"/>
      <c r="X135" s="4"/>
      <c r="Y135" s="4"/>
      <c r="Z135" s="4"/>
      <c r="AA135" s="4"/>
      <c r="AB135" s="4"/>
      <c r="AC135" s="4" t="str">
        <f>IFERROR(__xludf.DUMMYFUNCTION("""COMPUTED_VALUE"""),"INSPEKSI SUTM - T2_Images/419686ef.FOTO.124403.jpg")</f>
        <v>INSPEKSI SUTM - T2_Images/419686ef.FOTO.124403.jpg</v>
      </c>
      <c r="AD135" s="4"/>
      <c r="AE135" s="4"/>
      <c r="AF135" s="4" t="str">
        <f>IFERROR(__xludf.DUMMYFUNCTION("""COMPUTED_VALUE"""),"BELUM")</f>
        <v>BELUM</v>
      </c>
      <c r="AG135" s="6">
        <f>IFERROR(__xludf.DUMMYFUNCTION("""COMPUTED_VALUE"""),46042.0)</f>
        <v>46042</v>
      </c>
      <c r="AH135" s="4"/>
      <c r="AI135" s="4"/>
    </row>
    <row r="136" ht="15.75" customHeight="1">
      <c r="A136" s="4" t="str">
        <f>IFERROR(__xludf.DUMMYFUNCTION("""COMPUTED_VALUE"""),"2b1a4eb0")</f>
        <v>2b1a4eb0</v>
      </c>
      <c r="B136" s="5">
        <f>IFERROR(__xludf.DUMMYFUNCTION("""COMPUTED_VALUE"""),46042.822384259256)</f>
        <v>46042.82238</v>
      </c>
      <c r="C136" s="4" t="str">
        <f>IFERROR(__xludf.DUMMYFUNCTION("""COMPUTED_VALUE"""),"-6.950120, 107.571979")</f>
        <v>-6.950120, 107.571979</v>
      </c>
      <c r="D136" s="4" t="str">
        <f>IFERROR(__xludf.DUMMYFUNCTION("""COMPUTED_VALUE"""),"fuad nugi")</f>
        <v>fuad nugi</v>
      </c>
      <c r="E136" s="4" t="str">
        <f>IFERROR(__xludf.DUMMYFUNCTION("""COMPUTED_VALUE"""),"BANDUNG")</f>
        <v>BANDUNG</v>
      </c>
      <c r="F136" s="4" t="str">
        <f>IFERROR(__xludf.DUMMYFUNCTION("""COMPUTED_VALUE"""),"KOPO")</f>
        <v>KOPO</v>
      </c>
      <c r="G136" s="4" t="str">
        <f>IFERROR(__xludf.DUMMYFUNCTION("""COMPUTED_VALUE"""),"NEW CIBEUREUM")</f>
        <v>NEW CIBEUREUM</v>
      </c>
      <c r="H136" s="4" t="str">
        <f>IFERROR(__xludf.DUMMYFUNCTION("""COMPUTED_VALUE"""),"WTHO")</f>
        <v>WTHO</v>
      </c>
      <c r="I136" s="4" t="str">
        <f>IFERROR(__xludf.DUMMYFUNCTION("""COMPUTED_VALUE"""),"LBS KIC - UJUNG")</f>
        <v>LBS KIC - UJUNG</v>
      </c>
      <c r="J136" s="4" t="str">
        <f>IFERROR(__xludf.DUMMYFUNCTION("""COMPUTED_VALUE"""),"ZONA 2")</f>
        <v>ZONA 2</v>
      </c>
      <c r="K136" s="4" t="str">
        <f>IFERROR(__xludf.DUMMYFUNCTION("""COMPUTED_VALUE"""),"023R09R07")</f>
        <v>023R09R07</v>
      </c>
      <c r="L136" s="4" t="str">
        <f>IFERROR(__xludf.DUMMYFUNCTION("""COMPUTED_VALUE"""),"TM - 14B/H (Akhir)")</f>
        <v>TM - 14B/H (Akhir)</v>
      </c>
      <c r="M136" s="4" t="str">
        <f>IFERROR(__xludf.DUMMYFUNCTION("""COMPUTED_VALUE"""),"Tidak Ada")</f>
        <v>Tidak Ada</v>
      </c>
      <c r="N136" s="4"/>
      <c r="O136" s="4" t="str">
        <f>IFERROR(__xludf.DUMMYFUNCTION("""COMPUTED_VALUE"""),"PEMBANDING SEJENIS")</f>
        <v>PEMBANDING SEJENIS</v>
      </c>
      <c r="P136" s="4" t="str">
        <f>IFERROR(__xludf.DUMMYFUNCTION("""COMPUTED_VALUE"""),"ARRESTER")</f>
        <v>ARRESTER</v>
      </c>
      <c r="Q136" s="4">
        <f>IFERROR(__xludf.DUMMYFUNCTION("""COMPUTED_VALUE"""),23.0)</f>
        <v>23</v>
      </c>
      <c r="R136" s="4">
        <f>IFERROR(__xludf.DUMMYFUNCTION("""COMPUTED_VALUE"""),23.0)</f>
        <v>23</v>
      </c>
      <c r="S136" s="4">
        <f>IFERROR(__xludf.DUMMYFUNCTION("""COMPUTED_VALUE"""),22.0)</f>
        <v>22</v>
      </c>
      <c r="T136" s="4"/>
      <c r="U136" s="4" t="str">
        <f>IFERROR(__xludf.DUMMYFUNCTION("""COMPUTED_VALUE"""),"BAIK")</f>
        <v>BAIK</v>
      </c>
      <c r="V136" s="4" t="str">
        <f>IFERROR(__xludf.DUMMYFUNCTION("""COMPUTED_VALUE"""),"Tidak Ada")</f>
        <v>Tidak Ada</v>
      </c>
      <c r="W136" s="4"/>
      <c r="X136" s="4"/>
      <c r="Y136" s="4"/>
      <c r="Z136" s="4"/>
      <c r="AA136" s="4"/>
      <c r="AB136" s="4"/>
      <c r="AC136" s="4" t="str">
        <f>IFERROR(__xludf.DUMMYFUNCTION("""COMPUTED_VALUE"""),"INSPEKSI SUTM - T2_Images/2b1a4eb0.FOTO.124457.jpg")</f>
        <v>INSPEKSI SUTM - T2_Images/2b1a4eb0.FOTO.124457.jpg</v>
      </c>
      <c r="AD136" s="4"/>
      <c r="AE136" s="4"/>
      <c r="AF136" s="4" t="str">
        <f>IFERROR(__xludf.DUMMYFUNCTION("""COMPUTED_VALUE"""),"BELUM")</f>
        <v>BELUM</v>
      </c>
      <c r="AG136" s="6">
        <f>IFERROR(__xludf.DUMMYFUNCTION("""COMPUTED_VALUE"""),46042.0)</f>
        <v>46042</v>
      </c>
      <c r="AH136" s="4"/>
      <c r="AI136" s="4"/>
    </row>
    <row r="137" ht="15.75" customHeight="1">
      <c r="A137" s="4" t="str">
        <f>IFERROR(__xludf.DUMMYFUNCTION("""COMPUTED_VALUE"""),"b499aef4")</f>
        <v>b499aef4</v>
      </c>
      <c r="B137" s="5">
        <f>IFERROR(__xludf.DUMMYFUNCTION("""COMPUTED_VALUE"""),46042.822916666664)</f>
        <v>46042.82292</v>
      </c>
      <c r="C137" s="4" t="str">
        <f>IFERROR(__xludf.DUMMYFUNCTION("""COMPUTED_VALUE"""),"-6.950083, 107.571933")</f>
        <v>-6.950083, 107.571933</v>
      </c>
      <c r="D137" s="4" t="str">
        <f>IFERROR(__xludf.DUMMYFUNCTION("""COMPUTED_VALUE"""),"fuad nugi")</f>
        <v>fuad nugi</v>
      </c>
      <c r="E137" s="4" t="str">
        <f>IFERROR(__xludf.DUMMYFUNCTION("""COMPUTED_VALUE"""),"BANDUNG")</f>
        <v>BANDUNG</v>
      </c>
      <c r="F137" s="4" t="str">
        <f>IFERROR(__xludf.DUMMYFUNCTION("""COMPUTED_VALUE"""),"KOPO")</f>
        <v>KOPO</v>
      </c>
      <c r="G137" s="4" t="str">
        <f>IFERROR(__xludf.DUMMYFUNCTION("""COMPUTED_VALUE"""),"NEW CIBEUREUM")</f>
        <v>NEW CIBEUREUM</v>
      </c>
      <c r="H137" s="4" t="str">
        <f>IFERROR(__xludf.DUMMYFUNCTION("""COMPUTED_VALUE"""),"WTHO")</f>
        <v>WTHO</v>
      </c>
      <c r="I137" s="4" t="str">
        <f>IFERROR(__xludf.DUMMYFUNCTION("""COMPUTED_VALUE"""),"LBS KIC - UJUNG")</f>
        <v>LBS KIC - UJUNG</v>
      </c>
      <c r="J137" s="4" t="str">
        <f>IFERROR(__xludf.DUMMYFUNCTION("""COMPUTED_VALUE"""),"ZONA 2")</f>
        <v>ZONA 2</v>
      </c>
      <c r="K137" s="4" t="str">
        <f>IFERROR(__xludf.DUMMYFUNCTION("""COMPUTED_VALUE"""),"023R10")</f>
        <v>023R10</v>
      </c>
      <c r="L137" s="4" t="str">
        <f>IFERROR(__xludf.DUMMYFUNCTION("""COMPUTED_VALUE"""),"TM - 8B/H (Percabangan)")</f>
        <v>TM - 8B/H (Percabangan)</v>
      </c>
      <c r="M137" s="4" t="str">
        <f>IFERROR(__xludf.DUMMYFUNCTION("""COMPUTED_VALUE"""),"Tidak Ada")</f>
        <v>Tidak Ada</v>
      </c>
      <c r="N137" s="4"/>
      <c r="O137" s="4" t="str">
        <f>IFERROR(__xludf.DUMMYFUNCTION("""COMPUTED_VALUE"""),"PEMBANDING SEJENIS")</f>
        <v>PEMBANDING SEJENIS</v>
      </c>
      <c r="P137" s="4" t="str">
        <f>IFERROR(__xludf.DUMMYFUNCTION("""COMPUTED_VALUE"""),"KONEKTOR/JUMPER")</f>
        <v>KONEKTOR/JUMPER</v>
      </c>
      <c r="Q137" s="4">
        <f>IFERROR(__xludf.DUMMYFUNCTION("""COMPUTED_VALUE"""),22.0)</f>
        <v>22</v>
      </c>
      <c r="R137" s="4">
        <f>IFERROR(__xludf.DUMMYFUNCTION("""COMPUTED_VALUE"""),22.0)</f>
        <v>22</v>
      </c>
      <c r="S137" s="4">
        <f>IFERROR(__xludf.DUMMYFUNCTION("""COMPUTED_VALUE"""),22.0)</f>
        <v>22</v>
      </c>
      <c r="T137" s="4"/>
      <c r="U137" s="4" t="str">
        <f>IFERROR(__xludf.DUMMYFUNCTION("""COMPUTED_VALUE"""),"BAIK")</f>
        <v>BAIK</v>
      </c>
      <c r="V137" s="4" t="str">
        <f>IFERROR(__xludf.DUMMYFUNCTION("""COMPUTED_VALUE"""),"Tidak Ada")</f>
        <v>Tidak Ada</v>
      </c>
      <c r="W137" s="4"/>
      <c r="X137" s="4"/>
      <c r="Y137" s="4"/>
      <c r="Z137" s="4"/>
      <c r="AA137" s="4"/>
      <c r="AB137" s="4"/>
      <c r="AC137" s="4" t="str">
        <f>IFERROR(__xludf.DUMMYFUNCTION("""COMPUTED_VALUE"""),"INSPEKSI SUTM - T2_Images/b499aef4.FOTO.124555.jpg")</f>
        <v>INSPEKSI SUTM - T2_Images/b499aef4.FOTO.124555.jpg</v>
      </c>
      <c r="AD137" s="4"/>
      <c r="AE137" s="4"/>
      <c r="AF137" s="4" t="str">
        <f>IFERROR(__xludf.DUMMYFUNCTION("""COMPUTED_VALUE"""),"BELUM")</f>
        <v>BELUM</v>
      </c>
      <c r="AG137" s="6">
        <f>IFERROR(__xludf.DUMMYFUNCTION("""COMPUTED_VALUE"""),46042.0)</f>
        <v>46042</v>
      </c>
      <c r="AH137" s="4"/>
      <c r="AI137" s="4"/>
    </row>
    <row r="138" ht="15.75" customHeight="1">
      <c r="A138" s="4" t="str">
        <f>IFERROR(__xludf.DUMMYFUNCTION("""COMPUTED_VALUE"""),"3a2d56d7")</f>
        <v>3a2d56d7</v>
      </c>
      <c r="B138" s="5">
        <f>IFERROR(__xludf.DUMMYFUNCTION("""COMPUTED_VALUE"""),46042.82363425926)</f>
        <v>46042.82363</v>
      </c>
      <c r="C138" s="4" t="str">
        <f>IFERROR(__xludf.DUMMYFUNCTION("""COMPUTED_VALUE"""),"-6.950109, 107.571964")</f>
        <v>-6.950109, 107.571964</v>
      </c>
      <c r="D138" s="4" t="str">
        <f>IFERROR(__xludf.DUMMYFUNCTION("""COMPUTED_VALUE"""),"fuad nugi")</f>
        <v>fuad nugi</v>
      </c>
      <c r="E138" s="4" t="str">
        <f>IFERROR(__xludf.DUMMYFUNCTION("""COMPUTED_VALUE"""),"BANDUNG")</f>
        <v>BANDUNG</v>
      </c>
      <c r="F138" s="4" t="str">
        <f>IFERROR(__xludf.DUMMYFUNCTION("""COMPUTED_VALUE"""),"KOPO")</f>
        <v>KOPO</v>
      </c>
      <c r="G138" s="4" t="str">
        <f>IFERROR(__xludf.DUMMYFUNCTION("""COMPUTED_VALUE"""),"NEW CIBEUREUM")</f>
        <v>NEW CIBEUREUM</v>
      </c>
      <c r="H138" s="4" t="str">
        <f>IFERROR(__xludf.DUMMYFUNCTION("""COMPUTED_VALUE"""),"WTHO")</f>
        <v>WTHO</v>
      </c>
      <c r="I138" s="4" t="str">
        <f>IFERROR(__xludf.DUMMYFUNCTION("""COMPUTED_VALUE"""),"LBS KIC - UJUNG")</f>
        <v>LBS KIC - UJUNG</v>
      </c>
      <c r="J138" s="4" t="str">
        <f>IFERROR(__xludf.DUMMYFUNCTION("""COMPUTED_VALUE"""),"ZONA 2")</f>
        <v>ZONA 2</v>
      </c>
      <c r="K138" s="4" t="str">
        <f>IFERROR(__xludf.DUMMYFUNCTION("""COMPUTED_VALUE"""),"023R10L01")</f>
        <v>023R10L01</v>
      </c>
      <c r="L138" s="4" t="str">
        <f>IFERROR(__xludf.DUMMYFUNCTION("""COMPUTED_VALUE"""),"TM - 14B/H (Akhir)")</f>
        <v>TM - 14B/H (Akhir)</v>
      </c>
      <c r="M138" s="4" t="str">
        <f>IFERROR(__xludf.DUMMYFUNCTION("""COMPUTED_VALUE"""),"Tidak Ada")</f>
        <v>Tidak Ada</v>
      </c>
      <c r="N138" s="4"/>
      <c r="O138" s="4" t="str">
        <f>IFERROR(__xludf.DUMMYFUNCTION("""COMPUTED_VALUE"""),"PEMBANDING SEJENIS")</f>
        <v>PEMBANDING SEJENIS</v>
      </c>
      <c r="P138" s="4" t="str">
        <f>IFERROR(__xludf.DUMMYFUNCTION("""COMPUTED_VALUE"""),"TERMINASI")</f>
        <v>TERMINASI</v>
      </c>
      <c r="Q138" s="4">
        <f>IFERROR(__xludf.DUMMYFUNCTION("""COMPUTED_VALUE"""),24.0)</f>
        <v>24</v>
      </c>
      <c r="R138" s="4">
        <f>IFERROR(__xludf.DUMMYFUNCTION("""COMPUTED_VALUE"""),24.0)</f>
        <v>24</v>
      </c>
      <c r="S138" s="4">
        <f>IFERROR(__xludf.DUMMYFUNCTION("""COMPUTED_VALUE"""),23.0)</f>
        <v>23</v>
      </c>
      <c r="T138" s="4"/>
      <c r="U138" s="4" t="str">
        <f>IFERROR(__xludf.DUMMYFUNCTION("""COMPUTED_VALUE"""),"BAIK")</f>
        <v>BAIK</v>
      </c>
      <c r="V138" s="4" t="str">
        <f>IFERROR(__xludf.DUMMYFUNCTION("""COMPUTED_VALUE"""),"Tidak Ada")</f>
        <v>Tidak Ada</v>
      </c>
      <c r="W138" s="4"/>
      <c r="X138" s="4"/>
      <c r="Y138" s="4"/>
      <c r="Z138" s="4"/>
      <c r="AA138" s="4"/>
      <c r="AB138" s="4"/>
      <c r="AC138" s="4" t="str">
        <f>IFERROR(__xludf.DUMMYFUNCTION("""COMPUTED_VALUE"""),"INSPEKSI SUTM - T2_Images/3a2d56d7.FOTO.124738.jpg")</f>
        <v>INSPEKSI SUTM - T2_Images/3a2d56d7.FOTO.124738.jpg</v>
      </c>
      <c r="AD138" s="4"/>
      <c r="AE138" s="4"/>
      <c r="AF138" s="4" t="str">
        <f>IFERROR(__xludf.DUMMYFUNCTION("""COMPUTED_VALUE"""),"BELUM")</f>
        <v>BELUM</v>
      </c>
      <c r="AG138" s="6">
        <f>IFERROR(__xludf.DUMMYFUNCTION("""COMPUTED_VALUE"""),46042.0)</f>
        <v>46042</v>
      </c>
      <c r="AH138" s="4"/>
      <c r="AI138" s="4"/>
    </row>
    <row r="139" ht="15.75" customHeight="1">
      <c r="A139" s="4" t="str">
        <f>IFERROR(__xludf.DUMMYFUNCTION("""COMPUTED_VALUE"""),"8c21e8c6")</f>
        <v>8c21e8c6</v>
      </c>
      <c r="B139" s="5">
        <f>IFERROR(__xludf.DUMMYFUNCTION("""COMPUTED_VALUE"""),46042.824895833335)</f>
        <v>46042.8249</v>
      </c>
      <c r="C139" s="4" t="str">
        <f>IFERROR(__xludf.DUMMYFUNCTION("""COMPUTED_VALUE"""),"-6.950096, 107.572004")</f>
        <v>-6.950096, 107.572004</v>
      </c>
      <c r="D139" s="4" t="str">
        <f>IFERROR(__xludf.DUMMYFUNCTION("""COMPUTED_VALUE"""),"fuad nugi")</f>
        <v>fuad nugi</v>
      </c>
      <c r="E139" s="4" t="str">
        <f>IFERROR(__xludf.DUMMYFUNCTION("""COMPUTED_VALUE"""),"BANDUNG")</f>
        <v>BANDUNG</v>
      </c>
      <c r="F139" s="4" t="str">
        <f>IFERROR(__xludf.DUMMYFUNCTION("""COMPUTED_VALUE"""),"KOPO")</f>
        <v>KOPO</v>
      </c>
      <c r="G139" s="4" t="str">
        <f>IFERROR(__xludf.DUMMYFUNCTION("""COMPUTED_VALUE"""),"NEW CIBEUREUM")</f>
        <v>NEW CIBEUREUM</v>
      </c>
      <c r="H139" s="4" t="str">
        <f>IFERROR(__xludf.DUMMYFUNCTION("""COMPUTED_VALUE"""),"WTHO")</f>
        <v>WTHO</v>
      </c>
      <c r="I139" s="4" t="str">
        <f>IFERROR(__xludf.DUMMYFUNCTION("""COMPUTED_VALUE"""),"LBS KIC - UJUNG")</f>
        <v>LBS KIC - UJUNG</v>
      </c>
      <c r="J139" s="4" t="str">
        <f>IFERROR(__xludf.DUMMYFUNCTION("""COMPUTED_VALUE"""),"ZONA 2")</f>
        <v>ZONA 2</v>
      </c>
      <c r="K139" s="4" t="str">
        <f>IFERROR(__xludf.DUMMYFUNCTION("""COMPUTED_VALUE"""),"023R11")</f>
        <v>023R11</v>
      </c>
      <c r="L139" s="4" t="str">
        <f>IFERROR(__xludf.DUMMYFUNCTION("""COMPUTED_VALUE"""),"TM - 10B/H (Dua Percabangan)")</f>
        <v>TM - 10B/H (Dua Percabangan)</v>
      </c>
      <c r="M139" s="4" t="str">
        <f>IFERROR(__xludf.DUMMYFUNCTION("""COMPUTED_VALUE"""),"Tidak Ada")</f>
        <v>Tidak Ada</v>
      </c>
      <c r="N139" s="4"/>
      <c r="O139" s="4" t="str">
        <f>IFERROR(__xludf.DUMMYFUNCTION("""COMPUTED_VALUE"""),"PEMBANDING SEJENIS")</f>
        <v>PEMBANDING SEJENIS</v>
      </c>
      <c r="P139" s="4" t="str">
        <f>IFERROR(__xludf.DUMMYFUNCTION("""COMPUTED_VALUE"""),"KONEKTOR/JUMPER")</f>
        <v>KONEKTOR/JUMPER</v>
      </c>
      <c r="Q139" s="4">
        <f>IFERROR(__xludf.DUMMYFUNCTION("""COMPUTED_VALUE"""),22.0)</f>
        <v>22</v>
      </c>
      <c r="R139" s="4">
        <f>IFERROR(__xludf.DUMMYFUNCTION("""COMPUTED_VALUE"""),22.0)</f>
        <v>22</v>
      </c>
      <c r="S139" s="4">
        <f>IFERROR(__xludf.DUMMYFUNCTION("""COMPUTED_VALUE"""),20.0)</f>
        <v>20</v>
      </c>
      <c r="T139" s="4"/>
      <c r="U139" s="4" t="str">
        <f>IFERROR(__xludf.DUMMYFUNCTION("""COMPUTED_VALUE"""),"BAIK")</f>
        <v>BAIK</v>
      </c>
      <c r="V139" s="4" t="str">
        <f>IFERROR(__xludf.DUMMYFUNCTION("""COMPUTED_VALUE"""),"Tidak Ada")</f>
        <v>Tidak Ada</v>
      </c>
      <c r="W139" s="4"/>
      <c r="X139" s="4"/>
      <c r="Y139" s="4"/>
      <c r="Z139" s="4"/>
      <c r="AA139" s="4"/>
      <c r="AB139" s="4"/>
      <c r="AC139" s="4" t="str">
        <f>IFERROR(__xludf.DUMMYFUNCTION("""COMPUTED_VALUE"""),"INSPEKSI SUTM - T2_Images/8c21e8c6.FOTO.124847.jpg")</f>
        <v>INSPEKSI SUTM - T2_Images/8c21e8c6.FOTO.124847.jpg</v>
      </c>
      <c r="AD139" s="4"/>
      <c r="AE139" s="4"/>
      <c r="AF139" s="4" t="str">
        <f>IFERROR(__xludf.DUMMYFUNCTION("""COMPUTED_VALUE"""),"BELUM")</f>
        <v>BELUM</v>
      </c>
      <c r="AG139" s="6">
        <f>IFERROR(__xludf.DUMMYFUNCTION("""COMPUTED_VALUE"""),46042.0)</f>
        <v>46042</v>
      </c>
      <c r="AH139" s="4"/>
      <c r="AI139" s="4"/>
    </row>
    <row r="140" ht="15.75" customHeight="1">
      <c r="A140" s="4" t="str">
        <f>IFERROR(__xludf.DUMMYFUNCTION("""COMPUTED_VALUE"""),"e1a61de8")</f>
        <v>e1a61de8</v>
      </c>
      <c r="B140" s="5">
        <f>IFERROR(__xludf.DUMMYFUNCTION("""COMPUTED_VALUE"""),46042.825590277775)</f>
        <v>46042.82559</v>
      </c>
      <c r="C140" s="4" t="str">
        <f>IFERROR(__xludf.DUMMYFUNCTION("""COMPUTED_VALUE"""),"-6.950096, 107.572004")</f>
        <v>-6.950096, 107.572004</v>
      </c>
      <c r="D140" s="4" t="str">
        <f>IFERROR(__xludf.DUMMYFUNCTION("""COMPUTED_VALUE"""),"Fuad nugi")</f>
        <v>Fuad nugi</v>
      </c>
      <c r="E140" s="4" t="str">
        <f>IFERROR(__xludf.DUMMYFUNCTION("""COMPUTED_VALUE"""),"BANDUNG")</f>
        <v>BANDUNG</v>
      </c>
      <c r="F140" s="4" t="str">
        <f>IFERROR(__xludf.DUMMYFUNCTION("""COMPUTED_VALUE"""),"KOPO")</f>
        <v>KOPO</v>
      </c>
      <c r="G140" s="4" t="str">
        <f>IFERROR(__xludf.DUMMYFUNCTION("""COMPUTED_VALUE"""),"NEW CIBEUREUM")</f>
        <v>NEW CIBEUREUM</v>
      </c>
      <c r="H140" s="4" t="str">
        <f>IFERROR(__xludf.DUMMYFUNCTION("""COMPUTED_VALUE"""),"WTHO")</f>
        <v>WTHO</v>
      </c>
      <c r="I140" s="4" t="str">
        <f>IFERROR(__xludf.DUMMYFUNCTION("""COMPUTED_VALUE"""),"LBS KIC - UJUNG")</f>
        <v>LBS KIC - UJUNG</v>
      </c>
      <c r="J140" s="4" t="str">
        <f>IFERROR(__xludf.DUMMYFUNCTION("""COMPUTED_VALUE"""),"ZONA 2")</f>
        <v>ZONA 2</v>
      </c>
      <c r="K140" s="4" t="str">
        <f>IFERROR(__xludf.DUMMYFUNCTION("""COMPUTED_VALUE"""),"023R15")</f>
        <v>023R15</v>
      </c>
      <c r="L140" s="4" t="str">
        <f>IFERROR(__xludf.DUMMYFUNCTION("""COMPUTED_VALUE"""),"TM - 7B/H (Afspan 90 Derajat)")</f>
        <v>TM - 7B/H (Afspan 90 Derajat)</v>
      </c>
      <c r="M140" s="4" t="str">
        <f>IFERROR(__xludf.DUMMYFUNCTION("""COMPUTED_VALUE"""),"Tidak Ada")</f>
        <v>Tidak Ada</v>
      </c>
      <c r="N140" s="4"/>
      <c r="O140" s="4" t="str">
        <f>IFERROR(__xludf.DUMMYFUNCTION("""COMPUTED_VALUE"""),"PEMBANDING SEJENIS")</f>
        <v>PEMBANDING SEJENIS</v>
      </c>
      <c r="P140" s="4" t="str">
        <f>IFERROR(__xludf.DUMMYFUNCTION("""COMPUTED_VALUE"""),"KONEKTOR/JUMPER")</f>
        <v>KONEKTOR/JUMPER</v>
      </c>
      <c r="Q140" s="4">
        <f>IFERROR(__xludf.DUMMYFUNCTION("""COMPUTED_VALUE"""),23.0)</f>
        <v>23</v>
      </c>
      <c r="R140" s="4">
        <f>IFERROR(__xludf.DUMMYFUNCTION("""COMPUTED_VALUE"""),22.0)</f>
        <v>22</v>
      </c>
      <c r="S140" s="4">
        <f>IFERROR(__xludf.DUMMYFUNCTION("""COMPUTED_VALUE"""),22.0)</f>
        <v>22</v>
      </c>
      <c r="T140" s="4"/>
      <c r="U140" s="4" t="str">
        <f>IFERROR(__xludf.DUMMYFUNCTION("""COMPUTED_VALUE"""),"BAIK")</f>
        <v>BAIK</v>
      </c>
      <c r="V140" s="4" t="str">
        <f>IFERROR(__xludf.DUMMYFUNCTION("""COMPUTED_VALUE"""),"Tidak Ada")</f>
        <v>Tidak Ada</v>
      </c>
      <c r="W140" s="4"/>
      <c r="X140" s="4"/>
      <c r="Y140" s="4"/>
      <c r="Z140" s="4"/>
      <c r="AA140" s="4"/>
      <c r="AB140" s="4"/>
      <c r="AC140" s="4" t="str">
        <f>IFERROR(__xludf.DUMMYFUNCTION("""COMPUTED_VALUE"""),"INSPEKSI SUTM - T2_Images/e1a61de8.FOTO.124927.jpg")</f>
        <v>INSPEKSI SUTM - T2_Images/e1a61de8.FOTO.124927.jpg</v>
      </c>
      <c r="AD140" s="4"/>
      <c r="AE140" s="4"/>
      <c r="AF140" s="4" t="str">
        <f>IFERROR(__xludf.DUMMYFUNCTION("""COMPUTED_VALUE"""),"BELUM")</f>
        <v>BELUM</v>
      </c>
      <c r="AG140" s="6">
        <f>IFERROR(__xludf.DUMMYFUNCTION("""COMPUTED_VALUE"""),46042.0)</f>
        <v>46042</v>
      </c>
      <c r="AH140" s="4"/>
      <c r="AI140" s="4"/>
    </row>
    <row r="141" ht="15.75" customHeight="1">
      <c r="A141" s="4" t="str">
        <f>IFERROR(__xludf.DUMMYFUNCTION("""COMPUTED_VALUE"""),"cd08a47c")</f>
        <v>cd08a47c</v>
      </c>
      <c r="B141" s="5">
        <f>IFERROR(__xludf.DUMMYFUNCTION("""COMPUTED_VALUE"""),46042.82604166667)</f>
        <v>46042.82604</v>
      </c>
      <c r="C141" s="4" t="str">
        <f>IFERROR(__xludf.DUMMYFUNCTION("""COMPUTED_VALUE"""),"-6.950096, 107.572004")</f>
        <v>-6.950096, 107.572004</v>
      </c>
      <c r="D141" s="4" t="str">
        <f>IFERROR(__xludf.DUMMYFUNCTION("""COMPUTED_VALUE"""),"fuad nugi")</f>
        <v>fuad nugi</v>
      </c>
      <c r="E141" s="4" t="str">
        <f>IFERROR(__xludf.DUMMYFUNCTION("""COMPUTED_VALUE"""),"BANDUNG")</f>
        <v>BANDUNG</v>
      </c>
      <c r="F141" s="4" t="str">
        <f>IFERROR(__xludf.DUMMYFUNCTION("""COMPUTED_VALUE"""),"KOPO")</f>
        <v>KOPO</v>
      </c>
      <c r="G141" s="4" t="str">
        <f>IFERROR(__xludf.DUMMYFUNCTION("""COMPUTED_VALUE"""),"NEW CIBEUREUM")</f>
        <v>NEW CIBEUREUM</v>
      </c>
      <c r="H141" s="4" t="str">
        <f>IFERROR(__xludf.DUMMYFUNCTION("""COMPUTED_VALUE"""),"WTHO")</f>
        <v>WTHO</v>
      </c>
      <c r="I141" s="4" t="str">
        <f>IFERROR(__xludf.DUMMYFUNCTION("""COMPUTED_VALUE"""),"LBS KIC - UJUNG")</f>
        <v>LBS KIC - UJUNG</v>
      </c>
      <c r="J141" s="4" t="str">
        <f>IFERROR(__xludf.DUMMYFUNCTION("""COMPUTED_VALUE"""),"ZONA 2")</f>
        <v>ZONA 2</v>
      </c>
      <c r="K141" s="4" t="str">
        <f>IFERROR(__xludf.DUMMYFUNCTION("""COMPUTED_VALUE"""),"023R18")</f>
        <v>023R18</v>
      </c>
      <c r="L141" s="4" t="str">
        <f>IFERROR(__xludf.DUMMYFUNCTION("""COMPUTED_VALUE"""),"TM - 13B/H (Kabel Naik Pada Tiang Tumpu)")</f>
        <v>TM - 13B/H (Kabel Naik Pada Tiang Tumpu)</v>
      </c>
      <c r="M141" s="4" t="str">
        <f>IFERROR(__xludf.DUMMYFUNCTION("""COMPUTED_VALUE"""),"Gardu")</f>
        <v>Gardu</v>
      </c>
      <c r="N141" s="4" t="str">
        <f>IFERROR(__xludf.DUMMYFUNCTION("""COMPUTED_VALUE"""),"kice")</f>
        <v>kice</v>
      </c>
      <c r="O141" s="4" t="str">
        <f>IFERROR(__xludf.DUMMYFUNCTION("""COMPUTED_VALUE"""),"PEMBANDING SEJENIS")</f>
        <v>PEMBANDING SEJENIS</v>
      </c>
      <c r="P141" s="4" t="str">
        <f>IFERROR(__xludf.DUMMYFUNCTION("""COMPUTED_VALUE"""),"TERMINASI")</f>
        <v>TERMINASI</v>
      </c>
      <c r="Q141" s="4">
        <f>IFERROR(__xludf.DUMMYFUNCTION("""COMPUTED_VALUE"""),23.0)</f>
        <v>23</v>
      </c>
      <c r="R141" s="4">
        <f>IFERROR(__xludf.DUMMYFUNCTION("""COMPUTED_VALUE"""),23.0)</f>
        <v>23</v>
      </c>
      <c r="S141" s="4">
        <f>IFERROR(__xludf.DUMMYFUNCTION("""COMPUTED_VALUE"""),23.0)</f>
        <v>23</v>
      </c>
      <c r="T141" s="4"/>
      <c r="U141" s="4" t="str">
        <f>IFERROR(__xludf.DUMMYFUNCTION("""COMPUTED_VALUE"""),"BAIK")</f>
        <v>BAIK</v>
      </c>
      <c r="V141" s="4" t="str">
        <f>IFERROR(__xludf.DUMMYFUNCTION("""COMPUTED_VALUE"""),"Tidak Ada")</f>
        <v>Tidak Ada</v>
      </c>
      <c r="W141" s="4"/>
      <c r="X141" s="4"/>
      <c r="Y141" s="4"/>
      <c r="Z141" s="4"/>
      <c r="AA141" s="4"/>
      <c r="AB141" s="4"/>
      <c r="AC141" s="4" t="str">
        <f>IFERROR(__xludf.DUMMYFUNCTION("""COMPUTED_VALUE"""),"INSPEKSI SUTM - T2_Images/cd08a47c.FOTO.125018.jpg")</f>
        <v>INSPEKSI SUTM - T2_Images/cd08a47c.FOTO.125018.jpg</v>
      </c>
      <c r="AD141" s="4"/>
      <c r="AE141" s="4"/>
      <c r="AF141" s="4" t="str">
        <f>IFERROR(__xludf.DUMMYFUNCTION("""COMPUTED_VALUE"""),"BELUM")</f>
        <v>BELUM</v>
      </c>
      <c r="AG141" s="6">
        <f>IFERROR(__xludf.DUMMYFUNCTION("""COMPUTED_VALUE"""),46042.0)</f>
        <v>46042</v>
      </c>
      <c r="AH141" s="4"/>
      <c r="AI141" s="4"/>
    </row>
    <row r="142" ht="15.75" customHeight="1">
      <c r="A142" s="4" t="str">
        <f>IFERROR(__xludf.DUMMYFUNCTION("""COMPUTED_VALUE"""),"fb537db9")</f>
        <v>fb537db9</v>
      </c>
      <c r="B142" s="5">
        <f>IFERROR(__xludf.DUMMYFUNCTION("""COMPUTED_VALUE"""),46045.18513888889)</f>
        <v>46045.18514</v>
      </c>
      <c r="C142" s="4" t="str">
        <f>IFERROR(__xludf.DUMMYFUNCTION("""COMPUTED_VALUE"""),"-6.938895, 107.626632")</f>
        <v>-6.938895, 107.626632</v>
      </c>
      <c r="D142" s="4" t="str">
        <f>IFERROR(__xludf.DUMMYFUNCTION("""COMPUTED_VALUE"""),"Alam deril")</f>
        <v>Alam deril</v>
      </c>
      <c r="E142" s="4" t="str">
        <f>IFERROR(__xludf.DUMMYFUNCTION("""COMPUTED_VALUE"""),"BANDUNG")</f>
        <v>BANDUNG</v>
      </c>
      <c r="F142" s="4" t="str">
        <f>IFERROR(__xludf.DUMMYFUNCTION("""COMPUTED_VALUE"""),"BANDUNG UTARA")</f>
        <v>BANDUNG UTARA</v>
      </c>
      <c r="G142" s="4" t="str">
        <f>IFERROR(__xludf.DUMMYFUNCTION("""COMPUTED_VALUE"""),"BENGKOK")</f>
        <v>BENGKOK</v>
      </c>
      <c r="H142" s="4" t="str">
        <f>IFERROR(__xludf.DUMMYFUNCTION("""COMPUTED_VALUE"""),"CGDG")</f>
        <v>CGDG</v>
      </c>
      <c r="I142" s="4" t="str">
        <f>IFERROR(__xludf.DUMMYFUNCTION("""COMPUTED_VALUE"""),"BNK-LBS BKRC")</f>
        <v>BNK-LBS BKRC</v>
      </c>
      <c r="J142" s="4" t="str">
        <f>IFERROR(__xludf.DUMMYFUNCTION("""COMPUTED_VALUE"""),"ZONA 2")</f>
        <v>ZONA 2</v>
      </c>
      <c r="K142" s="4" t="str">
        <f>IFERROR(__xludf.DUMMYFUNCTION("""COMPUTED_VALUE"""),"025")</f>
        <v>025</v>
      </c>
      <c r="L142" s="4" t="str">
        <f>IFERROR(__xludf.DUMMYFUNCTION("""COMPUTED_VALUE"""),"TM - 4B/H (Afspan)")</f>
        <v>TM - 4B/H (Afspan)</v>
      </c>
      <c r="M142" s="4" t="str">
        <f>IFERROR(__xludf.DUMMYFUNCTION("""COMPUTED_VALUE"""),"Tidak Ada")</f>
        <v>Tidak Ada</v>
      </c>
      <c r="N142" s="4"/>
      <c r="O142" s="4" t="str">
        <f>IFERROR(__xludf.DUMMYFUNCTION("""COMPUTED_VALUE"""),"PEMBANDING SEJENIS")</f>
        <v>PEMBANDING SEJENIS</v>
      </c>
      <c r="P142" s="4" t="str">
        <f>IFERROR(__xludf.DUMMYFUNCTION("""COMPUTED_VALUE"""),"KONEKTOR/JUMPER")</f>
        <v>KONEKTOR/JUMPER</v>
      </c>
      <c r="Q142" s="4">
        <f>IFERROR(__xludf.DUMMYFUNCTION("""COMPUTED_VALUE"""),21.0)</f>
        <v>21</v>
      </c>
      <c r="R142" s="4">
        <f>IFERROR(__xludf.DUMMYFUNCTION("""COMPUTED_VALUE"""),20.0)</f>
        <v>20</v>
      </c>
      <c r="S142" s="4">
        <f>IFERROR(__xludf.DUMMYFUNCTION("""COMPUTED_VALUE"""),20.0)</f>
        <v>20</v>
      </c>
      <c r="T142" s="4"/>
      <c r="U142" s="4" t="str">
        <f>IFERROR(__xludf.DUMMYFUNCTION("""COMPUTED_VALUE"""),"BAIK")</f>
        <v>BAIK</v>
      </c>
      <c r="V142" s="4" t="str">
        <f>IFERROR(__xludf.DUMMYFUNCTION("""COMPUTED_VALUE"""),"Tidak Ada")</f>
        <v>Tidak Ada</v>
      </c>
      <c r="W142" s="4"/>
      <c r="X142" s="4"/>
      <c r="Y142" s="4"/>
      <c r="Z142" s="4"/>
      <c r="AA142" s="4"/>
      <c r="AB142" s="4"/>
      <c r="AC142" s="4" t="str">
        <f>IFERROR(__xludf.DUMMYFUNCTION("""COMPUTED_VALUE"""),"INSPEKSI SUTM - T2_Images/fb537db9.FOTO.214232.jpg")</f>
        <v>INSPEKSI SUTM - T2_Images/fb537db9.FOTO.214232.jpg</v>
      </c>
      <c r="AD142" s="4"/>
      <c r="AE142" s="4"/>
      <c r="AF142" s="4" t="str">
        <f>IFERROR(__xludf.DUMMYFUNCTION("""COMPUTED_VALUE"""),"BELUM")</f>
        <v>BELUM</v>
      </c>
      <c r="AG142" s="6">
        <f>IFERROR(__xludf.DUMMYFUNCTION("""COMPUTED_VALUE"""),46045.0)</f>
        <v>46045</v>
      </c>
      <c r="AH142" s="4"/>
      <c r="AI142" s="4"/>
    </row>
    <row r="143" ht="15.75" customHeight="1">
      <c r="A143" s="4" t="str">
        <f>IFERROR(__xludf.DUMMYFUNCTION("""COMPUTED_VALUE"""),"1321a089")</f>
        <v>1321a089</v>
      </c>
      <c r="B143" s="5">
        <f>IFERROR(__xludf.DUMMYFUNCTION("""COMPUTED_VALUE"""),46045.18587962963)</f>
        <v>46045.18588</v>
      </c>
      <c r="C143" s="4" t="str">
        <f>IFERROR(__xludf.DUMMYFUNCTION("""COMPUTED_VALUE"""),"-6.938905, 107.626677")</f>
        <v>-6.938905, 107.626677</v>
      </c>
      <c r="D143" s="4" t="str">
        <f>IFERROR(__xludf.DUMMYFUNCTION("""COMPUTED_VALUE"""),"Alam deril")</f>
        <v>Alam deril</v>
      </c>
      <c r="E143" s="4" t="str">
        <f>IFERROR(__xludf.DUMMYFUNCTION("""COMPUTED_VALUE"""),"BANDUNG")</f>
        <v>BANDUNG</v>
      </c>
      <c r="F143" s="4" t="str">
        <f>IFERROR(__xludf.DUMMYFUNCTION("""COMPUTED_VALUE"""),"BANDUNG UTARA")</f>
        <v>BANDUNG UTARA</v>
      </c>
      <c r="G143" s="4" t="str">
        <f>IFERROR(__xludf.DUMMYFUNCTION("""COMPUTED_VALUE"""),"BENGKOK")</f>
        <v>BENGKOK</v>
      </c>
      <c r="H143" s="4" t="str">
        <f>IFERROR(__xludf.DUMMYFUNCTION("""COMPUTED_VALUE"""),"CGDG")</f>
        <v>CGDG</v>
      </c>
      <c r="I143" s="4" t="str">
        <f>IFERROR(__xludf.DUMMYFUNCTION("""COMPUTED_VALUE"""),"BNK-LBS BKRC")</f>
        <v>BNK-LBS BKRC</v>
      </c>
      <c r="J143" s="4" t="str">
        <f>IFERROR(__xludf.DUMMYFUNCTION("""COMPUTED_VALUE"""),"ZONA 2")</f>
        <v>ZONA 2</v>
      </c>
      <c r="K143" s="4" t="str">
        <f>IFERROR(__xludf.DUMMYFUNCTION("""COMPUTED_VALUE"""),"031")</f>
        <v>031</v>
      </c>
      <c r="L143" s="4" t="str">
        <f>IFERROR(__xludf.DUMMYFUNCTION("""COMPUTED_VALUE"""),"TM - 4B/H (Afspan)")</f>
        <v>TM - 4B/H (Afspan)</v>
      </c>
      <c r="M143" s="4" t="str">
        <f>IFERROR(__xludf.DUMMYFUNCTION("""COMPUTED_VALUE"""),"Tidak Ada")</f>
        <v>Tidak Ada</v>
      </c>
      <c r="N143" s="4"/>
      <c r="O143" s="4" t="str">
        <f>IFERROR(__xludf.DUMMYFUNCTION("""COMPUTED_VALUE"""),"PEMBANDING SEJENIS")</f>
        <v>PEMBANDING SEJENIS</v>
      </c>
      <c r="P143" s="4" t="str">
        <f>IFERROR(__xludf.DUMMYFUNCTION("""COMPUTED_VALUE"""),"KONEKTOR/JUMPER")</f>
        <v>KONEKTOR/JUMPER</v>
      </c>
      <c r="Q143" s="4">
        <f>IFERROR(__xludf.DUMMYFUNCTION("""COMPUTED_VALUE"""),17.0)</f>
        <v>17</v>
      </c>
      <c r="R143" s="4">
        <f>IFERROR(__xludf.DUMMYFUNCTION("""COMPUTED_VALUE"""),18.0)</f>
        <v>18</v>
      </c>
      <c r="S143" s="4">
        <f>IFERROR(__xludf.DUMMYFUNCTION("""COMPUTED_VALUE"""),20.0)</f>
        <v>20</v>
      </c>
      <c r="T143" s="4"/>
      <c r="U143" s="4" t="str">
        <f>IFERROR(__xludf.DUMMYFUNCTION("""COMPUTED_VALUE"""),"CUKUP")</f>
        <v>CUKUP</v>
      </c>
      <c r="V143" s="4" t="str">
        <f>IFERROR(__xludf.DUMMYFUNCTION("""COMPUTED_VALUE"""),"Tidak Ada")</f>
        <v>Tidak Ada</v>
      </c>
      <c r="W143" s="4"/>
      <c r="X143" s="4"/>
      <c r="Y143" s="4"/>
      <c r="Z143" s="4"/>
      <c r="AA143" s="4"/>
      <c r="AB143" s="4"/>
      <c r="AC143" s="4" t="str">
        <f>IFERROR(__xludf.DUMMYFUNCTION("""COMPUTED_VALUE"""),"INSPEKSI SUTM - T2_Images/1321a089.FOTO.214247.jpg")</f>
        <v>INSPEKSI SUTM - T2_Images/1321a089.FOTO.214247.jpg</v>
      </c>
      <c r="AD143" s="4"/>
      <c r="AE143" s="4"/>
      <c r="AF143" s="4" t="str">
        <f>IFERROR(__xludf.DUMMYFUNCTION("""COMPUTED_VALUE"""),"BELUM")</f>
        <v>BELUM</v>
      </c>
      <c r="AG143" s="6">
        <f>IFERROR(__xludf.DUMMYFUNCTION("""COMPUTED_VALUE"""),46045.0)</f>
        <v>46045</v>
      </c>
      <c r="AH143" s="4"/>
      <c r="AI143" s="4"/>
    </row>
    <row r="144" ht="15.75" customHeight="1">
      <c r="A144" s="4" t="str">
        <f>IFERROR(__xludf.DUMMYFUNCTION("""COMPUTED_VALUE"""),"12d20bbc")</f>
        <v>12d20bbc</v>
      </c>
      <c r="B144" s="5">
        <f>IFERROR(__xludf.DUMMYFUNCTION("""COMPUTED_VALUE"""),46045.186435185184)</f>
        <v>46045.18644</v>
      </c>
      <c r="C144" s="4" t="str">
        <f>IFERROR(__xludf.DUMMYFUNCTION("""COMPUTED_VALUE"""),"-6.938905, 107.626677")</f>
        <v>-6.938905, 107.626677</v>
      </c>
      <c r="D144" s="4" t="str">
        <f>IFERROR(__xludf.DUMMYFUNCTION("""COMPUTED_VALUE"""),"Alam deril")</f>
        <v>Alam deril</v>
      </c>
      <c r="E144" s="4" t="str">
        <f>IFERROR(__xludf.DUMMYFUNCTION("""COMPUTED_VALUE"""),"BANDUNG")</f>
        <v>BANDUNG</v>
      </c>
      <c r="F144" s="4" t="str">
        <f>IFERROR(__xludf.DUMMYFUNCTION("""COMPUTED_VALUE"""),"BANDUNG UTARA")</f>
        <v>BANDUNG UTARA</v>
      </c>
      <c r="G144" s="4" t="str">
        <f>IFERROR(__xludf.DUMMYFUNCTION("""COMPUTED_VALUE"""),"BENGKOK")</f>
        <v>BENGKOK</v>
      </c>
      <c r="H144" s="4" t="str">
        <f>IFERROR(__xludf.DUMMYFUNCTION("""COMPUTED_VALUE"""),"CGDG")</f>
        <v>CGDG</v>
      </c>
      <c r="I144" s="4" t="str">
        <f>IFERROR(__xludf.DUMMYFUNCTION("""COMPUTED_VALUE"""),"BNK-LBS BKRC")</f>
        <v>BNK-LBS BKRC</v>
      </c>
      <c r="J144" s="4" t="str">
        <f>IFERROR(__xludf.DUMMYFUNCTION("""COMPUTED_VALUE"""),"ZONA 2")</f>
        <v>ZONA 2</v>
      </c>
      <c r="K144" s="4" t="str">
        <f>IFERROR(__xludf.DUMMYFUNCTION("""COMPUTED_VALUE"""),"040")</f>
        <v>040</v>
      </c>
      <c r="L144" s="4" t="str">
        <f>IFERROR(__xludf.DUMMYFUNCTION("""COMPUTED_VALUE"""),"TM - 4B/H (Afspan)")</f>
        <v>TM - 4B/H (Afspan)</v>
      </c>
      <c r="M144" s="4" t="str">
        <f>IFERROR(__xludf.DUMMYFUNCTION("""COMPUTED_VALUE"""),"Tidak Ada")</f>
        <v>Tidak Ada</v>
      </c>
      <c r="N144" s="4"/>
      <c r="O144" s="4" t="str">
        <f>IFERROR(__xludf.DUMMYFUNCTION("""COMPUTED_VALUE"""),"PEMBANDING SEJENIS")</f>
        <v>PEMBANDING SEJENIS</v>
      </c>
      <c r="P144" s="4" t="str">
        <f>IFERROR(__xludf.DUMMYFUNCTION("""COMPUTED_VALUE"""),"KONEKTOR/JUMPER")</f>
        <v>KONEKTOR/JUMPER</v>
      </c>
      <c r="Q144" s="4">
        <f>IFERROR(__xludf.DUMMYFUNCTION("""COMPUTED_VALUE"""),20.0)</f>
        <v>20</v>
      </c>
      <c r="R144" s="4">
        <f>IFERROR(__xludf.DUMMYFUNCTION("""COMPUTED_VALUE"""),21.0)</f>
        <v>21</v>
      </c>
      <c r="S144" s="4">
        <f>IFERROR(__xludf.DUMMYFUNCTION("""COMPUTED_VALUE"""),20.0)</f>
        <v>20</v>
      </c>
      <c r="T144" s="4"/>
      <c r="U144" s="4" t="str">
        <f>IFERROR(__xludf.DUMMYFUNCTION("""COMPUTED_VALUE"""),"BAIK")</f>
        <v>BAIK</v>
      </c>
      <c r="V144" s="4" t="str">
        <f>IFERROR(__xludf.DUMMYFUNCTION("""COMPUTED_VALUE"""),"Tidak Ada")</f>
        <v>Tidak Ada</v>
      </c>
      <c r="W144" s="4"/>
      <c r="X144" s="4"/>
      <c r="Y144" s="4"/>
      <c r="Z144" s="4"/>
      <c r="AA144" s="4"/>
      <c r="AB144" s="4"/>
      <c r="AC144" s="4" t="str">
        <f>IFERROR(__xludf.DUMMYFUNCTION("""COMPUTED_VALUE"""),"INSPEKSI SUTM - T2_Images/12d20bbc.FOTO.214251.jpg")</f>
        <v>INSPEKSI SUTM - T2_Images/12d20bbc.FOTO.214251.jpg</v>
      </c>
      <c r="AD144" s="4"/>
      <c r="AE144" s="4"/>
      <c r="AF144" s="4" t="str">
        <f>IFERROR(__xludf.DUMMYFUNCTION("""COMPUTED_VALUE"""),"BELUM")</f>
        <v>BELUM</v>
      </c>
      <c r="AG144" s="6">
        <f>IFERROR(__xludf.DUMMYFUNCTION("""COMPUTED_VALUE"""),46045.0)</f>
        <v>46045</v>
      </c>
      <c r="AH144" s="4"/>
      <c r="AI144" s="4"/>
    </row>
    <row r="145" ht="15.75" customHeight="1">
      <c r="A145" s="4" t="str">
        <f>IFERROR(__xludf.DUMMYFUNCTION("""COMPUTED_VALUE"""),"07a6c6cb")</f>
        <v>07a6c6cb</v>
      </c>
      <c r="B145" s="5">
        <f>IFERROR(__xludf.DUMMYFUNCTION("""COMPUTED_VALUE"""),46045.186944444446)</f>
        <v>46045.18694</v>
      </c>
      <c r="C145" s="4" t="str">
        <f>IFERROR(__xludf.DUMMYFUNCTION("""COMPUTED_VALUE"""),"-6.938894, 107.626705")</f>
        <v>-6.938894, 107.626705</v>
      </c>
      <c r="D145" s="4" t="str">
        <f>IFERROR(__xludf.DUMMYFUNCTION("""COMPUTED_VALUE"""),"Alam deril")</f>
        <v>Alam deril</v>
      </c>
      <c r="E145" s="4" t="str">
        <f>IFERROR(__xludf.DUMMYFUNCTION("""COMPUTED_VALUE"""),"BANDUNG")</f>
        <v>BANDUNG</v>
      </c>
      <c r="F145" s="4" t="str">
        <f>IFERROR(__xludf.DUMMYFUNCTION("""COMPUTED_VALUE"""),"BANDUNG UTARA")</f>
        <v>BANDUNG UTARA</v>
      </c>
      <c r="G145" s="4" t="str">
        <f>IFERROR(__xludf.DUMMYFUNCTION("""COMPUTED_VALUE"""),"BENGKOK")</f>
        <v>BENGKOK</v>
      </c>
      <c r="H145" s="4" t="str">
        <f>IFERROR(__xludf.DUMMYFUNCTION("""COMPUTED_VALUE"""),"CGDG")</f>
        <v>CGDG</v>
      </c>
      <c r="I145" s="4" t="str">
        <f>IFERROR(__xludf.DUMMYFUNCTION("""COMPUTED_VALUE"""),"BNK-LBS BKRC")</f>
        <v>BNK-LBS BKRC</v>
      </c>
      <c r="J145" s="4" t="str">
        <f>IFERROR(__xludf.DUMMYFUNCTION("""COMPUTED_VALUE"""),"ZONA 2")</f>
        <v>ZONA 2</v>
      </c>
      <c r="K145" s="4" t="str">
        <f>IFERROR(__xludf.DUMMYFUNCTION("""COMPUTED_VALUE"""),"050")</f>
        <v>050</v>
      </c>
      <c r="L145" s="4" t="str">
        <f>IFERROR(__xludf.DUMMYFUNCTION("""COMPUTED_VALUE"""),"TM - 4B/H (Afspan)")</f>
        <v>TM - 4B/H (Afspan)</v>
      </c>
      <c r="M145" s="4" t="str">
        <f>IFERROR(__xludf.DUMMYFUNCTION("""COMPUTED_VALUE"""),"Tidak Ada")</f>
        <v>Tidak Ada</v>
      </c>
      <c r="N145" s="4"/>
      <c r="O145" s="4" t="str">
        <f>IFERROR(__xludf.DUMMYFUNCTION("""COMPUTED_VALUE"""),"PEMBANDING SEJENIS")</f>
        <v>PEMBANDING SEJENIS</v>
      </c>
      <c r="P145" s="4" t="str">
        <f>IFERROR(__xludf.DUMMYFUNCTION("""COMPUTED_VALUE"""),"KONEKTOR/JUMPER")</f>
        <v>KONEKTOR/JUMPER</v>
      </c>
      <c r="Q145" s="4">
        <f>IFERROR(__xludf.DUMMYFUNCTION("""COMPUTED_VALUE"""),22.0)</f>
        <v>22</v>
      </c>
      <c r="R145" s="4">
        <f>IFERROR(__xludf.DUMMYFUNCTION("""COMPUTED_VALUE"""),22.0)</f>
        <v>22</v>
      </c>
      <c r="S145" s="4">
        <f>IFERROR(__xludf.DUMMYFUNCTION("""COMPUTED_VALUE"""),22.0)</f>
        <v>22</v>
      </c>
      <c r="T145" s="4"/>
      <c r="U145" s="4" t="str">
        <f>IFERROR(__xludf.DUMMYFUNCTION("""COMPUTED_VALUE"""),"BAIK")</f>
        <v>BAIK</v>
      </c>
      <c r="V145" s="4" t="str">
        <f>IFERROR(__xludf.DUMMYFUNCTION("""COMPUTED_VALUE"""),"Tidak Ada")</f>
        <v>Tidak Ada</v>
      </c>
      <c r="W145" s="4"/>
      <c r="X145" s="4"/>
      <c r="Y145" s="4"/>
      <c r="Z145" s="4"/>
      <c r="AA145" s="4"/>
      <c r="AB145" s="4"/>
      <c r="AC145" s="4" t="str">
        <f>IFERROR(__xludf.DUMMYFUNCTION("""COMPUTED_VALUE"""),"INSPEKSI SUTM - T2_Images/07a6c6cb.FOTO.214255.jpg")</f>
        <v>INSPEKSI SUTM - T2_Images/07a6c6cb.FOTO.214255.jpg</v>
      </c>
      <c r="AD145" s="4"/>
      <c r="AE145" s="4"/>
      <c r="AF145" s="4" t="str">
        <f>IFERROR(__xludf.DUMMYFUNCTION("""COMPUTED_VALUE"""),"BELUM")</f>
        <v>BELUM</v>
      </c>
      <c r="AG145" s="6">
        <f>IFERROR(__xludf.DUMMYFUNCTION("""COMPUTED_VALUE"""),46045.0)</f>
        <v>46045</v>
      </c>
      <c r="AH145" s="4"/>
      <c r="AI145" s="4"/>
    </row>
    <row r="146" ht="15.75" customHeight="1">
      <c r="A146" s="4" t="str">
        <f>IFERROR(__xludf.DUMMYFUNCTION("""COMPUTED_VALUE"""),"c6acc2c8")</f>
        <v>c6acc2c8</v>
      </c>
      <c r="B146" s="5">
        <f>IFERROR(__xludf.DUMMYFUNCTION("""COMPUTED_VALUE"""),46045.18746527778)</f>
        <v>46045.18747</v>
      </c>
      <c r="C146" s="4" t="str">
        <f>IFERROR(__xludf.DUMMYFUNCTION("""COMPUTED_VALUE"""),"-6.938905, 107.626677")</f>
        <v>-6.938905, 107.626677</v>
      </c>
      <c r="D146" s="4" t="str">
        <f>IFERROR(__xludf.DUMMYFUNCTION("""COMPUTED_VALUE"""),"Alam deril")</f>
        <v>Alam deril</v>
      </c>
      <c r="E146" s="4" t="str">
        <f>IFERROR(__xludf.DUMMYFUNCTION("""COMPUTED_VALUE"""),"BANDUNG")</f>
        <v>BANDUNG</v>
      </c>
      <c r="F146" s="4" t="str">
        <f>IFERROR(__xludf.DUMMYFUNCTION("""COMPUTED_VALUE"""),"BANDUNG UTARA")</f>
        <v>BANDUNG UTARA</v>
      </c>
      <c r="G146" s="4" t="str">
        <f>IFERROR(__xludf.DUMMYFUNCTION("""COMPUTED_VALUE"""),"BENGKOK")</f>
        <v>BENGKOK</v>
      </c>
      <c r="H146" s="4" t="str">
        <f>IFERROR(__xludf.DUMMYFUNCTION("""COMPUTED_VALUE"""),"CGDG")</f>
        <v>CGDG</v>
      </c>
      <c r="I146" s="4" t="str">
        <f>IFERROR(__xludf.DUMMYFUNCTION("""COMPUTED_VALUE"""),"BNK-LBS BKRC")</f>
        <v>BNK-LBS BKRC</v>
      </c>
      <c r="J146" s="4" t="str">
        <f>IFERROR(__xludf.DUMMYFUNCTION("""COMPUTED_VALUE"""),"ZONA 2")</f>
        <v>ZONA 2</v>
      </c>
      <c r="K146" s="4" t="str">
        <f>IFERROR(__xludf.DUMMYFUNCTION("""COMPUTED_VALUE"""),"051")</f>
        <v>051</v>
      </c>
      <c r="L146" s="4" t="str">
        <f>IFERROR(__xludf.DUMMYFUNCTION("""COMPUTED_VALUE"""),"TM - 11B/H (Kabel Naik)")</f>
        <v>TM - 11B/H (Kabel Naik)</v>
      </c>
      <c r="M146" s="4" t="str">
        <f>IFERROR(__xludf.DUMMYFUNCTION("""COMPUTED_VALUE"""),"Tidak Ada")</f>
        <v>Tidak Ada</v>
      </c>
      <c r="N146" s="4"/>
      <c r="O146" s="4" t="str">
        <f>IFERROR(__xludf.DUMMYFUNCTION("""COMPUTED_VALUE"""),"PEMBANDING SEJENIS")</f>
        <v>PEMBANDING SEJENIS</v>
      </c>
      <c r="P146" s="4" t="str">
        <f>IFERROR(__xludf.DUMMYFUNCTION("""COMPUTED_VALUE"""),"KONEKTOR/JUMPER")</f>
        <v>KONEKTOR/JUMPER</v>
      </c>
      <c r="Q146" s="4">
        <f>IFERROR(__xludf.DUMMYFUNCTION("""COMPUTED_VALUE"""),20.0)</f>
        <v>20</v>
      </c>
      <c r="R146" s="4">
        <f>IFERROR(__xludf.DUMMYFUNCTION("""COMPUTED_VALUE"""),22.0)</f>
        <v>22</v>
      </c>
      <c r="S146" s="4">
        <f>IFERROR(__xludf.DUMMYFUNCTION("""COMPUTED_VALUE"""),22.0)</f>
        <v>22</v>
      </c>
      <c r="T146" s="4"/>
      <c r="U146" s="4" t="str">
        <f>IFERROR(__xludf.DUMMYFUNCTION("""COMPUTED_VALUE"""),"BAIK")</f>
        <v>BAIK</v>
      </c>
      <c r="V146" s="4" t="str">
        <f>IFERROR(__xludf.DUMMYFUNCTION("""COMPUTED_VALUE"""),"Tidak Ada")</f>
        <v>Tidak Ada</v>
      </c>
      <c r="W146" s="4"/>
      <c r="X146" s="4"/>
      <c r="Y146" s="4"/>
      <c r="Z146" s="4"/>
      <c r="AA146" s="4"/>
      <c r="AB146" s="4"/>
      <c r="AC146" s="4" t="str">
        <f>IFERROR(__xludf.DUMMYFUNCTION("""COMPUTED_VALUE"""),"INSPEKSI SUTM - T2_Images/c6acc2c8.FOTO.214259.jpg")</f>
        <v>INSPEKSI SUTM - T2_Images/c6acc2c8.FOTO.214259.jpg</v>
      </c>
      <c r="AD146" s="4"/>
      <c r="AE146" s="4"/>
      <c r="AF146" s="4" t="str">
        <f>IFERROR(__xludf.DUMMYFUNCTION("""COMPUTED_VALUE"""),"BELUM")</f>
        <v>BELUM</v>
      </c>
      <c r="AG146" s="6">
        <f>IFERROR(__xludf.DUMMYFUNCTION("""COMPUTED_VALUE"""),46045.0)</f>
        <v>46045</v>
      </c>
      <c r="AH146" s="4"/>
      <c r="AI146" s="4"/>
    </row>
    <row r="147" ht="15.75" customHeight="1">
      <c r="A147" s="4" t="str">
        <f>IFERROR(__xludf.DUMMYFUNCTION("""COMPUTED_VALUE"""),"80c44b46")</f>
        <v>80c44b46</v>
      </c>
      <c r="B147" s="5">
        <f>IFERROR(__xludf.DUMMYFUNCTION("""COMPUTED_VALUE"""),46045.189479166664)</f>
        <v>46045.18948</v>
      </c>
      <c r="C147" s="4" t="str">
        <f>IFERROR(__xludf.DUMMYFUNCTION("""COMPUTED_VALUE"""),"-6.938851, 107.626689")</f>
        <v>-6.938851, 107.626689</v>
      </c>
      <c r="D147" s="4" t="str">
        <f>IFERROR(__xludf.DUMMYFUNCTION("""COMPUTED_VALUE"""),"Alam deril")</f>
        <v>Alam deril</v>
      </c>
      <c r="E147" s="4" t="str">
        <f>IFERROR(__xludf.DUMMYFUNCTION("""COMPUTED_VALUE"""),"BANDUNG")</f>
        <v>BANDUNG</v>
      </c>
      <c r="F147" s="4" t="str">
        <f>IFERROR(__xludf.DUMMYFUNCTION("""COMPUTED_VALUE"""),"BANDUNG UTARA")</f>
        <v>BANDUNG UTARA</v>
      </c>
      <c r="G147" s="4" t="str">
        <f>IFERROR(__xludf.DUMMYFUNCTION("""COMPUTED_VALUE"""),"BENGKOK")</f>
        <v>BENGKOK</v>
      </c>
      <c r="H147" s="4" t="str">
        <f>IFERROR(__xludf.DUMMYFUNCTION("""COMPUTED_VALUE"""),"CGDG")</f>
        <v>CGDG</v>
      </c>
      <c r="I147" s="4" t="str">
        <f>IFERROR(__xludf.DUMMYFUNCTION("""COMPUTED_VALUE"""),"BNK-LBS BKRC")</f>
        <v>BNK-LBS BKRC</v>
      </c>
      <c r="J147" s="4" t="str">
        <f>IFERROR(__xludf.DUMMYFUNCTION("""COMPUTED_VALUE"""),"ZONA 2")</f>
        <v>ZONA 2</v>
      </c>
      <c r="K147" s="4" t="str">
        <f>IFERROR(__xludf.DUMMYFUNCTION("""COMPUTED_VALUE"""),"052")</f>
        <v>052</v>
      </c>
      <c r="L147" s="4" t="str">
        <f>IFERROR(__xludf.DUMMYFUNCTION("""COMPUTED_VALUE"""),"TM - 11B/H (Kabel Naik)")</f>
        <v>TM - 11B/H (Kabel Naik)</v>
      </c>
      <c r="M147" s="4" t="str">
        <f>IFERROR(__xludf.DUMMYFUNCTION("""COMPUTED_VALUE"""),"Tidak Ada")</f>
        <v>Tidak Ada</v>
      </c>
      <c r="N147" s="4"/>
      <c r="O147" s="4" t="str">
        <f>IFERROR(__xludf.DUMMYFUNCTION("""COMPUTED_VALUE"""),"PEMBANDING SEJENIS")</f>
        <v>PEMBANDING SEJENIS</v>
      </c>
      <c r="P147" s="4" t="str">
        <f>IFERROR(__xludf.DUMMYFUNCTION("""COMPUTED_VALUE"""),"KONEKTOR/JUMPER")</f>
        <v>KONEKTOR/JUMPER</v>
      </c>
      <c r="Q147" s="4">
        <f>IFERROR(__xludf.DUMMYFUNCTION("""COMPUTED_VALUE"""),20.0)</f>
        <v>20</v>
      </c>
      <c r="R147" s="4">
        <f>IFERROR(__xludf.DUMMYFUNCTION("""COMPUTED_VALUE"""),22.0)</f>
        <v>22</v>
      </c>
      <c r="S147" s="4">
        <f>IFERROR(__xludf.DUMMYFUNCTION("""COMPUTED_VALUE"""),21.0)</f>
        <v>21</v>
      </c>
      <c r="T147" s="4"/>
      <c r="U147" s="4" t="str">
        <f>IFERROR(__xludf.DUMMYFUNCTION("""COMPUTED_VALUE"""),"BAIK")</f>
        <v>BAIK</v>
      </c>
      <c r="V147" s="4" t="str">
        <f>IFERROR(__xludf.DUMMYFUNCTION("""COMPUTED_VALUE"""),"Tidak Ada")</f>
        <v>Tidak Ada</v>
      </c>
      <c r="W147" s="4"/>
      <c r="X147" s="4"/>
      <c r="Y147" s="4"/>
      <c r="Z147" s="4"/>
      <c r="AA147" s="4"/>
      <c r="AB147" s="4"/>
      <c r="AC147" s="4" t="str">
        <f>IFERROR(__xludf.DUMMYFUNCTION("""COMPUTED_VALUE"""),"INSPEKSI SUTM - T2_Images/80c44b46.FOTO.214305.jpg")</f>
        <v>INSPEKSI SUTM - T2_Images/80c44b46.FOTO.214305.jpg</v>
      </c>
      <c r="AD147" s="4"/>
      <c r="AE147" s="4"/>
      <c r="AF147" s="4" t="str">
        <f>IFERROR(__xludf.DUMMYFUNCTION("""COMPUTED_VALUE"""),"BELUM")</f>
        <v>BELUM</v>
      </c>
      <c r="AG147" s="6">
        <f>IFERROR(__xludf.DUMMYFUNCTION("""COMPUTED_VALUE"""),46045.0)</f>
        <v>46045</v>
      </c>
      <c r="AH147" s="4"/>
      <c r="AI147" s="4"/>
    </row>
    <row r="148" ht="15.75" customHeight="1">
      <c r="A148" s="4" t="str">
        <f>IFERROR(__xludf.DUMMYFUNCTION("""COMPUTED_VALUE"""),"0e3fa481")</f>
        <v>0e3fa481</v>
      </c>
      <c r="B148" s="5">
        <f>IFERROR(__xludf.DUMMYFUNCTION("""COMPUTED_VALUE"""),46045.19005787037)</f>
        <v>46045.19006</v>
      </c>
      <c r="C148" s="4" t="str">
        <f>IFERROR(__xludf.DUMMYFUNCTION("""COMPUTED_VALUE"""),"-6.938838, 107.626705")</f>
        <v>-6.938838, 107.626705</v>
      </c>
      <c r="D148" s="4" t="str">
        <f>IFERROR(__xludf.DUMMYFUNCTION("""COMPUTED_VALUE"""),"Alam deril")</f>
        <v>Alam deril</v>
      </c>
      <c r="E148" s="4" t="str">
        <f>IFERROR(__xludf.DUMMYFUNCTION("""COMPUTED_VALUE"""),"BANDUNG")</f>
        <v>BANDUNG</v>
      </c>
      <c r="F148" s="4" t="str">
        <f>IFERROR(__xludf.DUMMYFUNCTION("""COMPUTED_VALUE"""),"BANDUNG UTARA")</f>
        <v>BANDUNG UTARA</v>
      </c>
      <c r="G148" s="4" t="str">
        <f>IFERROR(__xludf.DUMMYFUNCTION("""COMPUTED_VALUE"""),"BENGKOK")</f>
        <v>BENGKOK</v>
      </c>
      <c r="H148" s="4" t="str">
        <f>IFERROR(__xludf.DUMMYFUNCTION("""COMPUTED_VALUE"""),"CGDG")</f>
        <v>CGDG</v>
      </c>
      <c r="I148" s="4" t="str">
        <f>IFERROR(__xludf.DUMMYFUNCTION("""COMPUTED_VALUE"""),"BNK-LBS BKRC")</f>
        <v>BNK-LBS BKRC</v>
      </c>
      <c r="J148" s="4" t="str">
        <f>IFERROR(__xludf.DUMMYFUNCTION("""COMPUTED_VALUE"""),"ZONA 2")</f>
        <v>ZONA 2</v>
      </c>
      <c r="K148" s="4" t="str">
        <f>IFERROR(__xludf.DUMMYFUNCTION("""COMPUTED_VALUE"""),"055")</f>
        <v>055</v>
      </c>
      <c r="L148" s="4" t="str">
        <f>IFERROR(__xludf.DUMMYFUNCTION("""COMPUTED_VALUE"""),"TM - 4B/H (Afspan)")</f>
        <v>TM - 4B/H (Afspan)</v>
      </c>
      <c r="M148" s="4" t="str">
        <f>IFERROR(__xludf.DUMMYFUNCTION("""COMPUTED_VALUE"""),"Tidak Ada")</f>
        <v>Tidak Ada</v>
      </c>
      <c r="N148" s="4"/>
      <c r="O148" s="4" t="str">
        <f>IFERROR(__xludf.DUMMYFUNCTION("""COMPUTED_VALUE"""),"PEMBANDING SEJENIS")</f>
        <v>PEMBANDING SEJENIS</v>
      </c>
      <c r="P148" s="4" t="str">
        <f>IFERROR(__xludf.DUMMYFUNCTION("""COMPUTED_VALUE"""),"KONEKTOR/JUMPER")</f>
        <v>KONEKTOR/JUMPER</v>
      </c>
      <c r="Q148" s="4">
        <f>IFERROR(__xludf.DUMMYFUNCTION("""COMPUTED_VALUE"""),22.0)</f>
        <v>22</v>
      </c>
      <c r="R148" s="4">
        <f>IFERROR(__xludf.DUMMYFUNCTION("""COMPUTED_VALUE"""),22.0)</f>
        <v>22</v>
      </c>
      <c r="S148" s="4">
        <f>IFERROR(__xludf.DUMMYFUNCTION("""COMPUTED_VALUE"""),22.0)</f>
        <v>22</v>
      </c>
      <c r="T148" s="4"/>
      <c r="U148" s="4" t="str">
        <f>IFERROR(__xludf.DUMMYFUNCTION("""COMPUTED_VALUE"""),"BAIK")</f>
        <v>BAIK</v>
      </c>
      <c r="V148" s="4" t="str">
        <f>IFERROR(__xludf.DUMMYFUNCTION("""COMPUTED_VALUE"""),"Tidak Ada")</f>
        <v>Tidak Ada</v>
      </c>
      <c r="W148" s="4"/>
      <c r="X148" s="4"/>
      <c r="Y148" s="4"/>
      <c r="Z148" s="4"/>
      <c r="AA148" s="4"/>
      <c r="AB148" s="4"/>
      <c r="AC148" s="4" t="str">
        <f>IFERROR(__xludf.DUMMYFUNCTION("""COMPUTED_VALUE"""),"INSPEKSI SUTM - T2_Images/0e3fa481.FOTO.214309.jpg")</f>
        <v>INSPEKSI SUTM - T2_Images/0e3fa481.FOTO.214309.jpg</v>
      </c>
      <c r="AD148" s="4"/>
      <c r="AE148" s="4"/>
      <c r="AF148" s="4" t="str">
        <f>IFERROR(__xludf.DUMMYFUNCTION("""COMPUTED_VALUE"""),"BELUM")</f>
        <v>BELUM</v>
      </c>
      <c r="AG148" s="6">
        <f>IFERROR(__xludf.DUMMYFUNCTION("""COMPUTED_VALUE"""),46045.0)</f>
        <v>46045</v>
      </c>
      <c r="AH148" s="4"/>
      <c r="AI148" s="4"/>
    </row>
    <row r="149" ht="15.75" customHeight="1">
      <c r="A149" s="4" t="str">
        <f>IFERROR(__xludf.DUMMYFUNCTION("""COMPUTED_VALUE"""),"6234581b")</f>
        <v>6234581b</v>
      </c>
      <c r="B149" s="5">
        <f>IFERROR(__xludf.DUMMYFUNCTION("""COMPUTED_VALUE"""),46045.19053240741)</f>
        <v>46045.19053</v>
      </c>
      <c r="C149" s="4" t="str">
        <f>IFERROR(__xludf.DUMMYFUNCTION("""COMPUTED_VALUE"""),"-6.938885, 107.626710")</f>
        <v>-6.938885, 107.626710</v>
      </c>
      <c r="D149" s="4" t="str">
        <f>IFERROR(__xludf.DUMMYFUNCTION("""COMPUTED_VALUE"""),"Alam deril")</f>
        <v>Alam deril</v>
      </c>
      <c r="E149" s="4" t="str">
        <f>IFERROR(__xludf.DUMMYFUNCTION("""COMPUTED_VALUE"""),"BANDUNG")</f>
        <v>BANDUNG</v>
      </c>
      <c r="F149" s="4" t="str">
        <f>IFERROR(__xludf.DUMMYFUNCTION("""COMPUTED_VALUE"""),"BANDUNG UTARA")</f>
        <v>BANDUNG UTARA</v>
      </c>
      <c r="G149" s="4" t="str">
        <f>IFERROR(__xludf.DUMMYFUNCTION("""COMPUTED_VALUE"""),"BENGKOK")</f>
        <v>BENGKOK</v>
      </c>
      <c r="H149" s="4" t="str">
        <f>IFERROR(__xludf.DUMMYFUNCTION("""COMPUTED_VALUE"""),"CGDG")</f>
        <v>CGDG</v>
      </c>
      <c r="I149" s="4" t="str">
        <f>IFERROR(__xludf.DUMMYFUNCTION("""COMPUTED_VALUE"""),"BNK-LBS BKRC")</f>
        <v>BNK-LBS BKRC</v>
      </c>
      <c r="J149" s="4" t="str">
        <f>IFERROR(__xludf.DUMMYFUNCTION("""COMPUTED_VALUE"""),"ZONA 2")</f>
        <v>ZONA 2</v>
      </c>
      <c r="K149" s="4" t="str">
        <f>IFERROR(__xludf.DUMMYFUNCTION("""COMPUTED_VALUE"""),"059")</f>
        <v>059</v>
      </c>
      <c r="L149" s="4" t="str">
        <f>IFERROR(__xludf.DUMMYFUNCTION("""COMPUTED_VALUE"""),"TM - 4B/H (Afspan)")</f>
        <v>TM - 4B/H (Afspan)</v>
      </c>
      <c r="M149" s="4" t="str">
        <f>IFERROR(__xludf.DUMMYFUNCTION("""COMPUTED_VALUE"""),"Tidak Ada")</f>
        <v>Tidak Ada</v>
      </c>
      <c r="N149" s="4"/>
      <c r="O149" s="4" t="str">
        <f>IFERROR(__xludf.DUMMYFUNCTION("""COMPUTED_VALUE"""),"PEMBANDING SEJENIS")</f>
        <v>PEMBANDING SEJENIS</v>
      </c>
      <c r="P149" s="4" t="str">
        <f>IFERROR(__xludf.DUMMYFUNCTION("""COMPUTED_VALUE"""),"KONEKTOR/JUMPER")</f>
        <v>KONEKTOR/JUMPER</v>
      </c>
      <c r="Q149" s="4">
        <f>IFERROR(__xludf.DUMMYFUNCTION("""COMPUTED_VALUE"""),22.0)</f>
        <v>22</v>
      </c>
      <c r="R149" s="4">
        <f>IFERROR(__xludf.DUMMYFUNCTION("""COMPUTED_VALUE"""),20.0)</f>
        <v>20</v>
      </c>
      <c r="S149" s="4">
        <f>IFERROR(__xludf.DUMMYFUNCTION("""COMPUTED_VALUE"""),19.0)</f>
        <v>19</v>
      </c>
      <c r="T149" s="4"/>
      <c r="U149" s="4" t="str">
        <f>IFERROR(__xludf.DUMMYFUNCTION("""COMPUTED_VALUE"""),"CUKUP")</f>
        <v>CUKUP</v>
      </c>
      <c r="V149" s="4" t="str">
        <f>IFERROR(__xludf.DUMMYFUNCTION("""COMPUTED_VALUE"""),"Tidak Ada")</f>
        <v>Tidak Ada</v>
      </c>
      <c r="W149" s="4"/>
      <c r="X149" s="4"/>
      <c r="Y149" s="4"/>
      <c r="Z149" s="4"/>
      <c r="AA149" s="4"/>
      <c r="AB149" s="4"/>
      <c r="AC149" s="4" t="str">
        <f>IFERROR(__xludf.DUMMYFUNCTION("""COMPUTED_VALUE"""),"INSPEKSI SUTM - T2_Images/6234581b.FOTO.214313.jpg")</f>
        <v>INSPEKSI SUTM - T2_Images/6234581b.FOTO.214313.jpg</v>
      </c>
      <c r="AD149" s="4"/>
      <c r="AE149" s="4"/>
      <c r="AF149" s="4" t="str">
        <f>IFERROR(__xludf.DUMMYFUNCTION("""COMPUTED_VALUE"""),"BELUM")</f>
        <v>BELUM</v>
      </c>
      <c r="AG149" s="6">
        <f>IFERROR(__xludf.DUMMYFUNCTION("""COMPUTED_VALUE"""),46045.0)</f>
        <v>46045</v>
      </c>
      <c r="AH149" s="4"/>
      <c r="AI149" s="4"/>
    </row>
    <row r="150" ht="15.75" customHeight="1">
      <c r="A150" s="4" t="str">
        <f>IFERROR(__xludf.DUMMYFUNCTION("""COMPUTED_VALUE"""),"8afaaa06")</f>
        <v>8afaaa06</v>
      </c>
      <c r="B150" s="5">
        <f>IFERROR(__xludf.DUMMYFUNCTION("""COMPUTED_VALUE"""),46045.19131944444)</f>
        <v>46045.19132</v>
      </c>
      <c r="C150" s="4" t="str">
        <f>IFERROR(__xludf.DUMMYFUNCTION("""COMPUTED_VALUE"""),"-6.938869, 107.626710")</f>
        <v>-6.938869, 107.626710</v>
      </c>
      <c r="D150" s="4" t="str">
        <f>IFERROR(__xludf.DUMMYFUNCTION("""COMPUTED_VALUE"""),"Alam deril")</f>
        <v>Alam deril</v>
      </c>
      <c r="E150" s="4" t="str">
        <f>IFERROR(__xludf.DUMMYFUNCTION("""COMPUTED_VALUE"""),"BANDUNG")</f>
        <v>BANDUNG</v>
      </c>
      <c r="F150" s="4" t="str">
        <f>IFERROR(__xludf.DUMMYFUNCTION("""COMPUTED_VALUE"""),"BANDUNG UTARA")</f>
        <v>BANDUNG UTARA</v>
      </c>
      <c r="G150" s="4" t="str">
        <f>IFERROR(__xludf.DUMMYFUNCTION("""COMPUTED_VALUE"""),"BENGKOK")</f>
        <v>BENGKOK</v>
      </c>
      <c r="H150" s="4" t="str">
        <f>IFERROR(__xludf.DUMMYFUNCTION("""COMPUTED_VALUE"""),"CGDG")</f>
        <v>CGDG</v>
      </c>
      <c r="I150" s="4" t="str">
        <f>IFERROR(__xludf.DUMMYFUNCTION("""COMPUTED_VALUE"""),"BNK-LBS BKRC")</f>
        <v>BNK-LBS BKRC</v>
      </c>
      <c r="J150" s="4" t="str">
        <f>IFERROR(__xludf.DUMMYFUNCTION("""COMPUTED_VALUE"""),"ZONA 2")</f>
        <v>ZONA 2</v>
      </c>
      <c r="K150" s="4" t="str">
        <f>IFERROR(__xludf.DUMMYFUNCTION("""COMPUTED_VALUE"""),"061")</f>
        <v>061</v>
      </c>
      <c r="L150" s="4" t="str">
        <f>IFERROR(__xludf.DUMMYFUNCTION("""COMPUTED_VALUE"""),"TM - 11B/H (Kabel Naik)")</f>
        <v>TM - 11B/H (Kabel Naik)</v>
      </c>
      <c r="M150" s="4" t="str">
        <f>IFERROR(__xludf.DUMMYFUNCTION("""COMPUTED_VALUE"""),"Tidak Ada")</f>
        <v>Tidak Ada</v>
      </c>
      <c r="N150" s="4"/>
      <c r="O150" s="4" t="str">
        <f>IFERROR(__xludf.DUMMYFUNCTION("""COMPUTED_VALUE"""),"PEMBANDING SEJENIS")</f>
        <v>PEMBANDING SEJENIS</v>
      </c>
      <c r="P150" s="4" t="str">
        <f>IFERROR(__xludf.DUMMYFUNCTION("""COMPUTED_VALUE"""),"KONEKTOR/JUMPER")</f>
        <v>KONEKTOR/JUMPER</v>
      </c>
      <c r="Q150" s="4">
        <f>IFERROR(__xludf.DUMMYFUNCTION("""COMPUTED_VALUE"""),21.0)</f>
        <v>21</v>
      </c>
      <c r="R150" s="4">
        <f>IFERROR(__xludf.DUMMYFUNCTION("""COMPUTED_VALUE"""),23.0)</f>
        <v>23</v>
      </c>
      <c r="S150" s="4">
        <f>IFERROR(__xludf.DUMMYFUNCTION("""COMPUTED_VALUE"""),18.0)</f>
        <v>18</v>
      </c>
      <c r="T150" s="4"/>
      <c r="U150" s="4" t="str">
        <f>IFERROR(__xludf.DUMMYFUNCTION("""COMPUTED_VALUE"""),"CUKUP")</f>
        <v>CUKUP</v>
      </c>
      <c r="V150" s="4" t="str">
        <f>IFERROR(__xludf.DUMMYFUNCTION("""COMPUTED_VALUE"""),"Tidak Ada")</f>
        <v>Tidak Ada</v>
      </c>
      <c r="W150" s="4"/>
      <c r="X150" s="4"/>
      <c r="Y150" s="4"/>
      <c r="Z150" s="4"/>
      <c r="AA150" s="4"/>
      <c r="AB150" s="4"/>
      <c r="AC150" s="4" t="str">
        <f>IFERROR(__xludf.DUMMYFUNCTION("""COMPUTED_VALUE"""),"INSPEKSI SUTM - T2_Images/8afaaa06.FOTO.214318.jpg")</f>
        <v>INSPEKSI SUTM - T2_Images/8afaaa06.FOTO.214318.jpg</v>
      </c>
      <c r="AD150" s="4"/>
      <c r="AE150" s="4"/>
      <c r="AF150" s="4" t="str">
        <f>IFERROR(__xludf.DUMMYFUNCTION("""COMPUTED_VALUE"""),"BELUM")</f>
        <v>BELUM</v>
      </c>
      <c r="AG150" s="6">
        <f>IFERROR(__xludf.DUMMYFUNCTION("""COMPUTED_VALUE"""),46045.0)</f>
        <v>46045</v>
      </c>
      <c r="AH150" s="4"/>
      <c r="AI150" s="4"/>
    </row>
    <row r="151" ht="15.75" customHeight="1">
      <c r="A151" s="4" t="str">
        <f>IFERROR(__xludf.DUMMYFUNCTION("""COMPUTED_VALUE"""),"92a33822")</f>
        <v>92a33822</v>
      </c>
      <c r="B151" s="5">
        <f>IFERROR(__xludf.DUMMYFUNCTION("""COMPUTED_VALUE"""),46045.19181712963)</f>
        <v>46045.19182</v>
      </c>
      <c r="C151" s="4" t="str">
        <f>IFERROR(__xludf.DUMMYFUNCTION("""COMPUTED_VALUE"""),"-6.938872, 107.626689")</f>
        <v>-6.938872, 107.626689</v>
      </c>
      <c r="D151" s="4" t="str">
        <f>IFERROR(__xludf.DUMMYFUNCTION("""COMPUTED_VALUE"""),"Alam deril")</f>
        <v>Alam deril</v>
      </c>
      <c r="E151" s="4" t="str">
        <f>IFERROR(__xludf.DUMMYFUNCTION("""COMPUTED_VALUE"""),"BANDUNG")</f>
        <v>BANDUNG</v>
      </c>
      <c r="F151" s="4" t="str">
        <f>IFERROR(__xludf.DUMMYFUNCTION("""COMPUTED_VALUE"""),"BANDUNG UTARA")</f>
        <v>BANDUNG UTARA</v>
      </c>
      <c r="G151" s="4" t="str">
        <f>IFERROR(__xludf.DUMMYFUNCTION("""COMPUTED_VALUE"""),"BENGKOK")</f>
        <v>BENGKOK</v>
      </c>
      <c r="H151" s="4" t="str">
        <f>IFERROR(__xludf.DUMMYFUNCTION("""COMPUTED_VALUE"""),"CGDG")</f>
        <v>CGDG</v>
      </c>
      <c r="I151" s="4" t="str">
        <f>IFERROR(__xludf.DUMMYFUNCTION("""COMPUTED_VALUE"""),"BNK-LBS BKRC")</f>
        <v>BNK-LBS BKRC</v>
      </c>
      <c r="J151" s="4" t="str">
        <f>IFERROR(__xludf.DUMMYFUNCTION("""COMPUTED_VALUE"""),"ZONA 2")</f>
        <v>ZONA 2</v>
      </c>
      <c r="K151" s="4" t="str">
        <f>IFERROR(__xludf.DUMMYFUNCTION("""COMPUTED_VALUE"""),"062")</f>
        <v>062</v>
      </c>
      <c r="L151" s="4" t="str">
        <f>IFERROR(__xludf.DUMMYFUNCTION("""COMPUTED_VALUE"""),"TM - 11B/H (Kabel Naik)")</f>
        <v>TM - 11B/H (Kabel Naik)</v>
      </c>
      <c r="M151" s="4" t="str">
        <f>IFERROR(__xludf.DUMMYFUNCTION("""COMPUTED_VALUE"""),"Tidak Ada")</f>
        <v>Tidak Ada</v>
      </c>
      <c r="N151" s="4"/>
      <c r="O151" s="4" t="str">
        <f>IFERROR(__xludf.DUMMYFUNCTION("""COMPUTED_VALUE"""),"PEMBANDING SEJENIS")</f>
        <v>PEMBANDING SEJENIS</v>
      </c>
      <c r="P151" s="4" t="str">
        <f>IFERROR(__xludf.DUMMYFUNCTION("""COMPUTED_VALUE"""),"KONEKTOR/JUMPER")</f>
        <v>KONEKTOR/JUMPER</v>
      </c>
      <c r="Q151" s="4">
        <f>IFERROR(__xludf.DUMMYFUNCTION("""COMPUTED_VALUE"""),20.0)</f>
        <v>20</v>
      </c>
      <c r="R151" s="4">
        <f>IFERROR(__xludf.DUMMYFUNCTION("""COMPUTED_VALUE"""),22.0)</f>
        <v>22</v>
      </c>
      <c r="S151" s="4">
        <f>IFERROR(__xludf.DUMMYFUNCTION("""COMPUTED_VALUE"""),19.0)</f>
        <v>19</v>
      </c>
      <c r="T151" s="4"/>
      <c r="U151" s="4" t="str">
        <f>IFERROR(__xludf.DUMMYFUNCTION("""COMPUTED_VALUE"""),"CUKUP")</f>
        <v>CUKUP</v>
      </c>
      <c r="V151" s="4" t="str">
        <f>IFERROR(__xludf.DUMMYFUNCTION("""COMPUTED_VALUE"""),"Tidak Ada")</f>
        <v>Tidak Ada</v>
      </c>
      <c r="W151" s="4"/>
      <c r="X151" s="4"/>
      <c r="Y151" s="4"/>
      <c r="Z151" s="4"/>
      <c r="AA151" s="4"/>
      <c r="AB151" s="4"/>
      <c r="AC151" s="4" t="str">
        <f>IFERROR(__xludf.DUMMYFUNCTION("""COMPUTED_VALUE"""),"INSPEKSI SUTM - T2_Images/92a33822.FOTO.214322.jpg")</f>
        <v>INSPEKSI SUTM - T2_Images/92a33822.FOTO.214322.jpg</v>
      </c>
      <c r="AD151" s="4"/>
      <c r="AE151" s="4"/>
      <c r="AF151" s="4" t="str">
        <f>IFERROR(__xludf.DUMMYFUNCTION("""COMPUTED_VALUE"""),"BELUM")</f>
        <v>BELUM</v>
      </c>
      <c r="AG151" s="6">
        <f>IFERROR(__xludf.DUMMYFUNCTION("""COMPUTED_VALUE"""),46045.0)</f>
        <v>46045</v>
      </c>
      <c r="AH151" s="4"/>
      <c r="AI151" s="4"/>
    </row>
    <row r="152" ht="15.75" customHeight="1">
      <c r="A152" s="4" t="str">
        <f>IFERROR(__xludf.DUMMYFUNCTION("""COMPUTED_VALUE"""),"e694d65d")</f>
        <v>e694d65d</v>
      </c>
      <c r="B152" s="5">
        <f>IFERROR(__xludf.DUMMYFUNCTION("""COMPUTED_VALUE"""),46045.192337962966)</f>
        <v>46045.19234</v>
      </c>
      <c r="C152" s="4" t="str">
        <f>IFERROR(__xludf.DUMMYFUNCTION("""COMPUTED_VALUE"""),"-6.938855, 107.626707")</f>
        <v>-6.938855, 107.626707</v>
      </c>
      <c r="D152" s="4" t="str">
        <f>IFERROR(__xludf.DUMMYFUNCTION("""COMPUTED_VALUE"""),"Alam deril")</f>
        <v>Alam deril</v>
      </c>
      <c r="E152" s="4" t="str">
        <f>IFERROR(__xludf.DUMMYFUNCTION("""COMPUTED_VALUE"""),"BANDUNG")</f>
        <v>BANDUNG</v>
      </c>
      <c r="F152" s="4" t="str">
        <f>IFERROR(__xludf.DUMMYFUNCTION("""COMPUTED_VALUE"""),"BANDUNG UTARA")</f>
        <v>BANDUNG UTARA</v>
      </c>
      <c r="G152" s="4" t="str">
        <f>IFERROR(__xludf.DUMMYFUNCTION("""COMPUTED_VALUE"""),"BENGKOK")</f>
        <v>BENGKOK</v>
      </c>
      <c r="H152" s="4" t="str">
        <f>IFERROR(__xludf.DUMMYFUNCTION("""COMPUTED_VALUE"""),"CGDG")</f>
        <v>CGDG</v>
      </c>
      <c r="I152" s="4" t="str">
        <f>IFERROR(__xludf.DUMMYFUNCTION("""COMPUTED_VALUE"""),"BNK-LBS BKRC")</f>
        <v>BNK-LBS BKRC</v>
      </c>
      <c r="J152" s="4" t="str">
        <f>IFERROR(__xludf.DUMMYFUNCTION("""COMPUTED_VALUE"""),"ZONA 2")</f>
        <v>ZONA 2</v>
      </c>
      <c r="K152" s="4" t="str">
        <f>IFERROR(__xludf.DUMMYFUNCTION("""COMPUTED_VALUE"""),"065")</f>
        <v>065</v>
      </c>
      <c r="L152" s="4" t="str">
        <f>IFERROR(__xludf.DUMMYFUNCTION("""COMPUTED_VALUE"""),"TM - 8BC/HC (Percabangan dengan CO)")</f>
        <v>TM - 8BC/HC (Percabangan dengan CO)</v>
      </c>
      <c r="M152" s="4" t="str">
        <f>IFERROR(__xludf.DUMMYFUNCTION("""COMPUTED_VALUE"""),"Tidak Ada")</f>
        <v>Tidak Ada</v>
      </c>
      <c r="N152" s="4"/>
      <c r="O152" s="4" t="str">
        <f>IFERROR(__xludf.DUMMYFUNCTION("""COMPUTED_VALUE"""),"PEMBANDING SEJENIS")</f>
        <v>PEMBANDING SEJENIS</v>
      </c>
      <c r="P152" s="4" t="str">
        <f>IFERROR(__xludf.DUMMYFUNCTION("""COMPUTED_VALUE"""),"KONEKTOR/JUMPER")</f>
        <v>KONEKTOR/JUMPER</v>
      </c>
      <c r="Q152" s="4">
        <f>IFERROR(__xludf.DUMMYFUNCTION("""COMPUTED_VALUE"""),18.0)</f>
        <v>18</v>
      </c>
      <c r="R152" s="4">
        <f>IFERROR(__xludf.DUMMYFUNCTION("""COMPUTED_VALUE"""),22.0)</f>
        <v>22</v>
      </c>
      <c r="S152" s="4">
        <f>IFERROR(__xludf.DUMMYFUNCTION("""COMPUTED_VALUE"""),22.0)</f>
        <v>22</v>
      </c>
      <c r="T152" s="4"/>
      <c r="U152" s="4" t="str">
        <f>IFERROR(__xludf.DUMMYFUNCTION("""COMPUTED_VALUE"""),"CUKUP")</f>
        <v>CUKUP</v>
      </c>
      <c r="V152" s="4" t="str">
        <f>IFERROR(__xludf.DUMMYFUNCTION("""COMPUTED_VALUE"""),"Tidak Ada")</f>
        <v>Tidak Ada</v>
      </c>
      <c r="W152" s="4"/>
      <c r="X152" s="4"/>
      <c r="Y152" s="4"/>
      <c r="Z152" s="4"/>
      <c r="AA152" s="4"/>
      <c r="AB152" s="4"/>
      <c r="AC152" s="4" t="str">
        <f>IFERROR(__xludf.DUMMYFUNCTION("""COMPUTED_VALUE"""),"INSPEKSI SUTM - T2_Images/e694d65d.FOTO.214326.jpg")</f>
        <v>INSPEKSI SUTM - T2_Images/e694d65d.FOTO.214326.jpg</v>
      </c>
      <c r="AD152" s="4"/>
      <c r="AE152" s="4"/>
      <c r="AF152" s="4" t="str">
        <f>IFERROR(__xludf.DUMMYFUNCTION("""COMPUTED_VALUE"""),"BELUM")</f>
        <v>BELUM</v>
      </c>
      <c r="AG152" s="6">
        <f>IFERROR(__xludf.DUMMYFUNCTION("""COMPUTED_VALUE"""),46045.0)</f>
        <v>46045</v>
      </c>
      <c r="AH152" s="4"/>
      <c r="AI152" s="4"/>
    </row>
    <row r="153" ht="15.75" customHeight="1">
      <c r="A153" s="4" t="str">
        <f>IFERROR(__xludf.DUMMYFUNCTION("""COMPUTED_VALUE"""),"1a144a85")</f>
        <v>1a144a85</v>
      </c>
      <c r="B153" s="5">
        <f>IFERROR(__xludf.DUMMYFUNCTION("""COMPUTED_VALUE"""),46045.19291666667)</f>
        <v>46045.19292</v>
      </c>
      <c r="C153" s="4" t="str">
        <f>IFERROR(__xludf.DUMMYFUNCTION("""COMPUTED_VALUE"""),"-6.938861, 107.626704")</f>
        <v>-6.938861, 107.626704</v>
      </c>
      <c r="D153" s="4" t="str">
        <f>IFERROR(__xludf.DUMMYFUNCTION("""COMPUTED_VALUE"""),"Alam deril")</f>
        <v>Alam deril</v>
      </c>
      <c r="E153" s="4" t="str">
        <f>IFERROR(__xludf.DUMMYFUNCTION("""COMPUTED_VALUE"""),"BANDUNG")</f>
        <v>BANDUNG</v>
      </c>
      <c r="F153" s="4" t="str">
        <f>IFERROR(__xludf.DUMMYFUNCTION("""COMPUTED_VALUE"""),"BANDUNG UTARA")</f>
        <v>BANDUNG UTARA</v>
      </c>
      <c r="G153" s="4" t="str">
        <f>IFERROR(__xludf.DUMMYFUNCTION("""COMPUTED_VALUE"""),"BENGKOK")</f>
        <v>BENGKOK</v>
      </c>
      <c r="H153" s="4" t="str">
        <f>IFERROR(__xludf.DUMMYFUNCTION("""COMPUTED_VALUE"""),"CGDG")</f>
        <v>CGDG</v>
      </c>
      <c r="I153" s="4" t="str">
        <f>IFERROR(__xludf.DUMMYFUNCTION("""COMPUTED_VALUE"""),"BNK-LBS BKRC")</f>
        <v>BNK-LBS BKRC</v>
      </c>
      <c r="J153" s="4" t="str">
        <f>IFERROR(__xludf.DUMMYFUNCTION("""COMPUTED_VALUE"""),"ZONA 2")</f>
        <v>ZONA 2</v>
      </c>
      <c r="K153" s="4" t="str">
        <f>IFERROR(__xludf.DUMMYFUNCTION("""COMPUTED_VALUE"""),"065R05")</f>
        <v>065R05</v>
      </c>
      <c r="L153" s="4" t="str">
        <f>IFERROR(__xludf.DUMMYFUNCTION("""COMPUTED_VALUE"""),"TM - 7B/H (Afspan 90 Derajat)")</f>
        <v>TM - 7B/H (Afspan 90 Derajat)</v>
      </c>
      <c r="M153" s="4" t="str">
        <f>IFERROR(__xludf.DUMMYFUNCTION("""COMPUTED_VALUE"""),"Tidak Ada")</f>
        <v>Tidak Ada</v>
      </c>
      <c r="N153" s="4"/>
      <c r="O153" s="4" t="str">
        <f>IFERROR(__xludf.DUMMYFUNCTION("""COMPUTED_VALUE"""),"PEMBANDING SEJENIS")</f>
        <v>PEMBANDING SEJENIS</v>
      </c>
      <c r="P153" s="4" t="str">
        <f>IFERROR(__xludf.DUMMYFUNCTION("""COMPUTED_VALUE"""),"KONEKTOR/JUMPER")</f>
        <v>KONEKTOR/JUMPER</v>
      </c>
      <c r="Q153" s="4">
        <f>IFERROR(__xludf.DUMMYFUNCTION("""COMPUTED_VALUE"""),22.0)</f>
        <v>22</v>
      </c>
      <c r="R153" s="4">
        <f>IFERROR(__xludf.DUMMYFUNCTION("""COMPUTED_VALUE"""),23.0)</f>
        <v>23</v>
      </c>
      <c r="S153" s="4">
        <f>IFERROR(__xludf.DUMMYFUNCTION("""COMPUTED_VALUE"""),23.0)</f>
        <v>23</v>
      </c>
      <c r="T153" s="4"/>
      <c r="U153" s="4" t="str">
        <f>IFERROR(__xludf.DUMMYFUNCTION("""COMPUTED_VALUE"""),"BAIK")</f>
        <v>BAIK</v>
      </c>
      <c r="V153" s="4" t="str">
        <f>IFERROR(__xludf.DUMMYFUNCTION("""COMPUTED_VALUE"""),"Tidak Ada")</f>
        <v>Tidak Ada</v>
      </c>
      <c r="W153" s="4"/>
      <c r="X153" s="4"/>
      <c r="Y153" s="4"/>
      <c r="Z153" s="4"/>
      <c r="AA153" s="4"/>
      <c r="AB153" s="4"/>
      <c r="AC153" s="4" t="str">
        <f>IFERROR(__xludf.DUMMYFUNCTION("""COMPUTED_VALUE"""),"INSPEKSI SUTM - T2_Images/1a144a85.FOTO.214330.jpg")</f>
        <v>INSPEKSI SUTM - T2_Images/1a144a85.FOTO.214330.jpg</v>
      </c>
      <c r="AD153" s="4"/>
      <c r="AE153" s="4"/>
      <c r="AF153" s="4" t="str">
        <f>IFERROR(__xludf.DUMMYFUNCTION("""COMPUTED_VALUE"""),"BELUM")</f>
        <v>BELUM</v>
      </c>
      <c r="AG153" s="6">
        <f>IFERROR(__xludf.DUMMYFUNCTION("""COMPUTED_VALUE"""),46045.0)</f>
        <v>46045</v>
      </c>
      <c r="AH153" s="4"/>
      <c r="AI153" s="4"/>
    </row>
    <row r="154" ht="15.75" customHeight="1">
      <c r="A154" s="4" t="str">
        <f>IFERROR(__xludf.DUMMYFUNCTION("""COMPUTED_VALUE"""),"79472205")</f>
        <v>79472205</v>
      </c>
      <c r="B154" s="5">
        <f>IFERROR(__xludf.DUMMYFUNCTION("""COMPUTED_VALUE"""),46045.19369212963)</f>
        <v>46045.19369</v>
      </c>
      <c r="C154" s="4" t="str">
        <f>IFERROR(__xludf.DUMMYFUNCTION("""COMPUTED_VALUE"""),"-6.938883, 107.626688")</f>
        <v>-6.938883, 107.626688</v>
      </c>
      <c r="D154" s="4" t="str">
        <f>IFERROR(__xludf.DUMMYFUNCTION("""COMPUTED_VALUE"""),"Alam deril")</f>
        <v>Alam deril</v>
      </c>
      <c r="E154" s="4" t="str">
        <f>IFERROR(__xludf.DUMMYFUNCTION("""COMPUTED_VALUE"""),"BANDUNG")</f>
        <v>BANDUNG</v>
      </c>
      <c r="F154" s="4" t="str">
        <f>IFERROR(__xludf.DUMMYFUNCTION("""COMPUTED_VALUE"""),"BANDUNG UTARA")</f>
        <v>BANDUNG UTARA</v>
      </c>
      <c r="G154" s="4" t="str">
        <f>IFERROR(__xludf.DUMMYFUNCTION("""COMPUTED_VALUE"""),"BENGKOK")</f>
        <v>BENGKOK</v>
      </c>
      <c r="H154" s="4" t="str">
        <f>IFERROR(__xludf.DUMMYFUNCTION("""COMPUTED_VALUE"""),"CGDG")</f>
        <v>CGDG</v>
      </c>
      <c r="I154" s="4" t="str">
        <f>IFERROR(__xludf.DUMMYFUNCTION("""COMPUTED_VALUE"""),"BNK-LBS BKRC")</f>
        <v>BNK-LBS BKRC</v>
      </c>
      <c r="J154" s="4" t="str">
        <f>IFERROR(__xludf.DUMMYFUNCTION("""COMPUTED_VALUE"""),"ZONA 2")</f>
        <v>ZONA 2</v>
      </c>
      <c r="K154" s="4" t="str">
        <f>IFERROR(__xludf.DUMMYFUNCTION("""COMPUTED_VALUE"""),"074")</f>
        <v>074</v>
      </c>
      <c r="L154" s="4" t="str">
        <f>IFERROR(__xludf.DUMMYFUNCTION("""COMPUTED_VALUE"""),"TM - 7B/H (Afspan 90 Derajat)")</f>
        <v>TM - 7B/H (Afspan 90 Derajat)</v>
      </c>
      <c r="M154" s="4" t="str">
        <f>IFERROR(__xludf.DUMMYFUNCTION("""COMPUTED_VALUE"""),"Tidak Ada")</f>
        <v>Tidak Ada</v>
      </c>
      <c r="N154" s="4"/>
      <c r="O154" s="4" t="str">
        <f>IFERROR(__xludf.DUMMYFUNCTION("""COMPUTED_VALUE"""),"PEMBANDING SEJENIS")</f>
        <v>PEMBANDING SEJENIS</v>
      </c>
      <c r="P154" s="4" t="str">
        <f>IFERROR(__xludf.DUMMYFUNCTION("""COMPUTED_VALUE"""),"KONEKTOR/JUMPER")</f>
        <v>KONEKTOR/JUMPER</v>
      </c>
      <c r="Q154" s="4">
        <f>IFERROR(__xludf.DUMMYFUNCTION("""COMPUTED_VALUE"""),23.0)</f>
        <v>23</v>
      </c>
      <c r="R154" s="4">
        <f>IFERROR(__xludf.DUMMYFUNCTION("""COMPUTED_VALUE"""),22.0)</f>
        <v>22</v>
      </c>
      <c r="S154" s="4">
        <f>IFERROR(__xludf.DUMMYFUNCTION("""COMPUTED_VALUE"""),20.0)</f>
        <v>20</v>
      </c>
      <c r="T154" s="4"/>
      <c r="U154" s="4" t="str">
        <f>IFERROR(__xludf.DUMMYFUNCTION("""COMPUTED_VALUE"""),"CUKUP")</f>
        <v>CUKUP</v>
      </c>
      <c r="V154" s="4" t="str">
        <f>IFERROR(__xludf.DUMMYFUNCTION("""COMPUTED_VALUE"""),"Tidak Ada")</f>
        <v>Tidak Ada</v>
      </c>
      <c r="W154" s="4"/>
      <c r="X154" s="4"/>
      <c r="Y154" s="4"/>
      <c r="Z154" s="4"/>
      <c r="AA154" s="4"/>
      <c r="AB154" s="4"/>
      <c r="AC154" s="4" t="str">
        <f>IFERROR(__xludf.DUMMYFUNCTION("""COMPUTED_VALUE"""),"INSPEKSI SUTM - T2_Images/79472205.FOTO.214333.jpg")</f>
        <v>INSPEKSI SUTM - T2_Images/79472205.FOTO.214333.jpg</v>
      </c>
      <c r="AD154" s="4"/>
      <c r="AE154" s="4"/>
      <c r="AF154" s="4" t="str">
        <f>IFERROR(__xludf.DUMMYFUNCTION("""COMPUTED_VALUE"""),"BELUM")</f>
        <v>BELUM</v>
      </c>
      <c r="AG154" s="6">
        <f>IFERROR(__xludf.DUMMYFUNCTION("""COMPUTED_VALUE"""),46045.0)</f>
        <v>46045</v>
      </c>
      <c r="AH154" s="4"/>
      <c r="AI154" s="4"/>
    </row>
    <row r="155" ht="15.75" customHeight="1">
      <c r="A155" s="4" t="str">
        <f>IFERROR(__xludf.DUMMYFUNCTION("""COMPUTED_VALUE"""),"71155d92")</f>
        <v>71155d92</v>
      </c>
      <c r="B155" s="5">
        <f>IFERROR(__xludf.DUMMYFUNCTION("""COMPUTED_VALUE"""),46045.19445601852)</f>
        <v>46045.19446</v>
      </c>
      <c r="C155" s="4" t="str">
        <f>IFERROR(__xludf.DUMMYFUNCTION("""COMPUTED_VALUE"""),"-6.938882, 107.626646")</f>
        <v>-6.938882, 107.626646</v>
      </c>
      <c r="D155" s="4" t="str">
        <f>IFERROR(__xludf.DUMMYFUNCTION("""COMPUTED_VALUE"""),"Alam deril")</f>
        <v>Alam deril</v>
      </c>
      <c r="E155" s="4" t="str">
        <f>IFERROR(__xludf.DUMMYFUNCTION("""COMPUTED_VALUE"""),"BANDUNG")</f>
        <v>BANDUNG</v>
      </c>
      <c r="F155" s="4" t="str">
        <f>IFERROR(__xludf.DUMMYFUNCTION("""COMPUTED_VALUE"""),"BANDUNG UTARA")</f>
        <v>BANDUNG UTARA</v>
      </c>
      <c r="G155" s="4" t="str">
        <f>IFERROR(__xludf.DUMMYFUNCTION("""COMPUTED_VALUE"""),"BENGKOK")</f>
        <v>BENGKOK</v>
      </c>
      <c r="H155" s="4" t="str">
        <f>IFERROR(__xludf.DUMMYFUNCTION("""COMPUTED_VALUE"""),"CGDG")</f>
        <v>CGDG</v>
      </c>
      <c r="I155" s="4" t="str">
        <f>IFERROR(__xludf.DUMMYFUNCTION("""COMPUTED_VALUE"""),"BNK-LBS BKRC")</f>
        <v>BNK-LBS BKRC</v>
      </c>
      <c r="J155" s="4" t="str">
        <f>IFERROR(__xludf.DUMMYFUNCTION("""COMPUTED_VALUE"""),"ZONA 2")</f>
        <v>ZONA 2</v>
      </c>
      <c r="K155" s="4" t="str">
        <f>IFERROR(__xludf.DUMMYFUNCTION("""COMPUTED_VALUE"""),"075")</f>
        <v>075</v>
      </c>
      <c r="L155" s="4" t="str">
        <f>IFERROR(__xludf.DUMMYFUNCTION("""COMPUTED_VALUE"""),"TM - 7B/H (Afspan 90 Derajat)")</f>
        <v>TM - 7B/H (Afspan 90 Derajat)</v>
      </c>
      <c r="M155" s="4" t="str">
        <f>IFERROR(__xludf.DUMMYFUNCTION("""COMPUTED_VALUE"""),"Tidak Ada")</f>
        <v>Tidak Ada</v>
      </c>
      <c r="N155" s="4"/>
      <c r="O155" s="4" t="str">
        <f>IFERROR(__xludf.DUMMYFUNCTION("""COMPUTED_VALUE"""),"PEMBANDING SEJENIS")</f>
        <v>PEMBANDING SEJENIS</v>
      </c>
      <c r="P155" s="4" t="str">
        <f>IFERROR(__xludf.DUMMYFUNCTION("""COMPUTED_VALUE"""),"KONEKTOR/JUMPER")</f>
        <v>KONEKTOR/JUMPER</v>
      </c>
      <c r="Q155" s="4">
        <f>IFERROR(__xludf.DUMMYFUNCTION("""COMPUTED_VALUE"""),23.0)</f>
        <v>23</v>
      </c>
      <c r="R155" s="4">
        <f>IFERROR(__xludf.DUMMYFUNCTION("""COMPUTED_VALUE"""),23.0)</f>
        <v>23</v>
      </c>
      <c r="S155" s="4">
        <f>IFERROR(__xludf.DUMMYFUNCTION("""COMPUTED_VALUE"""),22.0)</f>
        <v>22</v>
      </c>
      <c r="T155" s="4"/>
      <c r="U155" s="4" t="str">
        <f>IFERROR(__xludf.DUMMYFUNCTION("""COMPUTED_VALUE"""),"BAIK")</f>
        <v>BAIK</v>
      </c>
      <c r="V155" s="4" t="str">
        <f>IFERROR(__xludf.DUMMYFUNCTION("""COMPUTED_VALUE"""),"Tidak Ada")</f>
        <v>Tidak Ada</v>
      </c>
      <c r="W155" s="4"/>
      <c r="X155" s="4"/>
      <c r="Y155" s="4"/>
      <c r="Z155" s="4"/>
      <c r="AA155" s="4"/>
      <c r="AB155" s="4"/>
      <c r="AC155" s="4" t="str">
        <f>IFERROR(__xludf.DUMMYFUNCTION("""COMPUTED_VALUE"""),"INSPEKSI SUTM - T2_Images/71155d92.FOTO.214337.jpg")</f>
        <v>INSPEKSI SUTM - T2_Images/71155d92.FOTO.214337.jpg</v>
      </c>
      <c r="AD155" s="4"/>
      <c r="AE155" s="4"/>
      <c r="AF155" s="4" t="str">
        <f>IFERROR(__xludf.DUMMYFUNCTION("""COMPUTED_VALUE"""),"BELUM")</f>
        <v>BELUM</v>
      </c>
      <c r="AG155" s="6">
        <f>IFERROR(__xludf.DUMMYFUNCTION("""COMPUTED_VALUE"""),46045.0)</f>
        <v>46045</v>
      </c>
      <c r="AH155" s="4"/>
      <c r="AI155" s="4"/>
    </row>
    <row r="156" ht="15.75" customHeight="1">
      <c r="A156" s="4" t="str">
        <f>IFERROR(__xludf.DUMMYFUNCTION("""COMPUTED_VALUE"""),"6c39c750")</f>
        <v>6c39c750</v>
      </c>
      <c r="B156" s="5">
        <f>IFERROR(__xludf.DUMMYFUNCTION("""COMPUTED_VALUE"""),46045.19488425926)</f>
        <v>46045.19488</v>
      </c>
      <c r="C156" s="4" t="str">
        <f>IFERROR(__xludf.DUMMYFUNCTION("""COMPUTED_VALUE"""),"-6.938900, 107.626615")</f>
        <v>-6.938900, 107.626615</v>
      </c>
      <c r="D156" s="4" t="str">
        <f>IFERROR(__xludf.DUMMYFUNCTION("""COMPUTED_VALUE"""),"Alam deril")</f>
        <v>Alam deril</v>
      </c>
      <c r="E156" s="4" t="str">
        <f>IFERROR(__xludf.DUMMYFUNCTION("""COMPUTED_VALUE"""),"BANDUNG")</f>
        <v>BANDUNG</v>
      </c>
      <c r="F156" s="4" t="str">
        <f>IFERROR(__xludf.DUMMYFUNCTION("""COMPUTED_VALUE"""),"BANDUNG UTARA")</f>
        <v>BANDUNG UTARA</v>
      </c>
      <c r="G156" s="4" t="str">
        <f>IFERROR(__xludf.DUMMYFUNCTION("""COMPUTED_VALUE"""),"BENGKOK")</f>
        <v>BENGKOK</v>
      </c>
      <c r="H156" s="4" t="str">
        <f>IFERROR(__xludf.DUMMYFUNCTION("""COMPUTED_VALUE"""),"CGDG")</f>
        <v>CGDG</v>
      </c>
      <c r="I156" s="4" t="str">
        <f>IFERROR(__xludf.DUMMYFUNCTION("""COMPUTED_VALUE"""),"BNK-LBS BKRC")</f>
        <v>BNK-LBS BKRC</v>
      </c>
      <c r="J156" s="4" t="str">
        <f>IFERROR(__xludf.DUMMYFUNCTION("""COMPUTED_VALUE"""),"ZONA 2")</f>
        <v>ZONA 2</v>
      </c>
      <c r="K156" s="4" t="str">
        <f>IFERROR(__xludf.DUMMYFUNCTION("""COMPUTED_VALUE"""),"078")</f>
        <v>078</v>
      </c>
      <c r="L156" s="4" t="str">
        <f>IFERROR(__xludf.DUMMYFUNCTION("""COMPUTED_VALUE"""),"TM - 7B/H (Afspan 90 Derajat)")</f>
        <v>TM - 7B/H (Afspan 90 Derajat)</v>
      </c>
      <c r="M156" s="4" t="str">
        <f>IFERROR(__xludf.DUMMYFUNCTION("""COMPUTED_VALUE"""),"Tidak Ada")</f>
        <v>Tidak Ada</v>
      </c>
      <c r="N156" s="4"/>
      <c r="O156" s="4" t="str">
        <f>IFERROR(__xludf.DUMMYFUNCTION("""COMPUTED_VALUE"""),"PEMBANDING SEJENIS")</f>
        <v>PEMBANDING SEJENIS</v>
      </c>
      <c r="P156" s="4" t="str">
        <f>IFERROR(__xludf.DUMMYFUNCTION("""COMPUTED_VALUE"""),"KONEKTOR/JUMPER")</f>
        <v>KONEKTOR/JUMPER</v>
      </c>
      <c r="Q156" s="4">
        <f>IFERROR(__xludf.DUMMYFUNCTION("""COMPUTED_VALUE"""),23.0)</f>
        <v>23</v>
      </c>
      <c r="R156" s="4">
        <f>IFERROR(__xludf.DUMMYFUNCTION("""COMPUTED_VALUE"""),24.0)</f>
        <v>24</v>
      </c>
      <c r="S156" s="4">
        <f>IFERROR(__xludf.DUMMYFUNCTION("""COMPUTED_VALUE"""),20.0)</f>
        <v>20</v>
      </c>
      <c r="T156" s="4"/>
      <c r="U156" s="4" t="str">
        <f>IFERROR(__xludf.DUMMYFUNCTION("""COMPUTED_VALUE"""),"CUKUP")</f>
        <v>CUKUP</v>
      </c>
      <c r="V156" s="4" t="str">
        <f>IFERROR(__xludf.DUMMYFUNCTION("""COMPUTED_VALUE"""),"Tidak Ada")</f>
        <v>Tidak Ada</v>
      </c>
      <c r="W156" s="4"/>
      <c r="X156" s="4"/>
      <c r="Y156" s="4"/>
      <c r="Z156" s="4"/>
      <c r="AA156" s="4"/>
      <c r="AB156" s="4"/>
      <c r="AC156" s="4" t="str">
        <f>IFERROR(__xludf.DUMMYFUNCTION("""COMPUTED_VALUE"""),"INSPEKSI SUTM - T2_Images/6c39c750.FOTO.214341.jpg")</f>
        <v>INSPEKSI SUTM - T2_Images/6c39c750.FOTO.214341.jpg</v>
      </c>
      <c r="AD156" s="4"/>
      <c r="AE156" s="4"/>
      <c r="AF156" s="4" t="str">
        <f>IFERROR(__xludf.DUMMYFUNCTION("""COMPUTED_VALUE"""),"BELUM")</f>
        <v>BELUM</v>
      </c>
      <c r="AG156" s="6">
        <f>IFERROR(__xludf.DUMMYFUNCTION("""COMPUTED_VALUE"""),46045.0)</f>
        <v>46045</v>
      </c>
      <c r="AH156" s="4"/>
      <c r="AI156" s="4"/>
    </row>
    <row r="157" ht="15.75" customHeight="1">
      <c r="A157" s="4" t="str">
        <f>IFERROR(__xludf.DUMMYFUNCTION("""COMPUTED_VALUE"""),"3d24b20b")</f>
        <v>3d24b20b</v>
      </c>
      <c r="B157" s="5">
        <f>IFERROR(__xludf.DUMMYFUNCTION("""COMPUTED_VALUE"""),46049.91185185185)</f>
        <v>46049.91185</v>
      </c>
      <c r="C157" s="4" t="str">
        <f>IFERROR(__xludf.DUMMYFUNCTION("""COMPUTED_VALUE"""),"-6.918844, 107.722687")</f>
        <v>-6.918844, 107.722687</v>
      </c>
      <c r="D157" s="4" t="str">
        <f>IFERROR(__xludf.DUMMYFUNCTION("""COMPUTED_VALUE"""),"Canra heri")</f>
        <v>Canra heri</v>
      </c>
      <c r="E157" s="4" t="str">
        <f>IFERROR(__xludf.DUMMYFUNCTION("""COMPUTED_VALUE"""),"BANDUNG")</f>
        <v>BANDUNG</v>
      </c>
      <c r="F157" s="4" t="str">
        <f>IFERROR(__xludf.DUMMYFUNCTION("""COMPUTED_VALUE"""),"UJUNGBERUNG")</f>
        <v>UJUNGBERUNG</v>
      </c>
      <c r="G157" s="4" t="str">
        <f>IFERROR(__xludf.DUMMYFUNCTION("""COMPUTED_VALUE"""),"UJUNGBERUNG")</f>
        <v>UJUNGBERUNG</v>
      </c>
      <c r="H157" s="4" t="str">
        <f>IFERROR(__xludf.DUMMYFUNCTION("""COMPUTED_VALUE"""),"CPDU")</f>
        <v>CPDU</v>
      </c>
      <c r="I157" s="4" t="str">
        <f>IFERROR(__xludf.DUMMYFUNCTION("""COMPUTED_VALUE"""),"LBS MAN - REC PDB")</f>
        <v>LBS MAN - REC PDB</v>
      </c>
      <c r="J157" s="4" t="str">
        <f>IFERROR(__xludf.DUMMYFUNCTION("""COMPUTED_VALUE"""),"ZONA 2")</f>
        <v>ZONA 2</v>
      </c>
      <c r="K157" s="4" t="str">
        <f>IFERROR(__xludf.DUMMYFUNCTION("""COMPUTED_VALUE"""),"057R041")</f>
        <v>057R041</v>
      </c>
      <c r="L157" s="4" t="str">
        <f>IFERROR(__xludf.DUMMYFUNCTION("""COMPUTED_VALUE"""),"TM - 16B/H (REC/SSO/LBS)")</f>
        <v>TM - 16B/H (REC/SSO/LBS)</v>
      </c>
      <c r="M157" s="4" t="str">
        <f>IFERROR(__xludf.DUMMYFUNCTION("""COMPUTED_VALUE"""),"REC")</f>
        <v>REC</v>
      </c>
      <c r="N157" s="4" t="str">
        <f>IFERROR(__xludf.DUMMYFUNCTION("""COMPUTED_VALUE"""),"Pdb")</f>
        <v>Pdb</v>
      </c>
      <c r="O157" s="4" t="str">
        <f>IFERROR(__xludf.DUMMYFUNCTION("""COMPUTED_VALUE"""),"PEMBANDING SEJENIS")</f>
        <v>PEMBANDING SEJENIS</v>
      </c>
      <c r="P157" s="4" t="str">
        <f>IFERROR(__xludf.DUMMYFUNCTION("""COMPUTED_VALUE"""),"KONEKTOR/JUMPER")</f>
        <v>KONEKTOR/JUMPER</v>
      </c>
      <c r="Q157" s="4">
        <f>IFERROR(__xludf.DUMMYFUNCTION("""COMPUTED_VALUE"""),23.0)</f>
        <v>23</v>
      </c>
      <c r="R157" s="4">
        <f>IFERROR(__xludf.DUMMYFUNCTION("""COMPUTED_VALUE"""),22.0)</f>
        <v>22</v>
      </c>
      <c r="S157" s="4">
        <f>IFERROR(__xludf.DUMMYFUNCTION("""COMPUTED_VALUE"""),23.0)</f>
        <v>23</v>
      </c>
      <c r="T157" s="4"/>
      <c r="U157" s="4" t="str">
        <f>IFERROR(__xludf.DUMMYFUNCTION("""COMPUTED_VALUE"""),"BAIK")</f>
        <v>BAIK</v>
      </c>
      <c r="V157" s="4" t="str">
        <f>IFERROR(__xludf.DUMMYFUNCTION("""COMPUTED_VALUE"""),"Tidak Ada")</f>
        <v>Tidak Ada</v>
      </c>
      <c r="W157" s="4"/>
      <c r="X157" s="4"/>
      <c r="Y157" s="4"/>
      <c r="Z157" s="4"/>
      <c r="AA157" s="4"/>
      <c r="AB157" s="4"/>
      <c r="AC157" s="4" t="str">
        <f>IFERROR(__xludf.DUMMYFUNCTION("""COMPUTED_VALUE"""),"INSPEKSI SUTM - T2_Images/3d24b20b.FOTO.145412.jpg")</f>
        <v>INSPEKSI SUTM - T2_Images/3d24b20b.FOTO.145412.jpg</v>
      </c>
      <c r="AD157" s="4"/>
      <c r="AE157" s="4"/>
      <c r="AF157" s="4" t="str">
        <f>IFERROR(__xludf.DUMMYFUNCTION("""COMPUTED_VALUE"""),"BELUM")</f>
        <v>BELUM</v>
      </c>
      <c r="AG157" s="6">
        <f>IFERROR(__xludf.DUMMYFUNCTION("""COMPUTED_VALUE"""),46049.0)</f>
        <v>46049</v>
      </c>
      <c r="AH157" s="4"/>
      <c r="AI157" s="4"/>
    </row>
    <row r="158" ht="15.75" customHeight="1">
      <c r="A158" s="4" t="str">
        <f>IFERROR(__xludf.DUMMYFUNCTION("""COMPUTED_VALUE"""),"ec5824a3")</f>
        <v>ec5824a3</v>
      </c>
      <c r="B158" s="5">
        <f>IFERROR(__xludf.DUMMYFUNCTION("""COMPUTED_VALUE"""),46049.91446759259)</f>
        <v>46049.91447</v>
      </c>
      <c r="C158" s="4" t="str">
        <f>IFERROR(__xludf.DUMMYFUNCTION("""COMPUTED_VALUE"""),"-6.924568, 107.718970")</f>
        <v>-6.924568, 107.718970</v>
      </c>
      <c r="D158" s="4" t="str">
        <f>IFERROR(__xludf.DUMMYFUNCTION("""COMPUTED_VALUE"""),"Canra heei")</f>
        <v>Canra heei</v>
      </c>
      <c r="E158" s="4" t="str">
        <f>IFERROR(__xludf.DUMMYFUNCTION("""COMPUTED_VALUE"""),"BANDUNG")</f>
        <v>BANDUNG</v>
      </c>
      <c r="F158" s="4" t="str">
        <f>IFERROR(__xludf.DUMMYFUNCTION("""COMPUTED_VALUE"""),"UJUNGBERUNG")</f>
        <v>UJUNGBERUNG</v>
      </c>
      <c r="G158" s="4" t="str">
        <f>IFERROR(__xludf.DUMMYFUNCTION("""COMPUTED_VALUE"""),"UJUNGBERUNG")</f>
        <v>UJUNGBERUNG</v>
      </c>
      <c r="H158" s="4" t="str">
        <f>IFERROR(__xludf.DUMMYFUNCTION("""COMPUTED_VALUE"""),"CPDU")</f>
        <v>CPDU</v>
      </c>
      <c r="I158" s="4" t="str">
        <f>IFERROR(__xludf.DUMMYFUNCTION("""COMPUTED_VALUE"""),"REC CBUA - LBS MAN")</f>
        <v>REC CBUA - LBS MAN</v>
      </c>
      <c r="J158" s="4" t="str">
        <f>IFERROR(__xludf.DUMMYFUNCTION("""COMPUTED_VALUE"""),"ZONA 2")</f>
        <v>ZONA 2</v>
      </c>
      <c r="K158" s="4" t="str">
        <f>IFERROR(__xludf.DUMMYFUNCTION("""COMPUTED_VALUE"""),"057R024")</f>
        <v>057R024</v>
      </c>
      <c r="L158" s="4" t="str">
        <f>IFERROR(__xludf.DUMMYFUNCTION("""COMPUTED_VALUE"""),"TM - 16B/H (REC/SSO/LBS)")</f>
        <v>TM - 16B/H (REC/SSO/LBS)</v>
      </c>
      <c r="M158" s="4" t="str">
        <f>IFERROR(__xludf.DUMMYFUNCTION("""COMPUTED_VALUE"""),"LBS")</f>
        <v>LBS</v>
      </c>
      <c r="N158" s="4" t="str">
        <f>IFERROR(__xludf.DUMMYFUNCTION("""COMPUTED_VALUE"""),"Man")</f>
        <v>Man</v>
      </c>
      <c r="O158" s="4" t="str">
        <f>IFERROR(__xludf.DUMMYFUNCTION("""COMPUTED_VALUE"""),"PEMBANDING SEJENIS")</f>
        <v>PEMBANDING SEJENIS</v>
      </c>
      <c r="P158" s="4" t="str">
        <f>IFERROR(__xludf.DUMMYFUNCTION("""COMPUTED_VALUE"""),"KONEKTOR/JUMPER")</f>
        <v>KONEKTOR/JUMPER</v>
      </c>
      <c r="Q158" s="4">
        <f>IFERROR(__xludf.DUMMYFUNCTION("""COMPUTED_VALUE"""),25.0)</f>
        <v>25</v>
      </c>
      <c r="R158" s="4">
        <f>IFERROR(__xludf.DUMMYFUNCTION("""COMPUTED_VALUE"""),25.0)</f>
        <v>25</v>
      </c>
      <c r="S158" s="4">
        <f>IFERROR(__xludf.DUMMYFUNCTION("""COMPUTED_VALUE"""),25.0)</f>
        <v>25</v>
      </c>
      <c r="T158" s="4"/>
      <c r="U158" s="4" t="str">
        <f>IFERROR(__xludf.DUMMYFUNCTION("""COMPUTED_VALUE"""),"BAIK")</f>
        <v>BAIK</v>
      </c>
      <c r="V158" s="4" t="str">
        <f>IFERROR(__xludf.DUMMYFUNCTION("""COMPUTED_VALUE"""),"Tidak Ada")</f>
        <v>Tidak Ada</v>
      </c>
      <c r="W158" s="4"/>
      <c r="X158" s="4"/>
      <c r="Y158" s="4"/>
      <c r="Z158" s="4"/>
      <c r="AA158" s="4"/>
      <c r="AB158" s="4"/>
      <c r="AC158" s="4" t="str">
        <f>IFERROR(__xludf.DUMMYFUNCTION("""COMPUTED_VALUE"""),"INSPEKSI SUTM - T2_Images/ec5824a3.FOTO.145801.jpg")</f>
        <v>INSPEKSI SUTM - T2_Images/ec5824a3.FOTO.145801.jpg</v>
      </c>
      <c r="AD158" s="4"/>
      <c r="AE158" s="4"/>
      <c r="AF158" s="4" t="str">
        <f>IFERROR(__xludf.DUMMYFUNCTION("""COMPUTED_VALUE"""),"BELUM")</f>
        <v>BELUM</v>
      </c>
      <c r="AG158" s="6">
        <f>IFERROR(__xludf.DUMMYFUNCTION("""COMPUTED_VALUE"""),46049.0)</f>
        <v>46049</v>
      </c>
      <c r="AH158" s="4"/>
      <c r="AI158" s="4"/>
    </row>
    <row r="159" ht="15.75" customHeight="1">
      <c r="A159" s="4" t="str">
        <f>IFERROR(__xludf.DUMMYFUNCTION("""COMPUTED_VALUE"""),"7c8bab13")</f>
        <v>7c8bab13</v>
      </c>
      <c r="B159" s="5">
        <f>IFERROR(__xludf.DUMMYFUNCTION("""COMPUTED_VALUE"""),46049.92039351852)</f>
        <v>46049.92039</v>
      </c>
      <c r="C159" s="4" t="str">
        <f>IFERROR(__xludf.DUMMYFUNCTION("""COMPUTED_VALUE"""),"-6.886808, 107.683053")</f>
        <v>-6.886808, 107.683053</v>
      </c>
      <c r="D159" s="4" t="str">
        <f>IFERROR(__xludf.DUMMYFUNCTION("""COMPUTED_VALUE"""),"Canra heri")</f>
        <v>Canra heri</v>
      </c>
      <c r="E159" s="4" t="str">
        <f>IFERROR(__xludf.DUMMYFUNCTION("""COMPUTED_VALUE"""),"BANDUNG")</f>
        <v>BANDUNG</v>
      </c>
      <c r="F159" s="4" t="str">
        <f>IFERROR(__xludf.DUMMYFUNCTION("""COMPUTED_VALUE"""),"UJUNGBERUNG")</f>
        <v>UJUNGBERUNG</v>
      </c>
      <c r="G159" s="4" t="str">
        <f>IFERROR(__xludf.DUMMYFUNCTION("""COMPUTED_VALUE"""),"GIS BANDUNG TIMUR")</f>
        <v>GIS BANDUNG TIMUR</v>
      </c>
      <c r="H159" s="4" t="str">
        <f>IFERROR(__xludf.DUMMYFUNCTION("""COMPUTED_VALUE"""),"MDMK")</f>
        <v>MDMK</v>
      </c>
      <c r="I159" s="4" t="str">
        <f>IFERROR(__xludf.DUMMYFUNCTION("""COMPUTED_VALUE"""),"REC PSME - REC TARB")</f>
        <v>REC PSME - REC TARB</v>
      </c>
      <c r="J159" s="4" t="str">
        <f>IFERROR(__xludf.DUMMYFUNCTION("""COMPUTED_VALUE"""),"ZONA 2")</f>
        <v>ZONA 2</v>
      </c>
      <c r="K159" s="4" t="str">
        <f>IFERROR(__xludf.DUMMYFUNCTION("""COMPUTED_VALUE"""),"079")</f>
        <v>079</v>
      </c>
      <c r="L159" s="4" t="str">
        <f>IFERROR(__xludf.DUMMYFUNCTION("""COMPUTED_VALUE"""),"TM - 16B/H (REC/SSO/LBS)")</f>
        <v>TM - 16B/H (REC/SSO/LBS)</v>
      </c>
      <c r="M159" s="4" t="str">
        <f>IFERROR(__xludf.DUMMYFUNCTION("""COMPUTED_VALUE"""),"LBS")</f>
        <v>LBS</v>
      </c>
      <c r="N159" s="4" t="str">
        <f>IFERROR(__xludf.DUMMYFUNCTION("""COMPUTED_VALUE"""),"Tara")</f>
        <v>Tara</v>
      </c>
      <c r="O159" s="4" t="str">
        <f>IFERROR(__xludf.DUMMYFUNCTION("""COMPUTED_VALUE"""),"PEMBANDING SEJENIS")</f>
        <v>PEMBANDING SEJENIS</v>
      </c>
      <c r="P159" s="4" t="str">
        <f>IFERROR(__xludf.DUMMYFUNCTION("""COMPUTED_VALUE"""),"KONEKTOR/JUMPER")</f>
        <v>KONEKTOR/JUMPER</v>
      </c>
      <c r="Q159" s="4">
        <f>IFERROR(__xludf.DUMMYFUNCTION("""COMPUTED_VALUE"""),20.0)</f>
        <v>20</v>
      </c>
      <c r="R159" s="4">
        <f>IFERROR(__xludf.DUMMYFUNCTION("""COMPUTED_VALUE"""),17.0)</f>
        <v>17</v>
      </c>
      <c r="S159" s="4">
        <f>IFERROR(__xludf.DUMMYFUNCTION("""COMPUTED_VALUE"""),19.0)</f>
        <v>19</v>
      </c>
      <c r="T159" s="4"/>
      <c r="U159" s="4" t="str">
        <f>IFERROR(__xludf.DUMMYFUNCTION("""COMPUTED_VALUE"""),"CUKUP")</f>
        <v>CUKUP</v>
      </c>
      <c r="V159" s="4" t="str">
        <f>IFERROR(__xludf.DUMMYFUNCTION("""COMPUTED_VALUE"""),"Tidak Ada")</f>
        <v>Tidak Ada</v>
      </c>
      <c r="W159" s="4"/>
      <c r="X159" s="4"/>
      <c r="Y159" s="4"/>
      <c r="Z159" s="4"/>
      <c r="AA159" s="4"/>
      <c r="AB159" s="4"/>
      <c r="AC159" s="4" t="str">
        <f>IFERROR(__xludf.DUMMYFUNCTION("""COMPUTED_VALUE"""),"INSPEKSI SUTM - T2_Images/7c8bab13.FOTO.150652.jpg")</f>
        <v>INSPEKSI SUTM - T2_Images/7c8bab13.FOTO.150652.jpg</v>
      </c>
      <c r="AD159" s="4"/>
      <c r="AE159" s="4"/>
      <c r="AF159" s="4" t="str">
        <f>IFERROR(__xludf.DUMMYFUNCTION("""COMPUTED_VALUE"""),"BELUM")</f>
        <v>BELUM</v>
      </c>
      <c r="AG159" s="6">
        <f>IFERROR(__xludf.DUMMYFUNCTION("""COMPUTED_VALUE"""),46049.0)</f>
        <v>46049</v>
      </c>
      <c r="AH159" s="4"/>
      <c r="AI159" s="4"/>
    </row>
    <row r="160" ht="15.75" customHeight="1">
      <c r="A160" s="4" t="str">
        <f>IFERROR(__xludf.DUMMYFUNCTION("""COMPUTED_VALUE"""),"2b81f7ea")</f>
        <v>2b81f7ea</v>
      </c>
      <c r="B160" s="5">
        <f>IFERROR(__xludf.DUMMYFUNCTION("""COMPUTED_VALUE"""),46042.91074074074)</f>
        <v>46042.91074</v>
      </c>
      <c r="C160" s="4" t="str">
        <f>IFERROR(__xludf.DUMMYFUNCTION("""COMPUTED_VALUE"""),"0.000000, 0.000000")</f>
        <v>0.000000, 0.000000</v>
      </c>
      <c r="D160" s="4" t="str">
        <f>IFERROR(__xludf.DUMMYFUNCTION("""COMPUTED_VALUE"""),"001")</f>
        <v>001</v>
      </c>
      <c r="E160" s="4" t="str">
        <f>IFERROR(__xludf.DUMMYFUNCTION("""COMPUTED_VALUE"""),"BANDUNG")</f>
        <v>BANDUNG</v>
      </c>
      <c r="F160" s="4" t="str">
        <f>IFERROR(__xludf.DUMMYFUNCTION("""COMPUTED_VALUE"""),"KOPO")</f>
        <v>KOPO</v>
      </c>
      <c r="G160" s="4" t="str">
        <f>IFERROR(__xludf.DUMMYFUNCTION("""COMPUTED_VALUE"""),"NEW CIBEUREUM")</f>
        <v>NEW CIBEUREUM</v>
      </c>
      <c r="H160" s="4" t="str">
        <f>IFERROR(__xludf.DUMMYFUNCTION("""COMPUTED_VALUE"""),"WTHO")</f>
        <v>WTHO</v>
      </c>
      <c r="I160" s="4" t="str">
        <f>IFERROR(__xludf.DUMMYFUNCTION("""COMPUTED_VALUE"""),"TSO - UDB")</f>
        <v>TSO - UDB</v>
      </c>
      <c r="J160" s="4" t="str">
        <f>IFERROR(__xludf.DUMMYFUNCTION("""COMPUTED_VALUE"""),"ZONA 2")</f>
        <v>ZONA 2</v>
      </c>
      <c r="K160" s="4" t="str">
        <f>IFERROR(__xludf.DUMMYFUNCTION("""COMPUTED_VALUE"""),"001")</f>
        <v>001</v>
      </c>
      <c r="L160" s="4" t="str">
        <f>IFERROR(__xludf.DUMMYFUNCTION("""COMPUTED_VALUE"""),"TM - 11B/H (Kabel Naik)")</f>
        <v>TM - 11B/H (Kabel Naik)</v>
      </c>
      <c r="M160" s="4" t="str">
        <f>IFERROR(__xludf.DUMMYFUNCTION("""COMPUTED_VALUE"""),"Gardu")</f>
        <v>Gardu</v>
      </c>
      <c r="N160" s="4" t="str">
        <f>IFERROR(__xludf.DUMMYFUNCTION("""COMPUTED_VALUE"""),"tso")</f>
        <v>tso</v>
      </c>
      <c r="O160" s="4" t="str">
        <f>IFERROR(__xludf.DUMMYFUNCTION("""COMPUTED_VALUE"""),"PEMBANDING SEJENIS")</f>
        <v>PEMBANDING SEJENIS</v>
      </c>
      <c r="P160" s="4" t="str">
        <f>IFERROR(__xludf.DUMMYFUNCTION("""COMPUTED_VALUE"""),"TERMINASI")</f>
        <v>TERMINASI</v>
      </c>
      <c r="Q160" s="4">
        <f>IFERROR(__xludf.DUMMYFUNCTION("""COMPUTED_VALUE"""),22.0)</f>
        <v>22</v>
      </c>
      <c r="R160" s="4">
        <f>IFERROR(__xludf.DUMMYFUNCTION("""COMPUTED_VALUE"""),26.0)</f>
        <v>26</v>
      </c>
      <c r="S160" s="4">
        <f>IFERROR(__xludf.DUMMYFUNCTION("""COMPUTED_VALUE"""),27.0)</f>
        <v>27</v>
      </c>
      <c r="T160" s="4"/>
      <c r="U160" s="4" t="str">
        <f>IFERROR(__xludf.DUMMYFUNCTION("""COMPUTED_VALUE"""),"CUKUP")</f>
        <v>CUKUP</v>
      </c>
      <c r="V160" s="4" t="str">
        <f>IFERROR(__xludf.DUMMYFUNCTION("""COMPUTED_VALUE"""),"Tidak Ada")</f>
        <v>Tidak Ada</v>
      </c>
      <c r="W160" s="4"/>
      <c r="X160" s="4"/>
      <c r="Y160" s="4"/>
      <c r="Z160" s="4"/>
      <c r="AA160" s="4"/>
      <c r="AB160" s="4"/>
      <c r="AC160" s="4" t="str">
        <f>IFERROR(__xludf.DUMMYFUNCTION("""COMPUTED_VALUE"""),"INSPEKSI SUTM - T2_Images/2b81f7ea.FOTO.095154.jpg")</f>
        <v>INSPEKSI SUTM - T2_Images/2b81f7ea.FOTO.095154.jpg</v>
      </c>
      <c r="AD160" s="4"/>
      <c r="AE160" s="4"/>
      <c r="AF160" s="4" t="str">
        <f>IFERROR(__xludf.DUMMYFUNCTION("""COMPUTED_VALUE"""),"BELUM")</f>
        <v>BELUM</v>
      </c>
      <c r="AG160" s="6">
        <f>IFERROR(__xludf.DUMMYFUNCTION("""COMPUTED_VALUE"""),46042.0)</f>
        <v>46042</v>
      </c>
      <c r="AH160" s="4"/>
      <c r="AI160" s="4"/>
    </row>
    <row r="161" ht="15.75" customHeight="1">
      <c r="A161" s="4" t="str">
        <f>IFERROR(__xludf.DUMMYFUNCTION("""COMPUTED_VALUE"""),"0c005b2c")</f>
        <v>0c005b2c</v>
      </c>
      <c r="B161" s="5">
        <f>IFERROR(__xludf.DUMMYFUNCTION("""COMPUTED_VALUE"""),46042.91186342593)</f>
        <v>46042.91186</v>
      </c>
      <c r="C161" s="4" t="str">
        <f>IFERROR(__xludf.DUMMYFUNCTION("""COMPUTED_VALUE"""),"0.000000, 0.000000")</f>
        <v>0.000000, 0.000000</v>
      </c>
      <c r="D161" s="4" t="str">
        <f>IFERROR(__xludf.DUMMYFUNCTION("""COMPUTED_VALUE"""),"002")</f>
        <v>002</v>
      </c>
      <c r="E161" s="4" t="str">
        <f>IFERROR(__xludf.DUMMYFUNCTION("""COMPUTED_VALUE"""),"BANDUNG")</f>
        <v>BANDUNG</v>
      </c>
      <c r="F161" s="4" t="str">
        <f>IFERROR(__xludf.DUMMYFUNCTION("""COMPUTED_VALUE"""),"KOPO")</f>
        <v>KOPO</v>
      </c>
      <c r="G161" s="4" t="str">
        <f>IFERROR(__xludf.DUMMYFUNCTION("""COMPUTED_VALUE"""),"NEW CIBEUREUM")</f>
        <v>NEW CIBEUREUM</v>
      </c>
      <c r="H161" s="4" t="str">
        <f>IFERROR(__xludf.DUMMYFUNCTION("""COMPUTED_VALUE"""),"WTHO")</f>
        <v>WTHO</v>
      </c>
      <c r="I161" s="4" t="str">
        <f>IFERROR(__xludf.DUMMYFUNCTION("""COMPUTED_VALUE"""),"TSO - UDB")</f>
        <v>TSO - UDB</v>
      </c>
      <c r="J161" s="4" t="str">
        <f>IFERROR(__xludf.DUMMYFUNCTION("""COMPUTED_VALUE"""),"ZONA 2")</f>
        <v>ZONA 2</v>
      </c>
      <c r="K161" s="4" t="str">
        <f>IFERROR(__xludf.DUMMYFUNCTION("""COMPUTED_VALUE"""),"002")</f>
        <v>002</v>
      </c>
      <c r="L161" s="4" t="str">
        <f>IFERROR(__xludf.DUMMYFUNCTION("""COMPUTED_VALUE"""),"TM - 4B/H (Afspan)")</f>
        <v>TM - 4B/H (Afspan)</v>
      </c>
      <c r="M161" s="4" t="str">
        <f>IFERROR(__xludf.DUMMYFUNCTION("""COMPUTED_VALUE"""),"Gardu")</f>
        <v>Gardu</v>
      </c>
      <c r="N161" s="4" t="str">
        <f>IFERROR(__xludf.DUMMYFUNCTION("""COMPUTED_VALUE"""),"tso")</f>
        <v>tso</v>
      </c>
      <c r="O161" s="4" t="str">
        <f>IFERROR(__xludf.DUMMYFUNCTION("""COMPUTED_VALUE"""),"PEMBANDING SEJENIS")</f>
        <v>PEMBANDING SEJENIS</v>
      </c>
      <c r="P161" s="4" t="str">
        <f>IFERROR(__xludf.DUMMYFUNCTION("""COMPUTED_VALUE"""),"KONEKTOR/JUMPER")</f>
        <v>KONEKTOR/JUMPER</v>
      </c>
      <c r="Q161" s="4">
        <f>IFERROR(__xludf.DUMMYFUNCTION("""COMPUTED_VALUE"""),26.0)</f>
        <v>26</v>
      </c>
      <c r="R161" s="4">
        <f>IFERROR(__xludf.DUMMYFUNCTION("""COMPUTED_VALUE"""),26.0)</f>
        <v>26</v>
      </c>
      <c r="S161" s="4">
        <f>IFERROR(__xludf.DUMMYFUNCTION("""COMPUTED_VALUE"""),22.0)</f>
        <v>22</v>
      </c>
      <c r="T161" s="4"/>
      <c r="U161" s="4" t="str">
        <f>IFERROR(__xludf.DUMMYFUNCTION("""COMPUTED_VALUE"""),"CUKUP")</f>
        <v>CUKUP</v>
      </c>
      <c r="V161" s="4" t="str">
        <f>IFERROR(__xludf.DUMMYFUNCTION("""COMPUTED_VALUE"""),"Tidak Ada")</f>
        <v>Tidak Ada</v>
      </c>
      <c r="W161" s="4"/>
      <c r="X161" s="4"/>
      <c r="Y161" s="4"/>
      <c r="Z161" s="4"/>
      <c r="AA161" s="4"/>
      <c r="AB161" s="4"/>
      <c r="AC161" s="4" t="str">
        <f>IFERROR(__xludf.DUMMYFUNCTION("""COMPUTED_VALUE"""),"INSPEKSI SUTM - T2_Images/0c005b2c.FOTO.095235.jpg")</f>
        <v>INSPEKSI SUTM - T2_Images/0c005b2c.FOTO.095235.jpg</v>
      </c>
      <c r="AD161" s="4"/>
      <c r="AE161" s="4"/>
      <c r="AF161" s="4" t="str">
        <f>IFERROR(__xludf.DUMMYFUNCTION("""COMPUTED_VALUE"""),"BELUM")</f>
        <v>BELUM</v>
      </c>
      <c r="AG161" s="6">
        <f>IFERROR(__xludf.DUMMYFUNCTION("""COMPUTED_VALUE"""),46042.0)</f>
        <v>46042</v>
      </c>
      <c r="AH161" s="4"/>
      <c r="AI161" s="4"/>
    </row>
    <row r="162" ht="15.75" customHeight="1">
      <c r="A162" s="4" t="str">
        <f>IFERROR(__xludf.DUMMYFUNCTION("""COMPUTED_VALUE"""),"1c11fbbd")</f>
        <v>1c11fbbd</v>
      </c>
      <c r="B162" s="5">
        <f>IFERROR(__xludf.DUMMYFUNCTION("""COMPUTED_VALUE"""),46042.912453703706)</f>
        <v>46042.91245</v>
      </c>
      <c r="C162" s="4" t="str">
        <f>IFERROR(__xludf.DUMMYFUNCTION("""COMPUTED_VALUE"""),"0.000000, 0.000000")</f>
        <v>0.000000, 0.000000</v>
      </c>
      <c r="D162" s="4" t="str">
        <f>IFERROR(__xludf.DUMMYFUNCTION("""COMPUTED_VALUE"""),"fuad nugi")</f>
        <v>fuad nugi</v>
      </c>
      <c r="E162" s="4" t="str">
        <f>IFERROR(__xludf.DUMMYFUNCTION("""COMPUTED_VALUE"""),"BANDUNG")</f>
        <v>BANDUNG</v>
      </c>
      <c r="F162" s="4" t="str">
        <f>IFERROR(__xludf.DUMMYFUNCTION("""COMPUTED_VALUE"""),"KOPO")</f>
        <v>KOPO</v>
      </c>
      <c r="G162" s="4" t="str">
        <f>IFERROR(__xludf.DUMMYFUNCTION("""COMPUTED_VALUE"""),"NEW CIBEUREUM")</f>
        <v>NEW CIBEUREUM</v>
      </c>
      <c r="H162" s="4" t="str">
        <f>IFERROR(__xludf.DUMMYFUNCTION("""COMPUTED_VALUE"""),"WTHO")</f>
        <v>WTHO</v>
      </c>
      <c r="I162" s="4" t="str">
        <f>IFERROR(__xludf.DUMMYFUNCTION("""COMPUTED_VALUE"""),"TSO - UDB")</f>
        <v>TSO - UDB</v>
      </c>
      <c r="J162" s="4" t="str">
        <f>IFERROR(__xludf.DUMMYFUNCTION("""COMPUTED_VALUE"""),"ZONA 2")</f>
        <v>ZONA 2</v>
      </c>
      <c r="K162" s="4" t="str">
        <f>IFERROR(__xludf.DUMMYFUNCTION("""COMPUTED_VALUE"""),"004")</f>
        <v>004</v>
      </c>
      <c r="L162" s="4" t="str">
        <f>IFERROR(__xludf.DUMMYFUNCTION("""COMPUTED_VALUE"""),"TM - 7B/H (Afspan 90 Derajat)")</f>
        <v>TM - 7B/H (Afspan 90 Derajat)</v>
      </c>
      <c r="M162" s="4" t="str">
        <f>IFERROR(__xludf.DUMMYFUNCTION("""COMPUTED_VALUE"""),"Tidak Ada")</f>
        <v>Tidak Ada</v>
      </c>
      <c r="N162" s="4"/>
      <c r="O162" s="4" t="str">
        <f>IFERROR(__xludf.DUMMYFUNCTION("""COMPUTED_VALUE"""),"PEMBANDING SEJENIS")</f>
        <v>PEMBANDING SEJENIS</v>
      </c>
      <c r="P162" s="4" t="str">
        <f>IFERROR(__xludf.DUMMYFUNCTION("""COMPUTED_VALUE"""),"KONEKTOR/JUMPER")</f>
        <v>KONEKTOR/JUMPER</v>
      </c>
      <c r="Q162" s="4">
        <f>IFERROR(__xludf.DUMMYFUNCTION("""COMPUTED_VALUE"""),38.0)</f>
        <v>38</v>
      </c>
      <c r="R162" s="4">
        <f>IFERROR(__xludf.DUMMYFUNCTION("""COMPUTED_VALUE"""),25.0)</f>
        <v>25</v>
      </c>
      <c r="S162" s="4">
        <f>IFERROR(__xludf.DUMMYFUNCTION("""COMPUTED_VALUE"""),25.0)</f>
        <v>25</v>
      </c>
      <c r="T162" s="4"/>
      <c r="U162" s="4" t="str">
        <f>IFERROR(__xludf.DUMMYFUNCTION("""COMPUTED_VALUE"""),"KURANG")</f>
        <v>KURANG</v>
      </c>
      <c r="V162" s="4" t="str">
        <f>IFERROR(__xludf.DUMMYFUNCTION("""COMPUTED_VALUE"""),"Tidak Ada")</f>
        <v>Tidak Ada</v>
      </c>
      <c r="W162" s="4"/>
      <c r="X162" s="4"/>
      <c r="Y162" s="4"/>
      <c r="Z162" s="4"/>
      <c r="AA162" s="4"/>
      <c r="AB162" s="4"/>
      <c r="AC162" s="4" t="str">
        <f>IFERROR(__xludf.DUMMYFUNCTION("""COMPUTED_VALUE"""),"INSPEKSI SUTM - T2_Images/1c11fbbd.FOTO.095323.jpg")</f>
        <v>INSPEKSI SUTM - T2_Images/1c11fbbd.FOTO.095323.jpg</v>
      </c>
      <c r="AD162" s="4"/>
      <c r="AE162" s="4"/>
      <c r="AF162" s="4" t="str">
        <f>IFERROR(__xludf.DUMMYFUNCTION("""COMPUTED_VALUE"""),"BELUM")</f>
        <v>BELUM</v>
      </c>
      <c r="AG162" s="6">
        <f>IFERROR(__xludf.DUMMYFUNCTION("""COMPUTED_VALUE"""),46042.0)</f>
        <v>46042</v>
      </c>
      <c r="AH162" s="4"/>
      <c r="AI162" s="4"/>
    </row>
    <row r="163" ht="15.75" customHeight="1">
      <c r="A163" s="4" t="str">
        <f>IFERROR(__xludf.DUMMYFUNCTION("""COMPUTED_VALUE"""),"ede83846")</f>
        <v>ede83846</v>
      </c>
      <c r="B163" s="5">
        <f>IFERROR(__xludf.DUMMYFUNCTION("""COMPUTED_VALUE"""),46042.91287037037)</f>
        <v>46042.91287</v>
      </c>
      <c r="C163" s="4" t="str">
        <f>IFERROR(__xludf.DUMMYFUNCTION("""COMPUTED_VALUE"""),"0.000000, 0.000000")</f>
        <v>0.000000, 0.000000</v>
      </c>
      <c r="D163" s="4" t="str">
        <f>IFERROR(__xludf.DUMMYFUNCTION("""COMPUTED_VALUE"""),"fuad nugi")</f>
        <v>fuad nugi</v>
      </c>
      <c r="E163" s="4" t="str">
        <f>IFERROR(__xludf.DUMMYFUNCTION("""COMPUTED_VALUE"""),"BANDUNG")</f>
        <v>BANDUNG</v>
      </c>
      <c r="F163" s="4" t="str">
        <f>IFERROR(__xludf.DUMMYFUNCTION("""COMPUTED_VALUE"""),"KOPO")</f>
        <v>KOPO</v>
      </c>
      <c r="G163" s="4" t="str">
        <f>IFERROR(__xludf.DUMMYFUNCTION("""COMPUTED_VALUE"""),"NEW CIBEUREUM")</f>
        <v>NEW CIBEUREUM</v>
      </c>
      <c r="H163" s="4" t="str">
        <f>IFERROR(__xludf.DUMMYFUNCTION("""COMPUTED_VALUE"""),"WTHO")</f>
        <v>WTHO</v>
      </c>
      <c r="I163" s="4" t="str">
        <f>IFERROR(__xludf.DUMMYFUNCTION("""COMPUTED_VALUE"""),"TSO - UDB")</f>
        <v>TSO - UDB</v>
      </c>
      <c r="J163" s="4" t="str">
        <f>IFERROR(__xludf.DUMMYFUNCTION("""COMPUTED_VALUE"""),"ZONA 2")</f>
        <v>ZONA 2</v>
      </c>
      <c r="K163" s="4" t="str">
        <f>IFERROR(__xludf.DUMMYFUNCTION("""COMPUTED_VALUE"""),"006")</f>
        <v>006</v>
      </c>
      <c r="L163" s="4" t="str">
        <f>IFERROR(__xludf.DUMMYFUNCTION("""COMPUTED_VALUE"""),"TM - 7B/H (Afspan 90 Derajat)")</f>
        <v>TM - 7B/H (Afspan 90 Derajat)</v>
      </c>
      <c r="M163" s="4" t="str">
        <f>IFERROR(__xludf.DUMMYFUNCTION("""COMPUTED_VALUE"""),"Tidak Ada")</f>
        <v>Tidak Ada</v>
      </c>
      <c r="N163" s="4"/>
      <c r="O163" s="4" t="str">
        <f>IFERROR(__xludf.DUMMYFUNCTION("""COMPUTED_VALUE"""),"PEMBANDING SEJENIS")</f>
        <v>PEMBANDING SEJENIS</v>
      </c>
      <c r="P163" s="4" t="str">
        <f>IFERROR(__xludf.DUMMYFUNCTION("""COMPUTED_VALUE"""),"KONEKTOR/JUMPER")</f>
        <v>KONEKTOR/JUMPER</v>
      </c>
      <c r="Q163" s="4">
        <f>IFERROR(__xludf.DUMMYFUNCTION("""COMPUTED_VALUE"""),25.0)</f>
        <v>25</v>
      </c>
      <c r="R163" s="4">
        <f>IFERROR(__xludf.DUMMYFUNCTION("""COMPUTED_VALUE"""),26.0)</f>
        <v>26</v>
      </c>
      <c r="S163" s="4">
        <f>IFERROR(__xludf.DUMMYFUNCTION("""COMPUTED_VALUE"""),25.0)</f>
        <v>25</v>
      </c>
      <c r="T163" s="4"/>
      <c r="U163" s="4" t="str">
        <f>IFERROR(__xludf.DUMMYFUNCTION("""COMPUTED_VALUE"""),"BAIK")</f>
        <v>BAIK</v>
      </c>
      <c r="V163" s="4" t="str">
        <f>IFERROR(__xludf.DUMMYFUNCTION("""COMPUTED_VALUE"""),"Tidak Ada")</f>
        <v>Tidak Ada</v>
      </c>
      <c r="W163" s="4"/>
      <c r="X163" s="4"/>
      <c r="Y163" s="4"/>
      <c r="Z163" s="4"/>
      <c r="AA163" s="4"/>
      <c r="AB163" s="4"/>
      <c r="AC163" s="4" t="str">
        <f>IFERROR(__xludf.DUMMYFUNCTION("""COMPUTED_VALUE"""),"INSPEKSI SUTM - T2_Images/ede83846.FOTO.095402.jpg")</f>
        <v>INSPEKSI SUTM - T2_Images/ede83846.FOTO.095402.jpg</v>
      </c>
      <c r="AD163" s="4"/>
      <c r="AE163" s="4"/>
      <c r="AF163" s="4" t="str">
        <f>IFERROR(__xludf.DUMMYFUNCTION("""COMPUTED_VALUE"""),"BELUM")</f>
        <v>BELUM</v>
      </c>
      <c r="AG163" s="6">
        <f>IFERROR(__xludf.DUMMYFUNCTION("""COMPUTED_VALUE"""),46042.0)</f>
        <v>46042</v>
      </c>
      <c r="AH163" s="4"/>
      <c r="AI163" s="4"/>
    </row>
    <row r="164" ht="15.75" customHeight="1">
      <c r="A164" s="4" t="str">
        <f>IFERROR(__xludf.DUMMYFUNCTION("""COMPUTED_VALUE"""),"06be5410")</f>
        <v>06be5410</v>
      </c>
      <c r="B164" s="5">
        <f>IFERROR(__xludf.DUMMYFUNCTION("""COMPUTED_VALUE"""),46042.91337962963)</f>
        <v>46042.91338</v>
      </c>
      <c r="C164" s="4" t="str">
        <f>IFERROR(__xludf.DUMMYFUNCTION("""COMPUTED_VALUE"""),"0.000000, 0.000000")</f>
        <v>0.000000, 0.000000</v>
      </c>
      <c r="D164" s="4" t="str">
        <f>IFERROR(__xludf.DUMMYFUNCTION("""COMPUTED_VALUE"""),"fuad nugi")</f>
        <v>fuad nugi</v>
      </c>
      <c r="E164" s="4" t="str">
        <f>IFERROR(__xludf.DUMMYFUNCTION("""COMPUTED_VALUE"""),"BANDUNG")</f>
        <v>BANDUNG</v>
      </c>
      <c r="F164" s="4" t="str">
        <f>IFERROR(__xludf.DUMMYFUNCTION("""COMPUTED_VALUE"""),"KOPO")</f>
        <v>KOPO</v>
      </c>
      <c r="G164" s="4" t="str">
        <f>IFERROR(__xludf.DUMMYFUNCTION("""COMPUTED_VALUE"""),"NEW CIBEUREUM")</f>
        <v>NEW CIBEUREUM</v>
      </c>
      <c r="H164" s="4" t="str">
        <f>IFERROR(__xludf.DUMMYFUNCTION("""COMPUTED_VALUE"""),"WTHO")</f>
        <v>WTHO</v>
      </c>
      <c r="I164" s="4" t="str">
        <f>IFERROR(__xludf.DUMMYFUNCTION("""COMPUTED_VALUE"""),"TSO - UDB")</f>
        <v>TSO - UDB</v>
      </c>
      <c r="J164" s="4" t="str">
        <f>IFERROR(__xludf.DUMMYFUNCTION("""COMPUTED_VALUE"""),"ZONA 2")</f>
        <v>ZONA 2</v>
      </c>
      <c r="K164" s="4" t="str">
        <f>IFERROR(__xludf.DUMMYFUNCTION("""COMPUTED_VALUE"""),"007")</f>
        <v>007</v>
      </c>
      <c r="L164" s="4" t="str">
        <f>IFERROR(__xludf.DUMMYFUNCTION("""COMPUTED_VALUE"""),"TM - 1B/H (Tumpu)")</f>
        <v>TM - 1B/H (Tumpu)</v>
      </c>
      <c r="M164" s="4" t="str">
        <f>IFERROR(__xludf.DUMMYFUNCTION("""COMPUTED_VALUE"""),"Tidak Ada")</f>
        <v>Tidak Ada</v>
      </c>
      <c r="N164" s="4"/>
      <c r="O164" s="4" t="str">
        <f>IFERROR(__xludf.DUMMYFUNCTION("""COMPUTED_VALUE"""),"PEMBANDING SEJENIS")</f>
        <v>PEMBANDING SEJENIS</v>
      </c>
      <c r="P164" s="4" t="str">
        <f>IFERROR(__xludf.DUMMYFUNCTION("""COMPUTED_VALUE"""),"ARRESTER")</f>
        <v>ARRESTER</v>
      </c>
      <c r="Q164" s="4">
        <f>IFERROR(__xludf.DUMMYFUNCTION("""COMPUTED_VALUE"""),25.0)</f>
        <v>25</v>
      </c>
      <c r="R164" s="4">
        <f>IFERROR(__xludf.DUMMYFUNCTION("""COMPUTED_VALUE"""),24.0)</f>
        <v>24</v>
      </c>
      <c r="S164" s="4">
        <f>IFERROR(__xludf.DUMMYFUNCTION("""COMPUTED_VALUE"""),25.0)</f>
        <v>25</v>
      </c>
      <c r="T164" s="4"/>
      <c r="U164" s="4" t="str">
        <f>IFERROR(__xludf.DUMMYFUNCTION("""COMPUTED_VALUE"""),"BAIK")</f>
        <v>BAIK</v>
      </c>
      <c r="V164" s="4" t="str">
        <f>IFERROR(__xludf.DUMMYFUNCTION("""COMPUTED_VALUE"""),"Tidak Ada")</f>
        <v>Tidak Ada</v>
      </c>
      <c r="W164" s="4"/>
      <c r="X164" s="4"/>
      <c r="Y164" s="4"/>
      <c r="Z164" s="4"/>
      <c r="AA164" s="4"/>
      <c r="AB164" s="4"/>
      <c r="AC164" s="4" t="str">
        <f>IFERROR(__xludf.DUMMYFUNCTION("""COMPUTED_VALUE"""),"INSPEKSI SUTM - T2_Images/06be5410.FOTO.095500.jpg")</f>
        <v>INSPEKSI SUTM - T2_Images/06be5410.FOTO.095500.jpg</v>
      </c>
      <c r="AD164" s="4"/>
      <c r="AE164" s="4"/>
      <c r="AF164" s="4" t="str">
        <f>IFERROR(__xludf.DUMMYFUNCTION("""COMPUTED_VALUE"""),"BELUM")</f>
        <v>BELUM</v>
      </c>
      <c r="AG164" s="6">
        <f>IFERROR(__xludf.DUMMYFUNCTION("""COMPUTED_VALUE"""),46042.0)</f>
        <v>46042</v>
      </c>
      <c r="AH164" s="4"/>
      <c r="AI164" s="4"/>
    </row>
    <row r="165" ht="15.75" customHeight="1">
      <c r="A165" s="4" t="str">
        <f>IFERROR(__xludf.DUMMYFUNCTION("""COMPUTED_VALUE"""),"e794f6b4")</f>
        <v>e794f6b4</v>
      </c>
      <c r="B165" s="5">
        <f>IFERROR(__xludf.DUMMYFUNCTION("""COMPUTED_VALUE"""),46042.914131944446)</f>
        <v>46042.91413</v>
      </c>
      <c r="C165" s="4" t="str">
        <f>IFERROR(__xludf.DUMMYFUNCTION("""COMPUTED_VALUE"""),"0.000000, 0.000000")</f>
        <v>0.000000, 0.000000</v>
      </c>
      <c r="D165" s="4" t="str">
        <f>IFERROR(__xludf.DUMMYFUNCTION("""COMPUTED_VALUE"""),"fuad nugi")</f>
        <v>fuad nugi</v>
      </c>
      <c r="E165" s="4" t="str">
        <f>IFERROR(__xludf.DUMMYFUNCTION("""COMPUTED_VALUE"""),"BANDUNG")</f>
        <v>BANDUNG</v>
      </c>
      <c r="F165" s="4" t="str">
        <f>IFERROR(__xludf.DUMMYFUNCTION("""COMPUTED_VALUE"""),"KOPO")</f>
        <v>KOPO</v>
      </c>
      <c r="G165" s="4" t="str">
        <f>IFERROR(__xludf.DUMMYFUNCTION("""COMPUTED_VALUE"""),"NEW CIBEUREUM")</f>
        <v>NEW CIBEUREUM</v>
      </c>
      <c r="H165" s="4" t="str">
        <f>IFERROR(__xludf.DUMMYFUNCTION("""COMPUTED_VALUE"""),"WTHO")</f>
        <v>WTHO</v>
      </c>
      <c r="I165" s="4" t="str">
        <f>IFERROR(__xludf.DUMMYFUNCTION("""COMPUTED_VALUE"""),"TSO - UDB")</f>
        <v>TSO - UDB</v>
      </c>
      <c r="J165" s="4" t="str">
        <f>IFERROR(__xludf.DUMMYFUNCTION("""COMPUTED_VALUE"""),"ZONA 2")</f>
        <v>ZONA 2</v>
      </c>
      <c r="K165" s="4" t="str">
        <f>IFERROR(__xludf.DUMMYFUNCTION("""COMPUTED_VALUE"""),"009")</f>
        <v>009</v>
      </c>
      <c r="L165" s="4" t="str">
        <f>IFERROR(__xludf.DUMMYFUNCTION("""COMPUTED_VALUE"""),"TM - 1B/H (Tumpu)")</f>
        <v>TM - 1B/H (Tumpu)</v>
      </c>
      <c r="M165" s="4" t="str">
        <f>IFERROR(__xludf.DUMMYFUNCTION("""COMPUTED_VALUE"""),"Tidak Ada")</f>
        <v>Tidak Ada</v>
      </c>
      <c r="N165" s="4"/>
      <c r="O165" s="4" t="str">
        <f>IFERROR(__xludf.DUMMYFUNCTION("""COMPUTED_VALUE"""),"PEMBANDING SEJENIS")</f>
        <v>PEMBANDING SEJENIS</v>
      </c>
      <c r="P165" s="4" t="str">
        <f>IFERROR(__xludf.DUMMYFUNCTION("""COMPUTED_VALUE"""),"ARRESTER")</f>
        <v>ARRESTER</v>
      </c>
      <c r="Q165" s="4">
        <f>IFERROR(__xludf.DUMMYFUNCTION("""COMPUTED_VALUE"""),25.0)</f>
        <v>25</v>
      </c>
      <c r="R165" s="4">
        <f>IFERROR(__xludf.DUMMYFUNCTION("""COMPUTED_VALUE"""),25.0)</f>
        <v>25</v>
      </c>
      <c r="S165" s="4">
        <f>IFERROR(__xludf.DUMMYFUNCTION("""COMPUTED_VALUE"""),25.0)</f>
        <v>25</v>
      </c>
      <c r="T165" s="4"/>
      <c r="U165" s="4" t="str">
        <f>IFERROR(__xludf.DUMMYFUNCTION("""COMPUTED_VALUE"""),"BAIK")</f>
        <v>BAIK</v>
      </c>
      <c r="V165" s="4" t="str">
        <f>IFERROR(__xludf.DUMMYFUNCTION("""COMPUTED_VALUE"""),"Tidak Ada")</f>
        <v>Tidak Ada</v>
      </c>
      <c r="W165" s="4"/>
      <c r="X165" s="4"/>
      <c r="Y165" s="4"/>
      <c r="Z165" s="4"/>
      <c r="AA165" s="4"/>
      <c r="AB165" s="4"/>
      <c r="AC165" s="4" t="str">
        <f>IFERROR(__xludf.DUMMYFUNCTION("""COMPUTED_VALUE"""),"INSPEKSI SUTM - T2_Images/e794f6b4.FOTO.095552.jpg")</f>
        <v>INSPEKSI SUTM - T2_Images/e794f6b4.FOTO.095552.jpg</v>
      </c>
      <c r="AD165" s="4"/>
      <c r="AE165" s="4"/>
      <c r="AF165" s="4" t="str">
        <f>IFERROR(__xludf.DUMMYFUNCTION("""COMPUTED_VALUE"""),"BELUM")</f>
        <v>BELUM</v>
      </c>
      <c r="AG165" s="6">
        <f>IFERROR(__xludf.DUMMYFUNCTION("""COMPUTED_VALUE"""),46042.0)</f>
        <v>46042</v>
      </c>
      <c r="AH165" s="4"/>
      <c r="AI165" s="4"/>
    </row>
    <row r="166" ht="15.75" customHeight="1">
      <c r="A166" s="4" t="str">
        <f>IFERROR(__xludf.DUMMYFUNCTION("""COMPUTED_VALUE"""),"df7397b2")</f>
        <v>df7397b2</v>
      </c>
      <c r="B166" s="5">
        <f>IFERROR(__xludf.DUMMYFUNCTION("""COMPUTED_VALUE"""),46042.914606481485)</f>
        <v>46042.91461</v>
      </c>
      <c r="C166" s="4" t="str">
        <f>IFERROR(__xludf.DUMMYFUNCTION("""COMPUTED_VALUE"""),"0.000000, 0.000000")</f>
        <v>0.000000, 0.000000</v>
      </c>
      <c r="D166" s="4" t="str">
        <f>IFERROR(__xludf.DUMMYFUNCTION("""COMPUTED_VALUE"""),"fuad nugi")</f>
        <v>fuad nugi</v>
      </c>
      <c r="E166" s="4" t="str">
        <f>IFERROR(__xludf.DUMMYFUNCTION("""COMPUTED_VALUE"""),"BANDUNG")</f>
        <v>BANDUNG</v>
      </c>
      <c r="F166" s="4" t="str">
        <f>IFERROR(__xludf.DUMMYFUNCTION("""COMPUTED_VALUE"""),"KOPO")</f>
        <v>KOPO</v>
      </c>
      <c r="G166" s="4" t="str">
        <f>IFERROR(__xludf.DUMMYFUNCTION("""COMPUTED_VALUE"""),"NEW CIBEUREUM")</f>
        <v>NEW CIBEUREUM</v>
      </c>
      <c r="H166" s="4" t="str">
        <f>IFERROR(__xludf.DUMMYFUNCTION("""COMPUTED_VALUE"""),"WTHO")</f>
        <v>WTHO</v>
      </c>
      <c r="I166" s="4" t="str">
        <f>IFERROR(__xludf.DUMMYFUNCTION("""COMPUTED_VALUE"""),"TSO - UDB")</f>
        <v>TSO - UDB</v>
      </c>
      <c r="J166" s="4" t="str">
        <f>IFERROR(__xludf.DUMMYFUNCTION("""COMPUTED_VALUE"""),"ZONA 2")</f>
        <v>ZONA 2</v>
      </c>
      <c r="K166" s="4" t="str">
        <f>IFERROR(__xludf.DUMMYFUNCTION("""COMPUTED_VALUE"""),"010")</f>
        <v>010</v>
      </c>
      <c r="L166" s="4" t="str">
        <f>IFERROR(__xludf.DUMMYFUNCTION("""COMPUTED_VALUE"""),"TM - 8BC/HC (Percabangan dengan CO)")</f>
        <v>TM - 8BC/HC (Percabangan dengan CO)</v>
      </c>
      <c r="M166" s="4" t="str">
        <f>IFERROR(__xludf.DUMMYFUNCTION("""COMPUTED_VALUE"""),"FCO")</f>
        <v>FCO</v>
      </c>
      <c r="N166" s="4" t="str">
        <f>IFERROR(__xludf.DUMMYFUNCTION("""COMPUTED_VALUE"""),"rhub")</f>
        <v>rhub</v>
      </c>
      <c r="O166" s="4" t="str">
        <f>IFERROR(__xludf.DUMMYFUNCTION("""COMPUTED_VALUE"""),"PEMBANDING SEJENIS")</f>
        <v>PEMBANDING SEJENIS</v>
      </c>
      <c r="P166" s="4" t="str">
        <f>IFERROR(__xludf.DUMMYFUNCTION("""COMPUTED_VALUE"""),"KONEKTOR/JUMPER")</f>
        <v>KONEKTOR/JUMPER</v>
      </c>
      <c r="Q166" s="4">
        <f>IFERROR(__xludf.DUMMYFUNCTION("""COMPUTED_VALUE"""),24.0)</f>
        <v>24</v>
      </c>
      <c r="R166" s="4">
        <f>IFERROR(__xludf.DUMMYFUNCTION("""COMPUTED_VALUE"""),25.0)</f>
        <v>25</v>
      </c>
      <c r="S166" s="4">
        <f>IFERROR(__xludf.DUMMYFUNCTION("""COMPUTED_VALUE"""),25.0)</f>
        <v>25</v>
      </c>
      <c r="T166" s="4"/>
      <c r="U166" s="4" t="str">
        <f>IFERROR(__xludf.DUMMYFUNCTION("""COMPUTED_VALUE"""),"BAIK")</f>
        <v>BAIK</v>
      </c>
      <c r="V166" s="4" t="str">
        <f>IFERROR(__xludf.DUMMYFUNCTION("""COMPUTED_VALUE"""),"Tidak Ada")</f>
        <v>Tidak Ada</v>
      </c>
      <c r="W166" s="4"/>
      <c r="X166" s="4"/>
      <c r="Y166" s="4"/>
      <c r="Z166" s="4"/>
      <c r="AA166" s="4"/>
      <c r="AB166" s="4"/>
      <c r="AC166" s="4" t="str">
        <f>IFERROR(__xludf.DUMMYFUNCTION("""COMPUTED_VALUE"""),"INSPEKSI SUTM - T2_Images/df7397b2.FOTO.095706.jpg")</f>
        <v>INSPEKSI SUTM - T2_Images/df7397b2.FOTO.095706.jpg</v>
      </c>
      <c r="AD166" s="4"/>
      <c r="AE166" s="4"/>
      <c r="AF166" s="4" t="str">
        <f>IFERROR(__xludf.DUMMYFUNCTION("""COMPUTED_VALUE"""),"BELUM")</f>
        <v>BELUM</v>
      </c>
      <c r="AG166" s="6">
        <f>IFERROR(__xludf.DUMMYFUNCTION("""COMPUTED_VALUE"""),46042.0)</f>
        <v>46042</v>
      </c>
      <c r="AH166" s="4"/>
      <c r="AI166" s="4"/>
    </row>
    <row r="167" ht="15.75" customHeight="1">
      <c r="A167" s="4" t="str">
        <f>IFERROR(__xludf.DUMMYFUNCTION("""COMPUTED_VALUE"""),"ed744542")</f>
        <v>ed744542</v>
      </c>
      <c r="B167" s="5">
        <f>IFERROR(__xludf.DUMMYFUNCTION("""COMPUTED_VALUE"""),46042.91552083333)</f>
        <v>46042.91552</v>
      </c>
      <c r="C167" s="4" t="str">
        <f>IFERROR(__xludf.DUMMYFUNCTION("""COMPUTED_VALUE"""),"0.000000, 0.000000")</f>
        <v>0.000000, 0.000000</v>
      </c>
      <c r="D167" s="4" t="str">
        <f>IFERROR(__xludf.DUMMYFUNCTION("""COMPUTED_VALUE"""),"fuad nugi")</f>
        <v>fuad nugi</v>
      </c>
      <c r="E167" s="4" t="str">
        <f>IFERROR(__xludf.DUMMYFUNCTION("""COMPUTED_VALUE"""),"BANDUNG")</f>
        <v>BANDUNG</v>
      </c>
      <c r="F167" s="4" t="str">
        <f>IFERROR(__xludf.DUMMYFUNCTION("""COMPUTED_VALUE"""),"KOPO")</f>
        <v>KOPO</v>
      </c>
      <c r="G167" s="4" t="str">
        <f>IFERROR(__xludf.DUMMYFUNCTION("""COMPUTED_VALUE"""),"NEW CIBEUREUM")</f>
        <v>NEW CIBEUREUM</v>
      </c>
      <c r="H167" s="4" t="str">
        <f>IFERROR(__xludf.DUMMYFUNCTION("""COMPUTED_VALUE"""),"WTHO")</f>
        <v>WTHO</v>
      </c>
      <c r="I167" s="4" t="str">
        <f>IFERROR(__xludf.DUMMYFUNCTION("""COMPUTED_VALUE"""),"TSO - UDB")</f>
        <v>TSO - UDB</v>
      </c>
      <c r="J167" s="4" t="str">
        <f>IFERROR(__xludf.DUMMYFUNCTION("""COMPUTED_VALUE"""),"ZONA 2")</f>
        <v>ZONA 2</v>
      </c>
      <c r="K167" s="4" t="str">
        <f>IFERROR(__xludf.DUMMYFUNCTION("""COMPUTED_VALUE"""),"015")</f>
        <v>015</v>
      </c>
      <c r="L167" s="4" t="str">
        <f>IFERROR(__xludf.DUMMYFUNCTION("""COMPUTED_VALUE"""),"TM - 8B/H (Percabangan)")</f>
        <v>TM - 8B/H (Percabangan)</v>
      </c>
      <c r="M167" s="4" t="str">
        <f>IFERROR(__xludf.DUMMYFUNCTION("""COMPUTED_VALUE"""),"Tidak Ada")</f>
        <v>Tidak Ada</v>
      </c>
      <c r="N167" s="4"/>
      <c r="O167" s="4" t="str">
        <f>IFERROR(__xludf.DUMMYFUNCTION("""COMPUTED_VALUE"""),"PEMBANDING SEJENIS")</f>
        <v>PEMBANDING SEJENIS</v>
      </c>
      <c r="P167" s="4" t="str">
        <f>IFERROR(__xludf.DUMMYFUNCTION("""COMPUTED_VALUE"""),"KONEKTOR/JUMPER")</f>
        <v>KONEKTOR/JUMPER</v>
      </c>
      <c r="Q167" s="4">
        <f>IFERROR(__xludf.DUMMYFUNCTION("""COMPUTED_VALUE"""),25.0)</f>
        <v>25</v>
      </c>
      <c r="R167" s="4">
        <f>IFERROR(__xludf.DUMMYFUNCTION("""COMPUTED_VALUE"""),25.0)</f>
        <v>25</v>
      </c>
      <c r="S167" s="4">
        <f>IFERROR(__xludf.DUMMYFUNCTION("""COMPUTED_VALUE"""),25.0)</f>
        <v>25</v>
      </c>
      <c r="T167" s="4"/>
      <c r="U167" s="4" t="str">
        <f>IFERROR(__xludf.DUMMYFUNCTION("""COMPUTED_VALUE"""),"BAIK")</f>
        <v>BAIK</v>
      </c>
      <c r="V167" s="4" t="str">
        <f>IFERROR(__xludf.DUMMYFUNCTION("""COMPUTED_VALUE"""),"Tidak Ada")</f>
        <v>Tidak Ada</v>
      </c>
      <c r="W167" s="4"/>
      <c r="X167" s="4"/>
      <c r="Y167" s="4"/>
      <c r="Z167" s="4"/>
      <c r="AA167" s="4"/>
      <c r="AB167" s="4"/>
      <c r="AC167" s="4" t="str">
        <f>IFERROR(__xludf.DUMMYFUNCTION("""COMPUTED_VALUE"""),"INSPEKSI SUTM - T2_Images/ed744542.FOTO.095751.jpg")</f>
        <v>INSPEKSI SUTM - T2_Images/ed744542.FOTO.095751.jpg</v>
      </c>
      <c r="AD167" s="4"/>
      <c r="AE167" s="4"/>
      <c r="AF167" s="4" t="str">
        <f>IFERROR(__xludf.DUMMYFUNCTION("""COMPUTED_VALUE"""),"BELUM")</f>
        <v>BELUM</v>
      </c>
      <c r="AG167" s="6">
        <f>IFERROR(__xludf.DUMMYFUNCTION("""COMPUTED_VALUE"""),46042.0)</f>
        <v>46042</v>
      </c>
      <c r="AH167" s="4"/>
      <c r="AI167" s="4"/>
    </row>
    <row r="168" ht="15.75" customHeight="1">
      <c r="A168" s="4" t="str">
        <f>IFERROR(__xludf.DUMMYFUNCTION("""COMPUTED_VALUE"""),"7a92f8ca")</f>
        <v>7a92f8ca</v>
      </c>
      <c r="B168" s="5">
        <f>IFERROR(__xludf.DUMMYFUNCTION("""COMPUTED_VALUE"""),46042.915972222225)</f>
        <v>46042.91597</v>
      </c>
      <c r="C168" s="4" t="str">
        <f>IFERROR(__xludf.DUMMYFUNCTION("""COMPUTED_VALUE"""),"0.000000, 0.000000")</f>
        <v>0.000000, 0.000000</v>
      </c>
      <c r="D168" s="4" t="str">
        <f>IFERROR(__xludf.DUMMYFUNCTION("""COMPUTED_VALUE"""),"fuad nugi")</f>
        <v>fuad nugi</v>
      </c>
      <c r="E168" s="4" t="str">
        <f>IFERROR(__xludf.DUMMYFUNCTION("""COMPUTED_VALUE"""),"BANDUNG")</f>
        <v>BANDUNG</v>
      </c>
      <c r="F168" s="4" t="str">
        <f>IFERROR(__xludf.DUMMYFUNCTION("""COMPUTED_VALUE"""),"KOPO")</f>
        <v>KOPO</v>
      </c>
      <c r="G168" s="4" t="str">
        <f>IFERROR(__xludf.DUMMYFUNCTION("""COMPUTED_VALUE"""),"NEW CIBEUREUM")</f>
        <v>NEW CIBEUREUM</v>
      </c>
      <c r="H168" s="4" t="str">
        <f>IFERROR(__xludf.DUMMYFUNCTION("""COMPUTED_VALUE"""),"WTHO")</f>
        <v>WTHO</v>
      </c>
      <c r="I168" s="4" t="str">
        <f>IFERROR(__xludf.DUMMYFUNCTION("""COMPUTED_VALUE"""),"TSO - UDB")</f>
        <v>TSO - UDB</v>
      </c>
      <c r="J168" s="4" t="str">
        <f>IFERROR(__xludf.DUMMYFUNCTION("""COMPUTED_VALUE"""),"ZONA 2")</f>
        <v>ZONA 2</v>
      </c>
      <c r="K168" s="4" t="str">
        <f>IFERROR(__xludf.DUMMYFUNCTION("""COMPUTED_VALUE"""),"015L01")</f>
        <v>015L01</v>
      </c>
      <c r="L168" s="4" t="str">
        <f>IFERROR(__xludf.DUMMYFUNCTION("""COMPUTED_VALUE"""),"TM - 14B/H (Akhir)")</f>
        <v>TM - 14B/H (Akhir)</v>
      </c>
      <c r="M168" s="4" t="str">
        <f>IFERROR(__xludf.DUMMYFUNCTION("""COMPUTED_VALUE"""),"Tidak Ada")</f>
        <v>Tidak Ada</v>
      </c>
      <c r="N168" s="4"/>
      <c r="O168" s="4" t="str">
        <f>IFERROR(__xludf.DUMMYFUNCTION("""COMPUTED_VALUE"""),"PEMBANDING SEJENIS")</f>
        <v>PEMBANDING SEJENIS</v>
      </c>
      <c r="P168" s="4" t="str">
        <f>IFERROR(__xludf.DUMMYFUNCTION("""COMPUTED_VALUE"""),"TERMINASI")</f>
        <v>TERMINASI</v>
      </c>
      <c r="Q168" s="4">
        <f>IFERROR(__xludf.DUMMYFUNCTION("""COMPUTED_VALUE"""),24.0)</f>
        <v>24</v>
      </c>
      <c r="R168" s="4">
        <f>IFERROR(__xludf.DUMMYFUNCTION("""COMPUTED_VALUE"""),24.0)</f>
        <v>24</v>
      </c>
      <c r="S168" s="4">
        <f>IFERROR(__xludf.DUMMYFUNCTION("""COMPUTED_VALUE"""),25.0)</f>
        <v>25</v>
      </c>
      <c r="T168" s="4"/>
      <c r="U168" s="4" t="str">
        <f>IFERROR(__xludf.DUMMYFUNCTION("""COMPUTED_VALUE"""),"BAIK")</f>
        <v>BAIK</v>
      </c>
      <c r="V168" s="4" t="str">
        <f>IFERROR(__xludf.DUMMYFUNCTION("""COMPUTED_VALUE"""),"Tidak Ada")</f>
        <v>Tidak Ada</v>
      </c>
      <c r="W168" s="4"/>
      <c r="X168" s="4"/>
      <c r="Y168" s="4"/>
      <c r="Z168" s="4"/>
      <c r="AA168" s="4"/>
      <c r="AB168" s="4"/>
      <c r="AC168" s="4" t="str">
        <f>IFERROR(__xludf.DUMMYFUNCTION("""COMPUTED_VALUE"""),"INSPEKSI SUTM - T2_Images/7a92f8ca.FOTO.095832.jpg")</f>
        <v>INSPEKSI SUTM - T2_Images/7a92f8ca.FOTO.095832.jpg</v>
      </c>
      <c r="AD168" s="4"/>
      <c r="AE168" s="4"/>
      <c r="AF168" s="4" t="str">
        <f>IFERROR(__xludf.DUMMYFUNCTION("""COMPUTED_VALUE"""),"BELUM")</f>
        <v>BELUM</v>
      </c>
      <c r="AG168" s="6">
        <f>IFERROR(__xludf.DUMMYFUNCTION("""COMPUTED_VALUE"""),46042.0)</f>
        <v>46042</v>
      </c>
      <c r="AH168" s="4"/>
      <c r="AI168" s="4"/>
    </row>
    <row r="169" ht="15.75" customHeight="1">
      <c r="A169" s="4" t="str">
        <f>IFERROR(__xludf.DUMMYFUNCTION("""COMPUTED_VALUE"""),"954f85dc")</f>
        <v>954f85dc</v>
      </c>
      <c r="B169" s="5">
        <f>IFERROR(__xludf.DUMMYFUNCTION("""COMPUTED_VALUE"""),46042.91645833333)</f>
        <v>46042.91646</v>
      </c>
      <c r="C169" s="4" t="str">
        <f>IFERROR(__xludf.DUMMYFUNCTION("""COMPUTED_VALUE"""),"0.000000, 0.000000")</f>
        <v>0.000000, 0.000000</v>
      </c>
      <c r="D169" s="4" t="str">
        <f>IFERROR(__xludf.DUMMYFUNCTION("""COMPUTED_VALUE"""),"fuad nugi")</f>
        <v>fuad nugi</v>
      </c>
      <c r="E169" s="4" t="str">
        <f>IFERROR(__xludf.DUMMYFUNCTION("""COMPUTED_VALUE"""),"BANDUNG")</f>
        <v>BANDUNG</v>
      </c>
      <c r="F169" s="4" t="str">
        <f>IFERROR(__xludf.DUMMYFUNCTION("""COMPUTED_VALUE"""),"KOPO")</f>
        <v>KOPO</v>
      </c>
      <c r="G169" s="4" t="str">
        <f>IFERROR(__xludf.DUMMYFUNCTION("""COMPUTED_VALUE"""),"NEW CIBEUREUM")</f>
        <v>NEW CIBEUREUM</v>
      </c>
      <c r="H169" s="4" t="str">
        <f>IFERROR(__xludf.DUMMYFUNCTION("""COMPUTED_VALUE"""),"WTHO")</f>
        <v>WTHO</v>
      </c>
      <c r="I169" s="4" t="str">
        <f>IFERROR(__xludf.DUMMYFUNCTION("""COMPUTED_VALUE"""),"TSO - UDB")</f>
        <v>TSO - UDB</v>
      </c>
      <c r="J169" s="4" t="str">
        <f>IFERROR(__xludf.DUMMYFUNCTION("""COMPUTED_VALUE"""),"ZONA 2")</f>
        <v>ZONA 2</v>
      </c>
      <c r="K169" s="4" t="str">
        <f>IFERROR(__xludf.DUMMYFUNCTION("""COMPUTED_VALUE"""),"018")</f>
        <v>018</v>
      </c>
      <c r="L169" s="4" t="str">
        <f>IFERROR(__xludf.DUMMYFUNCTION("""COMPUTED_VALUE"""),"TM - 1B/H (Tumpu)")</f>
        <v>TM - 1B/H (Tumpu)</v>
      </c>
      <c r="M169" s="4" t="str">
        <f>IFERROR(__xludf.DUMMYFUNCTION("""COMPUTED_VALUE"""),"Tidak Ada")</f>
        <v>Tidak Ada</v>
      </c>
      <c r="N169" s="4"/>
      <c r="O169" s="4" t="str">
        <f>IFERROR(__xludf.DUMMYFUNCTION("""COMPUTED_VALUE"""),"PEMBANDING SEJENIS")</f>
        <v>PEMBANDING SEJENIS</v>
      </c>
      <c r="P169" s="4" t="str">
        <f>IFERROR(__xludf.DUMMYFUNCTION("""COMPUTED_VALUE"""),"ARRESTER")</f>
        <v>ARRESTER</v>
      </c>
      <c r="Q169" s="4">
        <f>IFERROR(__xludf.DUMMYFUNCTION("""COMPUTED_VALUE"""),24.0)</f>
        <v>24</v>
      </c>
      <c r="R169" s="4">
        <f>IFERROR(__xludf.DUMMYFUNCTION("""COMPUTED_VALUE"""),22.0)</f>
        <v>22</v>
      </c>
      <c r="S169" s="4">
        <f>IFERROR(__xludf.DUMMYFUNCTION("""COMPUTED_VALUE"""),24.0)</f>
        <v>24</v>
      </c>
      <c r="T169" s="4"/>
      <c r="U169" s="4" t="str">
        <f>IFERROR(__xludf.DUMMYFUNCTION("""COMPUTED_VALUE"""),"BAIK")</f>
        <v>BAIK</v>
      </c>
      <c r="V169" s="4" t="str">
        <f>IFERROR(__xludf.DUMMYFUNCTION("""COMPUTED_VALUE"""),"Tidak Ada")</f>
        <v>Tidak Ada</v>
      </c>
      <c r="W169" s="4"/>
      <c r="X169" s="4"/>
      <c r="Y169" s="4"/>
      <c r="Z169" s="4"/>
      <c r="AA169" s="4"/>
      <c r="AB169" s="4"/>
      <c r="AC169" s="4" t="str">
        <f>IFERROR(__xludf.DUMMYFUNCTION("""COMPUTED_VALUE"""),"INSPEKSI SUTM - T2_Images/954f85dc.FOTO.095926.jpg")</f>
        <v>INSPEKSI SUTM - T2_Images/954f85dc.FOTO.095926.jpg</v>
      </c>
      <c r="AD169" s="4"/>
      <c r="AE169" s="4"/>
      <c r="AF169" s="4" t="str">
        <f>IFERROR(__xludf.DUMMYFUNCTION("""COMPUTED_VALUE"""),"BELUM")</f>
        <v>BELUM</v>
      </c>
      <c r="AG169" s="6">
        <f>IFERROR(__xludf.DUMMYFUNCTION("""COMPUTED_VALUE"""),46042.0)</f>
        <v>46042</v>
      </c>
      <c r="AH169" s="4"/>
      <c r="AI169" s="4"/>
    </row>
    <row r="170" ht="15.75" customHeight="1">
      <c r="A170" s="4" t="str">
        <f>IFERROR(__xludf.DUMMYFUNCTION("""COMPUTED_VALUE"""),"69454474")</f>
        <v>69454474</v>
      </c>
      <c r="B170" s="5">
        <f>IFERROR(__xludf.DUMMYFUNCTION("""COMPUTED_VALUE"""),46042.91709490741)</f>
        <v>46042.91709</v>
      </c>
      <c r="C170" s="4" t="str">
        <f>IFERROR(__xludf.DUMMYFUNCTION("""COMPUTED_VALUE"""),"0.000000, 0.000000")</f>
        <v>0.000000, 0.000000</v>
      </c>
      <c r="D170" s="4" t="str">
        <f>IFERROR(__xludf.DUMMYFUNCTION("""COMPUTED_VALUE"""),"fuad nugi")</f>
        <v>fuad nugi</v>
      </c>
      <c r="E170" s="4" t="str">
        <f>IFERROR(__xludf.DUMMYFUNCTION("""COMPUTED_VALUE"""),"BANDUNG")</f>
        <v>BANDUNG</v>
      </c>
      <c r="F170" s="4" t="str">
        <f>IFERROR(__xludf.DUMMYFUNCTION("""COMPUTED_VALUE"""),"KOPO")</f>
        <v>KOPO</v>
      </c>
      <c r="G170" s="4" t="str">
        <f>IFERROR(__xludf.DUMMYFUNCTION("""COMPUTED_VALUE"""),"NEW CIBEUREUM")</f>
        <v>NEW CIBEUREUM</v>
      </c>
      <c r="H170" s="4" t="str">
        <f>IFERROR(__xludf.DUMMYFUNCTION("""COMPUTED_VALUE"""),"WTHO")</f>
        <v>WTHO</v>
      </c>
      <c r="I170" s="4" t="str">
        <f>IFERROR(__xludf.DUMMYFUNCTION("""COMPUTED_VALUE"""),"TSO - UDB")</f>
        <v>TSO - UDB</v>
      </c>
      <c r="J170" s="4" t="str">
        <f>IFERROR(__xludf.DUMMYFUNCTION("""COMPUTED_VALUE"""),"ZONA 2")</f>
        <v>ZONA 2</v>
      </c>
      <c r="K170" s="4" t="str">
        <f>IFERROR(__xludf.DUMMYFUNCTION("""COMPUTED_VALUE"""),"019")</f>
        <v>019</v>
      </c>
      <c r="L170" s="4" t="str">
        <f>IFERROR(__xludf.DUMMYFUNCTION("""COMPUTED_VALUE"""),"TM - 12B/H (KABEL Kabel Naik Dua Saluran)")</f>
        <v>TM - 12B/H (KABEL Kabel Naik Dua Saluran)</v>
      </c>
      <c r="M170" s="4" t="str">
        <f>IFERROR(__xludf.DUMMYFUNCTION("""COMPUTED_VALUE"""),"Tidak Ada")</f>
        <v>Tidak Ada</v>
      </c>
      <c r="N170" s="4"/>
      <c r="O170" s="4" t="str">
        <f>IFERROR(__xludf.DUMMYFUNCTION("""COMPUTED_VALUE"""),"PEMBANDING SEJENIS")</f>
        <v>PEMBANDING SEJENIS</v>
      </c>
      <c r="P170" s="4" t="str">
        <f>IFERROR(__xludf.DUMMYFUNCTION("""COMPUTED_VALUE"""),"TERMINASI")</f>
        <v>TERMINASI</v>
      </c>
      <c r="Q170" s="4">
        <f>IFERROR(__xludf.DUMMYFUNCTION("""COMPUTED_VALUE"""),25.0)</f>
        <v>25</v>
      </c>
      <c r="R170" s="4">
        <f>IFERROR(__xludf.DUMMYFUNCTION("""COMPUTED_VALUE"""),25.0)</f>
        <v>25</v>
      </c>
      <c r="S170" s="4">
        <f>IFERROR(__xludf.DUMMYFUNCTION("""COMPUTED_VALUE"""),25.0)</f>
        <v>25</v>
      </c>
      <c r="T170" s="4"/>
      <c r="U170" s="4" t="str">
        <f>IFERROR(__xludf.DUMMYFUNCTION("""COMPUTED_VALUE"""),"BAIK")</f>
        <v>BAIK</v>
      </c>
      <c r="V170" s="4" t="str">
        <f>IFERROR(__xludf.DUMMYFUNCTION("""COMPUTED_VALUE"""),"Tidak Ada")</f>
        <v>Tidak Ada</v>
      </c>
      <c r="W170" s="4"/>
      <c r="X170" s="4"/>
      <c r="Y170" s="4"/>
      <c r="Z170" s="4"/>
      <c r="AA170" s="4"/>
      <c r="AB170" s="4"/>
      <c r="AC170" s="4" t="str">
        <f>IFERROR(__xludf.DUMMYFUNCTION("""COMPUTED_VALUE"""),"INSPEKSI SUTM - T2_Images/69454474.FOTO.100009.jpg")</f>
        <v>INSPEKSI SUTM - T2_Images/69454474.FOTO.100009.jpg</v>
      </c>
      <c r="AD170" s="4"/>
      <c r="AE170" s="4"/>
      <c r="AF170" s="4" t="str">
        <f>IFERROR(__xludf.DUMMYFUNCTION("""COMPUTED_VALUE"""),"BELUM")</f>
        <v>BELUM</v>
      </c>
      <c r="AG170" s="6">
        <f>IFERROR(__xludf.DUMMYFUNCTION("""COMPUTED_VALUE"""),46042.0)</f>
        <v>46042</v>
      </c>
      <c r="AH170" s="4"/>
      <c r="AI170" s="4"/>
    </row>
    <row r="171" ht="15.75" customHeight="1">
      <c r="A171" s="4" t="str">
        <f>IFERROR(__xludf.DUMMYFUNCTION("""COMPUTED_VALUE"""),"150d7e8a")</f>
        <v>150d7e8a</v>
      </c>
      <c r="B171" s="5">
        <f>IFERROR(__xludf.DUMMYFUNCTION("""COMPUTED_VALUE"""),46042.917916666665)</f>
        <v>46042.91792</v>
      </c>
      <c r="C171" s="4" t="str">
        <f>IFERROR(__xludf.DUMMYFUNCTION("""COMPUTED_VALUE"""),"0.000000, 0.000000")</f>
        <v>0.000000, 0.000000</v>
      </c>
      <c r="D171" s="4" t="str">
        <f>IFERROR(__xludf.DUMMYFUNCTION("""COMPUTED_VALUE"""),"fuad nugi")</f>
        <v>fuad nugi</v>
      </c>
      <c r="E171" s="4" t="str">
        <f>IFERROR(__xludf.DUMMYFUNCTION("""COMPUTED_VALUE"""),"BANDUNG")</f>
        <v>BANDUNG</v>
      </c>
      <c r="F171" s="4" t="str">
        <f>IFERROR(__xludf.DUMMYFUNCTION("""COMPUTED_VALUE"""),"KOPO")</f>
        <v>KOPO</v>
      </c>
      <c r="G171" s="4" t="str">
        <f>IFERROR(__xludf.DUMMYFUNCTION("""COMPUTED_VALUE"""),"NEW CIBEUREUM")</f>
        <v>NEW CIBEUREUM</v>
      </c>
      <c r="H171" s="4" t="str">
        <f>IFERROR(__xludf.DUMMYFUNCTION("""COMPUTED_VALUE"""),"WTHO")</f>
        <v>WTHO</v>
      </c>
      <c r="I171" s="4" t="str">
        <f>IFERROR(__xludf.DUMMYFUNCTION("""COMPUTED_VALUE"""),"UDB - LBS TKN")</f>
        <v>UDB - LBS TKN</v>
      </c>
      <c r="J171" s="4" t="str">
        <f>IFERROR(__xludf.DUMMYFUNCTION("""COMPUTED_VALUE"""),"ZONA 2")</f>
        <v>ZONA 2</v>
      </c>
      <c r="K171" s="4" t="str">
        <f>IFERROR(__xludf.DUMMYFUNCTION("""COMPUTED_VALUE"""),"020")</f>
        <v>020</v>
      </c>
      <c r="L171" s="4" t="str">
        <f>IFERROR(__xludf.DUMMYFUNCTION("""COMPUTED_VALUE"""),"TM - 12B/H (KABEL Kabel Naik Dua Saluran)")</f>
        <v>TM - 12B/H (KABEL Kabel Naik Dua Saluran)</v>
      </c>
      <c r="M171" s="4" t="str">
        <f>IFERROR(__xludf.DUMMYFUNCTION("""COMPUTED_VALUE"""),"Tidak Ada")</f>
        <v>Tidak Ada</v>
      </c>
      <c r="N171" s="4"/>
      <c r="O171" s="4" t="str">
        <f>IFERROR(__xludf.DUMMYFUNCTION("""COMPUTED_VALUE"""),"PEMBANDING SEJENIS")</f>
        <v>PEMBANDING SEJENIS</v>
      </c>
      <c r="P171" s="4" t="str">
        <f>IFERROR(__xludf.DUMMYFUNCTION("""COMPUTED_VALUE"""),"TERMINASI")</f>
        <v>TERMINASI</v>
      </c>
      <c r="Q171" s="4">
        <f>IFERROR(__xludf.DUMMYFUNCTION("""COMPUTED_VALUE"""),24.0)</f>
        <v>24</v>
      </c>
      <c r="R171" s="4">
        <f>IFERROR(__xludf.DUMMYFUNCTION("""COMPUTED_VALUE"""),24.0)</f>
        <v>24</v>
      </c>
      <c r="S171" s="4">
        <f>IFERROR(__xludf.DUMMYFUNCTION("""COMPUTED_VALUE"""),24.0)</f>
        <v>24</v>
      </c>
      <c r="T171" s="4"/>
      <c r="U171" s="4" t="str">
        <f>IFERROR(__xludf.DUMMYFUNCTION("""COMPUTED_VALUE"""),"BAIK")</f>
        <v>BAIK</v>
      </c>
      <c r="V171" s="4" t="str">
        <f>IFERROR(__xludf.DUMMYFUNCTION("""COMPUTED_VALUE"""),"Tidak Ada")</f>
        <v>Tidak Ada</v>
      </c>
      <c r="W171" s="4"/>
      <c r="X171" s="4"/>
      <c r="Y171" s="4"/>
      <c r="Z171" s="4"/>
      <c r="AA171" s="4"/>
      <c r="AB171" s="4"/>
      <c r="AC171" s="4" t="str">
        <f>IFERROR(__xludf.DUMMYFUNCTION("""COMPUTED_VALUE"""),"INSPEKSI SUTM - T2_Images/150d7e8a.FOTO.100133.jpg")</f>
        <v>INSPEKSI SUTM - T2_Images/150d7e8a.FOTO.100133.jpg</v>
      </c>
      <c r="AD171" s="4"/>
      <c r="AE171" s="4"/>
      <c r="AF171" s="4" t="str">
        <f>IFERROR(__xludf.DUMMYFUNCTION("""COMPUTED_VALUE"""),"BELUM")</f>
        <v>BELUM</v>
      </c>
      <c r="AG171" s="6">
        <f>IFERROR(__xludf.DUMMYFUNCTION("""COMPUTED_VALUE"""),46042.0)</f>
        <v>46042</v>
      </c>
      <c r="AH171" s="4"/>
      <c r="AI171" s="4"/>
    </row>
    <row r="172" ht="15.75" customHeight="1">
      <c r="A172" s="4" t="str">
        <f>IFERROR(__xludf.DUMMYFUNCTION("""COMPUTED_VALUE"""),"90376093")</f>
        <v>90376093</v>
      </c>
      <c r="B172" s="5">
        <f>IFERROR(__xludf.DUMMYFUNCTION("""COMPUTED_VALUE"""),46042.91855324074)</f>
        <v>46042.91855</v>
      </c>
      <c r="C172" s="4" t="str">
        <f>IFERROR(__xludf.DUMMYFUNCTION("""COMPUTED_VALUE"""),"0.000000, 0.000000")</f>
        <v>0.000000, 0.000000</v>
      </c>
      <c r="D172" s="4" t="str">
        <f>IFERROR(__xludf.DUMMYFUNCTION("""COMPUTED_VALUE"""),"fuad nugi")</f>
        <v>fuad nugi</v>
      </c>
      <c r="E172" s="4" t="str">
        <f>IFERROR(__xludf.DUMMYFUNCTION("""COMPUTED_VALUE"""),"BANDUNG")</f>
        <v>BANDUNG</v>
      </c>
      <c r="F172" s="4" t="str">
        <f>IFERROR(__xludf.DUMMYFUNCTION("""COMPUTED_VALUE"""),"KOPO")</f>
        <v>KOPO</v>
      </c>
      <c r="G172" s="4" t="str">
        <f>IFERROR(__xludf.DUMMYFUNCTION("""COMPUTED_VALUE"""),"NEW CIBEUREUM")</f>
        <v>NEW CIBEUREUM</v>
      </c>
      <c r="H172" s="4" t="str">
        <f>IFERROR(__xludf.DUMMYFUNCTION("""COMPUTED_VALUE"""),"WTHO")</f>
        <v>WTHO</v>
      </c>
      <c r="I172" s="4" t="str">
        <f>IFERROR(__xludf.DUMMYFUNCTION("""COMPUTED_VALUE"""),"UDB - LBS TKN")</f>
        <v>UDB - LBS TKN</v>
      </c>
      <c r="J172" s="4" t="str">
        <f>IFERROR(__xludf.DUMMYFUNCTION("""COMPUTED_VALUE"""),"ZONA 2")</f>
        <v>ZONA 2</v>
      </c>
      <c r="K172" s="4" t="str">
        <f>IFERROR(__xludf.DUMMYFUNCTION("""COMPUTED_VALUE"""),"020R01")</f>
        <v>020R01</v>
      </c>
      <c r="L172" s="4" t="str">
        <f>IFERROR(__xludf.DUMMYFUNCTION("""COMPUTED_VALUE"""),"TM - 1B/H (Tumpu)")</f>
        <v>TM - 1B/H (Tumpu)</v>
      </c>
      <c r="M172" s="4" t="str">
        <f>IFERROR(__xludf.DUMMYFUNCTION("""COMPUTED_VALUE"""),"Tidak Ada")</f>
        <v>Tidak Ada</v>
      </c>
      <c r="N172" s="4"/>
      <c r="O172" s="4" t="str">
        <f>IFERROR(__xludf.DUMMYFUNCTION("""COMPUTED_VALUE"""),"PEMBANDING SEJENIS")</f>
        <v>PEMBANDING SEJENIS</v>
      </c>
      <c r="P172" s="4" t="str">
        <f>IFERROR(__xludf.DUMMYFUNCTION("""COMPUTED_VALUE"""),"ARRESTER")</f>
        <v>ARRESTER</v>
      </c>
      <c r="Q172" s="4">
        <f>IFERROR(__xludf.DUMMYFUNCTION("""COMPUTED_VALUE"""),24.0)</f>
        <v>24</v>
      </c>
      <c r="R172" s="4">
        <f>IFERROR(__xludf.DUMMYFUNCTION("""COMPUTED_VALUE"""),24.0)</f>
        <v>24</v>
      </c>
      <c r="S172" s="4">
        <f>IFERROR(__xludf.DUMMYFUNCTION("""COMPUTED_VALUE"""),24.0)</f>
        <v>24</v>
      </c>
      <c r="T172" s="4"/>
      <c r="U172" s="4" t="str">
        <f>IFERROR(__xludf.DUMMYFUNCTION("""COMPUTED_VALUE"""),"BAIK")</f>
        <v>BAIK</v>
      </c>
      <c r="V172" s="4" t="str">
        <f>IFERROR(__xludf.DUMMYFUNCTION("""COMPUTED_VALUE"""),"Tidak Ada")</f>
        <v>Tidak Ada</v>
      </c>
      <c r="W172" s="4"/>
      <c r="X172" s="4"/>
      <c r="Y172" s="4"/>
      <c r="Z172" s="4"/>
      <c r="AA172" s="4"/>
      <c r="AB172" s="4"/>
      <c r="AC172" s="4" t="str">
        <f>IFERROR(__xludf.DUMMYFUNCTION("""COMPUTED_VALUE"""),"INSPEKSI SUTM - T2_Images/90376093.FOTO.100214.jpg")</f>
        <v>INSPEKSI SUTM - T2_Images/90376093.FOTO.100214.jpg</v>
      </c>
      <c r="AD172" s="4"/>
      <c r="AE172" s="4"/>
      <c r="AF172" s="4" t="str">
        <f>IFERROR(__xludf.DUMMYFUNCTION("""COMPUTED_VALUE"""),"BELUM")</f>
        <v>BELUM</v>
      </c>
      <c r="AG172" s="6">
        <f>IFERROR(__xludf.DUMMYFUNCTION("""COMPUTED_VALUE"""),46042.0)</f>
        <v>46042</v>
      </c>
      <c r="AH172" s="4"/>
      <c r="AI172" s="4"/>
    </row>
    <row r="173" ht="15.75" customHeight="1">
      <c r="A173" s="4" t="str">
        <f>IFERROR(__xludf.DUMMYFUNCTION("""COMPUTED_VALUE"""),"80374148")</f>
        <v>80374148</v>
      </c>
      <c r="B173" s="5">
        <f>IFERROR(__xludf.DUMMYFUNCTION("""COMPUTED_VALUE"""),46042.919027777774)</f>
        <v>46042.91903</v>
      </c>
      <c r="C173" s="4" t="str">
        <f>IFERROR(__xludf.DUMMYFUNCTION("""COMPUTED_VALUE"""),"0.000000, 0.000000")</f>
        <v>0.000000, 0.000000</v>
      </c>
      <c r="D173" s="4" t="str">
        <f>IFERROR(__xludf.DUMMYFUNCTION("""COMPUTED_VALUE"""),"fuad nugi")</f>
        <v>fuad nugi</v>
      </c>
      <c r="E173" s="4" t="str">
        <f>IFERROR(__xludf.DUMMYFUNCTION("""COMPUTED_VALUE"""),"BANDUNG")</f>
        <v>BANDUNG</v>
      </c>
      <c r="F173" s="4" t="str">
        <f>IFERROR(__xludf.DUMMYFUNCTION("""COMPUTED_VALUE"""),"KOPO")</f>
        <v>KOPO</v>
      </c>
      <c r="G173" s="4" t="str">
        <f>IFERROR(__xludf.DUMMYFUNCTION("""COMPUTED_VALUE"""),"NEW CIBEUREUM")</f>
        <v>NEW CIBEUREUM</v>
      </c>
      <c r="H173" s="4" t="str">
        <f>IFERROR(__xludf.DUMMYFUNCTION("""COMPUTED_VALUE"""),"WTHO")</f>
        <v>WTHO</v>
      </c>
      <c r="I173" s="4" t="str">
        <f>IFERROR(__xludf.DUMMYFUNCTION("""COMPUTED_VALUE"""),"UDB - LBS TKN")</f>
        <v>UDB - LBS TKN</v>
      </c>
      <c r="J173" s="4" t="str">
        <f>IFERROR(__xludf.DUMMYFUNCTION("""COMPUTED_VALUE"""),"ZONA 2")</f>
        <v>ZONA 2</v>
      </c>
      <c r="K173" s="4" t="str">
        <f>IFERROR(__xludf.DUMMYFUNCTION("""COMPUTED_VALUE"""),"020R03")</f>
        <v>020R03</v>
      </c>
      <c r="L173" s="4" t="str">
        <f>IFERROR(__xludf.DUMMYFUNCTION("""COMPUTED_VALUE"""),"TM - 8B/H (Percabangan)")</f>
        <v>TM - 8B/H (Percabangan)</v>
      </c>
      <c r="M173" s="4" t="str">
        <f>IFERROR(__xludf.DUMMYFUNCTION("""COMPUTED_VALUE"""),"Tidak Ada")</f>
        <v>Tidak Ada</v>
      </c>
      <c r="N173" s="4"/>
      <c r="O173" s="4" t="str">
        <f>IFERROR(__xludf.DUMMYFUNCTION("""COMPUTED_VALUE"""),"PEMBANDING SEJENIS")</f>
        <v>PEMBANDING SEJENIS</v>
      </c>
      <c r="P173" s="4" t="str">
        <f>IFERROR(__xludf.DUMMYFUNCTION("""COMPUTED_VALUE"""),"KONEKTOR/JUMPER")</f>
        <v>KONEKTOR/JUMPER</v>
      </c>
      <c r="Q173" s="4">
        <f>IFERROR(__xludf.DUMMYFUNCTION("""COMPUTED_VALUE"""),23.0)</f>
        <v>23</v>
      </c>
      <c r="R173" s="4">
        <f>IFERROR(__xludf.DUMMYFUNCTION("""COMPUTED_VALUE"""),23.0)</f>
        <v>23</v>
      </c>
      <c r="S173" s="4">
        <f>IFERROR(__xludf.DUMMYFUNCTION("""COMPUTED_VALUE"""),22.0)</f>
        <v>22</v>
      </c>
      <c r="T173" s="4"/>
      <c r="U173" s="4" t="str">
        <f>IFERROR(__xludf.DUMMYFUNCTION("""COMPUTED_VALUE"""),"BAIK")</f>
        <v>BAIK</v>
      </c>
      <c r="V173" s="4" t="str">
        <f>IFERROR(__xludf.DUMMYFUNCTION("""COMPUTED_VALUE"""),"Tidak Ada")</f>
        <v>Tidak Ada</v>
      </c>
      <c r="W173" s="4"/>
      <c r="X173" s="4"/>
      <c r="Y173" s="4"/>
      <c r="Z173" s="4"/>
      <c r="AA173" s="4"/>
      <c r="AB173" s="4"/>
      <c r="AC173" s="4" t="str">
        <f>IFERROR(__xludf.DUMMYFUNCTION("""COMPUTED_VALUE"""),"INSPEKSI SUTM - T2_Images/80374148.FOTO.100255.jpg")</f>
        <v>INSPEKSI SUTM - T2_Images/80374148.FOTO.100255.jpg</v>
      </c>
      <c r="AD173" s="4"/>
      <c r="AE173" s="4"/>
      <c r="AF173" s="4" t="str">
        <f>IFERROR(__xludf.DUMMYFUNCTION("""COMPUTED_VALUE"""),"BELUM")</f>
        <v>BELUM</v>
      </c>
      <c r="AG173" s="6">
        <f>IFERROR(__xludf.DUMMYFUNCTION("""COMPUTED_VALUE"""),46042.0)</f>
        <v>46042</v>
      </c>
      <c r="AH173" s="4"/>
      <c r="AI173" s="4"/>
    </row>
    <row r="174" ht="15.75" customHeight="1">
      <c r="A174" s="4" t="str">
        <f>IFERROR(__xludf.DUMMYFUNCTION("""COMPUTED_VALUE"""),"3f454b16")</f>
        <v>3f454b16</v>
      </c>
      <c r="B174" s="5">
        <f>IFERROR(__xludf.DUMMYFUNCTION("""COMPUTED_VALUE"""),46042.91956018518)</f>
        <v>46042.91956</v>
      </c>
      <c r="C174" s="4" t="str">
        <f>IFERROR(__xludf.DUMMYFUNCTION("""COMPUTED_VALUE"""),"0.000000, 0.000000")</f>
        <v>0.000000, 0.000000</v>
      </c>
      <c r="D174" s="4" t="str">
        <f>IFERROR(__xludf.DUMMYFUNCTION("""COMPUTED_VALUE"""),"fuad nugi")</f>
        <v>fuad nugi</v>
      </c>
      <c r="E174" s="4" t="str">
        <f>IFERROR(__xludf.DUMMYFUNCTION("""COMPUTED_VALUE"""),"BANDUNG")</f>
        <v>BANDUNG</v>
      </c>
      <c r="F174" s="4" t="str">
        <f>IFERROR(__xludf.DUMMYFUNCTION("""COMPUTED_VALUE"""),"KOPO")</f>
        <v>KOPO</v>
      </c>
      <c r="G174" s="4" t="str">
        <f>IFERROR(__xludf.DUMMYFUNCTION("""COMPUTED_VALUE"""),"NEW CIBEUREUM")</f>
        <v>NEW CIBEUREUM</v>
      </c>
      <c r="H174" s="4" t="str">
        <f>IFERROR(__xludf.DUMMYFUNCTION("""COMPUTED_VALUE"""),"WTHO")</f>
        <v>WTHO</v>
      </c>
      <c r="I174" s="4" t="str">
        <f>IFERROR(__xludf.DUMMYFUNCTION("""COMPUTED_VALUE"""),"UDB - LBS TKN")</f>
        <v>UDB - LBS TKN</v>
      </c>
      <c r="J174" s="4" t="str">
        <f>IFERROR(__xludf.DUMMYFUNCTION("""COMPUTED_VALUE"""),"ZONA 2")</f>
        <v>ZONA 2</v>
      </c>
      <c r="K174" s="4" t="str">
        <f>IFERROR(__xludf.DUMMYFUNCTION("""COMPUTED_VALUE"""),"020R10")</f>
        <v>020R10</v>
      </c>
      <c r="L174" s="4" t="str">
        <f>IFERROR(__xludf.DUMMYFUNCTION("""COMPUTED_VALUE"""),"TM - 1B/H (Tumpu)")</f>
        <v>TM - 1B/H (Tumpu)</v>
      </c>
      <c r="M174" s="4" t="str">
        <f>IFERROR(__xludf.DUMMYFUNCTION("""COMPUTED_VALUE"""),"Tidak Ada")</f>
        <v>Tidak Ada</v>
      </c>
      <c r="N174" s="4"/>
      <c r="O174" s="4" t="str">
        <f>IFERROR(__xludf.DUMMYFUNCTION("""COMPUTED_VALUE"""),"PEMBANDING SEJENIS")</f>
        <v>PEMBANDING SEJENIS</v>
      </c>
      <c r="P174" s="4" t="str">
        <f>IFERROR(__xludf.DUMMYFUNCTION("""COMPUTED_VALUE"""),"ARRESTER")</f>
        <v>ARRESTER</v>
      </c>
      <c r="Q174" s="4">
        <f>IFERROR(__xludf.DUMMYFUNCTION("""COMPUTED_VALUE"""),23.0)</f>
        <v>23</v>
      </c>
      <c r="R174" s="4">
        <f>IFERROR(__xludf.DUMMYFUNCTION("""COMPUTED_VALUE"""),23.0)</f>
        <v>23</v>
      </c>
      <c r="S174" s="4">
        <f>IFERROR(__xludf.DUMMYFUNCTION("""COMPUTED_VALUE"""),23.0)</f>
        <v>23</v>
      </c>
      <c r="T174" s="4"/>
      <c r="U174" s="4" t="str">
        <f>IFERROR(__xludf.DUMMYFUNCTION("""COMPUTED_VALUE"""),"BAIK")</f>
        <v>BAIK</v>
      </c>
      <c r="V174" s="4" t="str">
        <f>IFERROR(__xludf.DUMMYFUNCTION("""COMPUTED_VALUE"""),"Tidak Ada")</f>
        <v>Tidak Ada</v>
      </c>
      <c r="W174" s="4"/>
      <c r="X174" s="4"/>
      <c r="Y174" s="4"/>
      <c r="Z174" s="4"/>
      <c r="AA174" s="4"/>
      <c r="AB174" s="4"/>
      <c r="AC174" s="4" t="str">
        <f>IFERROR(__xludf.DUMMYFUNCTION("""COMPUTED_VALUE"""),"INSPEKSI SUTM - T2_Images/3f454b16.FOTO.100352.jpg")</f>
        <v>INSPEKSI SUTM - T2_Images/3f454b16.FOTO.100352.jpg</v>
      </c>
      <c r="AD174" s="4"/>
      <c r="AE174" s="4"/>
      <c r="AF174" s="4" t="str">
        <f>IFERROR(__xludf.DUMMYFUNCTION("""COMPUTED_VALUE"""),"BELUM")</f>
        <v>BELUM</v>
      </c>
      <c r="AG174" s="6">
        <f>IFERROR(__xludf.DUMMYFUNCTION("""COMPUTED_VALUE"""),46042.0)</f>
        <v>46042</v>
      </c>
      <c r="AH174" s="4"/>
      <c r="AI174" s="4"/>
    </row>
    <row r="175" ht="15.75" customHeight="1">
      <c r="A175" s="4" t="str">
        <f>IFERROR(__xludf.DUMMYFUNCTION("""COMPUTED_VALUE"""),"d9832dab")</f>
        <v>d9832dab</v>
      </c>
      <c r="B175" s="5">
        <f>IFERROR(__xludf.DUMMYFUNCTION("""COMPUTED_VALUE"""),46042.92015046296)</f>
        <v>46042.92015</v>
      </c>
      <c r="C175" s="4" t="str">
        <f>IFERROR(__xludf.DUMMYFUNCTION("""COMPUTED_VALUE"""),"0.000000, 0.000000")</f>
        <v>0.000000, 0.000000</v>
      </c>
      <c r="D175" s="4" t="str">
        <f>IFERROR(__xludf.DUMMYFUNCTION("""COMPUTED_VALUE"""),"fuad nugi")</f>
        <v>fuad nugi</v>
      </c>
      <c r="E175" s="4" t="str">
        <f>IFERROR(__xludf.DUMMYFUNCTION("""COMPUTED_VALUE"""),"BANDUNG")</f>
        <v>BANDUNG</v>
      </c>
      <c r="F175" s="4" t="str">
        <f>IFERROR(__xludf.DUMMYFUNCTION("""COMPUTED_VALUE"""),"KOPO")</f>
        <v>KOPO</v>
      </c>
      <c r="G175" s="4" t="str">
        <f>IFERROR(__xludf.DUMMYFUNCTION("""COMPUTED_VALUE"""),"NEW CIBEUREUM")</f>
        <v>NEW CIBEUREUM</v>
      </c>
      <c r="H175" s="4" t="str">
        <f>IFERROR(__xludf.DUMMYFUNCTION("""COMPUTED_VALUE"""),"WTHO")</f>
        <v>WTHO</v>
      </c>
      <c r="I175" s="4" t="str">
        <f>IFERROR(__xludf.DUMMYFUNCTION("""COMPUTED_VALUE"""),"UDB - LBS TKN")</f>
        <v>UDB - LBS TKN</v>
      </c>
      <c r="J175" s="4" t="str">
        <f>IFERROR(__xludf.DUMMYFUNCTION("""COMPUTED_VALUE"""),"ZONA 2")</f>
        <v>ZONA 2</v>
      </c>
      <c r="K175" s="4" t="str">
        <f>IFERROR(__xludf.DUMMYFUNCTION("""COMPUTED_VALUE"""),"020R15")</f>
        <v>020R15</v>
      </c>
      <c r="L175" s="4" t="str">
        <f>IFERROR(__xludf.DUMMYFUNCTION("""COMPUTED_VALUE"""),"TM - 8B/H (Percabangan)")</f>
        <v>TM - 8B/H (Percabangan)</v>
      </c>
      <c r="M175" s="4" t="str">
        <f>IFERROR(__xludf.DUMMYFUNCTION("""COMPUTED_VALUE"""),"Tidak Ada")</f>
        <v>Tidak Ada</v>
      </c>
      <c r="N175" s="4"/>
      <c r="O175" s="4" t="str">
        <f>IFERROR(__xludf.DUMMYFUNCTION("""COMPUTED_VALUE"""),"PEMBANDING SEJENIS")</f>
        <v>PEMBANDING SEJENIS</v>
      </c>
      <c r="P175" s="4" t="str">
        <f>IFERROR(__xludf.DUMMYFUNCTION("""COMPUTED_VALUE"""),"KONEKTOR/JUMPER")</f>
        <v>KONEKTOR/JUMPER</v>
      </c>
      <c r="Q175" s="4">
        <f>IFERROR(__xludf.DUMMYFUNCTION("""COMPUTED_VALUE"""),23.0)</f>
        <v>23</v>
      </c>
      <c r="R175" s="4">
        <f>IFERROR(__xludf.DUMMYFUNCTION("""COMPUTED_VALUE"""),22.0)</f>
        <v>22</v>
      </c>
      <c r="S175" s="4">
        <f>IFERROR(__xludf.DUMMYFUNCTION("""COMPUTED_VALUE"""),22.0)</f>
        <v>22</v>
      </c>
      <c r="T175" s="4"/>
      <c r="U175" s="4" t="str">
        <f>IFERROR(__xludf.DUMMYFUNCTION("""COMPUTED_VALUE"""),"BAIK")</f>
        <v>BAIK</v>
      </c>
      <c r="V175" s="4" t="str">
        <f>IFERROR(__xludf.DUMMYFUNCTION("""COMPUTED_VALUE"""),"Tidak Ada")</f>
        <v>Tidak Ada</v>
      </c>
      <c r="W175" s="4"/>
      <c r="X175" s="4"/>
      <c r="Y175" s="4"/>
      <c r="Z175" s="4"/>
      <c r="AA175" s="4"/>
      <c r="AB175" s="4"/>
      <c r="AC175" s="4" t="str">
        <f>IFERROR(__xludf.DUMMYFUNCTION("""COMPUTED_VALUE"""),"INSPEKSI SUTM - T2_Images/d9832dab.FOTO.100432.jpg")</f>
        <v>INSPEKSI SUTM - T2_Images/d9832dab.FOTO.100432.jpg</v>
      </c>
      <c r="AD175" s="4"/>
      <c r="AE175" s="4"/>
      <c r="AF175" s="4" t="str">
        <f>IFERROR(__xludf.DUMMYFUNCTION("""COMPUTED_VALUE"""),"BELUM")</f>
        <v>BELUM</v>
      </c>
      <c r="AG175" s="6">
        <f>IFERROR(__xludf.DUMMYFUNCTION("""COMPUTED_VALUE"""),46042.0)</f>
        <v>46042</v>
      </c>
      <c r="AH175" s="4"/>
      <c r="AI175" s="4"/>
    </row>
    <row r="176" ht="15.75" customHeight="1">
      <c r="A176" s="4" t="str">
        <f>IFERROR(__xludf.DUMMYFUNCTION("""COMPUTED_VALUE"""),"cb95f409")</f>
        <v>cb95f409</v>
      </c>
      <c r="B176" s="5">
        <f>IFERROR(__xludf.DUMMYFUNCTION("""COMPUTED_VALUE"""),46042.931122685186)</f>
        <v>46042.93112</v>
      </c>
      <c r="C176" s="4" t="str">
        <f>IFERROR(__xludf.DUMMYFUNCTION("""COMPUTED_VALUE"""),"0.000000, 0.000000")</f>
        <v>0.000000, 0.000000</v>
      </c>
      <c r="D176" s="4" t="str">
        <f>IFERROR(__xludf.DUMMYFUNCTION("""COMPUTED_VALUE"""),"fuad nufi")</f>
        <v>fuad nufi</v>
      </c>
      <c r="E176" s="4" t="str">
        <f>IFERROR(__xludf.DUMMYFUNCTION("""COMPUTED_VALUE"""),"BANDUNG")</f>
        <v>BANDUNG</v>
      </c>
      <c r="F176" s="4" t="str">
        <f>IFERROR(__xludf.DUMMYFUNCTION("""COMPUTED_VALUE"""),"KOPO")</f>
        <v>KOPO</v>
      </c>
      <c r="G176" s="4" t="str">
        <f>IFERROR(__xludf.DUMMYFUNCTION("""COMPUTED_VALUE"""),"NEW CIBEUREUM")</f>
        <v>NEW CIBEUREUM</v>
      </c>
      <c r="H176" s="4" t="str">
        <f>IFERROR(__xludf.DUMMYFUNCTION("""COMPUTED_VALUE"""),"WTHO")</f>
        <v>WTHO</v>
      </c>
      <c r="I176" s="4" t="str">
        <f>IFERROR(__xludf.DUMMYFUNCTION("""COMPUTED_VALUE"""),"FCO RHUB - UJUNG")</f>
        <v>FCO RHUB - UJUNG</v>
      </c>
      <c r="J176" s="4" t="str">
        <f>IFERROR(__xludf.DUMMYFUNCTION("""COMPUTED_VALUE"""),"ZONA 2")</f>
        <v>ZONA 2</v>
      </c>
      <c r="K176" s="4" t="str">
        <f>IFERROR(__xludf.DUMMYFUNCTION("""COMPUTED_VALUE"""),"010R02")</f>
        <v>010R02</v>
      </c>
      <c r="L176" s="4" t="str">
        <f>IFERROR(__xludf.DUMMYFUNCTION("""COMPUTED_VALUE"""),"TM - 8B/H (Percabangan)")</f>
        <v>TM - 8B/H (Percabangan)</v>
      </c>
      <c r="M176" s="4" t="str">
        <f>IFERROR(__xludf.DUMMYFUNCTION("""COMPUTED_VALUE"""),"Tidak Ada")</f>
        <v>Tidak Ada</v>
      </c>
      <c r="N176" s="4"/>
      <c r="O176" s="4" t="str">
        <f>IFERROR(__xludf.DUMMYFUNCTION("""COMPUTED_VALUE"""),"PEMBANDING SEJENIS")</f>
        <v>PEMBANDING SEJENIS</v>
      </c>
      <c r="P176" s="4" t="str">
        <f>IFERROR(__xludf.DUMMYFUNCTION("""COMPUTED_VALUE"""),"KONEKTOR/JUMPER")</f>
        <v>KONEKTOR/JUMPER</v>
      </c>
      <c r="Q176" s="4">
        <f>IFERROR(__xludf.DUMMYFUNCTION("""COMPUTED_VALUE"""),26.0)</f>
        <v>26</v>
      </c>
      <c r="R176" s="4">
        <f>IFERROR(__xludf.DUMMYFUNCTION("""COMPUTED_VALUE"""),26.0)</f>
        <v>26</v>
      </c>
      <c r="S176" s="4">
        <f>IFERROR(__xludf.DUMMYFUNCTION("""COMPUTED_VALUE"""),26.0)</f>
        <v>26</v>
      </c>
      <c r="T176" s="4"/>
      <c r="U176" s="4" t="str">
        <f>IFERROR(__xludf.DUMMYFUNCTION("""COMPUTED_VALUE"""),"BAIK")</f>
        <v>BAIK</v>
      </c>
      <c r="V176" s="4" t="str">
        <f>IFERROR(__xludf.DUMMYFUNCTION("""COMPUTED_VALUE"""),"Tidak Ada")</f>
        <v>Tidak Ada</v>
      </c>
      <c r="W176" s="4"/>
      <c r="X176" s="4"/>
      <c r="Y176" s="4"/>
      <c r="Z176" s="4"/>
      <c r="AA176" s="4"/>
      <c r="AB176" s="4"/>
      <c r="AC176" s="4" t="str">
        <f>IFERROR(__xludf.DUMMYFUNCTION("""COMPUTED_VALUE"""),"INSPEKSI SUTM - T2_Images/cb95f409.FOTO.102041.jpg")</f>
        <v>INSPEKSI SUTM - T2_Images/cb95f409.FOTO.102041.jpg</v>
      </c>
      <c r="AD176" s="4"/>
      <c r="AE176" s="4"/>
      <c r="AF176" s="4" t="str">
        <f>IFERROR(__xludf.DUMMYFUNCTION("""COMPUTED_VALUE"""),"BELUM")</f>
        <v>BELUM</v>
      </c>
      <c r="AG176" s="6">
        <f>IFERROR(__xludf.DUMMYFUNCTION("""COMPUTED_VALUE"""),46042.0)</f>
        <v>46042</v>
      </c>
      <c r="AH176" s="4"/>
      <c r="AI176" s="4"/>
    </row>
    <row r="177" ht="15.75" customHeight="1">
      <c r="A177" s="4" t="str">
        <f>IFERROR(__xludf.DUMMYFUNCTION("""COMPUTED_VALUE"""),"e183f034")</f>
        <v>e183f034</v>
      </c>
      <c r="B177" s="5">
        <f>IFERROR(__xludf.DUMMYFUNCTION("""COMPUTED_VALUE"""),46042.93188657407)</f>
        <v>46042.93189</v>
      </c>
      <c r="C177" s="4" t="str">
        <f>IFERROR(__xludf.DUMMYFUNCTION("""COMPUTED_VALUE"""),"0.000000, 0.000000")</f>
        <v>0.000000, 0.000000</v>
      </c>
      <c r="D177" s="4" t="str">
        <f>IFERROR(__xludf.DUMMYFUNCTION("""COMPUTED_VALUE"""),"fuad nugi")</f>
        <v>fuad nugi</v>
      </c>
      <c r="E177" s="4" t="str">
        <f>IFERROR(__xludf.DUMMYFUNCTION("""COMPUTED_VALUE"""),"BANDUNG")</f>
        <v>BANDUNG</v>
      </c>
      <c r="F177" s="4" t="str">
        <f>IFERROR(__xludf.DUMMYFUNCTION("""COMPUTED_VALUE"""),"KOPO")</f>
        <v>KOPO</v>
      </c>
      <c r="G177" s="4" t="str">
        <f>IFERROR(__xludf.DUMMYFUNCTION("""COMPUTED_VALUE"""),"NEW CIBEUREUM")</f>
        <v>NEW CIBEUREUM</v>
      </c>
      <c r="H177" s="4" t="str">
        <f>IFERROR(__xludf.DUMMYFUNCTION("""COMPUTED_VALUE"""),"WTHO")</f>
        <v>WTHO</v>
      </c>
      <c r="I177" s="4" t="str">
        <f>IFERROR(__xludf.DUMMYFUNCTION("""COMPUTED_VALUE"""),"FCO RHUB - UJUNG")</f>
        <v>FCO RHUB - UJUNG</v>
      </c>
      <c r="J177" s="4" t="str">
        <f>IFERROR(__xludf.DUMMYFUNCTION("""COMPUTED_VALUE"""),"ZONA 2")</f>
        <v>ZONA 2</v>
      </c>
      <c r="K177" s="4" t="str">
        <f>IFERROR(__xludf.DUMMYFUNCTION("""COMPUTED_VALUE"""),"010R03")</f>
        <v>010R03</v>
      </c>
      <c r="L177" s="4" t="str">
        <f>IFERROR(__xludf.DUMMYFUNCTION("""COMPUTED_VALUE"""),"TM - 8B/H (Percabangan)")</f>
        <v>TM - 8B/H (Percabangan)</v>
      </c>
      <c r="M177" s="4" t="str">
        <f>IFERROR(__xludf.DUMMYFUNCTION("""COMPUTED_VALUE"""),"Tidak Ada")</f>
        <v>Tidak Ada</v>
      </c>
      <c r="N177" s="4"/>
      <c r="O177" s="4" t="str">
        <f>IFERROR(__xludf.DUMMYFUNCTION("""COMPUTED_VALUE"""),"PEMBANDING SEJENIS")</f>
        <v>PEMBANDING SEJENIS</v>
      </c>
      <c r="P177" s="4" t="str">
        <f>IFERROR(__xludf.DUMMYFUNCTION("""COMPUTED_VALUE"""),"KONEKTOR/JUMPER")</f>
        <v>KONEKTOR/JUMPER</v>
      </c>
      <c r="Q177" s="4">
        <f>IFERROR(__xludf.DUMMYFUNCTION("""COMPUTED_VALUE"""),25.0)</f>
        <v>25</v>
      </c>
      <c r="R177" s="4">
        <f>IFERROR(__xludf.DUMMYFUNCTION("""COMPUTED_VALUE"""),26.0)</f>
        <v>26</v>
      </c>
      <c r="S177" s="4">
        <f>IFERROR(__xludf.DUMMYFUNCTION("""COMPUTED_VALUE"""),26.0)</f>
        <v>26</v>
      </c>
      <c r="T177" s="4"/>
      <c r="U177" s="4" t="str">
        <f>IFERROR(__xludf.DUMMYFUNCTION("""COMPUTED_VALUE"""),"BAIK")</f>
        <v>BAIK</v>
      </c>
      <c r="V177" s="4" t="str">
        <f>IFERROR(__xludf.DUMMYFUNCTION("""COMPUTED_VALUE"""),"Tidak Ada")</f>
        <v>Tidak Ada</v>
      </c>
      <c r="W177" s="4"/>
      <c r="X177" s="4"/>
      <c r="Y177" s="4"/>
      <c r="Z177" s="4"/>
      <c r="AA177" s="4"/>
      <c r="AB177" s="4"/>
      <c r="AC177" s="4" t="str">
        <f>IFERROR(__xludf.DUMMYFUNCTION("""COMPUTED_VALUE"""),"INSPEKSI SUTM - T2_Images/e183f034.FOTO.102152.jpg")</f>
        <v>INSPEKSI SUTM - T2_Images/e183f034.FOTO.102152.jpg</v>
      </c>
      <c r="AD177" s="4"/>
      <c r="AE177" s="4"/>
      <c r="AF177" s="4" t="str">
        <f>IFERROR(__xludf.DUMMYFUNCTION("""COMPUTED_VALUE"""),"BELUM")</f>
        <v>BELUM</v>
      </c>
      <c r="AG177" s="6">
        <f>IFERROR(__xludf.DUMMYFUNCTION("""COMPUTED_VALUE"""),46042.0)</f>
        <v>46042</v>
      </c>
      <c r="AH177" s="4"/>
      <c r="AI177" s="4"/>
    </row>
    <row r="178" ht="15.75" customHeight="1">
      <c r="A178" s="4" t="str">
        <f>IFERROR(__xludf.DUMMYFUNCTION("""COMPUTED_VALUE"""),"91d4cdf9")</f>
        <v>91d4cdf9</v>
      </c>
      <c r="B178" s="5">
        <f>IFERROR(__xludf.DUMMYFUNCTION("""COMPUTED_VALUE"""),46042.932662037034)</f>
        <v>46042.93266</v>
      </c>
      <c r="C178" s="4" t="str">
        <f>IFERROR(__xludf.DUMMYFUNCTION("""COMPUTED_VALUE"""),"0.000000, 0.000000")</f>
        <v>0.000000, 0.000000</v>
      </c>
      <c r="D178" s="4" t="str">
        <f>IFERROR(__xludf.DUMMYFUNCTION("""COMPUTED_VALUE"""),"fuad nugi")</f>
        <v>fuad nugi</v>
      </c>
      <c r="E178" s="4" t="str">
        <f>IFERROR(__xludf.DUMMYFUNCTION("""COMPUTED_VALUE"""),"BANDUNG")</f>
        <v>BANDUNG</v>
      </c>
      <c r="F178" s="4" t="str">
        <f>IFERROR(__xludf.DUMMYFUNCTION("""COMPUTED_VALUE"""),"KOPO")</f>
        <v>KOPO</v>
      </c>
      <c r="G178" s="4" t="str">
        <f>IFERROR(__xludf.DUMMYFUNCTION("""COMPUTED_VALUE"""),"NEW CIBEUREUM")</f>
        <v>NEW CIBEUREUM</v>
      </c>
      <c r="H178" s="4" t="str">
        <f>IFERROR(__xludf.DUMMYFUNCTION("""COMPUTED_VALUE"""),"WTHO")</f>
        <v>WTHO</v>
      </c>
      <c r="I178" s="4" t="str">
        <f>IFERROR(__xludf.DUMMYFUNCTION("""COMPUTED_VALUE"""),"FCO RHUB - UJUNG")</f>
        <v>FCO RHUB - UJUNG</v>
      </c>
      <c r="J178" s="4" t="str">
        <f>IFERROR(__xludf.DUMMYFUNCTION("""COMPUTED_VALUE"""),"ZONA 2")</f>
        <v>ZONA 2</v>
      </c>
      <c r="K178" s="4" t="str">
        <f>IFERROR(__xludf.DUMMYFUNCTION("""COMPUTED_VALUE"""),"010R04")</f>
        <v>010R04</v>
      </c>
      <c r="L178" s="4" t="str">
        <f>IFERROR(__xludf.DUMMYFUNCTION("""COMPUTED_VALUE"""),"TM - 7B/H (Afspan 90 Derajat)")</f>
        <v>TM - 7B/H (Afspan 90 Derajat)</v>
      </c>
      <c r="M178" s="4" t="str">
        <f>IFERROR(__xludf.DUMMYFUNCTION("""COMPUTED_VALUE"""),"Tidak Ada")</f>
        <v>Tidak Ada</v>
      </c>
      <c r="N178" s="4"/>
      <c r="O178" s="4" t="str">
        <f>IFERROR(__xludf.DUMMYFUNCTION("""COMPUTED_VALUE"""),"PEMBANDING SEJENIS")</f>
        <v>PEMBANDING SEJENIS</v>
      </c>
      <c r="P178" s="4" t="str">
        <f>IFERROR(__xludf.DUMMYFUNCTION("""COMPUTED_VALUE"""),"KONEKTOR/JUMPER")</f>
        <v>KONEKTOR/JUMPER</v>
      </c>
      <c r="Q178" s="4">
        <f>IFERROR(__xludf.DUMMYFUNCTION("""COMPUTED_VALUE"""),26.0)</f>
        <v>26</v>
      </c>
      <c r="R178" s="4">
        <f>IFERROR(__xludf.DUMMYFUNCTION("""COMPUTED_VALUE"""),26.0)</f>
        <v>26</v>
      </c>
      <c r="S178" s="4">
        <f>IFERROR(__xludf.DUMMYFUNCTION("""COMPUTED_VALUE"""),26.0)</f>
        <v>26</v>
      </c>
      <c r="T178" s="4"/>
      <c r="U178" s="4" t="str">
        <f>IFERROR(__xludf.DUMMYFUNCTION("""COMPUTED_VALUE"""),"BAIK")</f>
        <v>BAIK</v>
      </c>
      <c r="V178" s="4" t="str">
        <f>IFERROR(__xludf.DUMMYFUNCTION("""COMPUTED_VALUE"""),"Tidak Ada")</f>
        <v>Tidak Ada</v>
      </c>
      <c r="W178" s="4"/>
      <c r="X178" s="4"/>
      <c r="Y178" s="4"/>
      <c r="Z178" s="4"/>
      <c r="AA178" s="4"/>
      <c r="AB178" s="4"/>
      <c r="AC178" s="4" t="str">
        <f>IFERROR(__xludf.DUMMYFUNCTION("""COMPUTED_VALUE"""),"INSPEKSI SUTM - T2_Images/91d4cdf9.FOTO.102237.jpg")</f>
        <v>INSPEKSI SUTM - T2_Images/91d4cdf9.FOTO.102237.jpg</v>
      </c>
      <c r="AD178" s="4"/>
      <c r="AE178" s="4"/>
      <c r="AF178" s="4" t="str">
        <f>IFERROR(__xludf.DUMMYFUNCTION("""COMPUTED_VALUE"""),"BELUM")</f>
        <v>BELUM</v>
      </c>
      <c r="AG178" s="6">
        <f>IFERROR(__xludf.DUMMYFUNCTION("""COMPUTED_VALUE"""),46042.0)</f>
        <v>46042</v>
      </c>
      <c r="AH178" s="4"/>
      <c r="AI178" s="4"/>
    </row>
    <row r="179" ht="15.75" customHeight="1">
      <c r="A179" s="4" t="str">
        <f>IFERROR(__xludf.DUMMYFUNCTION("""COMPUTED_VALUE"""),"e35fd47c")</f>
        <v>e35fd47c</v>
      </c>
      <c r="B179" s="5">
        <f>IFERROR(__xludf.DUMMYFUNCTION("""COMPUTED_VALUE"""),46042.93320601852)</f>
        <v>46042.93321</v>
      </c>
      <c r="C179" s="4" t="str">
        <f>IFERROR(__xludf.DUMMYFUNCTION("""COMPUTED_VALUE"""),"0.000000, 0.000000")</f>
        <v>0.000000, 0.000000</v>
      </c>
      <c r="D179" s="4" t="str">
        <f>IFERROR(__xludf.DUMMYFUNCTION("""COMPUTED_VALUE"""),"fuad nugi")</f>
        <v>fuad nugi</v>
      </c>
      <c r="E179" s="4" t="str">
        <f>IFERROR(__xludf.DUMMYFUNCTION("""COMPUTED_VALUE"""),"BANDUNG")</f>
        <v>BANDUNG</v>
      </c>
      <c r="F179" s="4" t="str">
        <f>IFERROR(__xludf.DUMMYFUNCTION("""COMPUTED_VALUE"""),"KOPO")</f>
        <v>KOPO</v>
      </c>
      <c r="G179" s="4" t="str">
        <f>IFERROR(__xludf.DUMMYFUNCTION("""COMPUTED_VALUE"""),"NEW CIBEUREUM")</f>
        <v>NEW CIBEUREUM</v>
      </c>
      <c r="H179" s="4" t="str">
        <f>IFERROR(__xludf.DUMMYFUNCTION("""COMPUTED_VALUE"""),"WTHO")</f>
        <v>WTHO</v>
      </c>
      <c r="I179" s="4" t="str">
        <f>IFERROR(__xludf.DUMMYFUNCTION("""COMPUTED_VALUE"""),"FCO RHUB - UJUNG")</f>
        <v>FCO RHUB - UJUNG</v>
      </c>
      <c r="J179" s="4" t="str">
        <f>IFERROR(__xludf.DUMMYFUNCTION("""COMPUTED_VALUE"""),"ZONA 2")</f>
        <v>ZONA 2</v>
      </c>
      <c r="K179" s="4" t="str">
        <f>IFERROR(__xludf.DUMMYFUNCTION("""COMPUTED_VALUE"""),"010R05")</f>
        <v>010R05</v>
      </c>
      <c r="L179" s="4" t="str">
        <f>IFERROR(__xludf.DUMMYFUNCTION("""COMPUTED_VALUE"""),"TM - 8B/H (Percabangan)")</f>
        <v>TM - 8B/H (Percabangan)</v>
      </c>
      <c r="M179" s="4" t="str">
        <f>IFERROR(__xludf.DUMMYFUNCTION("""COMPUTED_VALUE"""),"Tidak Ada")</f>
        <v>Tidak Ada</v>
      </c>
      <c r="N179" s="4"/>
      <c r="O179" s="4" t="str">
        <f>IFERROR(__xludf.DUMMYFUNCTION("""COMPUTED_VALUE"""),"PEMBANDING SEJENIS")</f>
        <v>PEMBANDING SEJENIS</v>
      </c>
      <c r="P179" s="4" t="str">
        <f>IFERROR(__xludf.DUMMYFUNCTION("""COMPUTED_VALUE"""),"KONEKTOR/JUMPER")</f>
        <v>KONEKTOR/JUMPER</v>
      </c>
      <c r="Q179" s="4">
        <f>IFERROR(__xludf.DUMMYFUNCTION("""COMPUTED_VALUE"""),22.0)</f>
        <v>22</v>
      </c>
      <c r="R179" s="4">
        <f>IFERROR(__xludf.DUMMYFUNCTION("""COMPUTED_VALUE"""),22.0)</f>
        <v>22</v>
      </c>
      <c r="S179" s="4">
        <f>IFERROR(__xludf.DUMMYFUNCTION("""COMPUTED_VALUE"""),23.0)</f>
        <v>23</v>
      </c>
      <c r="T179" s="4"/>
      <c r="U179" s="4" t="str">
        <f>IFERROR(__xludf.DUMMYFUNCTION("""COMPUTED_VALUE"""),"BAIK")</f>
        <v>BAIK</v>
      </c>
      <c r="V179" s="4" t="str">
        <f>IFERROR(__xludf.DUMMYFUNCTION("""COMPUTED_VALUE"""),"Tidak Ada")</f>
        <v>Tidak Ada</v>
      </c>
      <c r="W179" s="4"/>
      <c r="X179" s="4"/>
      <c r="Y179" s="4"/>
      <c r="Z179" s="4"/>
      <c r="AA179" s="4"/>
      <c r="AB179" s="4"/>
      <c r="AC179" s="4" t="str">
        <f>IFERROR(__xludf.DUMMYFUNCTION("""COMPUTED_VALUE"""),"INSPEKSI SUTM - T2_Images/e35fd47c.FOTO.102324.jpg")</f>
        <v>INSPEKSI SUTM - T2_Images/e35fd47c.FOTO.102324.jpg</v>
      </c>
      <c r="AD179" s="4"/>
      <c r="AE179" s="4"/>
      <c r="AF179" s="4" t="str">
        <f>IFERROR(__xludf.DUMMYFUNCTION("""COMPUTED_VALUE"""),"BELUM")</f>
        <v>BELUM</v>
      </c>
      <c r="AG179" s="6">
        <f>IFERROR(__xludf.DUMMYFUNCTION("""COMPUTED_VALUE"""),46042.0)</f>
        <v>46042</v>
      </c>
      <c r="AH179" s="4"/>
      <c r="AI179" s="4"/>
    </row>
    <row r="180" ht="15.75" customHeight="1">
      <c r="A180" s="4" t="str">
        <f>IFERROR(__xludf.DUMMYFUNCTION("""COMPUTED_VALUE"""),"e2b1aff8")</f>
        <v>e2b1aff8</v>
      </c>
      <c r="B180" s="5">
        <f>IFERROR(__xludf.DUMMYFUNCTION("""COMPUTED_VALUE"""),46042.933703703704)</f>
        <v>46042.9337</v>
      </c>
      <c r="C180" s="4" t="str">
        <f>IFERROR(__xludf.DUMMYFUNCTION("""COMPUTED_VALUE"""),"0.000000, 0.000000")</f>
        <v>0.000000, 0.000000</v>
      </c>
      <c r="D180" s="4" t="str">
        <f>IFERROR(__xludf.DUMMYFUNCTION("""COMPUTED_VALUE"""),"fuad nugi")</f>
        <v>fuad nugi</v>
      </c>
      <c r="E180" s="4" t="str">
        <f>IFERROR(__xludf.DUMMYFUNCTION("""COMPUTED_VALUE"""),"BANDUNG")</f>
        <v>BANDUNG</v>
      </c>
      <c r="F180" s="4" t="str">
        <f>IFERROR(__xludf.DUMMYFUNCTION("""COMPUTED_VALUE"""),"KOPO")</f>
        <v>KOPO</v>
      </c>
      <c r="G180" s="4" t="str">
        <f>IFERROR(__xludf.DUMMYFUNCTION("""COMPUTED_VALUE"""),"NEW CIBEUREUM")</f>
        <v>NEW CIBEUREUM</v>
      </c>
      <c r="H180" s="4" t="str">
        <f>IFERROR(__xludf.DUMMYFUNCTION("""COMPUTED_VALUE"""),"WTHO")</f>
        <v>WTHO</v>
      </c>
      <c r="I180" s="4" t="str">
        <f>IFERROR(__xludf.DUMMYFUNCTION("""COMPUTED_VALUE"""),"FCO RHUB - UJUNG")</f>
        <v>FCO RHUB - UJUNG</v>
      </c>
      <c r="J180" s="4" t="str">
        <f>IFERROR(__xludf.DUMMYFUNCTION("""COMPUTED_VALUE"""),"ZONA 2")</f>
        <v>ZONA 2</v>
      </c>
      <c r="K180" s="4" t="str">
        <f>IFERROR(__xludf.DUMMYFUNCTION("""COMPUTED_VALUE"""),"010R06")</f>
        <v>010R06</v>
      </c>
      <c r="L180" s="4" t="str">
        <f>IFERROR(__xludf.DUMMYFUNCTION("""COMPUTED_VALUE"""),"TM - 8B/H (Percabangan)")</f>
        <v>TM - 8B/H (Percabangan)</v>
      </c>
      <c r="M180" s="4" t="str">
        <f>IFERROR(__xludf.DUMMYFUNCTION("""COMPUTED_VALUE"""),"Tidak Ada")</f>
        <v>Tidak Ada</v>
      </c>
      <c r="N180" s="4"/>
      <c r="O180" s="4" t="str">
        <f>IFERROR(__xludf.DUMMYFUNCTION("""COMPUTED_VALUE"""),"PEMBANDING SEJENIS")</f>
        <v>PEMBANDING SEJENIS</v>
      </c>
      <c r="P180" s="4" t="str">
        <f>IFERROR(__xludf.DUMMYFUNCTION("""COMPUTED_VALUE"""),"KONEKTOR/JUMPER")</f>
        <v>KONEKTOR/JUMPER</v>
      </c>
      <c r="Q180" s="4">
        <f>IFERROR(__xludf.DUMMYFUNCTION("""COMPUTED_VALUE"""),24.0)</f>
        <v>24</v>
      </c>
      <c r="R180" s="4">
        <f>IFERROR(__xludf.DUMMYFUNCTION("""COMPUTED_VALUE"""),24.0)</f>
        <v>24</v>
      </c>
      <c r="S180" s="4">
        <f>IFERROR(__xludf.DUMMYFUNCTION("""COMPUTED_VALUE"""),23.0)</f>
        <v>23</v>
      </c>
      <c r="T180" s="4"/>
      <c r="U180" s="4" t="str">
        <f>IFERROR(__xludf.DUMMYFUNCTION("""COMPUTED_VALUE"""),"BAIK")</f>
        <v>BAIK</v>
      </c>
      <c r="V180" s="4" t="str">
        <f>IFERROR(__xludf.DUMMYFUNCTION("""COMPUTED_VALUE"""),"Tidak Ada")</f>
        <v>Tidak Ada</v>
      </c>
      <c r="W180" s="4"/>
      <c r="X180" s="4"/>
      <c r="Y180" s="4"/>
      <c r="Z180" s="4"/>
      <c r="AA180" s="4"/>
      <c r="AB180" s="4"/>
      <c r="AC180" s="4" t="str">
        <f>IFERROR(__xludf.DUMMYFUNCTION("""COMPUTED_VALUE"""),"INSPEKSI SUTM - T2_Images/e2b1aff8.FOTO.102402.jpg")</f>
        <v>INSPEKSI SUTM - T2_Images/e2b1aff8.FOTO.102402.jpg</v>
      </c>
      <c r="AD180" s="4"/>
      <c r="AE180" s="4"/>
      <c r="AF180" s="4" t="str">
        <f>IFERROR(__xludf.DUMMYFUNCTION("""COMPUTED_VALUE"""),"BELUM")</f>
        <v>BELUM</v>
      </c>
      <c r="AG180" s="6">
        <f>IFERROR(__xludf.DUMMYFUNCTION("""COMPUTED_VALUE"""),46042.0)</f>
        <v>46042</v>
      </c>
      <c r="AH180" s="4"/>
      <c r="AI180" s="4"/>
    </row>
    <row r="181" ht="15.75" customHeight="1">
      <c r="A181" s="4" t="str">
        <f>IFERROR(__xludf.DUMMYFUNCTION("""COMPUTED_VALUE"""),"dcae390b")</f>
        <v>dcae390b</v>
      </c>
      <c r="B181" s="5">
        <f>IFERROR(__xludf.DUMMYFUNCTION("""COMPUTED_VALUE"""),46042.93444444444)</f>
        <v>46042.93444</v>
      </c>
      <c r="C181" s="4" t="str">
        <f>IFERROR(__xludf.DUMMYFUNCTION("""COMPUTED_VALUE"""),"0.000000, 0.000000")</f>
        <v>0.000000, 0.000000</v>
      </c>
      <c r="D181" s="4" t="str">
        <f>IFERROR(__xludf.DUMMYFUNCTION("""COMPUTED_VALUE"""),"010R08")</f>
        <v>010R08</v>
      </c>
      <c r="E181" s="4" t="str">
        <f>IFERROR(__xludf.DUMMYFUNCTION("""COMPUTED_VALUE"""),"BANDUNG")</f>
        <v>BANDUNG</v>
      </c>
      <c r="F181" s="4" t="str">
        <f>IFERROR(__xludf.DUMMYFUNCTION("""COMPUTED_VALUE"""),"KOPO")</f>
        <v>KOPO</v>
      </c>
      <c r="G181" s="4" t="str">
        <f>IFERROR(__xludf.DUMMYFUNCTION("""COMPUTED_VALUE"""),"NEW CIBEUREUM")</f>
        <v>NEW CIBEUREUM</v>
      </c>
      <c r="H181" s="4" t="str">
        <f>IFERROR(__xludf.DUMMYFUNCTION("""COMPUTED_VALUE"""),"WTHO")</f>
        <v>WTHO</v>
      </c>
      <c r="I181" s="4" t="str">
        <f>IFERROR(__xludf.DUMMYFUNCTION("""COMPUTED_VALUE"""),"FCO RHUB - UJUNG")</f>
        <v>FCO RHUB - UJUNG</v>
      </c>
      <c r="J181" s="4" t="str">
        <f>IFERROR(__xludf.DUMMYFUNCTION("""COMPUTED_VALUE"""),"ZONA 2")</f>
        <v>ZONA 2</v>
      </c>
      <c r="K181" s="4" t="str">
        <f>IFERROR(__xludf.DUMMYFUNCTION("""COMPUTED_VALUE"""),"010R08")</f>
        <v>010R08</v>
      </c>
      <c r="L181" s="4" t="str">
        <f>IFERROR(__xludf.DUMMYFUNCTION("""COMPUTED_VALUE"""),"TM - 8B/H (Percabangan)")</f>
        <v>TM - 8B/H (Percabangan)</v>
      </c>
      <c r="M181" s="4" t="str">
        <f>IFERROR(__xludf.DUMMYFUNCTION("""COMPUTED_VALUE"""),"Tidak Ada")</f>
        <v>Tidak Ada</v>
      </c>
      <c r="N181" s="4"/>
      <c r="O181" s="4" t="str">
        <f>IFERROR(__xludf.DUMMYFUNCTION("""COMPUTED_VALUE"""),"PEMBANDING SEJENIS")</f>
        <v>PEMBANDING SEJENIS</v>
      </c>
      <c r="P181" s="4" t="str">
        <f>IFERROR(__xludf.DUMMYFUNCTION("""COMPUTED_VALUE"""),"KONEKTOR/JUMPER")</f>
        <v>KONEKTOR/JUMPER</v>
      </c>
      <c r="Q181" s="4">
        <f>IFERROR(__xludf.DUMMYFUNCTION("""COMPUTED_VALUE"""),25.0)</f>
        <v>25</v>
      </c>
      <c r="R181" s="4">
        <f>IFERROR(__xludf.DUMMYFUNCTION("""COMPUTED_VALUE"""),24.0)</f>
        <v>24</v>
      </c>
      <c r="S181" s="4">
        <f>IFERROR(__xludf.DUMMYFUNCTION("""COMPUTED_VALUE"""),24.0)</f>
        <v>24</v>
      </c>
      <c r="T181" s="4"/>
      <c r="U181" s="4" t="str">
        <f>IFERROR(__xludf.DUMMYFUNCTION("""COMPUTED_VALUE"""),"BAIK")</f>
        <v>BAIK</v>
      </c>
      <c r="V181" s="4" t="str">
        <f>IFERROR(__xludf.DUMMYFUNCTION("""COMPUTED_VALUE"""),"Tidak Ada")</f>
        <v>Tidak Ada</v>
      </c>
      <c r="W181" s="4"/>
      <c r="X181" s="4"/>
      <c r="Y181" s="4"/>
      <c r="Z181" s="4"/>
      <c r="AA181" s="4"/>
      <c r="AB181" s="4"/>
      <c r="AC181" s="4" t="str">
        <f>IFERROR(__xludf.DUMMYFUNCTION("""COMPUTED_VALUE"""),"INSPEKSI SUTM - T2_Images/dcae390b.FOTO.102524.jpg")</f>
        <v>INSPEKSI SUTM - T2_Images/dcae390b.FOTO.102524.jpg</v>
      </c>
      <c r="AD181" s="4"/>
      <c r="AE181" s="4"/>
      <c r="AF181" s="4" t="str">
        <f>IFERROR(__xludf.DUMMYFUNCTION("""COMPUTED_VALUE"""),"BELUM")</f>
        <v>BELUM</v>
      </c>
      <c r="AG181" s="6">
        <f>IFERROR(__xludf.DUMMYFUNCTION("""COMPUTED_VALUE"""),46042.0)</f>
        <v>46042</v>
      </c>
      <c r="AH181" s="4"/>
      <c r="AI181" s="4"/>
    </row>
    <row r="182" ht="15.75" customHeight="1">
      <c r="A182" s="4" t="str">
        <f>IFERROR(__xludf.DUMMYFUNCTION("""COMPUTED_VALUE"""),"55569a01")</f>
        <v>55569a01</v>
      </c>
      <c r="B182" s="5">
        <f>IFERROR(__xludf.DUMMYFUNCTION("""COMPUTED_VALUE"""),46052.758425925924)</f>
        <v>46052.75843</v>
      </c>
      <c r="C182" s="4" t="str">
        <f>IFERROR(__xludf.DUMMYFUNCTION("""COMPUTED_VALUE"""),"-6.965704, 107.672749")</f>
        <v>-6.965704, 107.672749</v>
      </c>
      <c r="D182" s="4" t="str">
        <f>IFERROR(__xludf.DUMMYFUNCTION("""COMPUTED_VALUE"""),"Jihan kiki")</f>
        <v>Jihan kiki</v>
      </c>
      <c r="E182" s="4" t="str">
        <f>IFERROR(__xludf.DUMMYFUNCTION("""COMPUTED_VALUE"""),"BANDUNG")</f>
        <v>BANDUNG</v>
      </c>
      <c r="F182" s="4" t="str">
        <f>IFERROR(__xludf.DUMMYFUNCTION("""COMPUTED_VALUE"""),"CIJAWURA")</f>
        <v>CIJAWURA</v>
      </c>
      <c r="G182" s="4" t="str">
        <f>IFERROR(__xludf.DUMMYFUNCTION("""COMPUTED_VALUE"""),"GIS SUMMARECON")</f>
        <v>GIS SUMMARECON</v>
      </c>
      <c r="H182" s="4" t="str">
        <f>IFERROR(__xludf.DUMMYFUNCTION("""COMPUTED_VALUE"""),"MRDN")</f>
        <v>MRDN</v>
      </c>
      <c r="I182" s="4" t="str">
        <f>IFERROR(__xludf.DUMMYFUNCTION("""COMPUTED_VALUE"""),"REC BDLA - LBS GBH")</f>
        <v>REC BDLA - LBS GBH</v>
      </c>
      <c r="J182" s="4" t="str">
        <f>IFERROR(__xludf.DUMMYFUNCTION("""COMPUTED_VALUE"""),"ZONA 3")</f>
        <v>ZONA 3</v>
      </c>
      <c r="K182" s="4" t="str">
        <f>IFERROR(__xludf.DUMMYFUNCTION("""COMPUTED_VALUE"""),"001")</f>
        <v>001</v>
      </c>
      <c r="L182" s="4" t="str">
        <f>IFERROR(__xludf.DUMMYFUNCTION("""COMPUTED_VALUE"""),"TM - 13B/H (Kabel Naik Pada Tiang Tumpu)")</f>
        <v>TM - 13B/H (Kabel Naik Pada Tiang Tumpu)</v>
      </c>
      <c r="M182" s="4" t="str">
        <f>IFERROR(__xludf.DUMMYFUNCTION("""COMPUTED_VALUE"""),"Tidak Ada")</f>
        <v>Tidak Ada</v>
      </c>
      <c r="N182" s="4"/>
      <c r="O182" s="4" t="str">
        <f>IFERROR(__xludf.DUMMYFUNCTION("""COMPUTED_VALUE"""),"PEMBANDING SEJENIS")</f>
        <v>PEMBANDING SEJENIS</v>
      </c>
      <c r="P182" s="4" t="str">
        <f>IFERROR(__xludf.DUMMYFUNCTION("""COMPUTED_VALUE"""),"KONEKTOR/JUMPER")</f>
        <v>KONEKTOR/JUMPER</v>
      </c>
      <c r="Q182" s="4">
        <f>IFERROR(__xludf.DUMMYFUNCTION("""COMPUTED_VALUE"""),21.0)</f>
        <v>21</v>
      </c>
      <c r="R182" s="4">
        <f>IFERROR(__xludf.DUMMYFUNCTION("""COMPUTED_VALUE"""),22.0)</f>
        <v>22</v>
      </c>
      <c r="S182" s="4">
        <f>IFERROR(__xludf.DUMMYFUNCTION("""COMPUTED_VALUE"""),21.0)</f>
        <v>21</v>
      </c>
      <c r="T182" s="4"/>
      <c r="U182" s="4" t="str">
        <f>IFERROR(__xludf.DUMMYFUNCTION("""COMPUTED_VALUE"""),"BAIK")</f>
        <v>BAIK</v>
      </c>
      <c r="V182" s="4" t="str">
        <f>IFERROR(__xludf.DUMMYFUNCTION("""COMPUTED_VALUE"""),"Tidak Ada")</f>
        <v>Tidak Ada</v>
      </c>
      <c r="W182" s="4"/>
      <c r="X182" s="4"/>
      <c r="Y182" s="4"/>
      <c r="Z182" s="4"/>
      <c r="AA182" s="4"/>
      <c r="AB182" s="4"/>
      <c r="AC182" s="4" t="str">
        <f>IFERROR(__xludf.DUMMYFUNCTION("""COMPUTED_VALUE"""),"INSPEKSI SUTM - T2_Images/55569a01.FOTO.100642.jpg")</f>
        <v>INSPEKSI SUTM - T2_Images/55569a01.FOTO.100642.jpg</v>
      </c>
      <c r="AD182" s="4"/>
      <c r="AE182" s="4"/>
      <c r="AF182" s="4" t="str">
        <f>IFERROR(__xludf.DUMMYFUNCTION("""COMPUTED_VALUE"""),"BELUM")</f>
        <v>BELUM</v>
      </c>
      <c r="AG182" s="6">
        <f>IFERROR(__xludf.DUMMYFUNCTION("""COMPUTED_VALUE"""),46052.0)</f>
        <v>46052</v>
      </c>
      <c r="AH182" s="4"/>
      <c r="AI182" s="4"/>
    </row>
    <row r="183" ht="15.75" customHeight="1">
      <c r="A183" s="4" t="str">
        <f>IFERROR(__xludf.DUMMYFUNCTION("""COMPUTED_VALUE"""),"d2ea9e49")</f>
        <v>d2ea9e49</v>
      </c>
      <c r="B183" s="5">
        <f>IFERROR(__xludf.DUMMYFUNCTION("""COMPUTED_VALUE"""),46052.7609375)</f>
        <v>46052.76094</v>
      </c>
      <c r="C183" s="4" t="str">
        <f>IFERROR(__xludf.DUMMYFUNCTION("""COMPUTED_VALUE"""),"-6.966363, 107.672759")</f>
        <v>-6.966363, 107.672759</v>
      </c>
      <c r="D183" s="4" t="str">
        <f>IFERROR(__xludf.DUMMYFUNCTION("""COMPUTED_VALUE"""),"Jihan kiki")</f>
        <v>Jihan kiki</v>
      </c>
      <c r="E183" s="4" t="str">
        <f>IFERROR(__xludf.DUMMYFUNCTION("""COMPUTED_VALUE"""),"BANDUNG")</f>
        <v>BANDUNG</v>
      </c>
      <c r="F183" s="4" t="str">
        <f>IFERROR(__xludf.DUMMYFUNCTION("""COMPUTED_VALUE"""),"CIJAWURA")</f>
        <v>CIJAWURA</v>
      </c>
      <c r="G183" s="4" t="str">
        <f>IFERROR(__xludf.DUMMYFUNCTION("""COMPUTED_VALUE"""),"GIS SUMMARECON")</f>
        <v>GIS SUMMARECON</v>
      </c>
      <c r="H183" s="4" t="str">
        <f>IFERROR(__xludf.DUMMYFUNCTION("""COMPUTED_VALUE"""),"MRDN")</f>
        <v>MRDN</v>
      </c>
      <c r="I183" s="4" t="str">
        <f>IFERROR(__xludf.DUMMYFUNCTION("""COMPUTED_VALUE"""),"REC BDLA - LBS GBH")</f>
        <v>REC BDLA - LBS GBH</v>
      </c>
      <c r="J183" s="4" t="str">
        <f>IFERROR(__xludf.DUMMYFUNCTION("""COMPUTED_VALUE"""),"ZONA 3")</f>
        <v>ZONA 3</v>
      </c>
      <c r="K183" s="4" t="str">
        <f>IFERROR(__xludf.DUMMYFUNCTION("""COMPUTED_VALUE"""),"004")</f>
        <v>004</v>
      </c>
      <c r="L183" s="4" t="str">
        <f>IFERROR(__xludf.DUMMYFUNCTION("""COMPUTED_VALUE"""),"TM - 16B/H (REC/SSO/LBS)")</f>
        <v>TM - 16B/H (REC/SSO/LBS)</v>
      </c>
      <c r="M183" s="4" t="str">
        <f>IFERROR(__xludf.DUMMYFUNCTION("""COMPUTED_VALUE"""),"LBS")</f>
        <v>LBS</v>
      </c>
      <c r="N183" s="4" t="str">
        <f>IFERROR(__xludf.DUMMYFUNCTION("""COMPUTED_VALUE"""),"GBH")</f>
        <v>GBH</v>
      </c>
      <c r="O183" s="4" t="str">
        <f>IFERROR(__xludf.DUMMYFUNCTION("""COMPUTED_VALUE"""),"PEMBANDING SEJENIS")</f>
        <v>PEMBANDING SEJENIS</v>
      </c>
      <c r="P183" s="4" t="str">
        <f>IFERROR(__xludf.DUMMYFUNCTION("""COMPUTED_VALUE"""),"KONEKTOR/JUMPER")</f>
        <v>KONEKTOR/JUMPER</v>
      </c>
      <c r="Q183" s="4">
        <f>IFERROR(__xludf.DUMMYFUNCTION("""COMPUTED_VALUE"""),24.0)</f>
        <v>24</v>
      </c>
      <c r="R183" s="4">
        <f>IFERROR(__xludf.DUMMYFUNCTION("""COMPUTED_VALUE"""),23.0)</f>
        <v>23</v>
      </c>
      <c r="S183" s="4">
        <f>IFERROR(__xludf.DUMMYFUNCTION("""COMPUTED_VALUE"""),23.0)</f>
        <v>23</v>
      </c>
      <c r="T183" s="4"/>
      <c r="U183" s="4" t="str">
        <f>IFERROR(__xludf.DUMMYFUNCTION("""COMPUTED_VALUE"""),"BAIK")</f>
        <v>BAIK</v>
      </c>
      <c r="V183" s="4" t="str">
        <f>IFERROR(__xludf.DUMMYFUNCTION("""COMPUTED_VALUE"""),"Tidak Ada")</f>
        <v>Tidak Ada</v>
      </c>
      <c r="W183" s="4"/>
      <c r="X183" s="4"/>
      <c r="Y183" s="4"/>
      <c r="Z183" s="4"/>
      <c r="AA183" s="4"/>
      <c r="AB183" s="4"/>
      <c r="AC183" s="4" t="str">
        <f>IFERROR(__xludf.DUMMYFUNCTION("""COMPUTED_VALUE"""),"INSPEKSI SUTM - T2_Images/d2ea9e49.FOTO.101931.jpg")</f>
        <v>INSPEKSI SUTM - T2_Images/d2ea9e49.FOTO.101931.jpg</v>
      </c>
      <c r="AD183" s="4"/>
      <c r="AE183" s="4"/>
      <c r="AF183" s="4" t="str">
        <f>IFERROR(__xludf.DUMMYFUNCTION("""COMPUTED_VALUE"""),"BELUM")</f>
        <v>BELUM</v>
      </c>
      <c r="AG183" s="6">
        <f>IFERROR(__xludf.DUMMYFUNCTION("""COMPUTED_VALUE"""),46052.0)</f>
        <v>46052</v>
      </c>
      <c r="AH183" s="4"/>
      <c r="AI183" s="4"/>
    </row>
    <row r="184" ht="15.75" customHeight="1">
      <c r="A184" s="4" t="str">
        <f>IFERROR(__xludf.DUMMYFUNCTION("""COMPUTED_VALUE"""),"e66b98b7")</f>
        <v>e66b98b7</v>
      </c>
      <c r="B184" s="5">
        <f>IFERROR(__xludf.DUMMYFUNCTION("""COMPUTED_VALUE"""),46052.76179398148)</f>
        <v>46052.76179</v>
      </c>
      <c r="C184" s="4" t="str">
        <f>IFERROR(__xludf.DUMMYFUNCTION("""COMPUTED_VALUE"""),"-6.967384, 107.672718")</f>
        <v>-6.967384, 107.672718</v>
      </c>
      <c r="D184" s="4" t="str">
        <f>IFERROR(__xludf.DUMMYFUNCTION("""COMPUTED_VALUE"""),"Jihan kiki")</f>
        <v>Jihan kiki</v>
      </c>
      <c r="E184" s="4" t="str">
        <f>IFERROR(__xludf.DUMMYFUNCTION("""COMPUTED_VALUE"""),"BANDUNG")</f>
        <v>BANDUNG</v>
      </c>
      <c r="F184" s="4" t="str">
        <f>IFERROR(__xludf.DUMMYFUNCTION("""COMPUTED_VALUE"""),"CIJAWURA")</f>
        <v>CIJAWURA</v>
      </c>
      <c r="G184" s="4" t="str">
        <f>IFERROR(__xludf.DUMMYFUNCTION("""COMPUTED_VALUE"""),"GIS SUMMARECON")</f>
        <v>GIS SUMMARECON</v>
      </c>
      <c r="H184" s="4" t="str">
        <f>IFERROR(__xludf.DUMMYFUNCTION("""COMPUTED_VALUE"""),"MRDN")</f>
        <v>MRDN</v>
      </c>
      <c r="I184" s="4" t="str">
        <f>IFERROR(__xludf.DUMMYFUNCTION("""COMPUTED_VALUE"""),"LBS GBH - LBS DBUB")</f>
        <v>LBS GBH - LBS DBUB</v>
      </c>
      <c r="J184" s="4" t="str">
        <f>IFERROR(__xludf.DUMMYFUNCTION("""COMPUTED_VALUE"""),"ZONA 3")</f>
        <v>ZONA 3</v>
      </c>
      <c r="K184" s="4" t="str">
        <f>IFERROR(__xludf.DUMMYFUNCTION("""COMPUTED_VALUE"""),"006")</f>
        <v>006</v>
      </c>
      <c r="L184" s="4" t="str">
        <f>IFERROR(__xludf.DUMMYFUNCTION("""COMPUTED_VALUE"""),"TM - 11B/H (Kabel Naik)")</f>
        <v>TM - 11B/H (Kabel Naik)</v>
      </c>
      <c r="M184" s="4" t="str">
        <f>IFERROR(__xludf.DUMMYFUNCTION("""COMPUTED_VALUE"""),"Tidak Ada")</f>
        <v>Tidak Ada</v>
      </c>
      <c r="N184" s="4"/>
      <c r="O184" s="4" t="str">
        <f>IFERROR(__xludf.DUMMYFUNCTION("""COMPUTED_VALUE"""),"PEMBANDING SEJENIS")</f>
        <v>PEMBANDING SEJENIS</v>
      </c>
      <c r="P184" s="4" t="str">
        <f>IFERROR(__xludf.DUMMYFUNCTION("""COMPUTED_VALUE"""),"KONEKTOR/JUMPER")</f>
        <v>KONEKTOR/JUMPER</v>
      </c>
      <c r="Q184" s="4">
        <f>IFERROR(__xludf.DUMMYFUNCTION("""COMPUTED_VALUE"""),24.0)</f>
        <v>24</v>
      </c>
      <c r="R184" s="4">
        <f>IFERROR(__xludf.DUMMYFUNCTION("""COMPUTED_VALUE"""),24.0)</f>
        <v>24</v>
      </c>
      <c r="S184" s="4">
        <f>IFERROR(__xludf.DUMMYFUNCTION("""COMPUTED_VALUE"""),27.0)</f>
        <v>27</v>
      </c>
      <c r="T184" s="4"/>
      <c r="U184" s="4" t="str">
        <f>IFERROR(__xludf.DUMMYFUNCTION("""COMPUTED_VALUE"""),"CUKUP")</f>
        <v>CUKUP</v>
      </c>
      <c r="V184" s="4" t="str">
        <f>IFERROR(__xludf.DUMMYFUNCTION("""COMPUTED_VALUE"""),"Tidak Ada")</f>
        <v>Tidak Ada</v>
      </c>
      <c r="W184" s="4"/>
      <c r="X184" s="4"/>
      <c r="Y184" s="4"/>
      <c r="Z184" s="4"/>
      <c r="AA184" s="4"/>
      <c r="AB184" s="4"/>
      <c r="AC184" s="4" t="str">
        <f>IFERROR(__xludf.DUMMYFUNCTION("""COMPUTED_VALUE"""),"INSPEKSI SUTM - T2_Images/e66b98b7.FOTO.101936.jpg")</f>
        <v>INSPEKSI SUTM - T2_Images/e66b98b7.FOTO.101936.jpg</v>
      </c>
      <c r="AD184" s="4"/>
      <c r="AE184" s="4"/>
      <c r="AF184" s="4" t="str">
        <f>IFERROR(__xludf.DUMMYFUNCTION("""COMPUTED_VALUE"""),"BELUM")</f>
        <v>BELUM</v>
      </c>
      <c r="AG184" s="6">
        <f>IFERROR(__xludf.DUMMYFUNCTION("""COMPUTED_VALUE"""),46052.0)</f>
        <v>46052</v>
      </c>
      <c r="AH184" s="4"/>
      <c r="AI184" s="4"/>
    </row>
    <row r="185" ht="15.75" customHeight="1">
      <c r="A185" s="4" t="str">
        <f>IFERROR(__xludf.DUMMYFUNCTION("""COMPUTED_VALUE"""),"0c882dd8")</f>
        <v>0c882dd8</v>
      </c>
      <c r="B185" s="5">
        <f>IFERROR(__xludf.DUMMYFUNCTION("""COMPUTED_VALUE"""),46052.76268518518)</f>
        <v>46052.76269</v>
      </c>
      <c r="C185" s="4" t="str">
        <f>IFERROR(__xludf.DUMMYFUNCTION("""COMPUTED_VALUE"""),"-6.968088, 107.672679")</f>
        <v>-6.968088, 107.672679</v>
      </c>
      <c r="D185" s="4" t="str">
        <f>IFERROR(__xludf.DUMMYFUNCTION("""COMPUTED_VALUE"""),"Jihan kiki")</f>
        <v>Jihan kiki</v>
      </c>
      <c r="E185" s="4" t="str">
        <f>IFERROR(__xludf.DUMMYFUNCTION("""COMPUTED_VALUE"""),"BANDUNG")</f>
        <v>BANDUNG</v>
      </c>
      <c r="F185" s="4" t="str">
        <f>IFERROR(__xludf.DUMMYFUNCTION("""COMPUTED_VALUE"""),"CIJAWURA")</f>
        <v>CIJAWURA</v>
      </c>
      <c r="G185" s="4" t="str">
        <f>IFERROR(__xludf.DUMMYFUNCTION("""COMPUTED_VALUE"""),"GIS SUMMARECON")</f>
        <v>GIS SUMMARECON</v>
      </c>
      <c r="H185" s="4" t="str">
        <f>IFERROR(__xludf.DUMMYFUNCTION("""COMPUTED_VALUE"""),"MRDN")</f>
        <v>MRDN</v>
      </c>
      <c r="I185" s="4" t="str">
        <f>IFERROR(__xludf.DUMMYFUNCTION("""COMPUTED_VALUE"""),"LBS GBH - LBS DBUB")</f>
        <v>LBS GBH - LBS DBUB</v>
      </c>
      <c r="J185" s="4" t="str">
        <f>IFERROR(__xludf.DUMMYFUNCTION("""COMPUTED_VALUE"""),"ZONA 3")</f>
        <v>ZONA 3</v>
      </c>
      <c r="K185" s="4" t="str">
        <f>IFERROR(__xludf.DUMMYFUNCTION("""COMPUTED_VALUE"""),"007")</f>
        <v>007</v>
      </c>
      <c r="L185" s="4" t="str">
        <f>IFERROR(__xludf.DUMMYFUNCTION("""COMPUTED_VALUE"""),"TM - 7B/H (Afspan 90 Derajat)")</f>
        <v>TM - 7B/H (Afspan 90 Derajat)</v>
      </c>
      <c r="M185" s="4" t="str">
        <f>IFERROR(__xludf.DUMMYFUNCTION("""COMPUTED_VALUE"""),"Tidak Ada")</f>
        <v>Tidak Ada</v>
      </c>
      <c r="N185" s="4"/>
      <c r="O185" s="4" t="str">
        <f>IFERROR(__xludf.DUMMYFUNCTION("""COMPUTED_VALUE"""),"PEMBANDING SEJENIS")</f>
        <v>PEMBANDING SEJENIS</v>
      </c>
      <c r="P185" s="4" t="str">
        <f>IFERROR(__xludf.DUMMYFUNCTION("""COMPUTED_VALUE"""),"KONEKTOR/JUMPER")</f>
        <v>KONEKTOR/JUMPER</v>
      </c>
      <c r="Q185" s="4">
        <f>IFERROR(__xludf.DUMMYFUNCTION("""COMPUTED_VALUE"""),23.0)</f>
        <v>23</v>
      </c>
      <c r="R185" s="4">
        <f>IFERROR(__xludf.DUMMYFUNCTION("""COMPUTED_VALUE"""),28.0)</f>
        <v>28</v>
      </c>
      <c r="S185" s="4">
        <f>IFERROR(__xludf.DUMMYFUNCTION("""COMPUTED_VALUE"""),23.0)</f>
        <v>23</v>
      </c>
      <c r="T185" s="4"/>
      <c r="U185" s="4" t="str">
        <f>IFERROR(__xludf.DUMMYFUNCTION("""COMPUTED_VALUE"""),"CUKUP")</f>
        <v>CUKUP</v>
      </c>
      <c r="V185" s="4" t="str">
        <f>IFERROR(__xludf.DUMMYFUNCTION("""COMPUTED_VALUE"""),"Tidak Ada")</f>
        <v>Tidak Ada</v>
      </c>
      <c r="W185" s="4"/>
      <c r="X185" s="4"/>
      <c r="Y185" s="4"/>
      <c r="Z185" s="4"/>
      <c r="AA185" s="4"/>
      <c r="AB185" s="4"/>
      <c r="AC185" s="4" t="str">
        <f>IFERROR(__xludf.DUMMYFUNCTION("""COMPUTED_VALUE"""),"INSPEKSI SUTM - T2_Images/0c882dd8.FOTO.101939.jpg")</f>
        <v>INSPEKSI SUTM - T2_Images/0c882dd8.FOTO.101939.jpg</v>
      </c>
      <c r="AD185" s="4"/>
      <c r="AE185" s="4"/>
      <c r="AF185" s="4" t="str">
        <f>IFERROR(__xludf.DUMMYFUNCTION("""COMPUTED_VALUE"""),"BELUM")</f>
        <v>BELUM</v>
      </c>
      <c r="AG185" s="6">
        <f>IFERROR(__xludf.DUMMYFUNCTION("""COMPUTED_VALUE"""),46052.0)</f>
        <v>46052</v>
      </c>
      <c r="AH185" s="4"/>
      <c r="AI185" s="4"/>
    </row>
    <row r="186" ht="15.75" customHeight="1">
      <c r="A186" s="4" t="str">
        <f>IFERROR(__xludf.DUMMYFUNCTION("""COMPUTED_VALUE"""),"69f8ecda")</f>
        <v>69f8ecda</v>
      </c>
      <c r="B186" s="5">
        <f>IFERROR(__xludf.DUMMYFUNCTION("""COMPUTED_VALUE"""),46052.76337962963)</f>
        <v>46052.76338</v>
      </c>
      <c r="C186" s="4" t="str">
        <f>IFERROR(__xludf.DUMMYFUNCTION("""COMPUTED_VALUE"""),"-6.968088, 107.671391")</f>
        <v>-6.968088, 107.671391</v>
      </c>
      <c r="D186" s="4" t="str">
        <f>IFERROR(__xludf.DUMMYFUNCTION("""COMPUTED_VALUE"""),"Jihan kiki")</f>
        <v>Jihan kiki</v>
      </c>
      <c r="E186" s="4" t="str">
        <f>IFERROR(__xludf.DUMMYFUNCTION("""COMPUTED_VALUE"""),"BANDUNG")</f>
        <v>BANDUNG</v>
      </c>
      <c r="F186" s="4" t="str">
        <f>IFERROR(__xludf.DUMMYFUNCTION("""COMPUTED_VALUE"""),"CIJAWURA")</f>
        <v>CIJAWURA</v>
      </c>
      <c r="G186" s="4" t="str">
        <f>IFERROR(__xludf.DUMMYFUNCTION("""COMPUTED_VALUE"""),"GIS SUMMARECON")</f>
        <v>GIS SUMMARECON</v>
      </c>
      <c r="H186" s="4" t="str">
        <f>IFERROR(__xludf.DUMMYFUNCTION("""COMPUTED_VALUE"""),"MRDN")</f>
        <v>MRDN</v>
      </c>
      <c r="I186" s="4" t="str">
        <f>IFERROR(__xludf.DUMMYFUNCTION("""COMPUTED_VALUE"""),"LBS GBH - LBS DBUB")</f>
        <v>LBS GBH - LBS DBUB</v>
      </c>
      <c r="J186" s="4" t="str">
        <f>IFERROR(__xludf.DUMMYFUNCTION("""COMPUTED_VALUE"""),"ZONA 3")</f>
        <v>ZONA 3</v>
      </c>
      <c r="K186" s="4" t="str">
        <f>IFERROR(__xludf.DUMMYFUNCTION("""COMPUTED_VALUE"""),"007R03")</f>
        <v>007R03</v>
      </c>
      <c r="L186" s="4" t="str">
        <f>IFERROR(__xludf.DUMMYFUNCTION("""COMPUTED_VALUE"""),"TM - 16B/H (REC/SSO/LBS)")</f>
        <v>TM - 16B/H (REC/SSO/LBS)</v>
      </c>
      <c r="M186" s="4" t="str">
        <f>IFERROR(__xludf.DUMMYFUNCTION("""COMPUTED_VALUE"""),"LBS")</f>
        <v>LBS</v>
      </c>
      <c r="N186" s="4" t="str">
        <f>IFERROR(__xludf.DUMMYFUNCTION("""COMPUTED_VALUE"""),"GBHG")</f>
        <v>GBHG</v>
      </c>
      <c r="O186" s="4" t="str">
        <f>IFERROR(__xludf.DUMMYFUNCTION("""COMPUTED_VALUE"""),"PEMBANDING SEJENIS")</f>
        <v>PEMBANDING SEJENIS</v>
      </c>
      <c r="P186" s="4" t="str">
        <f>IFERROR(__xludf.DUMMYFUNCTION("""COMPUTED_VALUE"""),"KONEKTOR/JUMPER")</f>
        <v>KONEKTOR/JUMPER</v>
      </c>
      <c r="Q186" s="4">
        <f>IFERROR(__xludf.DUMMYFUNCTION("""COMPUTED_VALUE"""),22.0)</f>
        <v>22</v>
      </c>
      <c r="R186" s="4">
        <f>IFERROR(__xludf.DUMMYFUNCTION("""COMPUTED_VALUE"""),23.0)</f>
        <v>23</v>
      </c>
      <c r="S186" s="4">
        <f>IFERROR(__xludf.DUMMYFUNCTION("""COMPUTED_VALUE"""),22.0)</f>
        <v>22</v>
      </c>
      <c r="T186" s="4"/>
      <c r="U186" s="4" t="str">
        <f>IFERROR(__xludf.DUMMYFUNCTION("""COMPUTED_VALUE"""),"BAIK")</f>
        <v>BAIK</v>
      </c>
      <c r="V186" s="4" t="str">
        <f>IFERROR(__xludf.DUMMYFUNCTION("""COMPUTED_VALUE"""),"Tidak Ada")</f>
        <v>Tidak Ada</v>
      </c>
      <c r="W186" s="4"/>
      <c r="X186" s="4"/>
      <c r="Y186" s="4"/>
      <c r="Z186" s="4"/>
      <c r="AA186" s="4"/>
      <c r="AB186" s="4"/>
      <c r="AC186" s="4" t="str">
        <f>IFERROR(__xludf.DUMMYFUNCTION("""COMPUTED_VALUE"""),"INSPEKSI SUTM - T2_Images/69f8ecda.FOTO.101943.jpg")</f>
        <v>INSPEKSI SUTM - T2_Images/69f8ecda.FOTO.101943.jpg</v>
      </c>
      <c r="AD186" s="4"/>
      <c r="AE186" s="4"/>
      <c r="AF186" s="4" t="str">
        <f>IFERROR(__xludf.DUMMYFUNCTION("""COMPUTED_VALUE"""),"BELUM")</f>
        <v>BELUM</v>
      </c>
      <c r="AG186" s="6">
        <f>IFERROR(__xludf.DUMMYFUNCTION("""COMPUTED_VALUE"""),46052.0)</f>
        <v>46052</v>
      </c>
      <c r="AH186" s="4"/>
      <c r="AI186" s="4"/>
    </row>
    <row r="187" ht="15.75" customHeight="1">
      <c r="A187" s="4" t="str">
        <f>IFERROR(__xludf.DUMMYFUNCTION("""COMPUTED_VALUE"""),"ff307fc9")</f>
        <v>ff307fc9</v>
      </c>
      <c r="B187" s="5">
        <f>IFERROR(__xludf.DUMMYFUNCTION("""COMPUTED_VALUE"""),46052.76609953704)</f>
        <v>46052.7661</v>
      </c>
      <c r="C187" s="4" t="str">
        <f>IFERROR(__xludf.DUMMYFUNCTION("""COMPUTED_VALUE"""),"-6.953567, 107.640778")</f>
        <v>-6.953567, 107.640778</v>
      </c>
      <c r="D187" s="4" t="str">
        <f>IFERROR(__xludf.DUMMYFUNCTION("""COMPUTED_VALUE"""),"Jihan kiki")</f>
        <v>Jihan kiki</v>
      </c>
      <c r="E187" s="4" t="str">
        <f>IFERROR(__xludf.DUMMYFUNCTION("""COMPUTED_VALUE"""),"BANDUNG")</f>
        <v>BANDUNG</v>
      </c>
      <c r="F187" s="4" t="str">
        <f>IFERROR(__xludf.DUMMYFUNCTION("""COMPUTED_VALUE"""),"CIJAWURA")</f>
        <v>CIJAWURA</v>
      </c>
      <c r="G187" s="4" t="str">
        <f>IFERROR(__xludf.DUMMYFUNCTION("""COMPUTED_VALUE"""),"GIS SUMMARECON")</f>
        <v>GIS SUMMARECON</v>
      </c>
      <c r="H187" s="4" t="str">
        <f>IFERROR(__xludf.DUMMYFUNCTION("""COMPUTED_VALUE"""),"MRDN")</f>
        <v>MRDN</v>
      </c>
      <c r="I187" s="4" t="str">
        <f>IFERROR(__xludf.DUMMYFUNCTION("""COMPUTED_VALUE"""),"LBS GBHG - UJUNG")</f>
        <v>LBS GBHG - UJUNG</v>
      </c>
      <c r="J187" s="4" t="str">
        <f>IFERROR(__xludf.DUMMYFUNCTION("""COMPUTED_VALUE"""),"ZONA 3")</f>
        <v>ZONA 3</v>
      </c>
      <c r="K187" s="4" t="str">
        <f>IFERROR(__xludf.DUMMYFUNCTION("""COMPUTED_VALUE"""),"007R07")</f>
        <v>007R07</v>
      </c>
      <c r="L187" s="4" t="str">
        <f>IFERROR(__xludf.DUMMYFUNCTION("""COMPUTED_VALUE"""),"TM - 8B/H (Percabangan)")</f>
        <v>TM - 8B/H (Percabangan)</v>
      </c>
      <c r="M187" s="4" t="str">
        <f>IFERROR(__xludf.DUMMYFUNCTION("""COMPUTED_VALUE"""),"Tidak Ada")</f>
        <v>Tidak Ada</v>
      </c>
      <c r="N187" s="4"/>
      <c r="O187" s="4" t="str">
        <f>IFERROR(__xludf.DUMMYFUNCTION("""COMPUTED_VALUE"""),"PEMBANDING SEJENIS")</f>
        <v>PEMBANDING SEJENIS</v>
      </c>
      <c r="P187" s="4" t="str">
        <f>IFERROR(__xludf.DUMMYFUNCTION("""COMPUTED_VALUE"""),"KONEKTOR/JUMPER")</f>
        <v>KONEKTOR/JUMPER</v>
      </c>
      <c r="Q187" s="4">
        <f>IFERROR(__xludf.DUMMYFUNCTION("""COMPUTED_VALUE"""),22.0)</f>
        <v>22</v>
      </c>
      <c r="R187" s="4">
        <f>IFERROR(__xludf.DUMMYFUNCTION("""COMPUTED_VALUE"""),21.0)</f>
        <v>21</v>
      </c>
      <c r="S187" s="4">
        <f>IFERROR(__xludf.DUMMYFUNCTION("""COMPUTED_VALUE"""),22.0)</f>
        <v>22</v>
      </c>
      <c r="T187" s="4"/>
      <c r="U187" s="4" t="str">
        <f>IFERROR(__xludf.DUMMYFUNCTION("""COMPUTED_VALUE"""),"BAIK")</f>
        <v>BAIK</v>
      </c>
      <c r="V187" s="4" t="str">
        <f>IFERROR(__xludf.DUMMYFUNCTION("""COMPUTED_VALUE"""),"Tidak Ada")</f>
        <v>Tidak Ada</v>
      </c>
      <c r="W187" s="4"/>
      <c r="X187" s="4"/>
      <c r="Y187" s="4"/>
      <c r="Z187" s="4"/>
      <c r="AA187" s="4"/>
      <c r="AB187" s="4"/>
      <c r="AC187" s="4" t="str">
        <f>IFERROR(__xludf.DUMMYFUNCTION("""COMPUTED_VALUE"""),"INSPEKSI SUTM - T2_Images/ff307fc9.FOTO.101947.jpg")</f>
        <v>INSPEKSI SUTM - T2_Images/ff307fc9.FOTO.101947.jpg</v>
      </c>
      <c r="AD187" s="4"/>
      <c r="AE187" s="4"/>
      <c r="AF187" s="4" t="str">
        <f>IFERROR(__xludf.DUMMYFUNCTION("""COMPUTED_VALUE"""),"BELUM")</f>
        <v>BELUM</v>
      </c>
      <c r="AG187" s="6">
        <f>IFERROR(__xludf.DUMMYFUNCTION("""COMPUTED_VALUE"""),46052.0)</f>
        <v>46052</v>
      </c>
      <c r="AH187" s="4"/>
      <c r="AI187" s="4"/>
    </row>
    <row r="188" ht="15.75" customHeight="1">
      <c r="A188" s="4" t="str">
        <f>IFERROR(__xludf.DUMMYFUNCTION("""COMPUTED_VALUE"""),"5730dda1")</f>
        <v>5730dda1</v>
      </c>
      <c r="B188" s="5">
        <f>IFERROR(__xludf.DUMMYFUNCTION("""COMPUTED_VALUE"""),46052.76702546296)</f>
        <v>46052.76703</v>
      </c>
      <c r="C188" s="4" t="str">
        <f>IFERROR(__xludf.DUMMYFUNCTION("""COMPUTED_VALUE"""),"-6.968926, 107.669717")</f>
        <v>-6.968926, 107.669717</v>
      </c>
      <c r="D188" s="4" t="str">
        <f>IFERROR(__xludf.DUMMYFUNCTION("""COMPUTED_VALUE"""),"Jihan kiki")</f>
        <v>Jihan kiki</v>
      </c>
      <c r="E188" s="4" t="str">
        <f>IFERROR(__xludf.DUMMYFUNCTION("""COMPUTED_VALUE"""),"BANDUNG")</f>
        <v>BANDUNG</v>
      </c>
      <c r="F188" s="4" t="str">
        <f>IFERROR(__xludf.DUMMYFUNCTION("""COMPUTED_VALUE"""),"CIJAWURA")</f>
        <v>CIJAWURA</v>
      </c>
      <c r="G188" s="4" t="str">
        <f>IFERROR(__xludf.DUMMYFUNCTION("""COMPUTED_VALUE"""),"GIS SUMMARECON")</f>
        <v>GIS SUMMARECON</v>
      </c>
      <c r="H188" s="4" t="str">
        <f>IFERROR(__xludf.DUMMYFUNCTION("""COMPUTED_VALUE"""),"MRDN")</f>
        <v>MRDN</v>
      </c>
      <c r="I188" s="4" t="str">
        <f>IFERROR(__xludf.DUMMYFUNCTION("""COMPUTED_VALUE"""),"LBS GBHG - UJUNG")</f>
        <v>LBS GBHG - UJUNG</v>
      </c>
      <c r="J188" s="4" t="str">
        <f>IFERROR(__xludf.DUMMYFUNCTION("""COMPUTED_VALUE"""),"ZONA 3")</f>
        <v>ZONA 3</v>
      </c>
      <c r="K188" s="4" t="str">
        <f>IFERROR(__xludf.DUMMYFUNCTION("""COMPUTED_VALUE"""),"007R10")</f>
        <v>007R10</v>
      </c>
      <c r="L188" s="4" t="str">
        <f>IFERROR(__xludf.DUMMYFUNCTION("""COMPUTED_VALUE"""),"TM - 7B/H (Afspan 90 Derajat)")</f>
        <v>TM - 7B/H (Afspan 90 Derajat)</v>
      </c>
      <c r="M188" s="4" t="str">
        <f>IFERROR(__xludf.DUMMYFUNCTION("""COMPUTED_VALUE"""),"Tidak Ada")</f>
        <v>Tidak Ada</v>
      </c>
      <c r="N188" s="4"/>
      <c r="O188" s="4" t="str">
        <f>IFERROR(__xludf.DUMMYFUNCTION("""COMPUTED_VALUE"""),"PEMBANDING SEJENIS")</f>
        <v>PEMBANDING SEJENIS</v>
      </c>
      <c r="P188" s="4" t="str">
        <f>IFERROR(__xludf.DUMMYFUNCTION("""COMPUTED_VALUE"""),"KONEKTOR/JUMPER")</f>
        <v>KONEKTOR/JUMPER</v>
      </c>
      <c r="Q188" s="4">
        <f>IFERROR(__xludf.DUMMYFUNCTION("""COMPUTED_VALUE"""),22.0)</f>
        <v>22</v>
      </c>
      <c r="R188" s="4">
        <f>IFERROR(__xludf.DUMMYFUNCTION("""COMPUTED_VALUE"""),21.0)</f>
        <v>21</v>
      </c>
      <c r="S188" s="4">
        <f>IFERROR(__xludf.DUMMYFUNCTION("""COMPUTED_VALUE"""),15.0)</f>
        <v>15</v>
      </c>
      <c r="T188" s="4"/>
      <c r="U188" s="4" t="str">
        <f>IFERROR(__xludf.DUMMYFUNCTION("""COMPUTED_VALUE"""),"CUKUP")</f>
        <v>CUKUP</v>
      </c>
      <c r="V188" s="4" t="str">
        <f>IFERROR(__xludf.DUMMYFUNCTION("""COMPUTED_VALUE"""),"Tidak Ada")</f>
        <v>Tidak Ada</v>
      </c>
      <c r="W188" s="4"/>
      <c r="X188" s="4"/>
      <c r="Y188" s="4"/>
      <c r="Z188" s="4"/>
      <c r="AA188" s="4"/>
      <c r="AB188" s="4"/>
      <c r="AC188" s="4" t="str">
        <f>IFERROR(__xludf.DUMMYFUNCTION("""COMPUTED_VALUE"""),"INSPEKSI SUTM - T2_Images/5730dda1.FOTO.101951.jpg")</f>
        <v>INSPEKSI SUTM - T2_Images/5730dda1.FOTO.101951.jpg</v>
      </c>
      <c r="AD188" s="4"/>
      <c r="AE188" s="4"/>
      <c r="AF188" s="4" t="str">
        <f>IFERROR(__xludf.DUMMYFUNCTION("""COMPUTED_VALUE"""),"BELUM")</f>
        <v>BELUM</v>
      </c>
      <c r="AG188" s="6">
        <f>IFERROR(__xludf.DUMMYFUNCTION("""COMPUTED_VALUE"""),46052.0)</f>
        <v>46052</v>
      </c>
      <c r="AH188" s="4"/>
      <c r="AI188" s="4"/>
    </row>
    <row r="189" ht="15.75" customHeight="1">
      <c r="A189" s="4" t="str">
        <f>IFERROR(__xludf.DUMMYFUNCTION("""COMPUTED_VALUE"""),"740c3c48")</f>
        <v>740c3c48</v>
      </c>
      <c r="B189" s="5">
        <f>IFERROR(__xludf.DUMMYFUNCTION("""COMPUTED_VALUE"""),46052.768379629626)</f>
        <v>46052.76838</v>
      </c>
      <c r="C189" s="4" t="str">
        <f>IFERROR(__xludf.DUMMYFUNCTION("""COMPUTED_VALUE"""),"-6.968942, 107.670007")</f>
        <v>-6.968942, 107.670007</v>
      </c>
      <c r="D189" s="4" t="str">
        <f>IFERROR(__xludf.DUMMYFUNCTION("""COMPUTED_VALUE"""),"Jihan kiki")</f>
        <v>Jihan kiki</v>
      </c>
      <c r="E189" s="4" t="str">
        <f>IFERROR(__xludf.DUMMYFUNCTION("""COMPUTED_VALUE"""),"BANDUNG")</f>
        <v>BANDUNG</v>
      </c>
      <c r="F189" s="4" t="str">
        <f>IFERROR(__xludf.DUMMYFUNCTION("""COMPUTED_VALUE"""),"CIJAWURA")</f>
        <v>CIJAWURA</v>
      </c>
      <c r="G189" s="4" t="str">
        <f>IFERROR(__xludf.DUMMYFUNCTION("""COMPUTED_VALUE"""),"GIS SUMMARECON")</f>
        <v>GIS SUMMARECON</v>
      </c>
      <c r="H189" s="4" t="str">
        <f>IFERROR(__xludf.DUMMYFUNCTION("""COMPUTED_VALUE"""),"MRDN")</f>
        <v>MRDN</v>
      </c>
      <c r="I189" s="4" t="str">
        <f>IFERROR(__xludf.DUMMYFUNCTION("""COMPUTED_VALUE"""),"LBS GBHG - UJUNG")</f>
        <v>LBS GBHG - UJUNG</v>
      </c>
      <c r="J189" s="4" t="str">
        <f>IFERROR(__xludf.DUMMYFUNCTION("""COMPUTED_VALUE"""),"ZONA 3")</f>
        <v>ZONA 3</v>
      </c>
      <c r="K189" s="4" t="str">
        <f>IFERROR(__xludf.DUMMYFUNCTION("""COMPUTED_VALUE"""),"007R11")</f>
        <v>007R11</v>
      </c>
      <c r="L189" s="4" t="str">
        <f>IFERROR(__xludf.DUMMYFUNCTION("""COMPUTED_VALUE"""),"TM - 7B/H (Afspan 90 Derajat)")</f>
        <v>TM - 7B/H (Afspan 90 Derajat)</v>
      </c>
      <c r="M189" s="4" t="str">
        <f>IFERROR(__xludf.DUMMYFUNCTION("""COMPUTED_VALUE"""),"Tidak Ada")</f>
        <v>Tidak Ada</v>
      </c>
      <c r="N189" s="4"/>
      <c r="O189" s="4" t="str">
        <f>IFERROR(__xludf.DUMMYFUNCTION("""COMPUTED_VALUE"""),"PEMBANDING SEJENIS")</f>
        <v>PEMBANDING SEJENIS</v>
      </c>
      <c r="P189" s="4" t="str">
        <f>IFERROR(__xludf.DUMMYFUNCTION("""COMPUTED_VALUE"""),"KONEKTOR/JUMPER")</f>
        <v>KONEKTOR/JUMPER</v>
      </c>
      <c r="Q189" s="4">
        <f>IFERROR(__xludf.DUMMYFUNCTION("""COMPUTED_VALUE"""),21.0)</f>
        <v>21</v>
      </c>
      <c r="R189" s="4">
        <f>IFERROR(__xludf.DUMMYFUNCTION("""COMPUTED_VALUE"""),22.0)</f>
        <v>22</v>
      </c>
      <c r="S189" s="4">
        <f>IFERROR(__xludf.DUMMYFUNCTION("""COMPUTED_VALUE"""),22.0)</f>
        <v>22</v>
      </c>
      <c r="T189" s="4"/>
      <c r="U189" s="4" t="str">
        <f>IFERROR(__xludf.DUMMYFUNCTION("""COMPUTED_VALUE"""),"BAIK")</f>
        <v>BAIK</v>
      </c>
      <c r="V189" s="4" t="str">
        <f>IFERROR(__xludf.DUMMYFUNCTION("""COMPUTED_VALUE"""),"Tidak Ada")</f>
        <v>Tidak Ada</v>
      </c>
      <c r="W189" s="4"/>
      <c r="X189" s="4"/>
      <c r="Y189" s="4"/>
      <c r="Z189" s="4"/>
      <c r="AA189" s="4"/>
      <c r="AB189" s="4"/>
      <c r="AC189" s="4" t="str">
        <f>IFERROR(__xludf.DUMMYFUNCTION("""COMPUTED_VALUE"""),"INSPEKSI SUTM - T2_Images/740c3c48.FOTO.103533.jpg")</f>
        <v>INSPEKSI SUTM - T2_Images/740c3c48.FOTO.103533.jpg</v>
      </c>
      <c r="AD189" s="4"/>
      <c r="AE189" s="4"/>
      <c r="AF189" s="4" t="str">
        <f>IFERROR(__xludf.DUMMYFUNCTION("""COMPUTED_VALUE"""),"BELUM")</f>
        <v>BELUM</v>
      </c>
      <c r="AG189" s="6">
        <f>IFERROR(__xludf.DUMMYFUNCTION("""COMPUTED_VALUE"""),46052.0)</f>
        <v>46052</v>
      </c>
      <c r="AH189" s="4"/>
      <c r="AI189" s="4"/>
    </row>
    <row r="190" ht="15.75" customHeight="1">
      <c r="A190" s="4" t="str">
        <f>IFERROR(__xludf.DUMMYFUNCTION("""COMPUTED_VALUE"""),"1a5aacf9")</f>
        <v>1a5aacf9</v>
      </c>
      <c r="B190" s="5">
        <f>IFERROR(__xludf.DUMMYFUNCTION("""COMPUTED_VALUE"""),46052.777025462965)</f>
        <v>46052.77703</v>
      </c>
      <c r="C190" s="4" t="str">
        <f>IFERROR(__xludf.DUMMYFUNCTION("""COMPUTED_VALUE"""),"-6.969204, 107.669978")</f>
        <v>-6.969204, 107.669978</v>
      </c>
      <c r="D190" s="4" t="str">
        <f>IFERROR(__xludf.DUMMYFUNCTION("""COMPUTED_VALUE"""),"Jihan kiki")</f>
        <v>Jihan kiki</v>
      </c>
      <c r="E190" s="4" t="str">
        <f>IFERROR(__xludf.DUMMYFUNCTION("""COMPUTED_VALUE"""),"BANDUNG")</f>
        <v>BANDUNG</v>
      </c>
      <c r="F190" s="4" t="str">
        <f>IFERROR(__xludf.DUMMYFUNCTION("""COMPUTED_VALUE"""),"CIJAWURA")</f>
        <v>CIJAWURA</v>
      </c>
      <c r="G190" s="4" t="str">
        <f>IFERROR(__xludf.DUMMYFUNCTION("""COMPUTED_VALUE"""),"GIS SUMMARECON")</f>
        <v>GIS SUMMARECON</v>
      </c>
      <c r="H190" s="4" t="str">
        <f>IFERROR(__xludf.DUMMYFUNCTION("""COMPUTED_VALUE"""),"MRDN")</f>
        <v>MRDN</v>
      </c>
      <c r="I190" s="4" t="str">
        <f>IFERROR(__xludf.DUMMYFUNCTION("""COMPUTED_VALUE"""),"LBS GBHG - UJUNG")</f>
        <v>LBS GBHG - UJUNG</v>
      </c>
      <c r="J190" s="4" t="str">
        <f>IFERROR(__xludf.DUMMYFUNCTION("""COMPUTED_VALUE"""),"ZONA 3")</f>
        <v>ZONA 3</v>
      </c>
      <c r="K190" s="4" t="str">
        <f>IFERROR(__xludf.DUMMYFUNCTION("""COMPUTED_VALUE"""),"007R12")</f>
        <v>007R12</v>
      </c>
      <c r="L190" s="4" t="str">
        <f>IFERROR(__xludf.DUMMYFUNCTION("""COMPUTED_VALUE"""),"TM - 8B/H (Percabangan)")</f>
        <v>TM - 8B/H (Percabangan)</v>
      </c>
      <c r="M190" s="4" t="str">
        <f>IFERROR(__xludf.DUMMYFUNCTION("""COMPUTED_VALUE"""),"Tidak Ada")</f>
        <v>Tidak Ada</v>
      </c>
      <c r="N190" s="4"/>
      <c r="O190" s="4" t="str">
        <f>IFERROR(__xludf.DUMMYFUNCTION("""COMPUTED_VALUE"""),"PEMBANDING SEJENIS")</f>
        <v>PEMBANDING SEJENIS</v>
      </c>
      <c r="P190" s="4" t="str">
        <f>IFERROR(__xludf.DUMMYFUNCTION("""COMPUTED_VALUE"""),"KONEKTOR/JUMPER")</f>
        <v>KONEKTOR/JUMPER</v>
      </c>
      <c r="Q190" s="4">
        <f>IFERROR(__xludf.DUMMYFUNCTION("""COMPUTED_VALUE"""),21.0)</f>
        <v>21</v>
      </c>
      <c r="R190" s="4">
        <f>IFERROR(__xludf.DUMMYFUNCTION("""COMPUTED_VALUE"""),22.0)</f>
        <v>22</v>
      </c>
      <c r="S190" s="4">
        <f>IFERROR(__xludf.DUMMYFUNCTION("""COMPUTED_VALUE"""),22.0)</f>
        <v>22</v>
      </c>
      <c r="T190" s="4"/>
      <c r="U190" s="4" t="str">
        <f>IFERROR(__xludf.DUMMYFUNCTION("""COMPUTED_VALUE"""),"BAIK")</f>
        <v>BAIK</v>
      </c>
      <c r="V190" s="4" t="str">
        <f>IFERROR(__xludf.DUMMYFUNCTION("""COMPUTED_VALUE"""),"Tidak Ada")</f>
        <v>Tidak Ada</v>
      </c>
      <c r="W190" s="4"/>
      <c r="X190" s="4"/>
      <c r="Y190" s="4"/>
      <c r="Z190" s="4"/>
      <c r="AA190" s="4"/>
      <c r="AB190" s="4"/>
      <c r="AC190" s="4" t="str">
        <f>IFERROR(__xludf.DUMMYFUNCTION("""COMPUTED_VALUE"""),"INSPEKSI SUTM - T2_Images/1a5aacf9.FOTO.103540.jpg")</f>
        <v>INSPEKSI SUTM - T2_Images/1a5aacf9.FOTO.103540.jpg</v>
      </c>
      <c r="AD190" s="4"/>
      <c r="AE190" s="4"/>
      <c r="AF190" s="4" t="str">
        <f>IFERROR(__xludf.DUMMYFUNCTION("""COMPUTED_VALUE"""),"BELUM")</f>
        <v>BELUM</v>
      </c>
      <c r="AG190" s="6">
        <f>IFERROR(__xludf.DUMMYFUNCTION("""COMPUTED_VALUE"""),46052.0)</f>
        <v>46052</v>
      </c>
      <c r="AH190" s="4"/>
      <c r="AI190" s="4"/>
    </row>
    <row r="191" ht="15.75" customHeight="1">
      <c r="A191" s="4" t="str">
        <f>IFERROR(__xludf.DUMMYFUNCTION("""COMPUTED_VALUE"""),"d11a7940")</f>
        <v>d11a7940</v>
      </c>
      <c r="B191" s="5">
        <f>IFERROR(__xludf.DUMMYFUNCTION("""COMPUTED_VALUE"""),46052.77793981481)</f>
        <v>46052.77794</v>
      </c>
      <c r="C191" s="4" t="str">
        <f>IFERROR(__xludf.DUMMYFUNCTION("""COMPUTED_VALUE"""),"-6.969152, 107.669338")</f>
        <v>-6.969152, 107.669338</v>
      </c>
      <c r="D191" s="4" t="str">
        <f>IFERROR(__xludf.DUMMYFUNCTION("""COMPUTED_VALUE"""),"Jihan kiki")</f>
        <v>Jihan kiki</v>
      </c>
      <c r="E191" s="4" t="str">
        <f>IFERROR(__xludf.DUMMYFUNCTION("""COMPUTED_VALUE"""),"BANDUNG")</f>
        <v>BANDUNG</v>
      </c>
      <c r="F191" s="4" t="str">
        <f>IFERROR(__xludf.DUMMYFUNCTION("""COMPUTED_VALUE"""),"CIJAWURA")</f>
        <v>CIJAWURA</v>
      </c>
      <c r="G191" s="4" t="str">
        <f>IFERROR(__xludf.DUMMYFUNCTION("""COMPUTED_VALUE"""),"GIS SUMMARECON")</f>
        <v>GIS SUMMARECON</v>
      </c>
      <c r="H191" s="4" t="str">
        <f>IFERROR(__xludf.DUMMYFUNCTION("""COMPUTED_VALUE"""),"MRDN")</f>
        <v>MRDN</v>
      </c>
      <c r="I191" s="4" t="str">
        <f>IFERROR(__xludf.DUMMYFUNCTION("""COMPUTED_VALUE"""),"LBS GBHG - UJUNG")</f>
        <v>LBS GBHG - UJUNG</v>
      </c>
      <c r="J191" s="4" t="str">
        <f>IFERROR(__xludf.DUMMYFUNCTION("""COMPUTED_VALUE"""),"ZONA 3")</f>
        <v>ZONA 3</v>
      </c>
      <c r="K191" s="4" t="str">
        <f>IFERROR(__xludf.DUMMYFUNCTION("""COMPUTED_VALUE"""),"007R12R04")</f>
        <v>007R12R04</v>
      </c>
      <c r="L191" s="4" t="str">
        <f>IFERROR(__xludf.DUMMYFUNCTION("""COMPUTED_VALUE"""),"TM - 4B/H (Afspan)")</f>
        <v>TM - 4B/H (Afspan)</v>
      </c>
      <c r="M191" s="4" t="str">
        <f>IFERROR(__xludf.DUMMYFUNCTION("""COMPUTED_VALUE"""),"Tidak Ada")</f>
        <v>Tidak Ada</v>
      </c>
      <c r="N191" s="4"/>
      <c r="O191" s="4" t="str">
        <f>IFERROR(__xludf.DUMMYFUNCTION("""COMPUTED_VALUE"""),"PEMBANDING SEJENIS")</f>
        <v>PEMBANDING SEJENIS</v>
      </c>
      <c r="P191" s="4" t="str">
        <f>IFERROR(__xludf.DUMMYFUNCTION("""COMPUTED_VALUE"""),"KONEKTOR/JUMPER")</f>
        <v>KONEKTOR/JUMPER</v>
      </c>
      <c r="Q191" s="4">
        <f>IFERROR(__xludf.DUMMYFUNCTION("""COMPUTED_VALUE"""),22.0)</f>
        <v>22</v>
      </c>
      <c r="R191" s="4">
        <f>IFERROR(__xludf.DUMMYFUNCTION("""COMPUTED_VALUE"""),21.0)</f>
        <v>21</v>
      </c>
      <c r="S191" s="4">
        <f>IFERROR(__xludf.DUMMYFUNCTION("""COMPUTED_VALUE"""),20.0)</f>
        <v>20</v>
      </c>
      <c r="T191" s="4"/>
      <c r="U191" s="4" t="str">
        <f>IFERROR(__xludf.DUMMYFUNCTION("""COMPUTED_VALUE"""),"BAIK")</f>
        <v>BAIK</v>
      </c>
      <c r="V191" s="4" t="str">
        <f>IFERROR(__xludf.DUMMYFUNCTION("""COMPUTED_VALUE"""),"Tidak Ada")</f>
        <v>Tidak Ada</v>
      </c>
      <c r="W191" s="4"/>
      <c r="X191" s="4"/>
      <c r="Y191" s="4"/>
      <c r="Z191" s="4"/>
      <c r="AA191" s="4"/>
      <c r="AB191" s="4"/>
      <c r="AC191" s="4" t="str">
        <f>IFERROR(__xludf.DUMMYFUNCTION("""COMPUTED_VALUE"""),"INSPEKSI SUTM - T2_Images/d11a7940.FOTO.103544.jpg")</f>
        <v>INSPEKSI SUTM - T2_Images/d11a7940.FOTO.103544.jpg</v>
      </c>
      <c r="AD191" s="4"/>
      <c r="AE191" s="4"/>
      <c r="AF191" s="4" t="str">
        <f>IFERROR(__xludf.DUMMYFUNCTION("""COMPUTED_VALUE"""),"BELUM")</f>
        <v>BELUM</v>
      </c>
      <c r="AG191" s="6">
        <f>IFERROR(__xludf.DUMMYFUNCTION("""COMPUTED_VALUE"""),46052.0)</f>
        <v>46052</v>
      </c>
      <c r="AH191" s="4"/>
      <c r="AI191" s="4"/>
    </row>
    <row r="192" ht="15.75" customHeight="1">
      <c r="A192" s="4" t="str">
        <f>IFERROR(__xludf.DUMMYFUNCTION("""COMPUTED_VALUE"""),"1320a294")</f>
        <v>1320a294</v>
      </c>
      <c r="B192" s="5">
        <f>IFERROR(__xludf.DUMMYFUNCTION("""COMPUTED_VALUE"""),46052.77869212963)</f>
        <v>46052.77869</v>
      </c>
      <c r="C192" s="4" t="str">
        <f>IFERROR(__xludf.DUMMYFUNCTION("""COMPUTED_VALUE"""),"-6.969131, 107.669019")</f>
        <v>-6.969131, 107.669019</v>
      </c>
      <c r="D192" s="4" t="str">
        <f>IFERROR(__xludf.DUMMYFUNCTION("""COMPUTED_VALUE"""),"Jihan kiki")</f>
        <v>Jihan kiki</v>
      </c>
      <c r="E192" s="4" t="str">
        <f>IFERROR(__xludf.DUMMYFUNCTION("""COMPUTED_VALUE"""),"BANDUNG")</f>
        <v>BANDUNG</v>
      </c>
      <c r="F192" s="4" t="str">
        <f>IFERROR(__xludf.DUMMYFUNCTION("""COMPUTED_VALUE"""),"CIJAWURA")</f>
        <v>CIJAWURA</v>
      </c>
      <c r="G192" s="4" t="str">
        <f>IFERROR(__xludf.DUMMYFUNCTION("""COMPUTED_VALUE"""),"GIS SUMMARECON")</f>
        <v>GIS SUMMARECON</v>
      </c>
      <c r="H192" s="4" t="str">
        <f>IFERROR(__xludf.DUMMYFUNCTION("""COMPUTED_VALUE"""),"MRDN")</f>
        <v>MRDN</v>
      </c>
      <c r="I192" s="4" t="str">
        <f>IFERROR(__xludf.DUMMYFUNCTION("""COMPUTED_VALUE"""),"LBS GBHG - UJUNG")</f>
        <v>LBS GBHG - UJUNG</v>
      </c>
      <c r="J192" s="4" t="str">
        <f>IFERROR(__xludf.DUMMYFUNCTION("""COMPUTED_VALUE"""),"ZONA 3")</f>
        <v>ZONA 3</v>
      </c>
      <c r="K192" s="4" t="str">
        <f>IFERROR(__xludf.DUMMYFUNCTION("""COMPUTED_VALUE"""),"007R12R05")</f>
        <v>007R12R05</v>
      </c>
      <c r="L192" s="4" t="str">
        <f>IFERROR(__xludf.DUMMYFUNCTION("""COMPUTED_VALUE"""),"TM - 7B/H (Afspan 90 Derajat)")</f>
        <v>TM - 7B/H (Afspan 90 Derajat)</v>
      </c>
      <c r="M192" s="4" t="str">
        <f>IFERROR(__xludf.DUMMYFUNCTION("""COMPUTED_VALUE"""),"Tidak Ada")</f>
        <v>Tidak Ada</v>
      </c>
      <c r="N192" s="4"/>
      <c r="O192" s="4" t="str">
        <f>IFERROR(__xludf.DUMMYFUNCTION("""COMPUTED_VALUE"""),"PEMBANDING SEJENIS")</f>
        <v>PEMBANDING SEJENIS</v>
      </c>
      <c r="P192" s="4" t="str">
        <f>IFERROR(__xludf.DUMMYFUNCTION("""COMPUTED_VALUE"""),"KONEKTOR/JUMPER")</f>
        <v>KONEKTOR/JUMPER</v>
      </c>
      <c r="Q192" s="4">
        <f>IFERROR(__xludf.DUMMYFUNCTION("""COMPUTED_VALUE"""),18.0)</f>
        <v>18</v>
      </c>
      <c r="R192" s="4">
        <f>IFERROR(__xludf.DUMMYFUNCTION("""COMPUTED_VALUE"""),22.0)</f>
        <v>22</v>
      </c>
      <c r="S192" s="4">
        <f>IFERROR(__xludf.DUMMYFUNCTION("""COMPUTED_VALUE"""),21.0)</f>
        <v>21</v>
      </c>
      <c r="T192" s="4"/>
      <c r="U192" s="4" t="str">
        <f>IFERROR(__xludf.DUMMYFUNCTION("""COMPUTED_VALUE"""),"CUKUP")</f>
        <v>CUKUP</v>
      </c>
      <c r="V192" s="4" t="str">
        <f>IFERROR(__xludf.DUMMYFUNCTION("""COMPUTED_VALUE"""),"Tidak Ada")</f>
        <v>Tidak Ada</v>
      </c>
      <c r="W192" s="4"/>
      <c r="X192" s="4"/>
      <c r="Y192" s="4"/>
      <c r="Z192" s="4"/>
      <c r="AA192" s="4"/>
      <c r="AB192" s="4"/>
      <c r="AC192" s="4" t="str">
        <f>IFERROR(__xludf.DUMMYFUNCTION("""COMPUTED_VALUE"""),"INSPEKSI SUTM - T2_Images/1320a294.FOTO.103549.jpg")</f>
        <v>INSPEKSI SUTM - T2_Images/1320a294.FOTO.103549.jpg</v>
      </c>
      <c r="AD192" s="4"/>
      <c r="AE192" s="4"/>
      <c r="AF192" s="4" t="str">
        <f>IFERROR(__xludf.DUMMYFUNCTION("""COMPUTED_VALUE"""),"BELUM")</f>
        <v>BELUM</v>
      </c>
      <c r="AG192" s="6">
        <f>IFERROR(__xludf.DUMMYFUNCTION("""COMPUTED_VALUE"""),46052.0)</f>
        <v>46052</v>
      </c>
      <c r="AH192" s="4"/>
      <c r="AI192" s="4"/>
    </row>
    <row r="193" ht="15.75" customHeight="1">
      <c r="A193" s="4" t="str">
        <f>IFERROR(__xludf.DUMMYFUNCTION("""COMPUTED_VALUE"""),"d5cababe")</f>
        <v>d5cababe</v>
      </c>
      <c r="B193" s="5">
        <f>IFERROR(__xludf.DUMMYFUNCTION("""COMPUTED_VALUE"""),46052.7840162037)</f>
        <v>46052.78402</v>
      </c>
      <c r="C193" s="4" t="str">
        <f>IFERROR(__xludf.DUMMYFUNCTION("""COMPUTED_VALUE"""),"-6.968358, 107.669034")</f>
        <v>-6.968358, 107.669034</v>
      </c>
      <c r="D193" s="4" t="str">
        <f>IFERROR(__xludf.DUMMYFUNCTION("""COMPUTED_VALUE"""),"Jihan kiki")</f>
        <v>Jihan kiki</v>
      </c>
      <c r="E193" s="4" t="str">
        <f>IFERROR(__xludf.DUMMYFUNCTION("""COMPUTED_VALUE"""),"BANDUNG")</f>
        <v>BANDUNG</v>
      </c>
      <c r="F193" s="4" t="str">
        <f>IFERROR(__xludf.DUMMYFUNCTION("""COMPUTED_VALUE"""),"CIJAWURA")</f>
        <v>CIJAWURA</v>
      </c>
      <c r="G193" s="4" t="str">
        <f>IFERROR(__xludf.DUMMYFUNCTION("""COMPUTED_VALUE"""),"GIS SUMMARECON")</f>
        <v>GIS SUMMARECON</v>
      </c>
      <c r="H193" s="4" t="str">
        <f>IFERROR(__xludf.DUMMYFUNCTION("""COMPUTED_VALUE"""),"MRDN")</f>
        <v>MRDN</v>
      </c>
      <c r="I193" s="4" t="str">
        <f>IFERROR(__xludf.DUMMYFUNCTION("""COMPUTED_VALUE"""),"LBS GBHG - UJUNG")</f>
        <v>LBS GBHG - UJUNG</v>
      </c>
      <c r="J193" s="4" t="str">
        <f>IFERROR(__xludf.DUMMYFUNCTION("""COMPUTED_VALUE"""),"ZONA 3")</f>
        <v>ZONA 3</v>
      </c>
      <c r="K193" s="4" t="str">
        <f>IFERROR(__xludf.DUMMYFUNCTION("""COMPUTED_VALUE"""),"007R12R09")</f>
        <v>007R12R09</v>
      </c>
      <c r="L193" s="4" t="str">
        <f>IFERROR(__xludf.DUMMYFUNCTION("""COMPUTED_VALUE"""),"TM - 14B/H (Akhir)")</f>
        <v>TM - 14B/H (Akhir)</v>
      </c>
      <c r="M193" s="4" t="str">
        <f>IFERROR(__xludf.DUMMYFUNCTION("""COMPUTED_VALUE"""),"Tidak Ada")</f>
        <v>Tidak Ada</v>
      </c>
      <c r="N193" s="4"/>
      <c r="O193" s="4" t="str">
        <f>IFERROR(__xludf.DUMMYFUNCTION("""COMPUTED_VALUE"""),"PEMBANDING SEJENIS")</f>
        <v>PEMBANDING SEJENIS</v>
      </c>
      <c r="P193" s="4" t="str">
        <f>IFERROR(__xludf.DUMMYFUNCTION("""COMPUTED_VALUE"""),"KONEKTOR/JUMPER")</f>
        <v>KONEKTOR/JUMPER</v>
      </c>
      <c r="Q193" s="4">
        <f>IFERROR(__xludf.DUMMYFUNCTION("""COMPUTED_VALUE"""),20.0)</f>
        <v>20</v>
      </c>
      <c r="R193" s="4">
        <f>IFERROR(__xludf.DUMMYFUNCTION("""COMPUTED_VALUE"""),19.0)</f>
        <v>19</v>
      </c>
      <c r="S193" s="4">
        <f>IFERROR(__xludf.DUMMYFUNCTION("""COMPUTED_VALUE"""),18.0)</f>
        <v>18</v>
      </c>
      <c r="T193" s="4"/>
      <c r="U193" s="4" t="str">
        <f>IFERROR(__xludf.DUMMYFUNCTION("""COMPUTED_VALUE"""),"BAIK")</f>
        <v>BAIK</v>
      </c>
      <c r="V193" s="4" t="str">
        <f>IFERROR(__xludf.DUMMYFUNCTION("""COMPUTED_VALUE"""),"Tidak Ada")</f>
        <v>Tidak Ada</v>
      </c>
      <c r="W193" s="4"/>
      <c r="X193" s="4"/>
      <c r="Y193" s="4"/>
      <c r="Z193" s="4"/>
      <c r="AA193" s="4"/>
      <c r="AB193" s="4"/>
      <c r="AC193" s="4" t="str">
        <f>IFERROR(__xludf.DUMMYFUNCTION("""COMPUTED_VALUE"""),"INSPEKSI SUTM - T2_Images/d5cababe.FOTO.104633.jpg")</f>
        <v>INSPEKSI SUTM - T2_Images/d5cababe.FOTO.104633.jpg</v>
      </c>
      <c r="AD193" s="4"/>
      <c r="AE193" s="4"/>
      <c r="AF193" s="4" t="str">
        <f>IFERROR(__xludf.DUMMYFUNCTION("""COMPUTED_VALUE"""),"BELUM")</f>
        <v>BELUM</v>
      </c>
      <c r="AG193" s="6">
        <f>IFERROR(__xludf.DUMMYFUNCTION("""COMPUTED_VALUE"""),46052.0)</f>
        <v>46052</v>
      </c>
      <c r="AH193" s="4"/>
      <c r="AI193" s="4"/>
    </row>
    <row r="194" ht="15.75" customHeight="1">
      <c r="A194" s="4" t="str">
        <f>IFERROR(__xludf.DUMMYFUNCTION("""COMPUTED_VALUE"""),"a61bcf8d")</f>
        <v>a61bcf8d</v>
      </c>
      <c r="B194" s="5">
        <f>IFERROR(__xludf.DUMMYFUNCTION("""COMPUTED_VALUE"""),46052.784895833334)</f>
        <v>46052.7849</v>
      </c>
      <c r="C194" s="4" t="str">
        <f>IFERROR(__xludf.DUMMYFUNCTION("""COMPUTED_VALUE"""),"-6.969868, 107.669838")</f>
        <v>-6.969868, 107.669838</v>
      </c>
      <c r="D194" s="4" t="str">
        <f>IFERROR(__xludf.DUMMYFUNCTION("""COMPUTED_VALUE"""),"Jihan kiki")</f>
        <v>Jihan kiki</v>
      </c>
      <c r="E194" s="4" t="str">
        <f>IFERROR(__xludf.DUMMYFUNCTION("""COMPUTED_VALUE"""),"BANDUNG")</f>
        <v>BANDUNG</v>
      </c>
      <c r="F194" s="4" t="str">
        <f>IFERROR(__xludf.DUMMYFUNCTION("""COMPUTED_VALUE"""),"CIJAWURA")</f>
        <v>CIJAWURA</v>
      </c>
      <c r="G194" s="4" t="str">
        <f>IFERROR(__xludf.DUMMYFUNCTION("""COMPUTED_VALUE"""),"GIS SUMMARECON")</f>
        <v>GIS SUMMARECON</v>
      </c>
      <c r="H194" s="4" t="str">
        <f>IFERROR(__xludf.DUMMYFUNCTION("""COMPUTED_VALUE"""),"MRDN")</f>
        <v>MRDN</v>
      </c>
      <c r="I194" s="4" t="str">
        <f>IFERROR(__xludf.DUMMYFUNCTION("""COMPUTED_VALUE"""),"LBS GBHG - UJUNG")</f>
        <v>LBS GBHG - UJUNG</v>
      </c>
      <c r="J194" s="4" t="str">
        <f>IFERROR(__xludf.DUMMYFUNCTION("""COMPUTED_VALUE"""),"ZONA 3")</f>
        <v>ZONA 3</v>
      </c>
      <c r="K194" s="4" t="str">
        <f>IFERROR(__xludf.DUMMYFUNCTION("""COMPUTED_VALUE"""),"007R15")</f>
        <v>007R15</v>
      </c>
      <c r="L194" s="4" t="str">
        <f>IFERROR(__xludf.DUMMYFUNCTION("""COMPUTED_VALUE"""),"TM - 8B/H (Percabangan)")</f>
        <v>TM - 8B/H (Percabangan)</v>
      </c>
      <c r="M194" s="4" t="str">
        <f>IFERROR(__xludf.DUMMYFUNCTION("""COMPUTED_VALUE"""),"Tidak Ada")</f>
        <v>Tidak Ada</v>
      </c>
      <c r="N194" s="4"/>
      <c r="O194" s="4" t="str">
        <f>IFERROR(__xludf.DUMMYFUNCTION("""COMPUTED_VALUE"""),"PEMBANDING SEJENIS")</f>
        <v>PEMBANDING SEJENIS</v>
      </c>
      <c r="P194" s="4" t="str">
        <f>IFERROR(__xludf.DUMMYFUNCTION("""COMPUTED_VALUE"""),"KONEKTOR/JUMPER")</f>
        <v>KONEKTOR/JUMPER</v>
      </c>
      <c r="Q194" s="4">
        <f>IFERROR(__xludf.DUMMYFUNCTION("""COMPUTED_VALUE"""),21.0)</f>
        <v>21</v>
      </c>
      <c r="R194" s="4">
        <f>IFERROR(__xludf.DUMMYFUNCTION("""COMPUTED_VALUE"""),21.0)</f>
        <v>21</v>
      </c>
      <c r="S194" s="4">
        <f>IFERROR(__xludf.DUMMYFUNCTION("""COMPUTED_VALUE"""),21.0)</f>
        <v>21</v>
      </c>
      <c r="T194" s="4"/>
      <c r="U194" s="4" t="str">
        <f>IFERROR(__xludf.DUMMYFUNCTION("""COMPUTED_VALUE"""),"BAIK")</f>
        <v>BAIK</v>
      </c>
      <c r="V194" s="4" t="str">
        <f>IFERROR(__xludf.DUMMYFUNCTION("""COMPUTED_VALUE"""),"Tidak Ada")</f>
        <v>Tidak Ada</v>
      </c>
      <c r="W194" s="4"/>
      <c r="X194" s="4"/>
      <c r="Y194" s="4"/>
      <c r="Z194" s="4"/>
      <c r="AA194" s="4"/>
      <c r="AB194" s="4"/>
      <c r="AC194" s="4" t="str">
        <f>IFERROR(__xludf.DUMMYFUNCTION("""COMPUTED_VALUE"""),"INSPEKSI SUTM - T2_Images/a61bcf8d.FOTO.104638.jpg")</f>
        <v>INSPEKSI SUTM - T2_Images/a61bcf8d.FOTO.104638.jpg</v>
      </c>
      <c r="AD194" s="4"/>
      <c r="AE194" s="4"/>
      <c r="AF194" s="4" t="str">
        <f>IFERROR(__xludf.DUMMYFUNCTION("""COMPUTED_VALUE"""),"BELUM")</f>
        <v>BELUM</v>
      </c>
      <c r="AG194" s="6">
        <f>IFERROR(__xludf.DUMMYFUNCTION("""COMPUTED_VALUE"""),46052.0)</f>
        <v>46052</v>
      </c>
      <c r="AH194" s="4"/>
      <c r="AI194" s="4"/>
    </row>
    <row r="195" ht="15.75" customHeight="1">
      <c r="A195" s="4" t="str">
        <f>IFERROR(__xludf.DUMMYFUNCTION("""COMPUTED_VALUE"""),"32bf425e")</f>
        <v>32bf425e</v>
      </c>
      <c r="B195" s="5">
        <f>IFERROR(__xludf.DUMMYFUNCTION("""COMPUTED_VALUE"""),46052.78603009259)</f>
        <v>46052.78603</v>
      </c>
      <c r="C195" s="4" t="str">
        <f>IFERROR(__xludf.DUMMYFUNCTION("""COMPUTED_VALUE"""),"-6.953553, 107.640779")</f>
        <v>-6.953553, 107.640779</v>
      </c>
      <c r="D195" s="4" t="str">
        <f>IFERROR(__xludf.DUMMYFUNCTION("""COMPUTED_VALUE"""),"Jihan kiki")</f>
        <v>Jihan kiki</v>
      </c>
      <c r="E195" s="4" t="str">
        <f>IFERROR(__xludf.DUMMYFUNCTION("""COMPUTED_VALUE"""),"BANDUNG")</f>
        <v>BANDUNG</v>
      </c>
      <c r="F195" s="4" t="str">
        <f>IFERROR(__xludf.DUMMYFUNCTION("""COMPUTED_VALUE"""),"CIJAWURA")</f>
        <v>CIJAWURA</v>
      </c>
      <c r="G195" s="4" t="str">
        <f>IFERROR(__xludf.DUMMYFUNCTION("""COMPUTED_VALUE"""),"GIS SUMMARECON")</f>
        <v>GIS SUMMARECON</v>
      </c>
      <c r="H195" s="4" t="str">
        <f>IFERROR(__xludf.DUMMYFUNCTION("""COMPUTED_VALUE"""),"MRDN")</f>
        <v>MRDN</v>
      </c>
      <c r="I195" s="4" t="str">
        <f>IFERROR(__xludf.DUMMYFUNCTION("""COMPUTED_VALUE"""),"LBS GBHG - UJUNG")</f>
        <v>LBS GBHG - UJUNG</v>
      </c>
      <c r="J195" s="4" t="str">
        <f>IFERROR(__xludf.DUMMYFUNCTION("""COMPUTED_VALUE"""),"ZONA 3")</f>
        <v>ZONA 3</v>
      </c>
      <c r="K195" s="4" t="str">
        <f>IFERROR(__xludf.DUMMYFUNCTION("""COMPUTED_VALUE"""),"007R15R05")</f>
        <v>007R15R05</v>
      </c>
      <c r="L195" s="4" t="str">
        <f>IFERROR(__xludf.DUMMYFUNCTION("""COMPUTED_VALUE"""),"TM - 8B/H (Percabangan)")</f>
        <v>TM - 8B/H (Percabangan)</v>
      </c>
      <c r="M195" s="4" t="str">
        <f>IFERROR(__xludf.DUMMYFUNCTION("""COMPUTED_VALUE"""),"Tidak Ada")</f>
        <v>Tidak Ada</v>
      </c>
      <c r="N195" s="4"/>
      <c r="O195" s="4" t="str">
        <f>IFERROR(__xludf.DUMMYFUNCTION("""COMPUTED_VALUE"""),"PEMBANDING SEJENIS")</f>
        <v>PEMBANDING SEJENIS</v>
      </c>
      <c r="P195" s="4" t="str">
        <f>IFERROR(__xludf.DUMMYFUNCTION("""COMPUTED_VALUE"""),"KONEKTOR/JUMPER")</f>
        <v>KONEKTOR/JUMPER</v>
      </c>
      <c r="Q195" s="4">
        <f>IFERROR(__xludf.DUMMYFUNCTION("""COMPUTED_VALUE"""),21.0)</f>
        <v>21</v>
      </c>
      <c r="R195" s="4">
        <f>IFERROR(__xludf.DUMMYFUNCTION("""COMPUTED_VALUE"""),20.0)</f>
        <v>20</v>
      </c>
      <c r="S195" s="4">
        <f>IFERROR(__xludf.DUMMYFUNCTION("""COMPUTED_VALUE"""),22.0)</f>
        <v>22</v>
      </c>
      <c r="T195" s="4"/>
      <c r="U195" s="4" t="str">
        <f>IFERROR(__xludf.DUMMYFUNCTION("""COMPUTED_VALUE"""),"BAIK")</f>
        <v>BAIK</v>
      </c>
      <c r="V195" s="4" t="str">
        <f>IFERROR(__xludf.DUMMYFUNCTION("""COMPUTED_VALUE"""),"Tidak Ada")</f>
        <v>Tidak Ada</v>
      </c>
      <c r="W195" s="4"/>
      <c r="X195" s="4"/>
      <c r="Y195" s="4"/>
      <c r="Z195" s="4"/>
      <c r="AA195" s="4"/>
      <c r="AB195" s="4"/>
      <c r="AC195" s="4" t="str">
        <f>IFERROR(__xludf.DUMMYFUNCTION("""COMPUTED_VALUE"""),"INSPEKSI SUTM - T2_Images/32bf425e.FOTO.104642.jpg")</f>
        <v>INSPEKSI SUTM - T2_Images/32bf425e.FOTO.104642.jpg</v>
      </c>
      <c r="AD195" s="4"/>
      <c r="AE195" s="4"/>
      <c r="AF195" s="4" t="str">
        <f>IFERROR(__xludf.DUMMYFUNCTION("""COMPUTED_VALUE"""),"BELUM")</f>
        <v>BELUM</v>
      </c>
      <c r="AG195" s="6">
        <f>IFERROR(__xludf.DUMMYFUNCTION("""COMPUTED_VALUE"""),46052.0)</f>
        <v>46052</v>
      </c>
      <c r="AH195" s="4"/>
      <c r="AI195" s="4"/>
    </row>
    <row r="196" ht="15.75" customHeight="1">
      <c r="A196" s="4" t="str">
        <f>IFERROR(__xludf.DUMMYFUNCTION("""COMPUTED_VALUE"""),"1372a5cd")</f>
        <v>1372a5cd</v>
      </c>
      <c r="B196" s="5">
        <f>IFERROR(__xludf.DUMMYFUNCTION("""COMPUTED_VALUE"""),46052.78706018518)</f>
        <v>46052.78706</v>
      </c>
      <c r="C196" s="4" t="str">
        <f>IFERROR(__xludf.DUMMYFUNCTION("""COMPUTED_VALUE"""),"-6.971480, 107.668094")</f>
        <v>-6.971480, 107.668094</v>
      </c>
      <c r="D196" s="4" t="str">
        <f>IFERROR(__xludf.DUMMYFUNCTION("""COMPUTED_VALUE"""),"Jihan kiki")</f>
        <v>Jihan kiki</v>
      </c>
      <c r="E196" s="4" t="str">
        <f>IFERROR(__xludf.DUMMYFUNCTION("""COMPUTED_VALUE"""),"BANDUNG")</f>
        <v>BANDUNG</v>
      </c>
      <c r="F196" s="4" t="str">
        <f>IFERROR(__xludf.DUMMYFUNCTION("""COMPUTED_VALUE"""),"CIJAWURA")</f>
        <v>CIJAWURA</v>
      </c>
      <c r="G196" s="4" t="str">
        <f>IFERROR(__xludf.DUMMYFUNCTION("""COMPUTED_VALUE"""),"GIS SUMMARECON")</f>
        <v>GIS SUMMARECON</v>
      </c>
      <c r="H196" s="4" t="str">
        <f>IFERROR(__xludf.DUMMYFUNCTION("""COMPUTED_VALUE"""),"MRDN")</f>
        <v>MRDN</v>
      </c>
      <c r="I196" s="4" t="str">
        <f>IFERROR(__xludf.DUMMYFUNCTION("""COMPUTED_VALUE"""),"LBS GBHG - UJUNG")</f>
        <v>LBS GBHG - UJUNG</v>
      </c>
      <c r="J196" s="4" t="str">
        <f>IFERROR(__xludf.DUMMYFUNCTION("""COMPUTED_VALUE"""),"ZONA 3")</f>
        <v>ZONA 3</v>
      </c>
      <c r="K196" s="4" t="str">
        <f>IFERROR(__xludf.DUMMYFUNCTION("""COMPUTED_VALUE"""),"007R15R10")</f>
        <v>007R15R10</v>
      </c>
      <c r="L196" s="4" t="str">
        <f>IFERROR(__xludf.DUMMYFUNCTION("""COMPUTED_VALUE"""),"TM - 8B/H (Percabangan)")</f>
        <v>TM - 8B/H (Percabangan)</v>
      </c>
      <c r="M196" s="4" t="str">
        <f>IFERROR(__xludf.DUMMYFUNCTION("""COMPUTED_VALUE"""),"Tidak Ada")</f>
        <v>Tidak Ada</v>
      </c>
      <c r="N196" s="4"/>
      <c r="O196" s="4" t="str">
        <f>IFERROR(__xludf.DUMMYFUNCTION("""COMPUTED_VALUE"""),"PEMBANDING SEJENIS")</f>
        <v>PEMBANDING SEJENIS</v>
      </c>
      <c r="P196" s="4" t="str">
        <f>IFERROR(__xludf.DUMMYFUNCTION("""COMPUTED_VALUE"""),"KONEKTOR/JUMPER")</f>
        <v>KONEKTOR/JUMPER</v>
      </c>
      <c r="Q196" s="4">
        <f>IFERROR(__xludf.DUMMYFUNCTION("""COMPUTED_VALUE"""),18.0)</f>
        <v>18</v>
      </c>
      <c r="R196" s="4">
        <f>IFERROR(__xludf.DUMMYFUNCTION("""COMPUTED_VALUE"""),17.0)</f>
        <v>17</v>
      </c>
      <c r="S196" s="4">
        <f>IFERROR(__xludf.DUMMYFUNCTION("""COMPUTED_VALUE"""),20.0)</f>
        <v>20</v>
      </c>
      <c r="T196" s="4"/>
      <c r="U196" s="4" t="str">
        <f>IFERROR(__xludf.DUMMYFUNCTION("""COMPUTED_VALUE"""),"CUKUP")</f>
        <v>CUKUP</v>
      </c>
      <c r="V196" s="4" t="str">
        <f>IFERROR(__xludf.DUMMYFUNCTION("""COMPUTED_VALUE"""),"Tidak Ada")</f>
        <v>Tidak Ada</v>
      </c>
      <c r="W196" s="4"/>
      <c r="X196" s="4"/>
      <c r="Y196" s="4"/>
      <c r="Z196" s="4"/>
      <c r="AA196" s="4"/>
      <c r="AB196" s="4"/>
      <c r="AC196" s="4" t="str">
        <f>IFERROR(__xludf.DUMMYFUNCTION("""COMPUTED_VALUE"""),"INSPEKSI SUTM - T2_Images/1372a5cd.FOTO.104804.jpg")</f>
        <v>INSPEKSI SUTM - T2_Images/1372a5cd.FOTO.104804.jpg</v>
      </c>
      <c r="AD196" s="4"/>
      <c r="AE196" s="4"/>
      <c r="AF196" s="4" t="str">
        <f>IFERROR(__xludf.DUMMYFUNCTION("""COMPUTED_VALUE"""),"BELUM")</f>
        <v>BELUM</v>
      </c>
      <c r="AG196" s="6">
        <f>IFERROR(__xludf.DUMMYFUNCTION("""COMPUTED_VALUE"""),46052.0)</f>
        <v>46052</v>
      </c>
      <c r="AH196" s="4"/>
      <c r="AI196" s="4"/>
    </row>
    <row r="197" ht="15.75" customHeight="1">
      <c r="A197" s="4" t="str">
        <f>IFERROR(__xludf.DUMMYFUNCTION("""COMPUTED_VALUE"""),"3807db94")</f>
        <v>3807db94</v>
      </c>
      <c r="B197" s="5">
        <f>IFERROR(__xludf.DUMMYFUNCTION("""COMPUTED_VALUE"""),46052.78805555555)</f>
        <v>46052.78806</v>
      </c>
      <c r="C197" s="4" t="str">
        <f>IFERROR(__xludf.DUMMYFUNCTION("""COMPUTED_VALUE"""),"-6.971470, 107.668795")</f>
        <v>-6.971470, 107.668795</v>
      </c>
      <c r="D197" s="4" t="str">
        <f>IFERROR(__xludf.DUMMYFUNCTION("""COMPUTED_VALUE"""),"Jihan kiki")</f>
        <v>Jihan kiki</v>
      </c>
      <c r="E197" s="4" t="str">
        <f>IFERROR(__xludf.DUMMYFUNCTION("""COMPUTED_VALUE"""),"BANDUNG")</f>
        <v>BANDUNG</v>
      </c>
      <c r="F197" s="4" t="str">
        <f>IFERROR(__xludf.DUMMYFUNCTION("""COMPUTED_VALUE"""),"CIJAWURA")</f>
        <v>CIJAWURA</v>
      </c>
      <c r="G197" s="4" t="str">
        <f>IFERROR(__xludf.DUMMYFUNCTION("""COMPUTED_VALUE"""),"GIS SUMMARECON")</f>
        <v>GIS SUMMARECON</v>
      </c>
      <c r="H197" s="4" t="str">
        <f>IFERROR(__xludf.DUMMYFUNCTION("""COMPUTED_VALUE"""),"MRDN")</f>
        <v>MRDN</v>
      </c>
      <c r="I197" s="4" t="str">
        <f>IFERROR(__xludf.DUMMYFUNCTION("""COMPUTED_VALUE"""),"LBS GBHG - UJUNG")</f>
        <v>LBS GBHG - UJUNG</v>
      </c>
      <c r="J197" s="4" t="str">
        <f>IFERROR(__xludf.DUMMYFUNCTION("""COMPUTED_VALUE"""),"ZONA 3")</f>
        <v>ZONA 3</v>
      </c>
      <c r="K197" s="4" t="str">
        <f>IFERROR(__xludf.DUMMYFUNCTION("""COMPUTED_VALUE"""),"007R15R10L03")</f>
        <v>007R15R10L03</v>
      </c>
      <c r="L197" s="4" t="str">
        <f>IFERROR(__xludf.DUMMYFUNCTION("""COMPUTED_VALUE"""),"TM - 14B/H (Akhir)")</f>
        <v>TM - 14B/H (Akhir)</v>
      </c>
      <c r="M197" s="4" t="str">
        <f>IFERROR(__xludf.DUMMYFUNCTION("""COMPUTED_VALUE"""),"Tidak Ada")</f>
        <v>Tidak Ada</v>
      </c>
      <c r="N197" s="4"/>
      <c r="O197" s="4" t="str">
        <f>IFERROR(__xludf.DUMMYFUNCTION("""COMPUTED_VALUE"""),"PEMBANDING SEJENIS")</f>
        <v>PEMBANDING SEJENIS</v>
      </c>
      <c r="P197" s="4" t="str">
        <f>IFERROR(__xludf.DUMMYFUNCTION("""COMPUTED_VALUE"""),"KONEKTOR/JUMPER")</f>
        <v>KONEKTOR/JUMPER</v>
      </c>
      <c r="Q197" s="4">
        <f>IFERROR(__xludf.DUMMYFUNCTION("""COMPUTED_VALUE"""),20.0)</f>
        <v>20</v>
      </c>
      <c r="R197" s="4">
        <f>IFERROR(__xludf.DUMMYFUNCTION("""COMPUTED_VALUE"""),20.0)</f>
        <v>20</v>
      </c>
      <c r="S197" s="4">
        <f>IFERROR(__xludf.DUMMYFUNCTION("""COMPUTED_VALUE"""),20.0)</f>
        <v>20</v>
      </c>
      <c r="T197" s="4"/>
      <c r="U197" s="4" t="str">
        <f>IFERROR(__xludf.DUMMYFUNCTION("""COMPUTED_VALUE"""),"BAIK")</f>
        <v>BAIK</v>
      </c>
      <c r="V197" s="4" t="str">
        <f>IFERROR(__xludf.DUMMYFUNCTION("""COMPUTED_VALUE"""),"Tidak Ada")</f>
        <v>Tidak Ada</v>
      </c>
      <c r="W197" s="4"/>
      <c r="X197" s="4"/>
      <c r="Y197" s="4"/>
      <c r="Z197" s="4"/>
      <c r="AA197" s="4"/>
      <c r="AB197" s="4"/>
      <c r="AC197" s="4" t="str">
        <f>IFERROR(__xludf.DUMMYFUNCTION("""COMPUTED_VALUE"""),"INSPEKSI SUTM - T2_Images/3807db94.FOTO.104912.jpg")</f>
        <v>INSPEKSI SUTM - T2_Images/3807db94.FOTO.104912.jpg</v>
      </c>
      <c r="AD197" s="4"/>
      <c r="AE197" s="4"/>
      <c r="AF197" s="4" t="str">
        <f>IFERROR(__xludf.DUMMYFUNCTION("""COMPUTED_VALUE"""),"BELUM")</f>
        <v>BELUM</v>
      </c>
      <c r="AG197" s="6">
        <f>IFERROR(__xludf.DUMMYFUNCTION("""COMPUTED_VALUE"""),46052.0)</f>
        <v>46052</v>
      </c>
      <c r="AH197" s="4"/>
      <c r="AI197" s="4"/>
    </row>
    <row r="198" ht="15.75" customHeight="1">
      <c r="A198" s="4" t="str">
        <f>IFERROR(__xludf.DUMMYFUNCTION("""COMPUTED_VALUE"""),"3c5ea101")</f>
        <v>3c5ea101</v>
      </c>
      <c r="B198" s="5">
        <f>IFERROR(__xludf.DUMMYFUNCTION("""COMPUTED_VALUE"""),46052.78892361111)</f>
        <v>46052.78892</v>
      </c>
      <c r="C198" s="4" t="str">
        <f>IFERROR(__xludf.DUMMYFUNCTION("""COMPUTED_VALUE"""),"-6.972241, 107.668017")</f>
        <v>-6.972241, 107.668017</v>
      </c>
      <c r="D198" s="4" t="str">
        <f>IFERROR(__xludf.DUMMYFUNCTION("""COMPUTED_VALUE"""),"Jihan kiki")</f>
        <v>Jihan kiki</v>
      </c>
      <c r="E198" s="4" t="str">
        <f>IFERROR(__xludf.DUMMYFUNCTION("""COMPUTED_VALUE"""),"BANDUNG")</f>
        <v>BANDUNG</v>
      </c>
      <c r="F198" s="4" t="str">
        <f>IFERROR(__xludf.DUMMYFUNCTION("""COMPUTED_VALUE"""),"CIJAWURA")</f>
        <v>CIJAWURA</v>
      </c>
      <c r="G198" s="4" t="str">
        <f>IFERROR(__xludf.DUMMYFUNCTION("""COMPUTED_VALUE"""),"GIS SUMMARECON")</f>
        <v>GIS SUMMARECON</v>
      </c>
      <c r="H198" s="4" t="str">
        <f>IFERROR(__xludf.DUMMYFUNCTION("""COMPUTED_VALUE"""),"MRDN")</f>
        <v>MRDN</v>
      </c>
      <c r="I198" s="4" t="str">
        <f>IFERROR(__xludf.DUMMYFUNCTION("""COMPUTED_VALUE"""),"LBS GBHG - UJUNG")</f>
        <v>LBS GBHG - UJUNG</v>
      </c>
      <c r="J198" s="4" t="str">
        <f>IFERROR(__xludf.DUMMYFUNCTION("""COMPUTED_VALUE"""),"ZONA 3")</f>
        <v>ZONA 3</v>
      </c>
      <c r="K198" s="4" t="str">
        <f>IFERROR(__xludf.DUMMYFUNCTION("""COMPUTED_VALUE"""),"007R15R12")</f>
        <v>007R15R12</v>
      </c>
      <c r="L198" s="4" t="str">
        <f>IFERROR(__xludf.DUMMYFUNCTION("""COMPUTED_VALUE"""),"TM - 7B/H (Afspan 90 Derajat)")</f>
        <v>TM - 7B/H (Afspan 90 Derajat)</v>
      </c>
      <c r="M198" s="4" t="str">
        <f>IFERROR(__xludf.DUMMYFUNCTION("""COMPUTED_VALUE"""),"Tidak Ada")</f>
        <v>Tidak Ada</v>
      </c>
      <c r="N198" s="4"/>
      <c r="O198" s="4" t="str">
        <f>IFERROR(__xludf.DUMMYFUNCTION("""COMPUTED_VALUE"""),"PEMBANDING SEJENIS")</f>
        <v>PEMBANDING SEJENIS</v>
      </c>
      <c r="P198" s="4" t="str">
        <f>IFERROR(__xludf.DUMMYFUNCTION("""COMPUTED_VALUE"""),"KONEKTOR/JUMPER")</f>
        <v>KONEKTOR/JUMPER</v>
      </c>
      <c r="Q198" s="4">
        <f>IFERROR(__xludf.DUMMYFUNCTION("""COMPUTED_VALUE"""),21.0)</f>
        <v>21</v>
      </c>
      <c r="R198" s="4">
        <f>IFERROR(__xludf.DUMMYFUNCTION("""COMPUTED_VALUE"""),22.0)</f>
        <v>22</v>
      </c>
      <c r="S198" s="4">
        <f>IFERROR(__xludf.DUMMYFUNCTION("""COMPUTED_VALUE"""),22.0)</f>
        <v>22</v>
      </c>
      <c r="T198" s="4"/>
      <c r="U198" s="4" t="str">
        <f>IFERROR(__xludf.DUMMYFUNCTION("""COMPUTED_VALUE"""),"BAIK")</f>
        <v>BAIK</v>
      </c>
      <c r="V198" s="4" t="str">
        <f>IFERROR(__xludf.DUMMYFUNCTION("""COMPUTED_VALUE"""),"Tidak Ada")</f>
        <v>Tidak Ada</v>
      </c>
      <c r="W198" s="4"/>
      <c r="X198" s="4"/>
      <c r="Y198" s="4"/>
      <c r="Z198" s="4"/>
      <c r="AA198" s="4"/>
      <c r="AB198" s="4"/>
      <c r="AC198" s="4" t="str">
        <f>IFERROR(__xludf.DUMMYFUNCTION("""COMPUTED_VALUE"""),"INSPEKSI SUTM - T2_Images/3c5ea101.FOTO.105413.jpg")</f>
        <v>INSPEKSI SUTM - T2_Images/3c5ea101.FOTO.105413.jpg</v>
      </c>
      <c r="AD198" s="4"/>
      <c r="AE198" s="4"/>
      <c r="AF198" s="4" t="str">
        <f>IFERROR(__xludf.DUMMYFUNCTION("""COMPUTED_VALUE"""),"BELUM")</f>
        <v>BELUM</v>
      </c>
      <c r="AG198" s="6">
        <f>IFERROR(__xludf.DUMMYFUNCTION("""COMPUTED_VALUE"""),46052.0)</f>
        <v>46052</v>
      </c>
      <c r="AH198" s="4"/>
      <c r="AI198" s="4"/>
    </row>
    <row r="199" ht="15.75" customHeight="1">
      <c r="A199" s="4" t="str">
        <f>IFERROR(__xludf.DUMMYFUNCTION("""COMPUTED_VALUE"""),"5690e5b8")</f>
        <v>5690e5b8</v>
      </c>
      <c r="B199" s="5">
        <f>IFERROR(__xludf.DUMMYFUNCTION("""COMPUTED_VALUE"""),46052.78969907408)</f>
        <v>46052.7897</v>
      </c>
      <c r="C199" s="4" t="str">
        <f>IFERROR(__xludf.DUMMYFUNCTION("""COMPUTED_VALUE"""),"-6.972169, 107.666755")</f>
        <v>-6.972169, 107.666755</v>
      </c>
      <c r="D199" s="4" t="str">
        <f>IFERROR(__xludf.DUMMYFUNCTION("""COMPUTED_VALUE"""),"Jihan kiki")</f>
        <v>Jihan kiki</v>
      </c>
      <c r="E199" s="4" t="str">
        <f>IFERROR(__xludf.DUMMYFUNCTION("""COMPUTED_VALUE"""),"BANDUNG")</f>
        <v>BANDUNG</v>
      </c>
      <c r="F199" s="4" t="str">
        <f>IFERROR(__xludf.DUMMYFUNCTION("""COMPUTED_VALUE"""),"CIJAWURA")</f>
        <v>CIJAWURA</v>
      </c>
      <c r="G199" s="4" t="str">
        <f>IFERROR(__xludf.DUMMYFUNCTION("""COMPUTED_VALUE"""),"GIS SUMMARECON")</f>
        <v>GIS SUMMARECON</v>
      </c>
      <c r="H199" s="4" t="str">
        <f>IFERROR(__xludf.DUMMYFUNCTION("""COMPUTED_VALUE"""),"MRDN")</f>
        <v>MRDN</v>
      </c>
      <c r="I199" s="4" t="str">
        <f>IFERROR(__xludf.DUMMYFUNCTION("""COMPUTED_VALUE"""),"LBS GBHG - UJUNG")</f>
        <v>LBS GBHG - UJUNG</v>
      </c>
      <c r="J199" s="4" t="str">
        <f>IFERROR(__xludf.DUMMYFUNCTION("""COMPUTED_VALUE"""),"ZONA 3")</f>
        <v>ZONA 3</v>
      </c>
      <c r="K199" s="4" t="str">
        <f>IFERROR(__xludf.DUMMYFUNCTION("""COMPUTED_VALUE"""),"007R15R17")</f>
        <v>007R15R17</v>
      </c>
      <c r="L199" s="4" t="str">
        <f>IFERROR(__xludf.DUMMYFUNCTION("""COMPUTED_VALUE"""),"TM - 14B/H (Akhir)")</f>
        <v>TM - 14B/H (Akhir)</v>
      </c>
      <c r="M199" s="4" t="str">
        <f>IFERROR(__xludf.DUMMYFUNCTION("""COMPUTED_VALUE"""),"Tidak Ada")</f>
        <v>Tidak Ada</v>
      </c>
      <c r="N199" s="4"/>
      <c r="O199" s="4" t="str">
        <f>IFERROR(__xludf.DUMMYFUNCTION("""COMPUTED_VALUE"""),"PEMBANDING SEJENIS")</f>
        <v>PEMBANDING SEJENIS</v>
      </c>
      <c r="P199" s="4" t="str">
        <f>IFERROR(__xludf.DUMMYFUNCTION("""COMPUTED_VALUE"""),"KONEKTOR/JUMPER")</f>
        <v>KONEKTOR/JUMPER</v>
      </c>
      <c r="Q199" s="4">
        <f>IFERROR(__xludf.DUMMYFUNCTION("""COMPUTED_VALUE"""),21.0)</f>
        <v>21</v>
      </c>
      <c r="R199" s="4">
        <f>IFERROR(__xludf.DUMMYFUNCTION("""COMPUTED_VALUE"""),21.0)</f>
        <v>21</v>
      </c>
      <c r="S199" s="4">
        <f>IFERROR(__xludf.DUMMYFUNCTION("""COMPUTED_VALUE"""),21.0)</f>
        <v>21</v>
      </c>
      <c r="T199" s="4"/>
      <c r="U199" s="4" t="str">
        <f>IFERROR(__xludf.DUMMYFUNCTION("""COMPUTED_VALUE"""),"BAIK")</f>
        <v>BAIK</v>
      </c>
      <c r="V199" s="4" t="str">
        <f>IFERROR(__xludf.DUMMYFUNCTION("""COMPUTED_VALUE"""),"Tidak Ada")</f>
        <v>Tidak Ada</v>
      </c>
      <c r="W199" s="4"/>
      <c r="X199" s="4"/>
      <c r="Y199" s="4"/>
      <c r="Z199" s="4"/>
      <c r="AA199" s="4"/>
      <c r="AB199" s="4"/>
      <c r="AC199" s="4" t="str">
        <f>IFERROR(__xludf.DUMMYFUNCTION("""COMPUTED_VALUE"""),"INSPEKSI SUTM - T2_Images/5690e5b8.FOTO.105426.jpg")</f>
        <v>INSPEKSI SUTM - T2_Images/5690e5b8.FOTO.105426.jpg</v>
      </c>
      <c r="AD199" s="4"/>
      <c r="AE199" s="4"/>
      <c r="AF199" s="4" t="str">
        <f>IFERROR(__xludf.DUMMYFUNCTION("""COMPUTED_VALUE"""),"BELUM")</f>
        <v>BELUM</v>
      </c>
      <c r="AG199" s="6">
        <f>IFERROR(__xludf.DUMMYFUNCTION("""COMPUTED_VALUE"""),46052.0)</f>
        <v>46052</v>
      </c>
      <c r="AH199" s="4"/>
      <c r="AI199" s="4"/>
    </row>
    <row r="200" ht="15.75" customHeight="1">
      <c r="A200" s="4" t="str">
        <f>IFERROR(__xludf.DUMMYFUNCTION("""COMPUTED_VALUE"""),"093f9c8e")</f>
        <v>093f9c8e</v>
      </c>
      <c r="B200" s="5">
        <f>IFERROR(__xludf.DUMMYFUNCTION("""COMPUTED_VALUE"""),46052.7905787037)</f>
        <v>46052.79058</v>
      </c>
      <c r="C200" s="4" t="str">
        <f>IFERROR(__xludf.DUMMYFUNCTION("""COMPUTED_VALUE"""),"-6.971610, 107.669916")</f>
        <v>-6.971610, 107.669916</v>
      </c>
      <c r="D200" s="4" t="str">
        <f>IFERROR(__xludf.DUMMYFUNCTION("""COMPUTED_VALUE"""),"Jihan kiki")</f>
        <v>Jihan kiki</v>
      </c>
      <c r="E200" s="4" t="str">
        <f>IFERROR(__xludf.DUMMYFUNCTION("""COMPUTED_VALUE"""),"BANDUNG")</f>
        <v>BANDUNG</v>
      </c>
      <c r="F200" s="4" t="str">
        <f>IFERROR(__xludf.DUMMYFUNCTION("""COMPUTED_VALUE"""),"CIJAWURA")</f>
        <v>CIJAWURA</v>
      </c>
      <c r="G200" s="4" t="str">
        <f>IFERROR(__xludf.DUMMYFUNCTION("""COMPUTED_VALUE"""),"GIS SUMMARECON")</f>
        <v>GIS SUMMARECON</v>
      </c>
      <c r="H200" s="4" t="str">
        <f>IFERROR(__xludf.DUMMYFUNCTION("""COMPUTED_VALUE"""),"MRDN")</f>
        <v>MRDN</v>
      </c>
      <c r="I200" s="4" t="str">
        <f>IFERROR(__xludf.DUMMYFUNCTION("""COMPUTED_VALUE"""),"LBS GBHG - UJUNG")</f>
        <v>LBS GBHG - UJUNG</v>
      </c>
      <c r="J200" s="4" t="str">
        <f>IFERROR(__xludf.DUMMYFUNCTION("""COMPUTED_VALUE"""),"ZONA 3")</f>
        <v>ZONA 3</v>
      </c>
      <c r="K200" s="4" t="str">
        <f>IFERROR(__xludf.DUMMYFUNCTION("""COMPUTED_VALUE"""),"007R22")</f>
        <v>007R22</v>
      </c>
      <c r="L200" s="4" t="str">
        <f>IFERROR(__xludf.DUMMYFUNCTION("""COMPUTED_VALUE"""),"TM - 8B/H (Percabangan)")</f>
        <v>TM - 8B/H (Percabangan)</v>
      </c>
      <c r="M200" s="4" t="str">
        <f>IFERROR(__xludf.DUMMYFUNCTION("""COMPUTED_VALUE"""),"Tidak Ada")</f>
        <v>Tidak Ada</v>
      </c>
      <c r="N200" s="4"/>
      <c r="O200" s="4" t="str">
        <f>IFERROR(__xludf.DUMMYFUNCTION("""COMPUTED_VALUE"""),"PEMBANDING SEJENIS")</f>
        <v>PEMBANDING SEJENIS</v>
      </c>
      <c r="P200" s="4" t="str">
        <f>IFERROR(__xludf.DUMMYFUNCTION("""COMPUTED_VALUE"""),"KONEKTOR/JUMPER")</f>
        <v>KONEKTOR/JUMPER</v>
      </c>
      <c r="Q200" s="4">
        <f>IFERROR(__xludf.DUMMYFUNCTION("""COMPUTED_VALUE"""),21.0)</f>
        <v>21</v>
      </c>
      <c r="R200" s="4">
        <f>IFERROR(__xludf.DUMMYFUNCTION("""COMPUTED_VALUE"""),21.0)</f>
        <v>21</v>
      </c>
      <c r="S200" s="4">
        <f>IFERROR(__xludf.DUMMYFUNCTION("""COMPUTED_VALUE"""),20.0)</f>
        <v>20</v>
      </c>
      <c r="T200" s="4"/>
      <c r="U200" s="4" t="str">
        <f>IFERROR(__xludf.DUMMYFUNCTION("""COMPUTED_VALUE"""),"BAIK")</f>
        <v>BAIK</v>
      </c>
      <c r="V200" s="4" t="str">
        <f>IFERROR(__xludf.DUMMYFUNCTION("""COMPUTED_VALUE"""),"Tidak Ada")</f>
        <v>Tidak Ada</v>
      </c>
      <c r="W200" s="4"/>
      <c r="X200" s="4"/>
      <c r="Y200" s="4"/>
      <c r="Z200" s="4"/>
      <c r="AA200" s="4"/>
      <c r="AB200" s="4"/>
      <c r="AC200" s="4" t="str">
        <f>IFERROR(__xludf.DUMMYFUNCTION("""COMPUTED_VALUE"""),"INSPEKSI SUTM - T2_Images/093f9c8e.FOTO.105430.jpg")</f>
        <v>INSPEKSI SUTM - T2_Images/093f9c8e.FOTO.105430.jpg</v>
      </c>
      <c r="AD200" s="4"/>
      <c r="AE200" s="4"/>
      <c r="AF200" s="4" t="str">
        <f>IFERROR(__xludf.DUMMYFUNCTION("""COMPUTED_VALUE"""),"BELUM")</f>
        <v>BELUM</v>
      </c>
      <c r="AG200" s="6">
        <f>IFERROR(__xludf.DUMMYFUNCTION("""COMPUTED_VALUE"""),46052.0)</f>
        <v>46052</v>
      </c>
      <c r="AH200" s="4"/>
      <c r="AI200" s="4"/>
    </row>
    <row r="201" ht="15.75" customHeight="1">
      <c r="A201" s="4" t="str">
        <f>IFERROR(__xludf.DUMMYFUNCTION("""COMPUTED_VALUE"""),"3f9d9675")</f>
        <v>3f9d9675</v>
      </c>
      <c r="B201" s="5">
        <f>IFERROR(__xludf.DUMMYFUNCTION("""COMPUTED_VALUE"""),46052.791493055556)</f>
        <v>46052.79149</v>
      </c>
      <c r="C201" s="4" t="str">
        <f>IFERROR(__xludf.DUMMYFUNCTION("""COMPUTED_VALUE"""),"-6.971627, 107.670559")</f>
        <v>-6.971627, 107.670559</v>
      </c>
      <c r="D201" s="4" t="str">
        <f>IFERROR(__xludf.DUMMYFUNCTION("""COMPUTED_VALUE"""),"Jihan kiki")</f>
        <v>Jihan kiki</v>
      </c>
      <c r="E201" s="4" t="str">
        <f>IFERROR(__xludf.DUMMYFUNCTION("""COMPUTED_VALUE"""),"BANDUNG")</f>
        <v>BANDUNG</v>
      </c>
      <c r="F201" s="4" t="str">
        <f>IFERROR(__xludf.DUMMYFUNCTION("""COMPUTED_VALUE"""),"CIJAWURA")</f>
        <v>CIJAWURA</v>
      </c>
      <c r="G201" s="4" t="str">
        <f>IFERROR(__xludf.DUMMYFUNCTION("""COMPUTED_VALUE"""),"GIS SUMMARECON")</f>
        <v>GIS SUMMARECON</v>
      </c>
      <c r="H201" s="4" t="str">
        <f>IFERROR(__xludf.DUMMYFUNCTION("""COMPUTED_VALUE"""),"MRDN")</f>
        <v>MRDN</v>
      </c>
      <c r="I201" s="4" t="str">
        <f>IFERROR(__xludf.DUMMYFUNCTION("""COMPUTED_VALUE"""),"LBS GBHG - UJUNG")</f>
        <v>LBS GBHG - UJUNG</v>
      </c>
      <c r="J201" s="4" t="str">
        <f>IFERROR(__xludf.DUMMYFUNCTION("""COMPUTED_VALUE"""),"ZONA 3")</f>
        <v>ZONA 3</v>
      </c>
      <c r="K201" s="4" t="str">
        <f>IFERROR(__xludf.DUMMYFUNCTION("""COMPUTED_VALUE"""),"007R22R03")</f>
        <v>007R22R03</v>
      </c>
      <c r="L201" s="4" t="str">
        <f>IFERROR(__xludf.DUMMYFUNCTION("""COMPUTED_VALUE"""),"TM - 14B/H (Akhir)")</f>
        <v>TM - 14B/H (Akhir)</v>
      </c>
      <c r="M201" s="4" t="str">
        <f>IFERROR(__xludf.DUMMYFUNCTION("""COMPUTED_VALUE"""),"Tidak Ada")</f>
        <v>Tidak Ada</v>
      </c>
      <c r="N201" s="4"/>
      <c r="O201" s="4" t="str">
        <f>IFERROR(__xludf.DUMMYFUNCTION("""COMPUTED_VALUE"""),"PEMBANDING SEJENIS")</f>
        <v>PEMBANDING SEJENIS</v>
      </c>
      <c r="P201" s="4" t="str">
        <f>IFERROR(__xludf.DUMMYFUNCTION("""COMPUTED_VALUE"""),"KONEKTOR/JUMPER")</f>
        <v>KONEKTOR/JUMPER</v>
      </c>
      <c r="Q201" s="4">
        <f>IFERROR(__xludf.DUMMYFUNCTION("""COMPUTED_VALUE"""),22.0)</f>
        <v>22</v>
      </c>
      <c r="R201" s="4">
        <f>IFERROR(__xludf.DUMMYFUNCTION("""COMPUTED_VALUE"""),20.0)</f>
        <v>20</v>
      </c>
      <c r="S201" s="4">
        <f>IFERROR(__xludf.DUMMYFUNCTION("""COMPUTED_VALUE"""),21.0)</f>
        <v>21</v>
      </c>
      <c r="T201" s="4"/>
      <c r="U201" s="4" t="str">
        <f>IFERROR(__xludf.DUMMYFUNCTION("""COMPUTED_VALUE"""),"BAIK")</f>
        <v>BAIK</v>
      </c>
      <c r="V201" s="4" t="str">
        <f>IFERROR(__xludf.DUMMYFUNCTION("""COMPUTED_VALUE"""),"Tidak Ada")</f>
        <v>Tidak Ada</v>
      </c>
      <c r="W201" s="4"/>
      <c r="X201" s="4"/>
      <c r="Y201" s="4"/>
      <c r="Z201" s="4"/>
      <c r="AA201" s="4"/>
      <c r="AB201" s="4"/>
      <c r="AC201" s="4" t="str">
        <f>IFERROR(__xludf.DUMMYFUNCTION("""COMPUTED_VALUE"""),"INSPEKSI SUTM - T2_Images/3f9d9675.FOTO.105453.jpg")</f>
        <v>INSPEKSI SUTM - T2_Images/3f9d9675.FOTO.105453.jpg</v>
      </c>
      <c r="AD201" s="4"/>
      <c r="AE201" s="4"/>
      <c r="AF201" s="4" t="str">
        <f>IFERROR(__xludf.DUMMYFUNCTION("""COMPUTED_VALUE"""),"BELUM")</f>
        <v>BELUM</v>
      </c>
      <c r="AG201" s="6">
        <f>IFERROR(__xludf.DUMMYFUNCTION("""COMPUTED_VALUE"""),46052.0)</f>
        <v>46052</v>
      </c>
      <c r="AH201" s="4"/>
      <c r="AI201" s="4"/>
    </row>
    <row r="202" ht="15.75" customHeight="1">
      <c r="A202" s="4" t="str">
        <f>IFERROR(__xludf.DUMMYFUNCTION("""COMPUTED_VALUE"""),"2b2f3c5d")</f>
        <v>2b2f3c5d</v>
      </c>
      <c r="B202" s="5">
        <f>IFERROR(__xludf.DUMMYFUNCTION("""COMPUTED_VALUE"""),46052.79261574074)</f>
        <v>46052.79262</v>
      </c>
      <c r="C202" s="4" t="str">
        <f>IFERROR(__xludf.DUMMYFUNCTION("""COMPUTED_VALUE"""),"-6.971631, 107.670565")</f>
        <v>-6.971631, 107.670565</v>
      </c>
      <c r="D202" s="4" t="str">
        <f>IFERROR(__xludf.DUMMYFUNCTION("""COMPUTED_VALUE"""),"Jihan kiki")</f>
        <v>Jihan kiki</v>
      </c>
      <c r="E202" s="4" t="str">
        <f>IFERROR(__xludf.DUMMYFUNCTION("""COMPUTED_VALUE"""),"BANDUNG")</f>
        <v>BANDUNG</v>
      </c>
      <c r="F202" s="4" t="str">
        <f>IFERROR(__xludf.DUMMYFUNCTION("""COMPUTED_VALUE"""),"CIJAWURA")</f>
        <v>CIJAWURA</v>
      </c>
      <c r="G202" s="4" t="str">
        <f>IFERROR(__xludf.DUMMYFUNCTION("""COMPUTED_VALUE"""),"GIS SUMMARECON")</f>
        <v>GIS SUMMARECON</v>
      </c>
      <c r="H202" s="4" t="str">
        <f>IFERROR(__xludf.DUMMYFUNCTION("""COMPUTED_VALUE"""),"MRDN")</f>
        <v>MRDN</v>
      </c>
      <c r="I202" s="4" t="str">
        <f>IFERROR(__xludf.DUMMYFUNCTION("""COMPUTED_VALUE"""),"LBS GBHG - UJUNG")</f>
        <v>LBS GBHG - UJUNG</v>
      </c>
      <c r="J202" s="4" t="str">
        <f>IFERROR(__xludf.DUMMYFUNCTION("""COMPUTED_VALUE"""),"ZONA 3")</f>
        <v>ZONA 3</v>
      </c>
      <c r="K202" s="4" t="str">
        <f>IFERROR(__xludf.DUMMYFUNCTION("""COMPUTED_VALUE"""),"007R22R03")</f>
        <v>007R22R03</v>
      </c>
      <c r="L202" s="4" t="str">
        <f>IFERROR(__xludf.DUMMYFUNCTION("""COMPUTED_VALUE"""),"TM - 14B/H (Akhir)")</f>
        <v>TM - 14B/H (Akhir)</v>
      </c>
      <c r="M202" s="4" t="str">
        <f>IFERROR(__xludf.DUMMYFUNCTION("""COMPUTED_VALUE"""),"Tidak Ada")</f>
        <v>Tidak Ada</v>
      </c>
      <c r="N202" s="4"/>
      <c r="O202" s="4" t="str">
        <f>IFERROR(__xludf.DUMMYFUNCTION("""COMPUTED_VALUE"""),"PEMBANDING SEJENIS")</f>
        <v>PEMBANDING SEJENIS</v>
      </c>
      <c r="P202" s="4" t="str">
        <f>IFERROR(__xludf.DUMMYFUNCTION("""COMPUTED_VALUE"""),"KONEKTOR/JUMPER")</f>
        <v>KONEKTOR/JUMPER</v>
      </c>
      <c r="Q202" s="4">
        <f>IFERROR(__xludf.DUMMYFUNCTION("""COMPUTED_VALUE"""),22.0)</f>
        <v>22</v>
      </c>
      <c r="R202" s="4">
        <f>IFERROR(__xludf.DUMMYFUNCTION("""COMPUTED_VALUE"""),20.0)</f>
        <v>20</v>
      </c>
      <c r="S202" s="4">
        <f>IFERROR(__xludf.DUMMYFUNCTION("""COMPUTED_VALUE"""),21.0)</f>
        <v>21</v>
      </c>
      <c r="T202" s="4"/>
      <c r="U202" s="4" t="str">
        <f>IFERROR(__xludf.DUMMYFUNCTION("""COMPUTED_VALUE"""),"BAIK")</f>
        <v>BAIK</v>
      </c>
      <c r="V202" s="4" t="str">
        <f>IFERROR(__xludf.DUMMYFUNCTION("""COMPUTED_VALUE"""),"Tidak Ada")</f>
        <v>Tidak Ada</v>
      </c>
      <c r="W202" s="4"/>
      <c r="X202" s="4"/>
      <c r="Y202" s="4"/>
      <c r="Z202" s="4"/>
      <c r="AA202" s="4"/>
      <c r="AB202" s="4"/>
      <c r="AC202" s="4" t="str">
        <f>IFERROR(__xludf.DUMMYFUNCTION("""COMPUTED_VALUE"""),"INSPEKSI SUTM - T2_Images/2b2f3c5d.FOTO.105550.jpg")</f>
        <v>INSPEKSI SUTM - T2_Images/2b2f3c5d.FOTO.105550.jpg</v>
      </c>
      <c r="AD202" s="4"/>
      <c r="AE202" s="4"/>
      <c r="AF202" s="4" t="str">
        <f>IFERROR(__xludf.DUMMYFUNCTION("""COMPUTED_VALUE"""),"BELUM")</f>
        <v>BELUM</v>
      </c>
      <c r="AG202" s="6">
        <f>IFERROR(__xludf.DUMMYFUNCTION("""COMPUTED_VALUE"""),46052.0)</f>
        <v>46052</v>
      </c>
      <c r="AH202" s="4"/>
      <c r="AI202" s="4"/>
    </row>
    <row r="203" ht="15.75" customHeight="1">
      <c r="A203" s="4" t="str">
        <f>IFERROR(__xludf.DUMMYFUNCTION("""COMPUTED_VALUE"""),"93ffbcdc")</f>
        <v>93ffbcdc</v>
      </c>
      <c r="B203" s="5">
        <f>IFERROR(__xludf.DUMMYFUNCTION("""COMPUTED_VALUE"""),46052.79384259259)</f>
        <v>46052.79384</v>
      </c>
      <c r="C203" s="4" t="str">
        <f>IFERROR(__xludf.DUMMYFUNCTION("""COMPUTED_VALUE"""),"-6.974647, 107.669900")</f>
        <v>-6.974647, 107.669900</v>
      </c>
      <c r="D203" s="4" t="str">
        <f>IFERROR(__xludf.DUMMYFUNCTION("""COMPUTED_VALUE"""),"Jihan kiki")</f>
        <v>Jihan kiki</v>
      </c>
      <c r="E203" s="4" t="str">
        <f>IFERROR(__xludf.DUMMYFUNCTION("""COMPUTED_VALUE"""),"BANDUNG")</f>
        <v>BANDUNG</v>
      </c>
      <c r="F203" s="4" t="str">
        <f>IFERROR(__xludf.DUMMYFUNCTION("""COMPUTED_VALUE"""),"CIJAWURA")</f>
        <v>CIJAWURA</v>
      </c>
      <c r="G203" s="4" t="str">
        <f>IFERROR(__xludf.DUMMYFUNCTION("""COMPUTED_VALUE"""),"GIS SUMMARECON")</f>
        <v>GIS SUMMARECON</v>
      </c>
      <c r="H203" s="4" t="str">
        <f>IFERROR(__xludf.DUMMYFUNCTION("""COMPUTED_VALUE"""),"MRDN")</f>
        <v>MRDN</v>
      </c>
      <c r="I203" s="4" t="str">
        <f>IFERROR(__xludf.DUMMYFUNCTION("""COMPUTED_VALUE"""),"LBS GBHG - UJUNG")</f>
        <v>LBS GBHG - UJUNG</v>
      </c>
      <c r="J203" s="4" t="str">
        <f>IFERROR(__xludf.DUMMYFUNCTION("""COMPUTED_VALUE"""),"ZONA 3")</f>
        <v>ZONA 3</v>
      </c>
      <c r="K203" s="4" t="str">
        <f>IFERROR(__xludf.DUMMYFUNCTION("""COMPUTED_VALUE"""),"007R32")</f>
        <v>007R32</v>
      </c>
      <c r="L203" s="4" t="str">
        <f>IFERROR(__xludf.DUMMYFUNCTION("""COMPUTED_VALUE"""),"TM - 8B/H (Percabangan)")</f>
        <v>TM - 8B/H (Percabangan)</v>
      </c>
      <c r="M203" s="4" t="str">
        <f>IFERROR(__xludf.DUMMYFUNCTION("""COMPUTED_VALUE"""),"Tidak Ada")</f>
        <v>Tidak Ada</v>
      </c>
      <c r="N203" s="4"/>
      <c r="O203" s="4" t="str">
        <f>IFERROR(__xludf.DUMMYFUNCTION("""COMPUTED_VALUE"""),"PEMBANDING SEJENIS")</f>
        <v>PEMBANDING SEJENIS</v>
      </c>
      <c r="P203" s="4" t="str">
        <f>IFERROR(__xludf.DUMMYFUNCTION("""COMPUTED_VALUE"""),"KONEKTOR/JUMPER")</f>
        <v>KONEKTOR/JUMPER</v>
      </c>
      <c r="Q203" s="4">
        <f>IFERROR(__xludf.DUMMYFUNCTION("""COMPUTED_VALUE"""),20.0)</f>
        <v>20</v>
      </c>
      <c r="R203" s="4">
        <f>IFERROR(__xludf.DUMMYFUNCTION("""COMPUTED_VALUE"""),23.0)</f>
        <v>23</v>
      </c>
      <c r="S203" s="4">
        <f>IFERROR(__xludf.DUMMYFUNCTION("""COMPUTED_VALUE"""),20.0)</f>
        <v>20</v>
      </c>
      <c r="T203" s="4"/>
      <c r="U203" s="4" t="str">
        <f>IFERROR(__xludf.DUMMYFUNCTION("""COMPUTED_VALUE"""),"CUKUP")</f>
        <v>CUKUP</v>
      </c>
      <c r="V203" s="4" t="str">
        <f>IFERROR(__xludf.DUMMYFUNCTION("""COMPUTED_VALUE"""),"Tidak Ada")</f>
        <v>Tidak Ada</v>
      </c>
      <c r="W203" s="4"/>
      <c r="X203" s="4"/>
      <c r="Y203" s="4"/>
      <c r="Z203" s="4"/>
      <c r="AA203" s="4"/>
      <c r="AB203" s="4"/>
      <c r="AC203" s="4" t="str">
        <f>IFERROR(__xludf.DUMMYFUNCTION("""COMPUTED_VALUE"""),"INSPEKSI SUTM - T2_Images/93ffbcdc.FOTO.110118.jpg")</f>
        <v>INSPEKSI SUTM - T2_Images/93ffbcdc.FOTO.110118.jpg</v>
      </c>
      <c r="AD203" s="4"/>
      <c r="AE203" s="4"/>
      <c r="AF203" s="4" t="str">
        <f>IFERROR(__xludf.DUMMYFUNCTION("""COMPUTED_VALUE"""),"BELUM")</f>
        <v>BELUM</v>
      </c>
      <c r="AG203" s="6">
        <f>IFERROR(__xludf.DUMMYFUNCTION("""COMPUTED_VALUE"""),46052.0)</f>
        <v>46052</v>
      </c>
      <c r="AH203" s="4"/>
      <c r="AI203" s="4"/>
    </row>
    <row r="204" ht="15.75" customHeight="1">
      <c r="A204" s="4" t="str">
        <f>IFERROR(__xludf.DUMMYFUNCTION("""COMPUTED_VALUE"""),"221e0cf6")</f>
        <v>221e0cf6</v>
      </c>
      <c r="B204" s="5">
        <f>IFERROR(__xludf.DUMMYFUNCTION("""COMPUTED_VALUE"""),46052.79457175926)</f>
        <v>46052.79457</v>
      </c>
      <c r="C204" s="4" t="str">
        <f>IFERROR(__xludf.DUMMYFUNCTION("""COMPUTED_VALUE"""),"-6.953556, 107.640782")</f>
        <v>-6.953556, 107.640782</v>
      </c>
      <c r="D204" s="4" t="str">
        <f>IFERROR(__xludf.DUMMYFUNCTION("""COMPUTED_VALUE"""),"Jihan kiki")</f>
        <v>Jihan kiki</v>
      </c>
      <c r="E204" s="4" t="str">
        <f>IFERROR(__xludf.DUMMYFUNCTION("""COMPUTED_VALUE"""),"BANDUNG")</f>
        <v>BANDUNG</v>
      </c>
      <c r="F204" s="4" t="str">
        <f>IFERROR(__xludf.DUMMYFUNCTION("""COMPUTED_VALUE"""),"CIJAWURA")</f>
        <v>CIJAWURA</v>
      </c>
      <c r="G204" s="4" t="str">
        <f>IFERROR(__xludf.DUMMYFUNCTION("""COMPUTED_VALUE"""),"GIS SUMMARECON")</f>
        <v>GIS SUMMARECON</v>
      </c>
      <c r="H204" s="4" t="str">
        <f>IFERROR(__xludf.DUMMYFUNCTION("""COMPUTED_VALUE"""),"MRDN")</f>
        <v>MRDN</v>
      </c>
      <c r="I204" s="4" t="str">
        <f>IFERROR(__xludf.DUMMYFUNCTION("""COMPUTED_VALUE"""),"LBS GBHG - UJUNG")</f>
        <v>LBS GBHG - UJUNG</v>
      </c>
      <c r="J204" s="4" t="str">
        <f>IFERROR(__xludf.DUMMYFUNCTION("""COMPUTED_VALUE"""),"ZONA 3")</f>
        <v>ZONA 3</v>
      </c>
      <c r="K204" s="4" t="str">
        <f>IFERROR(__xludf.DUMMYFUNCTION("""COMPUTED_VALUE"""),"007R40")</f>
        <v>007R40</v>
      </c>
      <c r="L204" s="4" t="str">
        <f>IFERROR(__xludf.DUMMYFUNCTION("""COMPUTED_VALUE"""),"TM - 14B/H (Akhir)")</f>
        <v>TM - 14B/H (Akhir)</v>
      </c>
      <c r="M204" s="4" t="str">
        <f>IFERROR(__xludf.DUMMYFUNCTION("""COMPUTED_VALUE"""),"FCO")</f>
        <v>FCO</v>
      </c>
      <c r="N204" s="4" t="str">
        <f>IFERROR(__xludf.DUMMYFUNCTION("""COMPUTED_VALUE"""),"GBHC")</f>
        <v>GBHC</v>
      </c>
      <c r="O204" s="4" t="str">
        <f>IFERROR(__xludf.DUMMYFUNCTION("""COMPUTED_VALUE"""),"PEMBANDING SEJENIS")</f>
        <v>PEMBANDING SEJENIS</v>
      </c>
      <c r="P204" s="4" t="str">
        <f>IFERROR(__xludf.DUMMYFUNCTION("""COMPUTED_VALUE"""),"KONEKTOR/JUMPER")</f>
        <v>KONEKTOR/JUMPER</v>
      </c>
      <c r="Q204" s="4">
        <f>IFERROR(__xludf.DUMMYFUNCTION("""COMPUTED_VALUE"""),25.0)</f>
        <v>25</v>
      </c>
      <c r="R204" s="4">
        <f>IFERROR(__xludf.DUMMYFUNCTION("""COMPUTED_VALUE"""),20.0)</f>
        <v>20</v>
      </c>
      <c r="S204" s="4">
        <f>IFERROR(__xludf.DUMMYFUNCTION("""COMPUTED_VALUE"""),24.0)</f>
        <v>24</v>
      </c>
      <c r="T204" s="4"/>
      <c r="U204" s="4" t="str">
        <f>IFERROR(__xludf.DUMMYFUNCTION("""COMPUTED_VALUE"""),"CUKUP")</f>
        <v>CUKUP</v>
      </c>
      <c r="V204" s="4" t="str">
        <f>IFERROR(__xludf.DUMMYFUNCTION("""COMPUTED_VALUE"""),"Tidak Ada")</f>
        <v>Tidak Ada</v>
      </c>
      <c r="W204" s="4"/>
      <c r="X204" s="4"/>
      <c r="Y204" s="4"/>
      <c r="Z204" s="4"/>
      <c r="AA204" s="4"/>
      <c r="AB204" s="4"/>
      <c r="AC204" s="4" t="str">
        <f>IFERROR(__xludf.DUMMYFUNCTION("""COMPUTED_VALUE"""),"INSPEKSI SUTM - T2_Images/221e0cf6.FOTO.110123.jpg")</f>
        <v>INSPEKSI SUTM - T2_Images/221e0cf6.FOTO.110123.jpg</v>
      </c>
      <c r="AD204" s="4"/>
      <c r="AE204" s="4"/>
      <c r="AF204" s="4" t="str">
        <f>IFERROR(__xludf.DUMMYFUNCTION("""COMPUTED_VALUE"""),"BELUM")</f>
        <v>BELUM</v>
      </c>
      <c r="AG204" s="6">
        <f>IFERROR(__xludf.DUMMYFUNCTION("""COMPUTED_VALUE"""),46052.0)</f>
        <v>46052</v>
      </c>
      <c r="AH204" s="4"/>
      <c r="AI204" s="4"/>
    </row>
    <row r="205" ht="15.75" customHeight="1">
      <c r="A205" s="4" t="str">
        <f>IFERROR(__xludf.DUMMYFUNCTION("""COMPUTED_VALUE"""),"bb6d313c")</f>
        <v>bb6d313c</v>
      </c>
      <c r="B205" s="5">
        <f>IFERROR(__xludf.DUMMYFUNCTION("""COMPUTED_VALUE"""),46052.79554398148)</f>
        <v>46052.79554</v>
      </c>
      <c r="C205" s="4" t="str">
        <f>IFERROR(__xludf.DUMMYFUNCTION("""COMPUTED_VALUE"""),"-6.974665, 107.670193")</f>
        <v>-6.974665, 107.670193</v>
      </c>
      <c r="D205" s="4" t="str">
        <f>IFERROR(__xludf.DUMMYFUNCTION("""COMPUTED_VALUE"""),"Jihan kiki")</f>
        <v>Jihan kiki</v>
      </c>
      <c r="E205" s="4" t="str">
        <f>IFERROR(__xludf.DUMMYFUNCTION("""COMPUTED_VALUE"""),"BANDUNG")</f>
        <v>BANDUNG</v>
      </c>
      <c r="F205" s="4" t="str">
        <f>IFERROR(__xludf.DUMMYFUNCTION("""COMPUTED_VALUE"""),"CIJAWURA")</f>
        <v>CIJAWURA</v>
      </c>
      <c r="G205" s="4" t="str">
        <f>IFERROR(__xludf.DUMMYFUNCTION("""COMPUTED_VALUE"""),"GIS SUMMARECON")</f>
        <v>GIS SUMMARECON</v>
      </c>
      <c r="H205" s="4" t="str">
        <f>IFERROR(__xludf.DUMMYFUNCTION("""COMPUTED_VALUE"""),"MRDN")</f>
        <v>MRDN</v>
      </c>
      <c r="I205" s="4" t="str">
        <f>IFERROR(__xludf.DUMMYFUNCTION("""COMPUTED_VALUE"""),"LBS GBHG - UJUNG")</f>
        <v>LBS GBHG - UJUNG</v>
      </c>
      <c r="J205" s="4" t="str">
        <f>IFERROR(__xludf.DUMMYFUNCTION("""COMPUTED_VALUE"""),"ZONA 3")</f>
        <v>ZONA 3</v>
      </c>
      <c r="K205" s="4" t="str">
        <f>IFERROR(__xludf.DUMMYFUNCTION("""COMPUTED_VALUE"""),"007R32L01")</f>
        <v>007R32L01</v>
      </c>
      <c r="L205" s="4" t="str">
        <f>IFERROR(__xludf.DUMMYFUNCTION("""COMPUTED_VALUE"""),"TM - 7B/H (Afspan 90 Derajat)")</f>
        <v>TM - 7B/H (Afspan 90 Derajat)</v>
      </c>
      <c r="M205" s="4" t="str">
        <f>IFERROR(__xludf.DUMMYFUNCTION("""COMPUTED_VALUE"""),"Tidak Ada")</f>
        <v>Tidak Ada</v>
      </c>
      <c r="N205" s="4"/>
      <c r="O205" s="4" t="str">
        <f>IFERROR(__xludf.DUMMYFUNCTION("""COMPUTED_VALUE"""),"PEMBANDING SEJENIS")</f>
        <v>PEMBANDING SEJENIS</v>
      </c>
      <c r="P205" s="4" t="str">
        <f>IFERROR(__xludf.DUMMYFUNCTION("""COMPUTED_VALUE"""),"KONEKTOR/JUMPER")</f>
        <v>KONEKTOR/JUMPER</v>
      </c>
      <c r="Q205" s="4">
        <f>IFERROR(__xludf.DUMMYFUNCTION("""COMPUTED_VALUE"""),20.0)</f>
        <v>20</v>
      </c>
      <c r="R205" s="4">
        <f>IFERROR(__xludf.DUMMYFUNCTION("""COMPUTED_VALUE"""),21.0)</f>
        <v>21</v>
      </c>
      <c r="S205" s="4">
        <f>IFERROR(__xludf.DUMMYFUNCTION("""COMPUTED_VALUE"""),21.0)</f>
        <v>21</v>
      </c>
      <c r="T205" s="4"/>
      <c r="U205" s="4" t="str">
        <f>IFERROR(__xludf.DUMMYFUNCTION("""COMPUTED_VALUE"""),"BAIK")</f>
        <v>BAIK</v>
      </c>
      <c r="V205" s="4" t="str">
        <f>IFERROR(__xludf.DUMMYFUNCTION("""COMPUTED_VALUE"""),"Tidak Ada")</f>
        <v>Tidak Ada</v>
      </c>
      <c r="W205" s="4"/>
      <c r="X205" s="4"/>
      <c r="Y205" s="4"/>
      <c r="Z205" s="4"/>
      <c r="AA205" s="4"/>
      <c r="AB205" s="4"/>
      <c r="AC205" s="4" t="str">
        <f>IFERROR(__xludf.DUMMYFUNCTION("""COMPUTED_VALUE"""),"INSPEKSI SUTM - T2_Images/bb6d313c.FOTO.110127.jpg")</f>
        <v>INSPEKSI SUTM - T2_Images/bb6d313c.FOTO.110127.jpg</v>
      </c>
      <c r="AD205" s="4"/>
      <c r="AE205" s="4"/>
      <c r="AF205" s="4" t="str">
        <f>IFERROR(__xludf.DUMMYFUNCTION("""COMPUTED_VALUE"""),"BELUM")</f>
        <v>BELUM</v>
      </c>
      <c r="AG205" s="6">
        <f>IFERROR(__xludf.DUMMYFUNCTION("""COMPUTED_VALUE"""),46052.0)</f>
        <v>46052</v>
      </c>
      <c r="AH205" s="4"/>
      <c r="AI205" s="4"/>
    </row>
    <row r="206" ht="15.75" customHeight="1">
      <c r="A206" s="4" t="str">
        <f>IFERROR(__xludf.DUMMYFUNCTION("""COMPUTED_VALUE"""),"f8850d5a")</f>
        <v>f8850d5a</v>
      </c>
      <c r="B206" s="5">
        <f>IFERROR(__xludf.DUMMYFUNCTION("""COMPUTED_VALUE"""),46052.79620370371)</f>
        <v>46052.7962</v>
      </c>
      <c r="C206" s="4" t="str">
        <f>IFERROR(__xludf.DUMMYFUNCTION("""COMPUTED_VALUE"""),"-6.953565, 107.640783")</f>
        <v>-6.953565, 107.640783</v>
      </c>
      <c r="D206" s="4" t="str">
        <f>IFERROR(__xludf.DUMMYFUNCTION("""COMPUTED_VALUE"""),"Jihan kiki")</f>
        <v>Jihan kiki</v>
      </c>
      <c r="E206" s="4" t="str">
        <f>IFERROR(__xludf.DUMMYFUNCTION("""COMPUTED_VALUE"""),"BANDUNG")</f>
        <v>BANDUNG</v>
      </c>
      <c r="F206" s="4" t="str">
        <f>IFERROR(__xludf.DUMMYFUNCTION("""COMPUTED_VALUE"""),"CIJAWURA")</f>
        <v>CIJAWURA</v>
      </c>
      <c r="G206" s="4" t="str">
        <f>IFERROR(__xludf.DUMMYFUNCTION("""COMPUTED_VALUE"""),"GIS SUMMARECON")</f>
        <v>GIS SUMMARECON</v>
      </c>
      <c r="H206" s="4" t="str">
        <f>IFERROR(__xludf.DUMMYFUNCTION("""COMPUTED_VALUE"""),"MRDN")</f>
        <v>MRDN</v>
      </c>
      <c r="I206" s="4" t="str">
        <f>IFERROR(__xludf.DUMMYFUNCTION("""COMPUTED_VALUE"""),"LBS GBHG - UJUNG")</f>
        <v>LBS GBHG - UJUNG</v>
      </c>
      <c r="J206" s="4" t="str">
        <f>IFERROR(__xludf.DUMMYFUNCTION("""COMPUTED_VALUE"""),"ZONA 3")</f>
        <v>ZONA 3</v>
      </c>
      <c r="K206" s="4" t="str">
        <f>IFERROR(__xludf.DUMMYFUNCTION("""COMPUTED_VALUE"""),"007R32L04")</f>
        <v>007R32L04</v>
      </c>
      <c r="L206" s="4" t="str">
        <f>IFERROR(__xludf.DUMMYFUNCTION("""COMPUTED_VALUE"""),"TM - 11B/H (Kabel Naik)")</f>
        <v>TM - 11B/H (Kabel Naik)</v>
      </c>
      <c r="M206" s="4" t="str">
        <f>IFERROR(__xludf.DUMMYFUNCTION("""COMPUTED_VALUE"""),"FCO")</f>
        <v>FCO</v>
      </c>
      <c r="N206" s="4" t="str">
        <f>IFERROR(__xludf.DUMMYFUNCTION("""COMPUTED_VALUE"""),"GBHB")</f>
        <v>GBHB</v>
      </c>
      <c r="O206" s="4" t="str">
        <f>IFERROR(__xludf.DUMMYFUNCTION("""COMPUTED_VALUE"""),"PEMBANDING SEJENIS")</f>
        <v>PEMBANDING SEJENIS</v>
      </c>
      <c r="P206" s="4" t="str">
        <f>IFERROR(__xludf.DUMMYFUNCTION("""COMPUTED_VALUE"""),"KONEKTOR/JUMPER")</f>
        <v>KONEKTOR/JUMPER</v>
      </c>
      <c r="Q206" s="4">
        <f>IFERROR(__xludf.DUMMYFUNCTION("""COMPUTED_VALUE"""),22.0)</f>
        <v>22</v>
      </c>
      <c r="R206" s="4">
        <f>IFERROR(__xludf.DUMMYFUNCTION("""COMPUTED_VALUE"""),22.0)</f>
        <v>22</v>
      </c>
      <c r="S206" s="4">
        <f>IFERROR(__xludf.DUMMYFUNCTION("""COMPUTED_VALUE"""),26.0)</f>
        <v>26</v>
      </c>
      <c r="T206" s="4"/>
      <c r="U206" s="4" t="str">
        <f>IFERROR(__xludf.DUMMYFUNCTION("""COMPUTED_VALUE"""),"CUKUP")</f>
        <v>CUKUP</v>
      </c>
      <c r="V206" s="4" t="str">
        <f>IFERROR(__xludf.DUMMYFUNCTION("""COMPUTED_VALUE"""),"Tidak Ada")</f>
        <v>Tidak Ada</v>
      </c>
      <c r="W206" s="4"/>
      <c r="X206" s="4"/>
      <c r="Y206" s="4"/>
      <c r="Z206" s="4"/>
      <c r="AA206" s="4"/>
      <c r="AB206" s="4"/>
      <c r="AC206" s="4" t="str">
        <f>IFERROR(__xludf.DUMMYFUNCTION("""COMPUTED_VALUE"""),"INSPEKSI SUTM - T2_Images/f8850d5a.FOTO.110132.jpg")</f>
        <v>INSPEKSI SUTM - T2_Images/f8850d5a.FOTO.110132.jpg</v>
      </c>
      <c r="AD206" s="4"/>
      <c r="AE206" s="4"/>
      <c r="AF206" s="4" t="str">
        <f>IFERROR(__xludf.DUMMYFUNCTION("""COMPUTED_VALUE"""),"BELUM")</f>
        <v>BELUM</v>
      </c>
      <c r="AG206" s="6">
        <f>IFERROR(__xludf.DUMMYFUNCTION("""COMPUTED_VALUE"""),46052.0)</f>
        <v>46052</v>
      </c>
      <c r="AH206" s="4"/>
      <c r="AI206" s="4"/>
    </row>
    <row r="207" ht="15.75" customHeight="1">
      <c r="A207" s="4" t="str">
        <f>IFERROR(__xludf.DUMMYFUNCTION("""COMPUTED_VALUE"""),"86ea2e00")</f>
        <v>86ea2e00</v>
      </c>
      <c r="B207" s="5">
        <f>IFERROR(__xludf.DUMMYFUNCTION("""COMPUTED_VALUE"""),46052.78842592592)</f>
        <v>46052.78843</v>
      </c>
      <c r="C207" s="4" t="str">
        <f>IFERROR(__xludf.DUMMYFUNCTION("""COMPUTED_VALUE"""),"-6.967958, 107.667849")</f>
        <v>-6.967958, 107.667849</v>
      </c>
      <c r="D207" s="4" t="str">
        <f>IFERROR(__xludf.DUMMYFUNCTION("""COMPUTED_VALUE"""),"Jihan kiki")</f>
        <v>Jihan kiki</v>
      </c>
      <c r="E207" s="4" t="str">
        <f>IFERROR(__xludf.DUMMYFUNCTION("""COMPUTED_VALUE"""),"BANDUNG")</f>
        <v>BANDUNG</v>
      </c>
      <c r="F207" s="4" t="str">
        <f>IFERROR(__xludf.DUMMYFUNCTION("""COMPUTED_VALUE"""),"CIJAWURA")</f>
        <v>CIJAWURA</v>
      </c>
      <c r="G207" s="4" t="str">
        <f>IFERROR(__xludf.DUMMYFUNCTION("""COMPUTED_VALUE"""),"GIS SUMMARECON")</f>
        <v>GIS SUMMARECON</v>
      </c>
      <c r="H207" s="4" t="str">
        <f>IFERROR(__xludf.DUMMYFUNCTION("""COMPUTED_VALUE"""),"MRDN")</f>
        <v>MRDN</v>
      </c>
      <c r="I207" s="4" t="str">
        <f>IFERROR(__xludf.DUMMYFUNCTION("""COMPUTED_VALUE"""),"LBS GBHG - UJUNG")</f>
        <v>LBS GBHG - UJUNG</v>
      </c>
      <c r="J207" s="4" t="str">
        <f>IFERROR(__xludf.DUMMYFUNCTION("""COMPUTED_VALUE"""),"ZONA 3")</f>
        <v>ZONA 3</v>
      </c>
      <c r="K207" s="4" t="str">
        <f>IFERROR(__xludf.DUMMYFUNCTION("""COMPUTED_VALUE"""),"007R07R06")</f>
        <v>007R07R06</v>
      </c>
      <c r="L207" s="4" t="str">
        <f>IFERROR(__xludf.DUMMYFUNCTION("""COMPUTED_VALUE"""),"TM - 8B/H (Percabangan)")</f>
        <v>TM - 8B/H (Percabangan)</v>
      </c>
      <c r="M207" s="4" t="str">
        <f>IFERROR(__xludf.DUMMYFUNCTION("""COMPUTED_VALUE"""),"Tidak Ada")</f>
        <v>Tidak Ada</v>
      </c>
      <c r="N207" s="4"/>
      <c r="O207" s="4" t="str">
        <f>IFERROR(__xludf.DUMMYFUNCTION("""COMPUTED_VALUE"""),"PEMBANDING SEJENIS")</f>
        <v>PEMBANDING SEJENIS</v>
      </c>
      <c r="P207" s="4" t="str">
        <f>IFERROR(__xludf.DUMMYFUNCTION("""COMPUTED_VALUE"""),"KONEKTOR/JUMPER")</f>
        <v>KONEKTOR/JUMPER</v>
      </c>
      <c r="Q207" s="4">
        <f>IFERROR(__xludf.DUMMYFUNCTION("""COMPUTED_VALUE"""),19.0)</f>
        <v>19</v>
      </c>
      <c r="R207" s="4">
        <f>IFERROR(__xludf.DUMMYFUNCTION("""COMPUTED_VALUE"""),20.0)</f>
        <v>20</v>
      </c>
      <c r="S207" s="4">
        <f>IFERROR(__xludf.DUMMYFUNCTION("""COMPUTED_VALUE"""),20.0)</f>
        <v>20</v>
      </c>
      <c r="T207" s="4"/>
      <c r="U207" s="4" t="str">
        <f>IFERROR(__xludf.DUMMYFUNCTION("""COMPUTED_VALUE"""),"BAIK")</f>
        <v>BAIK</v>
      </c>
      <c r="V207" s="4" t="str">
        <f>IFERROR(__xludf.DUMMYFUNCTION("""COMPUTED_VALUE"""),"Tidak Ada")</f>
        <v>Tidak Ada</v>
      </c>
      <c r="W207" s="4"/>
      <c r="X207" s="4"/>
      <c r="Y207" s="4"/>
      <c r="Z207" s="4"/>
      <c r="AA207" s="4"/>
      <c r="AB207" s="4"/>
      <c r="AC207" s="4" t="str">
        <f>IFERROR(__xludf.DUMMYFUNCTION("""COMPUTED_VALUE"""),"INSPEKSI SUTM - T2_Images/86ea2e00.FOTO.115614.jpg")</f>
        <v>INSPEKSI SUTM - T2_Images/86ea2e00.FOTO.115614.jpg</v>
      </c>
      <c r="AD207" s="4"/>
      <c r="AE207" s="4"/>
      <c r="AF207" s="4" t="str">
        <f>IFERROR(__xludf.DUMMYFUNCTION("""COMPUTED_VALUE"""),"BELUM")</f>
        <v>BELUM</v>
      </c>
      <c r="AG207" s="6">
        <f>IFERROR(__xludf.DUMMYFUNCTION("""COMPUTED_VALUE"""),46052.0)</f>
        <v>46052</v>
      </c>
      <c r="AH207" s="4"/>
      <c r="AI207" s="4"/>
    </row>
    <row r="208" ht="15.75" customHeight="1">
      <c r="A208" s="4" t="str">
        <f>IFERROR(__xludf.DUMMYFUNCTION("""COMPUTED_VALUE"""),"7968b13f")</f>
        <v>7968b13f</v>
      </c>
      <c r="B208" s="5">
        <f>IFERROR(__xludf.DUMMYFUNCTION("""COMPUTED_VALUE"""),46052.78916666667)</f>
        <v>46052.78917</v>
      </c>
      <c r="C208" s="4" t="str">
        <f>IFERROR(__xludf.DUMMYFUNCTION("""COMPUTED_VALUE"""),"-6.967906, 107.666977")</f>
        <v>-6.967906, 107.666977</v>
      </c>
      <c r="D208" s="4" t="str">
        <f>IFERROR(__xludf.DUMMYFUNCTION("""COMPUTED_VALUE"""),"Jihan kiki")</f>
        <v>Jihan kiki</v>
      </c>
      <c r="E208" s="4" t="str">
        <f>IFERROR(__xludf.DUMMYFUNCTION("""COMPUTED_VALUE"""),"BANDUNG")</f>
        <v>BANDUNG</v>
      </c>
      <c r="F208" s="4" t="str">
        <f>IFERROR(__xludf.DUMMYFUNCTION("""COMPUTED_VALUE"""),"CIJAWURA")</f>
        <v>CIJAWURA</v>
      </c>
      <c r="G208" s="4" t="str">
        <f>IFERROR(__xludf.DUMMYFUNCTION("""COMPUTED_VALUE"""),"GIS SUMMARECON")</f>
        <v>GIS SUMMARECON</v>
      </c>
      <c r="H208" s="4" t="str">
        <f>IFERROR(__xludf.DUMMYFUNCTION("""COMPUTED_VALUE"""),"MRDN")</f>
        <v>MRDN</v>
      </c>
      <c r="I208" s="4" t="str">
        <f>IFERROR(__xludf.DUMMYFUNCTION("""COMPUTED_VALUE"""),"LBS GBHG - UJUNG")</f>
        <v>LBS GBHG - UJUNG</v>
      </c>
      <c r="J208" s="4" t="str">
        <f>IFERROR(__xludf.DUMMYFUNCTION("""COMPUTED_VALUE"""),"ZONA 3")</f>
        <v>ZONA 3</v>
      </c>
      <c r="K208" s="4" t="str">
        <f>IFERROR(__xludf.DUMMYFUNCTION("""COMPUTED_VALUE"""),"007R07R09")</f>
        <v>007R07R09</v>
      </c>
      <c r="L208" s="4" t="str">
        <f>IFERROR(__xludf.DUMMYFUNCTION("""COMPUTED_VALUE"""),"TM - 7B/H (Afspan 90 Derajat)")</f>
        <v>TM - 7B/H (Afspan 90 Derajat)</v>
      </c>
      <c r="M208" s="4" t="str">
        <f>IFERROR(__xludf.DUMMYFUNCTION("""COMPUTED_VALUE"""),"Tidak Ada")</f>
        <v>Tidak Ada</v>
      </c>
      <c r="N208" s="4"/>
      <c r="O208" s="4" t="str">
        <f>IFERROR(__xludf.DUMMYFUNCTION("""COMPUTED_VALUE"""),"PEMBANDING SEJENIS")</f>
        <v>PEMBANDING SEJENIS</v>
      </c>
      <c r="P208" s="4" t="str">
        <f>IFERROR(__xludf.DUMMYFUNCTION("""COMPUTED_VALUE"""),"KONEKTOR/JUMPER")</f>
        <v>KONEKTOR/JUMPER</v>
      </c>
      <c r="Q208" s="4">
        <f>IFERROR(__xludf.DUMMYFUNCTION("""COMPUTED_VALUE"""),20.0)</f>
        <v>20</v>
      </c>
      <c r="R208" s="4">
        <f>IFERROR(__xludf.DUMMYFUNCTION("""COMPUTED_VALUE"""),20.0)</f>
        <v>20</v>
      </c>
      <c r="S208" s="4">
        <f>IFERROR(__xludf.DUMMYFUNCTION("""COMPUTED_VALUE"""),20.0)</f>
        <v>20</v>
      </c>
      <c r="T208" s="4"/>
      <c r="U208" s="4" t="str">
        <f>IFERROR(__xludf.DUMMYFUNCTION("""COMPUTED_VALUE"""),"BAIK")</f>
        <v>BAIK</v>
      </c>
      <c r="V208" s="4" t="str">
        <f>IFERROR(__xludf.DUMMYFUNCTION("""COMPUTED_VALUE"""),"Tidak Ada")</f>
        <v>Tidak Ada</v>
      </c>
      <c r="W208" s="4"/>
      <c r="X208" s="4"/>
      <c r="Y208" s="4"/>
      <c r="Z208" s="4"/>
      <c r="AA208" s="4"/>
      <c r="AB208" s="4"/>
      <c r="AC208" s="4" t="str">
        <f>IFERROR(__xludf.DUMMYFUNCTION("""COMPUTED_VALUE"""),"INSPEKSI SUTM - T2_Images/7968b13f.FOTO.115754.jpg")</f>
        <v>INSPEKSI SUTM - T2_Images/7968b13f.FOTO.115754.jpg</v>
      </c>
      <c r="AD208" s="4"/>
      <c r="AE208" s="4"/>
      <c r="AF208" s="4" t="str">
        <f>IFERROR(__xludf.DUMMYFUNCTION("""COMPUTED_VALUE"""),"BELUM")</f>
        <v>BELUM</v>
      </c>
      <c r="AG208" s="6">
        <f>IFERROR(__xludf.DUMMYFUNCTION("""COMPUTED_VALUE"""),46052.0)</f>
        <v>46052</v>
      </c>
      <c r="AH208" s="4"/>
      <c r="AI208" s="4"/>
    </row>
    <row r="209" ht="15.75" customHeight="1">
      <c r="A209" s="4" t="str">
        <f>IFERROR(__xludf.DUMMYFUNCTION("""COMPUTED_VALUE"""),"a8da43df")</f>
        <v>a8da43df</v>
      </c>
      <c r="B209" s="5">
        <f>IFERROR(__xludf.DUMMYFUNCTION("""COMPUTED_VALUE"""),46052.79042824074)</f>
        <v>46052.79043</v>
      </c>
      <c r="C209" s="4" t="str">
        <f>IFERROR(__xludf.DUMMYFUNCTION("""COMPUTED_VALUE"""),"-6.968130, 107.666761")</f>
        <v>-6.968130, 107.666761</v>
      </c>
      <c r="D209" s="4" t="str">
        <f>IFERROR(__xludf.DUMMYFUNCTION("""COMPUTED_VALUE"""),"Jihan kiki")</f>
        <v>Jihan kiki</v>
      </c>
      <c r="E209" s="4" t="str">
        <f>IFERROR(__xludf.DUMMYFUNCTION("""COMPUTED_VALUE"""),"BANDUNG")</f>
        <v>BANDUNG</v>
      </c>
      <c r="F209" s="4" t="str">
        <f>IFERROR(__xludf.DUMMYFUNCTION("""COMPUTED_VALUE"""),"CIJAWURA")</f>
        <v>CIJAWURA</v>
      </c>
      <c r="G209" s="4" t="str">
        <f>IFERROR(__xludf.DUMMYFUNCTION("""COMPUTED_VALUE"""),"GIS SUMMARECON")</f>
        <v>GIS SUMMARECON</v>
      </c>
      <c r="H209" s="4" t="str">
        <f>IFERROR(__xludf.DUMMYFUNCTION("""COMPUTED_VALUE"""),"MRDN")</f>
        <v>MRDN</v>
      </c>
      <c r="I209" s="4" t="str">
        <f>IFERROR(__xludf.DUMMYFUNCTION("""COMPUTED_VALUE"""),"LBS GBHG - UJUNG")</f>
        <v>LBS GBHG - UJUNG</v>
      </c>
      <c r="J209" s="4" t="str">
        <f>IFERROR(__xludf.DUMMYFUNCTION("""COMPUTED_VALUE"""),"ZONA 3")</f>
        <v>ZONA 3</v>
      </c>
      <c r="K209" s="4" t="str">
        <f>IFERROR(__xludf.DUMMYFUNCTION("""COMPUTED_VALUE"""),"007R07R12")</f>
        <v>007R07R12</v>
      </c>
      <c r="L209" s="4" t="str">
        <f>IFERROR(__xludf.DUMMYFUNCTION("""COMPUTED_VALUE"""),"TM - 4B/H (Afspan)")</f>
        <v>TM - 4B/H (Afspan)</v>
      </c>
      <c r="M209" s="4" t="str">
        <f>IFERROR(__xludf.DUMMYFUNCTION("""COMPUTED_VALUE"""),"Tidak Ada")</f>
        <v>Tidak Ada</v>
      </c>
      <c r="N209" s="4"/>
      <c r="O209" s="4" t="str">
        <f>IFERROR(__xludf.DUMMYFUNCTION("""COMPUTED_VALUE"""),"PEMBANDING SEJENIS")</f>
        <v>PEMBANDING SEJENIS</v>
      </c>
      <c r="P209" s="4" t="str">
        <f>IFERROR(__xludf.DUMMYFUNCTION("""COMPUTED_VALUE"""),"KONEKTOR/JUMPER")</f>
        <v>KONEKTOR/JUMPER</v>
      </c>
      <c r="Q209" s="4">
        <f>IFERROR(__xludf.DUMMYFUNCTION("""COMPUTED_VALUE"""),20.0)</f>
        <v>20</v>
      </c>
      <c r="R209" s="4">
        <f>IFERROR(__xludf.DUMMYFUNCTION("""COMPUTED_VALUE"""),20.0)</f>
        <v>20</v>
      </c>
      <c r="S209" s="4">
        <f>IFERROR(__xludf.DUMMYFUNCTION("""COMPUTED_VALUE"""),21.0)</f>
        <v>21</v>
      </c>
      <c r="T209" s="4"/>
      <c r="U209" s="4" t="str">
        <f>IFERROR(__xludf.DUMMYFUNCTION("""COMPUTED_VALUE"""),"BAIK")</f>
        <v>BAIK</v>
      </c>
      <c r="V209" s="4" t="str">
        <f>IFERROR(__xludf.DUMMYFUNCTION("""COMPUTED_VALUE"""),"Tidak Ada")</f>
        <v>Tidak Ada</v>
      </c>
      <c r="W209" s="4"/>
      <c r="X209" s="4"/>
      <c r="Y209" s="4"/>
      <c r="Z209" s="4"/>
      <c r="AA209" s="4"/>
      <c r="AB209" s="4"/>
      <c r="AC209" s="4" t="str">
        <f>IFERROR(__xludf.DUMMYFUNCTION("""COMPUTED_VALUE"""),"INSPEKSI SUTM - T2_Images/a8da43df.FOTO.115856.jpg")</f>
        <v>INSPEKSI SUTM - T2_Images/a8da43df.FOTO.115856.jpg</v>
      </c>
      <c r="AD209" s="4"/>
      <c r="AE209" s="4"/>
      <c r="AF209" s="4" t="str">
        <f>IFERROR(__xludf.DUMMYFUNCTION("""COMPUTED_VALUE"""),"BELUM")</f>
        <v>BELUM</v>
      </c>
      <c r="AG209" s="6">
        <f>IFERROR(__xludf.DUMMYFUNCTION("""COMPUTED_VALUE"""),46052.0)</f>
        <v>46052</v>
      </c>
      <c r="AH209" s="4"/>
      <c r="AI209" s="4"/>
    </row>
    <row r="210" ht="15.75" customHeight="1">
      <c r="A210" s="4" t="str">
        <f>IFERROR(__xludf.DUMMYFUNCTION("""COMPUTED_VALUE"""),"14172efe")</f>
        <v>14172efe</v>
      </c>
      <c r="B210" s="5">
        <f>IFERROR(__xludf.DUMMYFUNCTION("""COMPUTED_VALUE"""),46052.79133101852)</f>
        <v>46052.79133</v>
      </c>
      <c r="C210" s="4" t="str">
        <f>IFERROR(__xludf.DUMMYFUNCTION("""COMPUTED_VALUE"""),"-6.970190, 107.666370")</f>
        <v>-6.970190, 107.666370</v>
      </c>
      <c r="D210" s="4" t="str">
        <f>IFERROR(__xludf.DUMMYFUNCTION("""COMPUTED_VALUE"""),"Jihan kiki")</f>
        <v>Jihan kiki</v>
      </c>
      <c r="E210" s="4" t="str">
        <f>IFERROR(__xludf.DUMMYFUNCTION("""COMPUTED_VALUE"""),"BANDUNG")</f>
        <v>BANDUNG</v>
      </c>
      <c r="F210" s="4" t="str">
        <f>IFERROR(__xludf.DUMMYFUNCTION("""COMPUTED_VALUE"""),"CIJAWURA")</f>
        <v>CIJAWURA</v>
      </c>
      <c r="G210" s="4" t="str">
        <f>IFERROR(__xludf.DUMMYFUNCTION("""COMPUTED_VALUE"""),"GIS SUMMARECON")</f>
        <v>GIS SUMMARECON</v>
      </c>
      <c r="H210" s="4" t="str">
        <f>IFERROR(__xludf.DUMMYFUNCTION("""COMPUTED_VALUE"""),"MRDN")</f>
        <v>MRDN</v>
      </c>
      <c r="I210" s="4" t="str">
        <f>IFERROR(__xludf.DUMMYFUNCTION("""COMPUTED_VALUE"""),"LBS GBHG - UJUNG")</f>
        <v>LBS GBHG - UJUNG</v>
      </c>
      <c r="J210" s="4" t="str">
        <f>IFERROR(__xludf.DUMMYFUNCTION("""COMPUTED_VALUE"""),"ZONA 3")</f>
        <v>ZONA 3</v>
      </c>
      <c r="K210" s="4" t="str">
        <f>IFERROR(__xludf.DUMMYFUNCTION("""COMPUTED_VALUE"""),"007R07R17")</f>
        <v>007R07R17</v>
      </c>
      <c r="L210" s="4" t="str">
        <f>IFERROR(__xludf.DUMMYFUNCTION("""COMPUTED_VALUE"""),"TM - 7B/H (Afspan 90 Derajat)")</f>
        <v>TM - 7B/H (Afspan 90 Derajat)</v>
      </c>
      <c r="M210" s="4" t="str">
        <f>IFERROR(__xludf.DUMMYFUNCTION("""COMPUTED_VALUE"""),"Tidak Ada")</f>
        <v>Tidak Ada</v>
      </c>
      <c r="N210" s="4"/>
      <c r="O210" s="4" t="str">
        <f>IFERROR(__xludf.DUMMYFUNCTION("""COMPUTED_VALUE"""),"PEMBANDING SEJENIS")</f>
        <v>PEMBANDING SEJENIS</v>
      </c>
      <c r="P210" s="4" t="str">
        <f>IFERROR(__xludf.DUMMYFUNCTION("""COMPUTED_VALUE"""),"KONEKTOR/JUMPER")</f>
        <v>KONEKTOR/JUMPER</v>
      </c>
      <c r="Q210" s="4">
        <f>IFERROR(__xludf.DUMMYFUNCTION("""COMPUTED_VALUE"""),21.0)</f>
        <v>21</v>
      </c>
      <c r="R210" s="4">
        <f>IFERROR(__xludf.DUMMYFUNCTION("""COMPUTED_VALUE"""),20.0)</f>
        <v>20</v>
      </c>
      <c r="S210" s="4">
        <f>IFERROR(__xludf.DUMMYFUNCTION("""COMPUTED_VALUE"""),21.0)</f>
        <v>21</v>
      </c>
      <c r="T210" s="4"/>
      <c r="U210" s="4" t="str">
        <f>IFERROR(__xludf.DUMMYFUNCTION("""COMPUTED_VALUE"""),"BAIK")</f>
        <v>BAIK</v>
      </c>
      <c r="V210" s="4" t="str">
        <f>IFERROR(__xludf.DUMMYFUNCTION("""COMPUTED_VALUE"""),"Tidak Ada")</f>
        <v>Tidak Ada</v>
      </c>
      <c r="W210" s="4"/>
      <c r="X210" s="4"/>
      <c r="Y210" s="4"/>
      <c r="Z210" s="4"/>
      <c r="AA210" s="4"/>
      <c r="AB210" s="4"/>
      <c r="AC210" s="4" t="str">
        <f>IFERROR(__xludf.DUMMYFUNCTION("""COMPUTED_VALUE"""),"INSPEKSI SUTM - T2_Images/14172efe.FOTO.120355.jpg")</f>
        <v>INSPEKSI SUTM - T2_Images/14172efe.FOTO.120355.jpg</v>
      </c>
      <c r="AD210" s="4"/>
      <c r="AE210" s="4"/>
      <c r="AF210" s="4" t="str">
        <f>IFERROR(__xludf.DUMMYFUNCTION("""COMPUTED_VALUE"""),"BELUM")</f>
        <v>BELUM</v>
      </c>
      <c r="AG210" s="6">
        <f>IFERROR(__xludf.DUMMYFUNCTION("""COMPUTED_VALUE"""),46052.0)</f>
        <v>46052</v>
      </c>
      <c r="AH210" s="4"/>
      <c r="AI210" s="4"/>
    </row>
    <row r="211" ht="15.75" customHeight="1">
      <c r="A211" s="4" t="str">
        <f>IFERROR(__xludf.DUMMYFUNCTION("""COMPUTED_VALUE"""),"f76285a1")</f>
        <v>f76285a1</v>
      </c>
      <c r="B211" s="5">
        <f>IFERROR(__xludf.DUMMYFUNCTION("""COMPUTED_VALUE"""),46052.7921412037)</f>
        <v>46052.79214</v>
      </c>
      <c r="C211" s="4" t="str">
        <f>IFERROR(__xludf.DUMMYFUNCTION("""COMPUTED_VALUE"""),"-6.970182, 107.665032")</f>
        <v>-6.970182, 107.665032</v>
      </c>
      <c r="D211" s="4" t="str">
        <f>IFERROR(__xludf.DUMMYFUNCTION("""COMPUTED_VALUE"""),"Jihan kiki")</f>
        <v>Jihan kiki</v>
      </c>
      <c r="E211" s="4" t="str">
        <f>IFERROR(__xludf.DUMMYFUNCTION("""COMPUTED_VALUE"""),"BANDUNG")</f>
        <v>BANDUNG</v>
      </c>
      <c r="F211" s="4" t="str">
        <f>IFERROR(__xludf.DUMMYFUNCTION("""COMPUTED_VALUE"""),"CIJAWURA")</f>
        <v>CIJAWURA</v>
      </c>
      <c r="G211" s="4" t="str">
        <f>IFERROR(__xludf.DUMMYFUNCTION("""COMPUTED_VALUE"""),"GIS SUMMARECON")</f>
        <v>GIS SUMMARECON</v>
      </c>
      <c r="H211" s="4" t="str">
        <f>IFERROR(__xludf.DUMMYFUNCTION("""COMPUTED_VALUE"""),"MRDN")</f>
        <v>MRDN</v>
      </c>
      <c r="I211" s="4" t="str">
        <f>IFERROR(__xludf.DUMMYFUNCTION("""COMPUTED_VALUE"""),"LBS GBHG - UJUNG")</f>
        <v>LBS GBHG - UJUNG</v>
      </c>
      <c r="J211" s="4" t="str">
        <f>IFERROR(__xludf.DUMMYFUNCTION("""COMPUTED_VALUE"""),"ZONA 3")</f>
        <v>ZONA 3</v>
      </c>
      <c r="K211" s="4" t="str">
        <f>IFERROR(__xludf.DUMMYFUNCTION("""COMPUTED_VALUE"""),"007R07R26")</f>
        <v>007R07R26</v>
      </c>
      <c r="L211" s="4" t="str">
        <f>IFERROR(__xludf.DUMMYFUNCTION("""COMPUTED_VALUE"""),"TM - 8B/H (Percabangan)")</f>
        <v>TM - 8B/H (Percabangan)</v>
      </c>
      <c r="M211" s="4" t="str">
        <f>IFERROR(__xludf.DUMMYFUNCTION("""COMPUTED_VALUE"""),"Tidak Ada")</f>
        <v>Tidak Ada</v>
      </c>
      <c r="N211" s="4"/>
      <c r="O211" s="4" t="str">
        <f>IFERROR(__xludf.DUMMYFUNCTION("""COMPUTED_VALUE"""),"PEMBANDING SEJENIS")</f>
        <v>PEMBANDING SEJENIS</v>
      </c>
      <c r="P211" s="4" t="str">
        <f>IFERROR(__xludf.DUMMYFUNCTION("""COMPUTED_VALUE"""),"KONEKTOR/JUMPER")</f>
        <v>KONEKTOR/JUMPER</v>
      </c>
      <c r="Q211" s="4">
        <f>IFERROR(__xludf.DUMMYFUNCTION("""COMPUTED_VALUE"""),21.0)</f>
        <v>21</v>
      </c>
      <c r="R211" s="4">
        <f>IFERROR(__xludf.DUMMYFUNCTION("""COMPUTED_VALUE"""),21.0)</f>
        <v>21</v>
      </c>
      <c r="S211" s="4">
        <f>IFERROR(__xludf.DUMMYFUNCTION("""COMPUTED_VALUE"""),20.0)</f>
        <v>20</v>
      </c>
      <c r="T211" s="4"/>
      <c r="U211" s="4" t="str">
        <f>IFERROR(__xludf.DUMMYFUNCTION("""COMPUTED_VALUE"""),"BAIK")</f>
        <v>BAIK</v>
      </c>
      <c r="V211" s="4" t="str">
        <f>IFERROR(__xludf.DUMMYFUNCTION("""COMPUTED_VALUE"""),"Tidak Ada")</f>
        <v>Tidak Ada</v>
      </c>
      <c r="W211" s="4"/>
      <c r="X211" s="4"/>
      <c r="Y211" s="4"/>
      <c r="Z211" s="4"/>
      <c r="AA211" s="4"/>
      <c r="AB211" s="4"/>
      <c r="AC211" s="4" t="str">
        <f>IFERROR(__xludf.DUMMYFUNCTION("""COMPUTED_VALUE"""),"INSPEKSI SUTM - T2_Images/f76285a1.FOTO.120400.jpg")</f>
        <v>INSPEKSI SUTM - T2_Images/f76285a1.FOTO.120400.jpg</v>
      </c>
      <c r="AD211" s="4"/>
      <c r="AE211" s="4"/>
      <c r="AF211" s="4" t="str">
        <f>IFERROR(__xludf.DUMMYFUNCTION("""COMPUTED_VALUE"""),"BELUM")</f>
        <v>BELUM</v>
      </c>
      <c r="AG211" s="6">
        <f>IFERROR(__xludf.DUMMYFUNCTION("""COMPUTED_VALUE"""),46052.0)</f>
        <v>46052</v>
      </c>
      <c r="AH211" s="4"/>
      <c r="AI211" s="4"/>
    </row>
    <row r="212" ht="15.75" customHeight="1">
      <c r="A212" s="4" t="str">
        <f>IFERROR(__xludf.DUMMYFUNCTION("""COMPUTED_VALUE"""),"44b1b780")</f>
        <v>44b1b780</v>
      </c>
      <c r="B212" s="5">
        <f>IFERROR(__xludf.DUMMYFUNCTION("""COMPUTED_VALUE"""),46052.79306712963)</f>
        <v>46052.79307</v>
      </c>
      <c r="C212" s="4" t="str">
        <f>IFERROR(__xludf.DUMMYFUNCTION("""COMPUTED_VALUE"""),"-6.971871, 107.664389")</f>
        <v>-6.971871, 107.664389</v>
      </c>
      <c r="D212" s="4" t="str">
        <f>IFERROR(__xludf.DUMMYFUNCTION("""COMPUTED_VALUE"""),"Jihan kiki")</f>
        <v>Jihan kiki</v>
      </c>
      <c r="E212" s="4" t="str">
        <f>IFERROR(__xludf.DUMMYFUNCTION("""COMPUTED_VALUE"""),"BANDUNG")</f>
        <v>BANDUNG</v>
      </c>
      <c r="F212" s="4" t="str">
        <f>IFERROR(__xludf.DUMMYFUNCTION("""COMPUTED_VALUE"""),"CIJAWURA")</f>
        <v>CIJAWURA</v>
      </c>
      <c r="G212" s="4" t="str">
        <f>IFERROR(__xludf.DUMMYFUNCTION("""COMPUTED_VALUE"""),"GIS SUMMARECON")</f>
        <v>GIS SUMMARECON</v>
      </c>
      <c r="H212" s="4" t="str">
        <f>IFERROR(__xludf.DUMMYFUNCTION("""COMPUTED_VALUE"""),"MRDN")</f>
        <v>MRDN</v>
      </c>
      <c r="I212" s="4" t="str">
        <f>IFERROR(__xludf.DUMMYFUNCTION("""COMPUTED_VALUE"""),"LBS GBHG - UJUNG")</f>
        <v>LBS GBHG - UJUNG</v>
      </c>
      <c r="J212" s="4" t="str">
        <f>IFERROR(__xludf.DUMMYFUNCTION("""COMPUTED_VALUE"""),"ZONA 3")</f>
        <v>ZONA 3</v>
      </c>
      <c r="K212" s="4" t="str">
        <f>IFERROR(__xludf.DUMMYFUNCTION("""COMPUTED_VALUE"""),"007R07R32")</f>
        <v>007R07R32</v>
      </c>
      <c r="L212" s="4" t="str">
        <f>IFERROR(__xludf.DUMMYFUNCTION("""COMPUTED_VALUE"""),"TM - 4B/H (Afspan)")</f>
        <v>TM - 4B/H (Afspan)</v>
      </c>
      <c r="M212" s="4" t="str">
        <f>IFERROR(__xludf.DUMMYFUNCTION("""COMPUTED_VALUE"""),"Tidak Ada")</f>
        <v>Tidak Ada</v>
      </c>
      <c r="N212" s="4"/>
      <c r="O212" s="4" t="str">
        <f>IFERROR(__xludf.DUMMYFUNCTION("""COMPUTED_VALUE"""),"PEMBANDING SEJENIS")</f>
        <v>PEMBANDING SEJENIS</v>
      </c>
      <c r="P212" s="4" t="str">
        <f>IFERROR(__xludf.DUMMYFUNCTION("""COMPUTED_VALUE"""),"KONEKTOR/JUMPER")</f>
        <v>KONEKTOR/JUMPER</v>
      </c>
      <c r="Q212" s="4">
        <f>IFERROR(__xludf.DUMMYFUNCTION("""COMPUTED_VALUE"""),20.0)</f>
        <v>20</v>
      </c>
      <c r="R212" s="4">
        <f>IFERROR(__xludf.DUMMYFUNCTION("""COMPUTED_VALUE"""),21.0)</f>
        <v>21</v>
      </c>
      <c r="S212" s="4">
        <f>IFERROR(__xludf.DUMMYFUNCTION("""COMPUTED_VALUE"""),20.0)</f>
        <v>20</v>
      </c>
      <c r="T212" s="4"/>
      <c r="U212" s="4" t="str">
        <f>IFERROR(__xludf.DUMMYFUNCTION("""COMPUTED_VALUE"""),"BAIK")</f>
        <v>BAIK</v>
      </c>
      <c r="V212" s="4" t="str">
        <f>IFERROR(__xludf.DUMMYFUNCTION("""COMPUTED_VALUE"""),"Tidak Ada")</f>
        <v>Tidak Ada</v>
      </c>
      <c r="W212" s="4"/>
      <c r="X212" s="4"/>
      <c r="Y212" s="4"/>
      <c r="Z212" s="4"/>
      <c r="AA212" s="4"/>
      <c r="AB212" s="4"/>
      <c r="AC212" s="4" t="str">
        <f>IFERROR(__xludf.DUMMYFUNCTION("""COMPUTED_VALUE"""),"INSPEKSI SUTM - T2_Images/44b1b780.FOTO.120404.jpg")</f>
        <v>INSPEKSI SUTM - T2_Images/44b1b780.FOTO.120404.jpg</v>
      </c>
      <c r="AD212" s="4"/>
      <c r="AE212" s="4"/>
      <c r="AF212" s="4" t="str">
        <f>IFERROR(__xludf.DUMMYFUNCTION("""COMPUTED_VALUE"""),"BELUM")</f>
        <v>BELUM</v>
      </c>
      <c r="AG212" s="6">
        <f>IFERROR(__xludf.DUMMYFUNCTION("""COMPUTED_VALUE"""),46052.0)</f>
        <v>46052</v>
      </c>
      <c r="AH212" s="4"/>
      <c r="AI212" s="4"/>
    </row>
    <row r="213" ht="15.75" customHeight="1">
      <c r="A213" s="4" t="str">
        <f>IFERROR(__xludf.DUMMYFUNCTION("""COMPUTED_VALUE"""),"f84be1ba")</f>
        <v>f84be1ba</v>
      </c>
      <c r="B213" s="5">
        <f>IFERROR(__xludf.DUMMYFUNCTION("""COMPUTED_VALUE"""),46052.7941087963)</f>
        <v>46052.79411</v>
      </c>
      <c r="C213" s="4" t="str">
        <f>IFERROR(__xludf.DUMMYFUNCTION("""COMPUTED_VALUE"""),"-6.970051, 107.663431")</f>
        <v>-6.970051, 107.663431</v>
      </c>
      <c r="D213" s="4" t="str">
        <f>IFERROR(__xludf.DUMMYFUNCTION("""COMPUTED_VALUE"""),"Jihan kiki")</f>
        <v>Jihan kiki</v>
      </c>
      <c r="E213" s="4" t="str">
        <f>IFERROR(__xludf.DUMMYFUNCTION("""COMPUTED_VALUE"""),"BANDUNG")</f>
        <v>BANDUNG</v>
      </c>
      <c r="F213" s="4" t="str">
        <f>IFERROR(__xludf.DUMMYFUNCTION("""COMPUTED_VALUE"""),"CIJAWURA")</f>
        <v>CIJAWURA</v>
      </c>
      <c r="G213" s="4" t="str">
        <f>IFERROR(__xludf.DUMMYFUNCTION("""COMPUTED_VALUE"""),"GIS SUMMARECON")</f>
        <v>GIS SUMMARECON</v>
      </c>
      <c r="H213" s="4" t="str">
        <f>IFERROR(__xludf.DUMMYFUNCTION("""COMPUTED_VALUE"""),"MRDN")</f>
        <v>MRDN</v>
      </c>
      <c r="I213" s="4" t="str">
        <f>IFERROR(__xludf.DUMMYFUNCTION("""COMPUTED_VALUE"""),"LBS GBHG - UJUNG")</f>
        <v>LBS GBHG - UJUNG</v>
      </c>
      <c r="J213" s="4" t="str">
        <f>IFERROR(__xludf.DUMMYFUNCTION("""COMPUTED_VALUE"""),"ZONA 3")</f>
        <v>ZONA 3</v>
      </c>
      <c r="K213" s="4" t="str">
        <f>IFERROR(__xludf.DUMMYFUNCTION("""COMPUTED_VALUE"""),"007R07R26L06")</f>
        <v>007R07R26L06</v>
      </c>
      <c r="L213" s="4" t="str">
        <f>IFERROR(__xludf.DUMMYFUNCTION("""COMPUTED_VALUE"""),"TM - 7B/H (Afspan 90 Derajat)")</f>
        <v>TM - 7B/H (Afspan 90 Derajat)</v>
      </c>
      <c r="M213" s="4" t="str">
        <f>IFERROR(__xludf.DUMMYFUNCTION("""COMPUTED_VALUE"""),"Tidak Ada")</f>
        <v>Tidak Ada</v>
      </c>
      <c r="N213" s="4"/>
      <c r="O213" s="4" t="str">
        <f>IFERROR(__xludf.DUMMYFUNCTION("""COMPUTED_VALUE"""),"PEMBANDING SEJENIS")</f>
        <v>PEMBANDING SEJENIS</v>
      </c>
      <c r="P213" s="4" t="str">
        <f>IFERROR(__xludf.DUMMYFUNCTION("""COMPUTED_VALUE"""),"KONEKTOR/JUMPER")</f>
        <v>KONEKTOR/JUMPER</v>
      </c>
      <c r="Q213" s="4">
        <f>IFERROR(__xludf.DUMMYFUNCTION("""COMPUTED_VALUE"""),20.0)</f>
        <v>20</v>
      </c>
      <c r="R213" s="4">
        <f>IFERROR(__xludf.DUMMYFUNCTION("""COMPUTED_VALUE"""),20.0)</f>
        <v>20</v>
      </c>
      <c r="S213" s="4">
        <f>IFERROR(__xludf.DUMMYFUNCTION("""COMPUTED_VALUE"""),20.0)</f>
        <v>20</v>
      </c>
      <c r="T213" s="4"/>
      <c r="U213" s="4" t="str">
        <f>IFERROR(__xludf.DUMMYFUNCTION("""COMPUTED_VALUE"""),"BAIK")</f>
        <v>BAIK</v>
      </c>
      <c r="V213" s="4" t="str">
        <f>IFERROR(__xludf.DUMMYFUNCTION("""COMPUTED_VALUE"""),"Tidak Ada")</f>
        <v>Tidak Ada</v>
      </c>
      <c r="W213" s="4"/>
      <c r="X213" s="4"/>
      <c r="Y213" s="4"/>
      <c r="Z213" s="4"/>
      <c r="AA213" s="4"/>
      <c r="AB213" s="4"/>
      <c r="AC213" s="4" t="str">
        <f>IFERROR(__xludf.DUMMYFUNCTION("""COMPUTED_VALUE"""),"INSPEKSI SUTM - T2_Images/f84be1ba.FOTO.120416.jpg")</f>
        <v>INSPEKSI SUTM - T2_Images/f84be1ba.FOTO.120416.jpg</v>
      </c>
      <c r="AD213" s="4"/>
      <c r="AE213" s="4"/>
      <c r="AF213" s="4" t="str">
        <f>IFERROR(__xludf.DUMMYFUNCTION("""COMPUTED_VALUE"""),"BELUM")</f>
        <v>BELUM</v>
      </c>
      <c r="AG213" s="6">
        <f>IFERROR(__xludf.DUMMYFUNCTION("""COMPUTED_VALUE"""),46052.0)</f>
        <v>46052</v>
      </c>
      <c r="AH213" s="4"/>
      <c r="AI213" s="4"/>
    </row>
    <row r="214" ht="15.75" customHeight="1">
      <c r="A214" s="4" t="str">
        <f>IFERROR(__xludf.DUMMYFUNCTION("""COMPUTED_VALUE"""),"42e64ddd")</f>
        <v>42e64ddd</v>
      </c>
      <c r="B214" s="5">
        <f>IFERROR(__xludf.DUMMYFUNCTION("""COMPUTED_VALUE"""),46052.79479166667)</f>
        <v>46052.79479</v>
      </c>
      <c r="C214" s="4" t="str">
        <f>IFERROR(__xludf.DUMMYFUNCTION("""COMPUTED_VALUE"""),"-6.969225, 107.663584")</f>
        <v>-6.969225, 107.663584</v>
      </c>
      <c r="D214" s="4" t="str">
        <f>IFERROR(__xludf.DUMMYFUNCTION("""COMPUTED_VALUE"""),"Jihan kiki")</f>
        <v>Jihan kiki</v>
      </c>
      <c r="E214" s="4" t="str">
        <f>IFERROR(__xludf.DUMMYFUNCTION("""COMPUTED_VALUE"""),"BANDUNG")</f>
        <v>BANDUNG</v>
      </c>
      <c r="F214" s="4" t="str">
        <f>IFERROR(__xludf.DUMMYFUNCTION("""COMPUTED_VALUE"""),"CIJAWURA")</f>
        <v>CIJAWURA</v>
      </c>
      <c r="G214" s="4" t="str">
        <f>IFERROR(__xludf.DUMMYFUNCTION("""COMPUTED_VALUE"""),"GIS SUMMARECON")</f>
        <v>GIS SUMMARECON</v>
      </c>
      <c r="H214" s="4" t="str">
        <f>IFERROR(__xludf.DUMMYFUNCTION("""COMPUTED_VALUE"""),"MRDN")</f>
        <v>MRDN</v>
      </c>
      <c r="I214" s="4" t="str">
        <f>IFERROR(__xludf.DUMMYFUNCTION("""COMPUTED_VALUE"""),"LBS GBHG - UJUNG")</f>
        <v>LBS GBHG - UJUNG</v>
      </c>
      <c r="J214" s="4" t="str">
        <f>IFERROR(__xludf.DUMMYFUNCTION("""COMPUTED_VALUE"""),"ZONA 3")</f>
        <v>ZONA 3</v>
      </c>
      <c r="K214" s="4" t="str">
        <f>IFERROR(__xludf.DUMMYFUNCTION("""COMPUTED_VALUE"""),"007R07R26L08")</f>
        <v>007R07R26L08</v>
      </c>
      <c r="L214" s="4" t="str">
        <f>IFERROR(__xludf.DUMMYFUNCTION("""COMPUTED_VALUE"""),"TM - 14B/H (Akhir)")</f>
        <v>TM - 14B/H (Akhir)</v>
      </c>
      <c r="M214" s="4" t="str">
        <f>IFERROR(__xludf.DUMMYFUNCTION("""COMPUTED_VALUE"""),"Tidak Ada")</f>
        <v>Tidak Ada</v>
      </c>
      <c r="N214" s="4"/>
      <c r="O214" s="4" t="str">
        <f>IFERROR(__xludf.DUMMYFUNCTION("""COMPUTED_VALUE"""),"PEMBANDING SEJENIS")</f>
        <v>PEMBANDING SEJENIS</v>
      </c>
      <c r="P214" s="4" t="str">
        <f>IFERROR(__xludf.DUMMYFUNCTION("""COMPUTED_VALUE"""),"KONEKTOR/JUMPER")</f>
        <v>KONEKTOR/JUMPER</v>
      </c>
      <c r="Q214" s="4">
        <f>IFERROR(__xludf.DUMMYFUNCTION("""COMPUTED_VALUE"""),21.0)</f>
        <v>21</v>
      </c>
      <c r="R214" s="4">
        <f>IFERROR(__xludf.DUMMYFUNCTION("""COMPUTED_VALUE"""),20.0)</f>
        <v>20</v>
      </c>
      <c r="S214" s="4">
        <f>IFERROR(__xludf.DUMMYFUNCTION("""COMPUTED_VALUE"""),21.0)</f>
        <v>21</v>
      </c>
      <c r="T214" s="4"/>
      <c r="U214" s="4" t="str">
        <f>IFERROR(__xludf.DUMMYFUNCTION("""COMPUTED_VALUE"""),"BAIK")</f>
        <v>BAIK</v>
      </c>
      <c r="V214" s="4" t="str">
        <f>IFERROR(__xludf.DUMMYFUNCTION("""COMPUTED_VALUE"""),"Tidak Ada")</f>
        <v>Tidak Ada</v>
      </c>
      <c r="W214" s="4"/>
      <c r="X214" s="4"/>
      <c r="Y214" s="4"/>
      <c r="Z214" s="4"/>
      <c r="AA214" s="4"/>
      <c r="AB214" s="4"/>
      <c r="AC214" s="4" t="str">
        <f>IFERROR(__xludf.DUMMYFUNCTION("""COMPUTED_VALUE"""),"INSPEKSI SUTM - T2_Images/42e64ddd.FOTO.120525.jpg")</f>
        <v>INSPEKSI SUTM - T2_Images/42e64ddd.FOTO.120525.jpg</v>
      </c>
      <c r="AD214" s="4"/>
      <c r="AE214" s="4"/>
      <c r="AF214" s="4" t="str">
        <f>IFERROR(__xludf.DUMMYFUNCTION("""COMPUTED_VALUE"""),"BELUM")</f>
        <v>BELUM</v>
      </c>
      <c r="AG214" s="6">
        <f>IFERROR(__xludf.DUMMYFUNCTION("""COMPUTED_VALUE"""),46052.0)</f>
        <v>46052</v>
      </c>
      <c r="AH214" s="4"/>
      <c r="AI214" s="4"/>
    </row>
    <row r="215" ht="15.75" customHeight="1">
      <c r="A215" s="4" t="str">
        <f>IFERROR(__xludf.DUMMYFUNCTION("""COMPUTED_VALUE"""),"c3f5abd7")</f>
        <v>c3f5abd7</v>
      </c>
      <c r="B215" s="5">
        <f>IFERROR(__xludf.DUMMYFUNCTION("""COMPUTED_VALUE"""),46052.79583333333)</f>
        <v>46052.79583</v>
      </c>
      <c r="C215" s="4" t="str">
        <f>IFERROR(__xludf.DUMMYFUNCTION("""COMPUTED_VALUE"""),"-6.968358, 107.672694")</f>
        <v>-6.968358, 107.672694</v>
      </c>
      <c r="D215" s="4" t="str">
        <f>IFERROR(__xludf.DUMMYFUNCTION("""COMPUTED_VALUE"""),"Jihan kiki")</f>
        <v>Jihan kiki</v>
      </c>
      <c r="E215" s="4" t="str">
        <f>IFERROR(__xludf.DUMMYFUNCTION("""COMPUTED_VALUE"""),"BANDUNG")</f>
        <v>BANDUNG</v>
      </c>
      <c r="F215" s="4" t="str">
        <f>IFERROR(__xludf.DUMMYFUNCTION("""COMPUTED_VALUE"""),"CIJAWURA")</f>
        <v>CIJAWURA</v>
      </c>
      <c r="G215" s="4" t="str">
        <f>IFERROR(__xludf.DUMMYFUNCTION("""COMPUTED_VALUE"""),"GIS SUMMARECON")</f>
        <v>GIS SUMMARECON</v>
      </c>
      <c r="H215" s="4" t="str">
        <f>IFERROR(__xludf.DUMMYFUNCTION("""COMPUTED_VALUE"""),"MRDN")</f>
        <v>MRDN</v>
      </c>
      <c r="I215" s="4" t="str">
        <f>IFERROR(__xludf.DUMMYFUNCTION("""COMPUTED_VALUE"""),"LBS GBH - LBS DBUB")</f>
        <v>LBS GBH - LBS DBUB</v>
      </c>
      <c r="J215" s="4" t="str">
        <f>IFERROR(__xludf.DUMMYFUNCTION("""COMPUTED_VALUE"""),"ZONA 3")</f>
        <v>ZONA 3</v>
      </c>
      <c r="K215" s="4" t="str">
        <f>IFERROR(__xludf.DUMMYFUNCTION("""COMPUTED_VALUE"""),"008")</f>
        <v>008</v>
      </c>
      <c r="L215" s="4" t="str">
        <f>IFERROR(__xludf.DUMMYFUNCTION("""COMPUTED_VALUE"""),"TM - 13B/H (Kabel Naik Pada Tiang Tumpu)")</f>
        <v>TM - 13B/H (Kabel Naik Pada Tiang Tumpu)</v>
      </c>
      <c r="M215" s="4" t="str">
        <f>IFERROR(__xludf.DUMMYFUNCTION("""COMPUTED_VALUE"""),"Tidak Ada")</f>
        <v>Tidak Ada</v>
      </c>
      <c r="N215" s="4"/>
      <c r="O215" s="4" t="str">
        <f>IFERROR(__xludf.DUMMYFUNCTION("""COMPUTED_VALUE"""),"PEMBANDING SEJENIS")</f>
        <v>PEMBANDING SEJENIS</v>
      </c>
      <c r="P215" s="4" t="str">
        <f>IFERROR(__xludf.DUMMYFUNCTION("""COMPUTED_VALUE"""),"KONEKTOR/JUMPER")</f>
        <v>KONEKTOR/JUMPER</v>
      </c>
      <c r="Q215" s="4">
        <f>IFERROR(__xludf.DUMMYFUNCTION("""COMPUTED_VALUE"""),17.0)</f>
        <v>17</v>
      </c>
      <c r="R215" s="4">
        <f>IFERROR(__xludf.DUMMYFUNCTION("""COMPUTED_VALUE"""),20.0)</f>
        <v>20</v>
      </c>
      <c r="S215" s="4">
        <f>IFERROR(__xludf.DUMMYFUNCTION("""COMPUTED_VALUE"""),17.0)</f>
        <v>17</v>
      </c>
      <c r="T215" s="4"/>
      <c r="U215" s="4" t="str">
        <f>IFERROR(__xludf.DUMMYFUNCTION("""COMPUTED_VALUE"""),"CUKUP")</f>
        <v>CUKUP</v>
      </c>
      <c r="V215" s="4" t="str">
        <f>IFERROR(__xludf.DUMMYFUNCTION("""COMPUTED_VALUE"""),"Tidak Ada")</f>
        <v>Tidak Ada</v>
      </c>
      <c r="W215" s="4"/>
      <c r="X215" s="4"/>
      <c r="Y215" s="4"/>
      <c r="Z215" s="4"/>
      <c r="AA215" s="4"/>
      <c r="AB215" s="4"/>
      <c r="AC215" s="4" t="str">
        <f>IFERROR(__xludf.DUMMYFUNCTION("""COMPUTED_VALUE"""),"INSPEKSI SUTM - T2_Images/c3f5abd7.FOTO.120647.jpg")</f>
        <v>INSPEKSI SUTM - T2_Images/c3f5abd7.FOTO.120647.jpg</v>
      </c>
      <c r="AD215" s="4"/>
      <c r="AE215" s="4"/>
      <c r="AF215" s="4" t="str">
        <f>IFERROR(__xludf.DUMMYFUNCTION("""COMPUTED_VALUE"""),"BELUM")</f>
        <v>BELUM</v>
      </c>
      <c r="AG215" s="6">
        <f>IFERROR(__xludf.DUMMYFUNCTION("""COMPUTED_VALUE"""),46052.0)</f>
        <v>46052</v>
      </c>
      <c r="AH215" s="4"/>
      <c r="AI215" s="4"/>
    </row>
    <row r="216" ht="15.75" customHeight="1">
      <c r="A216" s="4" t="str">
        <f>IFERROR(__xludf.DUMMYFUNCTION("""COMPUTED_VALUE"""),"42c2d5d6")</f>
        <v>42c2d5d6</v>
      </c>
      <c r="B216" s="5">
        <f>IFERROR(__xludf.DUMMYFUNCTION("""COMPUTED_VALUE"""),46052.79672453704)</f>
        <v>46052.79672</v>
      </c>
      <c r="C216" s="4" t="str">
        <f>IFERROR(__xludf.DUMMYFUNCTION("""COMPUTED_VALUE"""),"-6.968649, 107.672662")</f>
        <v>-6.968649, 107.672662</v>
      </c>
      <c r="D216" s="4" t="str">
        <f>IFERROR(__xludf.DUMMYFUNCTION("""COMPUTED_VALUE"""),"Jihan kiki")</f>
        <v>Jihan kiki</v>
      </c>
      <c r="E216" s="4" t="str">
        <f>IFERROR(__xludf.DUMMYFUNCTION("""COMPUTED_VALUE"""),"BANDUNG")</f>
        <v>BANDUNG</v>
      </c>
      <c r="F216" s="4" t="str">
        <f>IFERROR(__xludf.DUMMYFUNCTION("""COMPUTED_VALUE"""),"CIJAWURA")</f>
        <v>CIJAWURA</v>
      </c>
      <c r="G216" s="4" t="str">
        <f>IFERROR(__xludf.DUMMYFUNCTION("""COMPUTED_VALUE"""),"GIS SUMMARECON")</f>
        <v>GIS SUMMARECON</v>
      </c>
      <c r="H216" s="4" t="str">
        <f>IFERROR(__xludf.DUMMYFUNCTION("""COMPUTED_VALUE"""),"MRDN")</f>
        <v>MRDN</v>
      </c>
      <c r="I216" s="4" t="str">
        <f>IFERROR(__xludf.DUMMYFUNCTION("""COMPUTED_VALUE"""),"LBS GBH - LBS DBUB")</f>
        <v>LBS GBH - LBS DBUB</v>
      </c>
      <c r="J216" s="4" t="str">
        <f>IFERROR(__xludf.DUMMYFUNCTION("""COMPUTED_VALUE"""),"ZONA 3")</f>
        <v>ZONA 3</v>
      </c>
      <c r="K216" s="4" t="str">
        <f>IFERROR(__xludf.DUMMYFUNCTION("""COMPUTED_VALUE"""),"009")</f>
        <v>009</v>
      </c>
      <c r="L216" s="4" t="str">
        <f>IFERROR(__xludf.DUMMYFUNCTION("""COMPUTED_VALUE"""),"TM - 8B/H (Percabangan)")</f>
        <v>TM - 8B/H (Percabangan)</v>
      </c>
      <c r="M216" s="4" t="str">
        <f>IFERROR(__xludf.DUMMYFUNCTION("""COMPUTED_VALUE"""),"Tidak Ada")</f>
        <v>Tidak Ada</v>
      </c>
      <c r="N216" s="4"/>
      <c r="O216" s="4" t="str">
        <f>IFERROR(__xludf.DUMMYFUNCTION("""COMPUTED_VALUE"""),"PEMBANDING SEJENIS")</f>
        <v>PEMBANDING SEJENIS</v>
      </c>
      <c r="P216" s="4" t="str">
        <f>IFERROR(__xludf.DUMMYFUNCTION("""COMPUTED_VALUE"""),"KONEKTOR/JUMPER")</f>
        <v>KONEKTOR/JUMPER</v>
      </c>
      <c r="Q216" s="4">
        <f>IFERROR(__xludf.DUMMYFUNCTION("""COMPUTED_VALUE"""),20.0)</f>
        <v>20</v>
      </c>
      <c r="R216" s="4">
        <f>IFERROR(__xludf.DUMMYFUNCTION("""COMPUTED_VALUE"""),20.0)</f>
        <v>20</v>
      </c>
      <c r="S216" s="4">
        <f>IFERROR(__xludf.DUMMYFUNCTION("""COMPUTED_VALUE"""),20.0)</f>
        <v>20</v>
      </c>
      <c r="T216" s="4"/>
      <c r="U216" s="4" t="str">
        <f>IFERROR(__xludf.DUMMYFUNCTION("""COMPUTED_VALUE"""),"BAIK")</f>
        <v>BAIK</v>
      </c>
      <c r="V216" s="4" t="str">
        <f>IFERROR(__xludf.DUMMYFUNCTION("""COMPUTED_VALUE"""),"Tidak Ada")</f>
        <v>Tidak Ada</v>
      </c>
      <c r="W216" s="4"/>
      <c r="X216" s="4"/>
      <c r="Y216" s="4"/>
      <c r="Z216" s="4"/>
      <c r="AA216" s="4"/>
      <c r="AB216" s="4"/>
      <c r="AC216" s="4" t="str">
        <f>IFERROR(__xludf.DUMMYFUNCTION("""COMPUTED_VALUE"""),"INSPEKSI SUTM - T2_Images/42c2d5d6.FOTO.120756.jpg")</f>
        <v>INSPEKSI SUTM - T2_Images/42c2d5d6.FOTO.120756.jpg</v>
      </c>
      <c r="AD216" s="4"/>
      <c r="AE216" s="4"/>
      <c r="AF216" s="4" t="str">
        <f>IFERROR(__xludf.DUMMYFUNCTION("""COMPUTED_VALUE"""),"BELUM")</f>
        <v>BELUM</v>
      </c>
      <c r="AG216" s="6">
        <f>IFERROR(__xludf.DUMMYFUNCTION("""COMPUTED_VALUE"""),46052.0)</f>
        <v>46052</v>
      </c>
      <c r="AH216" s="4"/>
      <c r="AI216" s="4"/>
    </row>
    <row r="217" ht="15.75" customHeight="1">
      <c r="A217" s="4" t="str">
        <f>IFERROR(__xludf.DUMMYFUNCTION("""COMPUTED_VALUE"""),"1c093bc4")</f>
        <v>1c093bc4</v>
      </c>
      <c r="B217" s="5">
        <f>IFERROR(__xludf.DUMMYFUNCTION("""COMPUTED_VALUE"""),46052.79738425926)</f>
        <v>46052.79738</v>
      </c>
      <c r="C217" s="4" t="str">
        <f>IFERROR(__xludf.DUMMYFUNCTION("""COMPUTED_VALUE"""),"-6.969350, 107.672656")</f>
        <v>-6.969350, 107.672656</v>
      </c>
      <c r="D217" s="4" t="str">
        <f>IFERROR(__xludf.DUMMYFUNCTION("""COMPUTED_VALUE"""),"Jihan kiki")</f>
        <v>Jihan kiki</v>
      </c>
      <c r="E217" s="4" t="str">
        <f>IFERROR(__xludf.DUMMYFUNCTION("""COMPUTED_VALUE"""),"BANDUNG")</f>
        <v>BANDUNG</v>
      </c>
      <c r="F217" s="4" t="str">
        <f>IFERROR(__xludf.DUMMYFUNCTION("""COMPUTED_VALUE"""),"CIJAWURA")</f>
        <v>CIJAWURA</v>
      </c>
      <c r="G217" s="4" t="str">
        <f>IFERROR(__xludf.DUMMYFUNCTION("""COMPUTED_VALUE"""),"GIS SUMMARECON")</f>
        <v>GIS SUMMARECON</v>
      </c>
      <c r="H217" s="4" t="str">
        <f>IFERROR(__xludf.DUMMYFUNCTION("""COMPUTED_VALUE"""),"MRDN")</f>
        <v>MRDN</v>
      </c>
      <c r="I217" s="4" t="str">
        <f>IFERROR(__xludf.DUMMYFUNCTION("""COMPUTED_VALUE"""),"LBS GBH - LBS DBUB")</f>
        <v>LBS GBH - LBS DBUB</v>
      </c>
      <c r="J217" s="4" t="str">
        <f>IFERROR(__xludf.DUMMYFUNCTION("""COMPUTED_VALUE"""),"ZONA 3")</f>
        <v>ZONA 3</v>
      </c>
      <c r="K217" s="4" t="str">
        <f>IFERROR(__xludf.DUMMYFUNCTION("""COMPUTED_VALUE"""),"010")</f>
        <v>010</v>
      </c>
      <c r="L217" s="4" t="str">
        <f>IFERROR(__xludf.DUMMYFUNCTION("""COMPUTED_VALUE"""),"TM - 8B/H (Percabangan)")</f>
        <v>TM - 8B/H (Percabangan)</v>
      </c>
      <c r="M217" s="4" t="str">
        <f>IFERROR(__xludf.DUMMYFUNCTION("""COMPUTED_VALUE"""),"Tidak Ada")</f>
        <v>Tidak Ada</v>
      </c>
      <c r="N217" s="4"/>
      <c r="O217" s="4" t="str">
        <f>IFERROR(__xludf.DUMMYFUNCTION("""COMPUTED_VALUE"""),"PEMBANDING SEJENIS")</f>
        <v>PEMBANDING SEJENIS</v>
      </c>
      <c r="P217" s="4" t="str">
        <f>IFERROR(__xludf.DUMMYFUNCTION("""COMPUTED_VALUE"""),"KONEKTOR/JUMPER")</f>
        <v>KONEKTOR/JUMPER</v>
      </c>
      <c r="Q217" s="4">
        <f>IFERROR(__xludf.DUMMYFUNCTION("""COMPUTED_VALUE"""),18.0)</f>
        <v>18</v>
      </c>
      <c r="R217" s="4">
        <f>IFERROR(__xludf.DUMMYFUNCTION("""COMPUTED_VALUE"""),18.0)</f>
        <v>18</v>
      </c>
      <c r="S217" s="4">
        <f>IFERROR(__xludf.DUMMYFUNCTION("""COMPUTED_VALUE"""),18.0)</f>
        <v>18</v>
      </c>
      <c r="T217" s="4"/>
      <c r="U217" s="4" t="str">
        <f>IFERROR(__xludf.DUMMYFUNCTION("""COMPUTED_VALUE"""),"BAIK")</f>
        <v>BAIK</v>
      </c>
      <c r="V217" s="4" t="str">
        <f>IFERROR(__xludf.DUMMYFUNCTION("""COMPUTED_VALUE"""),"Tidak Ada")</f>
        <v>Tidak Ada</v>
      </c>
      <c r="W217" s="4"/>
      <c r="X217" s="4"/>
      <c r="Y217" s="4"/>
      <c r="Z217" s="4"/>
      <c r="AA217" s="4"/>
      <c r="AB217" s="4"/>
      <c r="AC217" s="4" t="str">
        <f>IFERROR(__xludf.DUMMYFUNCTION("""COMPUTED_VALUE"""),"INSPEKSI SUTM - T2_Images/1c093bc4.FOTO.121305.jpg")</f>
        <v>INSPEKSI SUTM - T2_Images/1c093bc4.FOTO.121305.jpg</v>
      </c>
      <c r="AD217" s="4"/>
      <c r="AE217" s="4"/>
      <c r="AF217" s="4" t="str">
        <f>IFERROR(__xludf.DUMMYFUNCTION("""COMPUTED_VALUE"""),"BELUM")</f>
        <v>BELUM</v>
      </c>
      <c r="AG217" s="6">
        <f>IFERROR(__xludf.DUMMYFUNCTION("""COMPUTED_VALUE"""),46052.0)</f>
        <v>46052</v>
      </c>
      <c r="AH217" s="4"/>
      <c r="AI217" s="4"/>
    </row>
    <row r="218" ht="15.75" customHeight="1">
      <c r="A218" s="4" t="str">
        <f>IFERROR(__xludf.DUMMYFUNCTION("""COMPUTED_VALUE"""),"fea93b5d")</f>
        <v>fea93b5d</v>
      </c>
      <c r="B218" s="5">
        <f>IFERROR(__xludf.DUMMYFUNCTION("""COMPUTED_VALUE"""),46052.79821759259)</f>
        <v>46052.79822</v>
      </c>
      <c r="C218" s="4" t="str">
        <f>IFERROR(__xludf.DUMMYFUNCTION("""COMPUTED_VALUE"""),"-6.970814, 107.672648")</f>
        <v>-6.970814, 107.672648</v>
      </c>
      <c r="D218" s="4" t="str">
        <f>IFERROR(__xludf.DUMMYFUNCTION("""COMPUTED_VALUE"""),"Jihan kiki")</f>
        <v>Jihan kiki</v>
      </c>
      <c r="E218" s="4" t="str">
        <f>IFERROR(__xludf.DUMMYFUNCTION("""COMPUTED_VALUE"""),"BANDUNG")</f>
        <v>BANDUNG</v>
      </c>
      <c r="F218" s="4" t="str">
        <f>IFERROR(__xludf.DUMMYFUNCTION("""COMPUTED_VALUE"""),"CIJAWURA")</f>
        <v>CIJAWURA</v>
      </c>
      <c r="G218" s="4" t="str">
        <f>IFERROR(__xludf.DUMMYFUNCTION("""COMPUTED_VALUE"""),"GIS SUMMARECON")</f>
        <v>GIS SUMMARECON</v>
      </c>
      <c r="H218" s="4" t="str">
        <f>IFERROR(__xludf.DUMMYFUNCTION("""COMPUTED_VALUE"""),"MRDN")</f>
        <v>MRDN</v>
      </c>
      <c r="I218" s="4" t="str">
        <f>IFERROR(__xludf.DUMMYFUNCTION("""COMPUTED_VALUE"""),"LBS GBH - LBS DBUB")</f>
        <v>LBS GBH - LBS DBUB</v>
      </c>
      <c r="J218" s="4" t="str">
        <f>IFERROR(__xludf.DUMMYFUNCTION("""COMPUTED_VALUE"""),"ZONA 3")</f>
        <v>ZONA 3</v>
      </c>
      <c r="K218" s="4" t="str">
        <f>IFERROR(__xludf.DUMMYFUNCTION("""COMPUTED_VALUE"""),"014")</f>
        <v>014</v>
      </c>
      <c r="L218" s="4" t="str">
        <f>IFERROR(__xludf.DUMMYFUNCTION("""COMPUTED_VALUE"""),"TM - 7B/H (Afspan 90 Derajat)")</f>
        <v>TM - 7B/H (Afspan 90 Derajat)</v>
      </c>
      <c r="M218" s="4" t="str">
        <f>IFERROR(__xludf.DUMMYFUNCTION("""COMPUTED_VALUE"""),"Tidak Ada")</f>
        <v>Tidak Ada</v>
      </c>
      <c r="N218" s="4"/>
      <c r="O218" s="4" t="str">
        <f>IFERROR(__xludf.DUMMYFUNCTION("""COMPUTED_VALUE"""),"PEMBANDING SEJENIS")</f>
        <v>PEMBANDING SEJENIS</v>
      </c>
      <c r="P218" s="4" t="str">
        <f>IFERROR(__xludf.DUMMYFUNCTION("""COMPUTED_VALUE"""),"KONEKTOR/JUMPER")</f>
        <v>KONEKTOR/JUMPER</v>
      </c>
      <c r="Q218" s="4">
        <f>IFERROR(__xludf.DUMMYFUNCTION("""COMPUTED_VALUE"""),19.0)</f>
        <v>19</v>
      </c>
      <c r="R218" s="4">
        <f>IFERROR(__xludf.DUMMYFUNCTION("""COMPUTED_VALUE"""),19.0)</f>
        <v>19</v>
      </c>
      <c r="S218" s="4">
        <f>IFERROR(__xludf.DUMMYFUNCTION("""COMPUTED_VALUE"""),19.0)</f>
        <v>19</v>
      </c>
      <c r="T218" s="4"/>
      <c r="U218" s="4" t="str">
        <f>IFERROR(__xludf.DUMMYFUNCTION("""COMPUTED_VALUE"""),"BAIK")</f>
        <v>BAIK</v>
      </c>
      <c r="V218" s="4" t="str">
        <f>IFERROR(__xludf.DUMMYFUNCTION("""COMPUTED_VALUE"""),"Tidak Ada")</f>
        <v>Tidak Ada</v>
      </c>
      <c r="W218" s="4"/>
      <c r="X218" s="4"/>
      <c r="Y218" s="4"/>
      <c r="Z218" s="4"/>
      <c r="AA218" s="4"/>
      <c r="AB218" s="4"/>
      <c r="AC218" s="4" t="str">
        <f>IFERROR(__xludf.DUMMYFUNCTION("""COMPUTED_VALUE"""),"INSPEKSI SUTM - T2_Images/fea93b5d.FOTO.121313.jpg")</f>
        <v>INSPEKSI SUTM - T2_Images/fea93b5d.FOTO.121313.jpg</v>
      </c>
      <c r="AD218" s="4"/>
      <c r="AE218" s="4"/>
      <c r="AF218" s="4" t="str">
        <f>IFERROR(__xludf.DUMMYFUNCTION("""COMPUTED_VALUE"""),"BELUM")</f>
        <v>BELUM</v>
      </c>
      <c r="AG218" s="6">
        <f>IFERROR(__xludf.DUMMYFUNCTION("""COMPUTED_VALUE"""),46052.0)</f>
        <v>46052</v>
      </c>
      <c r="AH218" s="4"/>
      <c r="AI218" s="4"/>
    </row>
    <row r="219" ht="15.75" customHeight="1">
      <c r="A219" s="4" t="str">
        <f>IFERROR(__xludf.DUMMYFUNCTION("""COMPUTED_VALUE"""),"3356980c")</f>
        <v>3356980c</v>
      </c>
      <c r="B219" s="5">
        <f>IFERROR(__xludf.DUMMYFUNCTION("""COMPUTED_VALUE"""),46052.79900462963)</f>
        <v>46052.799</v>
      </c>
      <c r="C219" s="4" t="str">
        <f>IFERROR(__xludf.DUMMYFUNCTION("""COMPUTED_VALUE"""),"-6.970761, 107.672929")</f>
        <v>-6.970761, 107.672929</v>
      </c>
      <c r="D219" s="4" t="str">
        <f>IFERROR(__xludf.DUMMYFUNCTION("""COMPUTED_VALUE"""),"Jihan kiki")</f>
        <v>Jihan kiki</v>
      </c>
      <c r="E219" s="4" t="str">
        <f>IFERROR(__xludf.DUMMYFUNCTION("""COMPUTED_VALUE"""),"BANDUNG")</f>
        <v>BANDUNG</v>
      </c>
      <c r="F219" s="4" t="str">
        <f>IFERROR(__xludf.DUMMYFUNCTION("""COMPUTED_VALUE"""),"CIJAWURA")</f>
        <v>CIJAWURA</v>
      </c>
      <c r="G219" s="4" t="str">
        <f>IFERROR(__xludf.DUMMYFUNCTION("""COMPUTED_VALUE"""),"GIS SUMMARECON")</f>
        <v>GIS SUMMARECON</v>
      </c>
      <c r="H219" s="4" t="str">
        <f>IFERROR(__xludf.DUMMYFUNCTION("""COMPUTED_VALUE"""),"MRDN")</f>
        <v>MRDN</v>
      </c>
      <c r="I219" s="4" t="str">
        <f>IFERROR(__xludf.DUMMYFUNCTION("""COMPUTED_VALUE"""),"LBS GBH - LBS DBUB")</f>
        <v>LBS GBH - LBS DBUB</v>
      </c>
      <c r="J219" s="4" t="str">
        <f>IFERROR(__xludf.DUMMYFUNCTION("""COMPUTED_VALUE"""),"ZONA 3")</f>
        <v>ZONA 3</v>
      </c>
      <c r="K219" s="4" t="str">
        <f>IFERROR(__xludf.DUMMYFUNCTION("""COMPUTED_VALUE"""),"015")</f>
        <v>015</v>
      </c>
      <c r="L219" s="4" t="str">
        <f>IFERROR(__xludf.DUMMYFUNCTION("""COMPUTED_VALUE"""),"TM - 7B/H (Afspan 90 Derajat)")</f>
        <v>TM - 7B/H (Afspan 90 Derajat)</v>
      </c>
      <c r="M219" s="4" t="str">
        <f>IFERROR(__xludf.DUMMYFUNCTION("""COMPUTED_VALUE"""),"Tidak Ada")</f>
        <v>Tidak Ada</v>
      </c>
      <c r="N219" s="4"/>
      <c r="O219" s="4" t="str">
        <f>IFERROR(__xludf.DUMMYFUNCTION("""COMPUTED_VALUE"""),"PEMBANDING SEJENIS")</f>
        <v>PEMBANDING SEJENIS</v>
      </c>
      <c r="P219" s="4" t="str">
        <f>IFERROR(__xludf.DUMMYFUNCTION("""COMPUTED_VALUE"""),"KONEKTOR/JUMPER")</f>
        <v>KONEKTOR/JUMPER</v>
      </c>
      <c r="Q219" s="4">
        <f>IFERROR(__xludf.DUMMYFUNCTION("""COMPUTED_VALUE"""),19.0)</f>
        <v>19</v>
      </c>
      <c r="R219" s="4">
        <f>IFERROR(__xludf.DUMMYFUNCTION("""COMPUTED_VALUE"""),19.0)</f>
        <v>19</v>
      </c>
      <c r="S219" s="4">
        <f>IFERROR(__xludf.DUMMYFUNCTION("""COMPUTED_VALUE"""),19.0)</f>
        <v>19</v>
      </c>
      <c r="T219" s="4"/>
      <c r="U219" s="4" t="str">
        <f>IFERROR(__xludf.DUMMYFUNCTION("""COMPUTED_VALUE"""),"BAIK")</f>
        <v>BAIK</v>
      </c>
      <c r="V219" s="4" t="str">
        <f>IFERROR(__xludf.DUMMYFUNCTION("""COMPUTED_VALUE"""),"Tidak Ada")</f>
        <v>Tidak Ada</v>
      </c>
      <c r="W219" s="4"/>
      <c r="X219" s="4"/>
      <c r="Y219" s="4"/>
      <c r="Z219" s="4"/>
      <c r="AA219" s="4"/>
      <c r="AB219" s="4"/>
      <c r="AC219" s="4" t="str">
        <f>IFERROR(__xludf.DUMMYFUNCTION("""COMPUTED_VALUE"""),"INSPEKSI SUTM - T2_Images/3356980c.FOTO.121317.jpg")</f>
        <v>INSPEKSI SUTM - T2_Images/3356980c.FOTO.121317.jpg</v>
      </c>
      <c r="AD219" s="4"/>
      <c r="AE219" s="4"/>
      <c r="AF219" s="4" t="str">
        <f>IFERROR(__xludf.DUMMYFUNCTION("""COMPUTED_VALUE"""),"BELUM")</f>
        <v>BELUM</v>
      </c>
      <c r="AG219" s="6">
        <f>IFERROR(__xludf.DUMMYFUNCTION("""COMPUTED_VALUE"""),46052.0)</f>
        <v>46052</v>
      </c>
      <c r="AH219" s="4"/>
      <c r="AI219" s="4"/>
    </row>
    <row r="220" ht="15.75" customHeight="1">
      <c r="A220" s="4" t="str">
        <f>IFERROR(__xludf.DUMMYFUNCTION("""COMPUTED_VALUE"""),"6a727f7d")</f>
        <v>6a727f7d</v>
      </c>
      <c r="B220" s="5">
        <f>IFERROR(__xludf.DUMMYFUNCTION("""COMPUTED_VALUE"""),46052.80164351852)</f>
        <v>46052.80164</v>
      </c>
      <c r="C220" s="4" t="str">
        <f>IFERROR(__xludf.DUMMYFUNCTION("""COMPUTED_VALUE"""),"-6.972660, 107.673114")</f>
        <v>-6.972660, 107.673114</v>
      </c>
      <c r="D220" s="4" t="str">
        <f>IFERROR(__xludf.DUMMYFUNCTION("""COMPUTED_VALUE"""),"Jihan kiki")</f>
        <v>Jihan kiki</v>
      </c>
      <c r="E220" s="4" t="str">
        <f>IFERROR(__xludf.DUMMYFUNCTION("""COMPUTED_VALUE"""),"BANDUNG")</f>
        <v>BANDUNG</v>
      </c>
      <c r="F220" s="4" t="str">
        <f>IFERROR(__xludf.DUMMYFUNCTION("""COMPUTED_VALUE"""),"CIJAWURA")</f>
        <v>CIJAWURA</v>
      </c>
      <c r="G220" s="4" t="str">
        <f>IFERROR(__xludf.DUMMYFUNCTION("""COMPUTED_VALUE"""),"GIS SUMMARECON")</f>
        <v>GIS SUMMARECON</v>
      </c>
      <c r="H220" s="4" t="str">
        <f>IFERROR(__xludf.DUMMYFUNCTION("""COMPUTED_VALUE"""),"MRDN")</f>
        <v>MRDN</v>
      </c>
      <c r="I220" s="4" t="str">
        <f>IFERROR(__xludf.DUMMYFUNCTION("""COMPUTED_VALUE"""),"LBS GBH - LBS DBUB")</f>
        <v>LBS GBH - LBS DBUB</v>
      </c>
      <c r="J220" s="4" t="str">
        <f>IFERROR(__xludf.DUMMYFUNCTION("""COMPUTED_VALUE"""),"ZONA 3")</f>
        <v>ZONA 3</v>
      </c>
      <c r="K220" s="4" t="str">
        <f>IFERROR(__xludf.DUMMYFUNCTION("""COMPUTED_VALUE"""),"020")</f>
        <v>020</v>
      </c>
      <c r="L220" s="4" t="str">
        <f>IFERROR(__xludf.DUMMYFUNCTION("""COMPUTED_VALUE"""),"TM - 8B/H (Percabangan)")</f>
        <v>TM - 8B/H (Percabangan)</v>
      </c>
      <c r="M220" s="4" t="str">
        <f>IFERROR(__xludf.DUMMYFUNCTION("""COMPUTED_VALUE"""),"Tidak Ada")</f>
        <v>Tidak Ada</v>
      </c>
      <c r="N220" s="4"/>
      <c r="O220" s="4" t="str">
        <f>IFERROR(__xludf.DUMMYFUNCTION("""COMPUTED_VALUE"""),"PEMBANDING SEJENIS")</f>
        <v>PEMBANDING SEJENIS</v>
      </c>
      <c r="P220" s="4" t="str">
        <f>IFERROR(__xludf.DUMMYFUNCTION("""COMPUTED_VALUE"""),"KONEKTOR/JUMPER")</f>
        <v>KONEKTOR/JUMPER</v>
      </c>
      <c r="Q220" s="4">
        <f>IFERROR(__xludf.DUMMYFUNCTION("""COMPUTED_VALUE"""),20.0)</f>
        <v>20</v>
      </c>
      <c r="R220" s="4">
        <f>IFERROR(__xludf.DUMMYFUNCTION("""COMPUTED_VALUE"""),21.0)</f>
        <v>21</v>
      </c>
      <c r="S220" s="4">
        <f>IFERROR(__xludf.DUMMYFUNCTION("""COMPUTED_VALUE"""),22.0)</f>
        <v>22</v>
      </c>
      <c r="T220" s="4"/>
      <c r="U220" s="4" t="str">
        <f>IFERROR(__xludf.DUMMYFUNCTION("""COMPUTED_VALUE"""),"BAIK")</f>
        <v>BAIK</v>
      </c>
      <c r="V220" s="4" t="str">
        <f>IFERROR(__xludf.DUMMYFUNCTION("""COMPUTED_VALUE"""),"Tidak Ada")</f>
        <v>Tidak Ada</v>
      </c>
      <c r="W220" s="4"/>
      <c r="X220" s="4"/>
      <c r="Y220" s="4"/>
      <c r="Z220" s="4"/>
      <c r="AA220" s="4"/>
      <c r="AB220" s="4"/>
      <c r="AC220" s="4" t="str">
        <f>IFERROR(__xludf.DUMMYFUNCTION("""COMPUTED_VALUE"""),"INSPEKSI SUTM - T2_Images/6a727f7d.FOTO.121500.jpg")</f>
        <v>INSPEKSI SUTM - T2_Images/6a727f7d.FOTO.121500.jpg</v>
      </c>
      <c r="AD220" s="4"/>
      <c r="AE220" s="4"/>
      <c r="AF220" s="4" t="str">
        <f>IFERROR(__xludf.DUMMYFUNCTION("""COMPUTED_VALUE"""),"BELUM")</f>
        <v>BELUM</v>
      </c>
      <c r="AG220" s="6">
        <f>IFERROR(__xludf.DUMMYFUNCTION("""COMPUTED_VALUE"""),46052.0)</f>
        <v>46052</v>
      </c>
      <c r="AH220" s="4"/>
      <c r="AI220" s="4"/>
    </row>
    <row r="221" ht="15.75" customHeight="1">
      <c r="A221" s="4" t="str">
        <f>IFERROR(__xludf.DUMMYFUNCTION("""COMPUTED_VALUE"""),"117eeef5")</f>
        <v>117eeef5</v>
      </c>
      <c r="B221" s="5">
        <f>IFERROR(__xludf.DUMMYFUNCTION("""COMPUTED_VALUE"""),46052.80238425926)</f>
        <v>46052.80238</v>
      </c>
      <c r="C221" s="4" t="str">
        <f>IFERROR(__xludf.DUMMYFUNCTION("""COMPUTED_VALUE"""),"-6.972670, 107.673869")</f>
        <v>-6.972670, 107.673869</v>
      </c>
      <c r="D221" s="4" t="str">
        <f>IFERROR(__xludf.DUMMYFUNCTION("""COMPUTED_VALUE"""),"Jihan kiki")</f>
        <v>Jihan kiki</v>
      </c>
      <c r="E221" s="4" t="str">
        <f>IFERROR(__xludf.DUMMYFUNCTION("""COMPUTED_VALUE"""),"BANDUNG")</f>
        <v>BANDUNG</v>
      </c>
      <c r="F221" s="4" t="str">
        <f>IFERROR(__xludf.DUMMYFUNCTION("""COMPUTED_VALUE"""),"CIJAWURA")</f>
        <v>CIJAWURA</v>
      </c>
      <c r="G221" s="4" t="str">
        <f>IFERROR(__xludf.DUMMYFUNCTION("""COMPUTED_VALUE"""),"GIS SUMMARECON")</f>
        <v>GIS SUMMARECON</v>
      </c>
      <c r="H221" s="4" t="str">
        <f>IFERROR(__xludf.DUMMYFUNCTION("""COMPUTED_VALUE"""),"MRDN")</f>
        <v>MRDN</v>
      </c>
      <c r="I221" s="4" t="str">
        <f>IFERROR(__xludf.DUMMYFUNCTION("""COMPUTED_VALUE"""),"LBS GBH - LBS DBUB")</f>
        <v>LBS GBH - LBS DBUB</v>
      </c>
      <c r="J221" s="4" t="str">
        <f>IFERROR(__xludf.DUMMYFUNCTION("""COMPUTED_VALUE"""),"ZONA 3")</f>
        <v>ZONA 3</v>
      </c>
      <c r="K221" s="4" t="str">
        <f>IFERROR(__xludf.DUMMYFUNCTION("""COMPUTED_VALUE"""),"020L03")</f>
        <v>020L03</v>
      </c>
      <c r="L221" s="4" t="str">
        <f>IFERROR(__xludf.DUMMYFUNCTION("""COMPUTED_VALUE"""),"TM - 7B/H (Afspan 90 Derajat)")</f>
        <v>TM - 7B/H (Afspan 90 Derajat)</v>
      </c>
      <c r="M221" s="4" t="str">
        <f>IFERROR(__xludf.DUMMYFUNCTION("""COMPUTED_VALUE"""),"Tidak Ada")</f>
        <v>Tidak Ada</v>
      </c>
      <c r="N221" s="4"/>
      <c r="O221" s="4" t="str">
        <f>IFERROR(__xludf.DUMMYFUNCTION("""COMPUTED_VALUE"""),"PEMBANDING SEJENIS")</f>
        <v>PEMBANDING SEJENIS</v>
      </c>
      <c r="P221" s="4" t="str">
        <f>IFERROR(__xludf.DUMMYFUNCTION("""COMPUTED_VALUE"""),"KONEKTOR/JUMPER")</f>
        <v>KONEKTOR/JUMPER</v>
      </c>
      <c r="Q221" s="4">
        <f>IFERROR(__xludf.DUMMYFUNCTION("""COMPUTED_VALUE"""),22.0)</f>
        <v>22</v>
      </c>
      <c r="R221" s="4">
        <f>IFERROR(__xludf.DUMMYFUNCTION("""COMPUTED_VALUE"""),19.0)</f>
        <v>19</v>
      </c>
      <c r="S221" s="4">
        <f>IFERROR(__xludf.DUMMYFUNCTION("""COMPUTED_VALUE"""),20.0)</f>
        <v>20</v>
      </c>
      <c r="T221" s="4"/>
      <c r="U221" s="4" t="str">
        <f>IFERROR(__xludf.DUMMYFUNCTION("""COMPUTED_VALUE"""),"CUKUP")</f>
        <v>CUKUP</v>
      </c>
      <c r="V221" s="4" t="str">
        <f>IFERROR(__xludf.DUMMYFUNCTION("""COMPUTED_VALUE"""),"Tidak Ada")</f>
        <v>Tidak Ada</v>
      </c>
      <c r="W221" s="4"/>
      <c r="X221" s="4"/>
      <c r="Y221" s="4"/>
      <c r="Z221" s="4"/>
      <c r="AA221" s="4"/>
      <c r="AB221" s="4"/>
      <c r="AC221" s="4" t="str">
        <f>IFERROR(__xludf.DUMMYFUNCTION("""COMPUTED_VALUE"""),"INSPEKSI SUTM - T2_Images/117eeef5.FOTO.121607.jpg")</f>
        <v>INSPEKSI SUTM - T2_Images/117eeef5.FOTO.121607.jpg</v>
      </c>
      <c r="AD221" s="4"/>
      <c r="AE221" s="4"/>
      <c r="AF221" s="4" t="str">
        <f>IFERROR(__xludf.DUMMYFUNCTION("""COMPUTED_VALUE"""),"BELUM")</f>
        <v>BELUM</v>
      </c>
      <c r="AG221" s="6">
        <f>IFERROR(__xludf.DUMMYFUNCTION("""COMPUTED_VALUE"""),46052.0)</f>
        <v>46052</v>
      </c>
      <c r="AH221" s="4"/>
      <c r="AI221" s="4"/>
    </row>
    <row r="222" ht="15.75" customHeight="1">
      <c r="A222" s="4" t="str">
        <f>IFERROR(__xludf.DUMMYFUNCTION("""COMPUTED_VALUE"""),"35058794")</f>
        <v>35058794</v>
      </c>
      <c r="B222" s="5">
        <f>IFERROR(__xludf.DUMMYFUNCTION("""COMPUTED_VALUE"""),46052.80332175926)</f>
        <v>46052.80332</v>
      </c>
      <c r="C222" s="4" t="str">
        <f>IFERROR(__xludf.DUMMYFUNCTION("""COMPUTED_VALUE"""),"-6.975038, 107.673105")</f>
        <v>-6.975038, 107.673105</v>
      </c>
      <c r="D222" s="4" t="str">
        <f>IFERROR(__xludf.DUMMYFUNCTION("""COMPUTED_VALUE"""),"Jihan kiki")</f>
        <v>Jihan kiki</v>
      </c>
      <c r="E222" s="4" t="str">
        <f>IFERROR(__xludf.DUMMYFUNCTION("""COMPUTED_VALUE"""),"BANDUNG")</f>
        <v>BANDUNG</v>
      </c>
      <c r="F222" s="4" t="str">
        <f>IFERROR(__xludf.DUMMYFUNCTION("""COMPUTED_VALUE"""),"CIJAWURA")</f>
        <v>CIJAWURA</v>
      </c>
      <c r="G222" s="4" t="str">
        <f>IFERROR(__xludf.DUMMYFUNCTION("""COMPUTED_VALUE"""),"GIS SUMMARECON")</f>
        <v>GIS SUMMARECON</v>
      </c>
      <c r="H222" s="4" t="str">
        <f>IFERROR(__xludf.DUMMYFUNCTION("""COMPUTED_VALUE"""),"MRDN")</f>
        <v>MRDN</v>
      </c>
      <c r="I222" s="4" t="str">
        <f>IFERROR(__xludf.DUMMYFUNCTION("""COMPUTED_VALUE"""),"LBS GBH - LBS DBUB")</f>
        <v>LBS GBH - LBS DBUB</v>
      </c>
      <c r="J222" s="4" t="str">
        <f>IFERROR(__xludf.DUMMYFUNCTION("""COMPUTED_VALUE"""),"ZONA 3")</f>
        <v>ZONA 3</v>
      </c>
      <c r="K222" s="4" t="str">
        <f>IFERROR(__xludf.DUMMYFUNCTION("""COMPUTED_VALUE"""),"027")</f>
        <v>027</v>
      </c>
      <c r="L222" s="4" t="str">
        <f>IFERROR(__xludf.DUMMYFUNCTION("""COMPUTED_VALUE"""),"TM - 8B/H (Percabangan)")</f>
        <v>TM - 8B/H (Percabangan)</v>
      </c>
      <c r="M222" s="4" t="str">
        <f>IFERROR(__xludf.DUMMYFUNCTION("""COMPUTED_VALUE"""),"Tidak Ada")</f>
        <v>Tidak Ada</v>
      </c>
      <c r="N222" s="4"/>
      <c r="O222" s="4" t="str">
        <f>IFERROR(__xludf.DUMMYFUNCTION("""COMPUTED_VALUE"""),"PEMBANDING SEJENIS")</f>
        <v>PEMBANDING SEJENIS</v>
      </c>
      <c r="P222" s="4" t="str">
        <f>IFERROR(__xludf.DUMMYFUNCTION("""COMPUTED_VALUE"""),"KONEKTOR/JUMPER")</f>
        <v>KONEKTOR/JUMPER</v>
      </c>
      <c r="Q222" s="4">
        <f>IFERROR(__xludf.DUMMYFUNCTION("""COMPUTED_VALUE"""),22.0)</f>
        <v>22</v>
      </c>
      <c r="R222" s="4">
        <f>IFERROR(__xludf.DUMMYFUNCTION("""COMPUTED_VALUE"""),22.0)</f>
        <v>22</v>
      </c>
      <c r="S222" s="4">
        <f>IFERROR(__xludf.DUMMYFUNCTION("""COMPUTED_VALUE"""),22.0)</f>
        <v>22</v>
      </c>
      <c r="T222" s="4"/>
      <c r="U222" s="4" t="str">
        <f>IFERROR(__xludf.DUMMYFUNCTION("""COMPUTED_VALUE"""),"BAIK")</f>
        <v>BAIK</v>
      </c>
      <c r="V222" s="4" t="str">
        <f>IFERROR(__xludf.DUMMYFUNCTION("""COMPUTED_VALUE"""),"Tidak Ada")</f>
        <v>Tidak Ada</v>
      </c>
      <c r="W222" s="4"/>
      <c r="X222" s="4"/>
      <c r="Y222" s="4"/>
      <c r="Z222" s="4"/>
      <c r="AA222" s="4"/>
      <c r="AB222" s="4"/>
      <c r="AC222" s="4" t="str">
        <f>IFERROR(__xludf.DUMMYFUNCTION("""COMPUTED_VALUE"""),"INSPEKSI SUTM - T2_Images/35058794.FOTO.121724.jpg")</f>
        <v>INSPEKSI SUTM - T2_Images/35058794.FOTO.121724.jpg</v>
      </c>
      <c r="AD222" s="4"/>
      <c r="AE222" s="4"/>
      <c r="AF222" s="4" t="str">
        <f>IFERROR(__xludf.DUMMYFUNCTION("""COMPUTED_VALUE"""),"BELUM")</f>
        <v>BELUM</v>
      </c>
      <c r="AG222" s="6">
        <f>IFERROR(__xludf.DUMMYFUNCTION("""COMPUTED_VALUE"""),46052.0)</f>
        <v>46052</v>
      </c>
      <c r="AH222" s="4"/>
      <c r="AI222" s="4"/>
    </row>
    <row r="223" ht="15.75" customHeight="1">
      <c r="A223" s="4" t="str">
        <f>IFERROR(__xludf.DUMMYFUNCTION("""COMPUTED_VALUE"""),"eee11f0e")</f>
        <v>eee11f0e</v>
      </c>
      <c r="B223" s="5">
        <f>IFERROR(__xludf.DUMMYFUNCTION("""COMPUTED_VALUE"""),46052.80395833333)</f>
        <v>46052.80396</v>
      </c>
      <c r="C223" s="4" t="str">
        <f>IFERROR(__xludf.DUMMYFUNCTION("""COMPUTED_VALUE"""),"-6.975055, 107.672794")</f>
        <v>-6.975055, 107.672794</v>
      </c>
      <c r="D223" s="4" t="str">
        <f>IFERROR(__xludf.DUMMYFUNCTION("""COMPUTED_VALUE"""),"Jihan kiki")</f>
        <v>Jihan kiki</v>
      </c>
      <c r="E223" s="4" t="str">
        <f>IFERROR(__xludf.DUMMYFUNCTION("""COMPUTED_VALUE"""),"BANDUNG")</f>
        <v>BANDUNG</v>
      </c>
      <c r="F223" s="4" t="str">
        <f>IFERROR(__xludf.DUMMYFUNCTION("""COMPUTED_VALUE"""),"CIJAWURA")</f>
        <v>CIJAWURA</v>
      </c>
      <c r="G223" s="4" t="str">
        <f>IFERROR(__xludf.DUMMYFUNCTION("""COMPUTED_VALUE"""),"GIS SUMMARECON")</f>
        <v>GIS SUMMARECON</v>
      </c>
      <c r="H223" s="4" t="str">
        <f>IFERROR(__xludf.DUMMYFUNCTION("""COMPUTED_VALUE"""),"MRDN")</f>
        <v>MRDN</v>
      </c>
      <c r="I223" s="4" t="str">
        <f>IFERROR(__xludf.DUMMYFUNCTION("""COMPUTED_VALUE"""),"LBS GBH - LBS DBUB")</f>
        <v>LBS GBH - LBS DBUB</v>
      </c>
      <c r="J223" s="4" t="str">
        <f>IFERROR(__xludf.DUMMYFUNCTION("""COMPUTED_VALUE"""),"ZONA 3")</f>
        <v>ZONA 3</v>
      </c>
      <c r="K223" s="4" t="str">
        <f>IFERROR(__xludf.DUMMYFUNCTION("""COMPUTED_VALUE"""),"027R01")</f>
        <v>027R01</v>
      </c>
      <c r="L223" s="4" t="str">
        <f>IFERROR(__xludf.DUMMYFUNCTION("""COMPUTED_VALUE"""),"TM - 7B/H (Afspan 90 Derajat)")</f>
        <v>TM - 7B/H (Afspan 90 Derajat)</v>
      </c>
      <c r="M223" s="4" t="str">
        <f>IFERROR(__xludf.DUMMYFUNCTION("""COMPUTED_VALUE"""),"Tidak Ada")</f>
        <v>Tidak Ada</v>
      </c>
      <c r="N223" s="4"/>
      <c r="O223" s="4" t="str">
        <f>IFERROR(__xludf.DUMMYFUNCTION("""COMPUTED_VALUE"""),"PEMBANDING SEJENIS")</f>
        <v>PEMBANDING SEJENIS</v>
      </c>
      <c r="P223" s="4" t="str">
        <f>IFERROR(__xludf.DUMMYFUNCTION("""COMPUTED_VALUE"""),"KONEKTOR/JUMPER")</f>
        <v>KONEKTOR/JUMPER</v>
      </c>
      <c r="Q223" s="4">
        <f>IFERROR(__xludf.DUMMYFUNCTION("""COMPUTED_VALUE"""),20.0)</f>
        <v>20</v>
      </c>
      <c r="R223" s="4">
        <f>IFERROR(__xludf.DUMMYFUNCTION("""COMPUTED_VALUE"""),20.0)</f>
        <v>20</v>
      </c>
      <c r="S223" s="4">
        <f>IFERROR(__xludf.DUMMYFUNCTION("""COMPUTED_VALUE"""),20.0)</f>
        <v>20</v>
      </c>
      <c r="T223" s="4"/>
      <c r="U223" s="4" t="str">
        <f>IFERROR(__xludf.DUMMYFUNCTION("""COMPUTED_VALUE"""),"BAIK")</f>
        <v>BAIK</v>
      </c>
      <c r="V223" s="4" t="str">
        <f>IFERROR(__xludf.DUMMYFUNCTION("""COMPUTED_VALUE"""),"Tidak Ada")</f>
        <v>Tidak Ada</v>
      </c>
      <c r="W223" s="4"/>
      <c r="X223" s="4"/>
      <c r="Y223" s="4"/>
      <c r="Z223" s="4"/>
      <c r="AA223" s="4"/>
      <c r="AB223" s="4"/>
      <c r="AC223" s="4" t="str">
        <f>IFERROR(__xludf.DUMMYFUNCTION("""COMPUTED_VALUE"""),"INSPEKSI SUTM - T2_Images/eee11f0e.FOTO.121821.jpg")</f>
        <v>INSPEKSI SUTM - T2_Images/eee11f0e.FOTO.121821.jpg</v>
      </c>
      <c r="AD223" s="4"/>
      <c r="AE223" s="4"/>
      <c r="AF223" s="4" t="str">
        <f>IFERROR(__xludf.DUMMYFUNCTION("""COMPUTED_VALUE"""),"BELUM")</f>
        <v>BELUM</v>
      </c>
      <c r="AG223" s="6">
        <f>IFERROR(__xludf.DUMMYFUNCTION("""COMPUTED_VALUE"""),46052.0)</f>
        <v>46052</v>
      </c>
      <c r="AH223" s="4"/>
      <c r="AI223" s="4"/>
    </row>
    <row r="224" ht="15.75" customHeight="1">
      <c r="A224" s="4" t="str">
        <f>IFERROR(__xludf.DUMMYFUNCTION("""COMPUTED_VALUE"""),"26b5102b")</f>
        <v>26b5102b</v>
      </c>
      <c r="B224" s="5">
        <f>IFERROR(__xludf.DUMMYFUNCTION("""COMPUTED_VALUE"""),46052.8046875)</f>
        <v>46052.80469</v>
      </c>
      <c r="C224" s="4" t="str">
        <f>IFERROR(__xludf.DUMMYFUNCTION("""COMPUTED_VALUE"""),"-6.976651, 107.671968")</f>
        <v>-6.976651, 107.671968</v>
      </c>
      <c r="D224" s="4" t="str">
        <f>IFERROR(__xludf.DUMMYFUNCTION("""COMPUTED_VALUE"""),"Jihan kiki")</f>
        <v>Jihan kiki</v>
      </c>
      <c r="E224" s="4" t="str">
        <f>IFERROR(__xludf.DUMMYFUNCTION("""COMPUTED_VALUE"""),"BANDUNG")</f>
        <v>BANDUNG</v>
      </c>
      <c r="F224" s="4" t="str">
        <f>IFERROR(__xludf.DUMMYFUNCTION("""COMPUTED_VALUE"""),"CIJAWURA")</f>
        <v>CIJAWURA</v>
      </c>
      <c r="G224" s="4" t="str">
        <f>IFERROR(__xludf.DUMMYFUNCTION("""COMPUTED_VALUE"""),"GIS SUMMARECON")</f>
        <v>GIS SUMMARECON</v>
      </c>
      <c r="H224" s="4" t="str">
        <f>IFERROR(__xludf.DUMMYFUNCTION("""COMPUTED_VALUE"""),"MRDN")</f>
        <v>MRDN</v>
      </c>
      <c r="I224" s="4" t="str">
        <f>IFERROR(__xludf.DUMMYFUNCTION("""COMPUTED_VALUE"""),"LBS GBH - LBS DBUB")</f>
        <v>LBS GBH - LBS DBUB</v>
      </c>
      <c r="J224" s="4" t="str">
        <f>IFERROR(__xludf.DUMMYFUNCTION("""COMPUTED_VALUE"""),"ZONA 3")</f>
        <v>ZONA 3</v>
      </c>
      <c r="K224" s="4" t="str">
        <f>IFERROR(__xludf.DUMMYFUNCTION("""COMPUTED_VALUE"""),"027R06")</f>
        <v>027R06</v>
      </c>
      <c r="L224" s="4" t="str">
        <f>IFERROR(__xludf.DUMMYFUNCTION("""COMPUTED_VALUE"""),"TM - 4B/H (Afspan)")</f>
        <v>TM - 4B/H (Afspan)</v>
      </c>
      <c r="M224" s="4" t="str">
        <f>IFERROR(__xludf.DUMMYFUNCTION("""COMPUTED_VALUE"""),"Tidak Ada")</f>
        <v>Tidak Ada</v>
      </c>
      <c r="N224" s="4"/>
      <c r="O224" s="4" t="str">
        <f>IFERROR(__xludf.DUMMYFUNCTION("""COMPUTED_VALUE"""),"PEMBANDING SEJENIS")</f>
        <v>PEMBANDING SEJENIS</v>
      </c>
      <c r="P224" s="4" t="str">
        <f>IFERROR(__xludf.DUMMYFUNCTION("""COMPUTED_VALUE"""),"KONEKTOR/JUMPER")</f>
        <v>KONEKTOR/JUMPER</v>
      </c>
      <c r="Q224" s="4">
        <f>IFERROR(__xludf.DUMMYFUNCTION("""COMPUTED_VALUE"""),18.0)</f>
        <v>18</v>
      </c>
      <c r="R224" s="4">
        <f>IFERROR(__xludf.DUMMYFUNCTION("""COMPUTED_VALUE"""),19.0)</f>
        <v>19</v>
      </c>
      <c r="S224" s="4">
        <f>IFERROR(__xludf.DUMMYFUNCTION("""COMPUTED_VALUE"""),19.0)</f>
        <v>19</v>
      </c>
      <c r="T224" s="4"/>
      <c r="U224" s="4" t="str">
        <f>IFERROR(__xludf.DUMMYFUNCTION("""COMPUTED_VALUE"""),"BAIK")</f>
        <v>BAIK</v>
      </c>
      <c r="V224" s="4" t="str">
        <f>IFERROR(__xludf.DUMMYFUNCTION("""COMPUTED_VALUE"""),"Tidak Ada")</f>
        <v>Tidak Ada</v>
      </c>
      <c r="W224" s="4"/>
      <c r="X224" s="4"/>
      <c r="Y224" s="4"/>
      <c r="Z224" s="4"/>
      <c r="AA224" s="4"/>
      <c r="AB224" s="4"/>
      <c r="AC224" s="4" t="str">
        <f>IFERROR(__xludf.DUMMYFUNCTION("""COMPUTED_VALUE"""),"INSPEKSI SUTM - T2_Images/26b5102b.FOTO.121925.jpg")</f>
        <v>INSPEKSI SUTM - T2_Images/26b5102b.FOTO.121925.jpg</v>
      </c>
      <c r="AD224" s="4"/>
      <c r="AE224" s="4"/>
      <c r="AF224" s="4" t="str">
        <f>IFERROR(__xludf.DUMMYFUNCTION("""COMPUTED_VALUE"""),"BELUM")</f>
        <v>BELUM</v>
      </c>
      <c r="AG224" s="6">
        <f>IFERROR(__xludf.DUMMYFUNCTION("""COMPUTED_VALUE"""),46052.0)</f>
        <v>46052</v>
      </c>
      <c r="AH224" s="4"/>
      <c r="AI224" s="4"/>
    </row>
    <row r="225" ht="15.75" customHeight="1">
      <c r="A225" s="4" t="str">
        <f>IFERROR(__xludf.DUMMYFUNCTION("""COMPUTED_VALUE"""),"2ec3d533")</f>
        <v>2ec3d533</v>
      </c>
      <c r="B225" s="5">
        <f>IFERROR(__xludf.DUMMYFUNCTION("""COMPUTED_VALUE"""),46052.805497685185)</f>
        <v>46052.8055</v>
      </c>
      <c r="C225" s="4" t="str">
        <f>IFERROR(__xludf.DUMMYFUNCTION("""COMPUTED_VALUE"""),"-6.979394, 107.671410")</f>
        <v>-6.979394, 107.671410</v>
      </c>
      <c r="D225" s="4" t="str">
        <f>IFERROR(__xludf.DUMMYFUNCTION("""COMPUTED_VALUE"""),"Jihan kiki")</f>
        <v>Jihan kiki</v>
      </c>
      <c r="E225" s="4" t="str">
        <f>IFERROR(__xludf.DUMMYFUNCTION("""COMPUTED_VALUE"""),"BANDUNG")</f>
        <v>BANDUNG</v>
      </c>
      <c r="F225" s="4" t="str">
        <f>IFERROR(__xludf.DUMMYFUNCTION("""COMPUTED_VALUE"""),"CIJAWURA")</f>
        <v>CIJAWURA</v>
      </c>
      <c r="G225" s="4" t="str">
        <f>IFERROR(__xludf.DUMMYFUNCTION("""COMPUTED_VALUE"""),"GIS SUMMARECON")</f>
        <v>GIS SUMMARECON</v>
      </c>
      <c r="H225" s="4" t="str">
        <f>IFERROR(__xludf.DUMMYFUNCTION("""COMPUTED_VALUE"""),"MRDN")</f>
        <v>MRDN</v>
      </c>
      <c r="I225" s="4" t="str">
        <f>IFERROR(__xludf.DUMMYFUNCTION("""COMPUTED_VALUE"""),"LBS GBH - LBS DBUB")</f>
        <v>LBS GBH - LBS DBUB</v>
      </c>
      <c r="J225" s="4" t="str">
        <f>IFERROR(__xludf.DUMMYFUNCTION("""COMPUTED_VALUE"""),"ZONA 3")</f>
        <v>ZONA 3</v>
      </c>
      <c r="K225" s="4" t="str">
        <f>IFERROR(__xludf.DUMMYFUNCTION("""COMPUTED_VALUE"""),"027R13")</f>
        <v>027R13</v>
      </c>
      <c r="L225" s="4" t="str">
        <f>IFERROR(__xludf.DUMMYFUNCTION("""COMPUTED_VALUE"""),"TM - 7B/H (Afspan 90 Derajat)")</f>
        <v>TM - 7B/H (Afspan 90 Derajat)</v>
      </c>
      <c r="M225" s="4" t="str">
        <f>IFERROR(__xludf.DUMMYFUNCTION("""COMPUTED_VALUE"""),"Tidak Ada")</f>
        <v>Tidak Ada</v>
      </c>
      <c r="N225" s="4"/>
      <c r="O225" s="4" t="str">
        <f>IFERROR(__xludf.DUMMYFUNCTION("""COMPUTED_VALUE"""),"PEMBANDING SEJENIS")</f>
        <v>PEMBANDING SEJENIS</v>
      </c>
      <c r="P225" s="4" t="str">
        <f>IFERROR(__xludf.DUMMYFUNCTION("""COMPUTED_VALUE"""),"KONEKTOR/JUMPER")</f>
        <v>KONEKTOR/JUMPER</v>
      </c>
      <c r="Q225" s="4">
        <f>IFERROR(__xludf.DUMMYFUNCTION("""COMPUTED_VALUE"""),18.0)</f>
        <v>18</v>
      </c>
      <c r="R225" s="4">
        <f>IFERROR(__xludf.DUMMYFUNCTION("""COMPUTED_VALUE"""),19.0)</f>
        <v>19</v>
      </c>
      <c r="S225" s="4">
        <f>IFERROR(__xludf.DUMMYFUNCTION("""COMPUTED_VALUE"""),21.0)</f>
        <v>21</v>
      </c>
      <c r="T225" s="4"/>
      <c r="U225" s="4" t="str">
        <f>IFERROR(__xludf.DUMMYFUNCTION("""COMPUTED_VALUE"""),"CUKUP")</f>
        <v>CUKUP</v>
      </c>
      <c r="V225" s="4" t="str">
        <f>IFERROR(__xludf.DUMMYFUNCTION("""COMPUTED_VALUE"""),"Tidak Ada")</f>
        <v>Tidak Ada</v>
      </c>
      <c r="W225" s="4"/>
      <c r="X225" s="4"/>
      <c r="Y225" s="4"/>
      <c r="Z225" s="4"/>
      <c r="AA225" s="4"/>
      <c r="AB225" s="4"/>
      <c r="AC225" s="4" t="str">
        <f>IFERROR(__xludf.DUMMYFUNCTION("""COMPUTED_VALUE"""),"INSPEKSI SUTM - T2_Images/2ec3d533.FOTO.122438.jpg")</f>
        <v>INSPEKSI SUTM - T2_Images/2ec3d533.FOTO.122438.jpg</v>
      </c>
      <c r="AD225" s="4"/>
      <c r="AE225" s="4"/>
      <c r="AF225" s="4" t="str">
        <f>IFERROR(__xludf.DUMMYFUNCTION("""COMPUTED_VALUE"""),"BELUM")</f>
        <v>BELUM</v>
      </c>
      <c r="AG225" s="6">
        <f>IFERROR(__xludf.DUMMYFUNCTION("""COMPUTED_VALUE"""),46052.0)</f>
        <v>46052</v>
      </c>
      <c r="AH225" s="4"/>
      <c r="AI225" s="4"/>
    </row>
    <row r="226" ht="15.75" customHeight="1">
      <c r="A226" s="4" t="str">
        <f>IFERROR(__xludf.DUMMYFUNCTION("""COMPUTED_VALUE"""),"298b6c22")</f>
        <v>298b6c22</v>
      </c>
      <c r="B226" s="5">
        <f>IFERROR(__xludf.DUMMYFUNCTION("""COMPUTED_VALUE"""),46052.80633101852)</f>
        <v>46052.80633</v>
      </c>
      <c r="C226" s="4" t="str">
        <f>IFERROR(__xludf.DUMMYFUNCTION("""COMPUTED_VALUE"""),"-6.979201, 107.670501")</f>
        <v>-6.979201, 107.670501</v>
      </c>
      <c r="D226" s="4" t="str">
        <f>IFERROR(__xludf.DUMMYFUNCTION("""COMPUTED_VALUE"""),"Jihan kiki")</f>
        <v>Jihan kiki</v>
      </c>
      <c r="E226" s="4" t="str">
        <f>IFERROR(__xludf.DUMMYFUNCTION("""COMPUTED_VALUE"""),"BANDUNG")</f>
        <v>BANDUNG</v>
      </c>
      <c r="F226" s="4" t="str">
        <f>IFERROR(__xludf.DUMMYFUNCTION("""COMPUTED_VALUE"""),"CIJAWURA")</f>
        <v>CIJAWURA</v>
      </c>
      <c r="G226" s="4" t="str">
        <f>IFERROR(__xludf.DUMMYFUNCTION("""COMPUTED_VALUE"""),"GIS SUMMARECON")</f>
        <v>GIS SUMMARECON</v>
      </c>
      <c r="H226" s="4" t="str">
        <f>IFERROR(__xludf.DUMMYFUNCTION("""COMPUTED_VALUE"""),"MRDN")</f>
        <v>MRDN</v>
      </c>
      <c r="I226" s="4" t="str">
        <f>IFERROR(__xludf.DUMMYFUNCTION("""COMPUTED_VALUE"""),"LBS GBH - LBS DBUB")</f>
        <v>LBS GBH - LBS DBUB</v>
      </c>
      <c r="J226" s="4" t="str">
        <f>IFERROR(__xludf.DUMMYFUNCTION("""COMPUTED_VALUE"""),"ZONA 3")</f>
        <v>ZONA 3</v>
      </c>
      <c r="K226" s="4" t="str">
        <f>IFERROR(__xludf.DUMMYFUNCTION("""COMPUTED_VALUE"""),"027R18")</f>
        <v>027R18</v>
      </c>
      <c r="L226" s="4" t="str">
        <f>IFERROR(__xludf.DUMMYFUNCTION("""COMPUTED_VALUE"""),"TM - 7B/H (Afspan 90 Derajat)")</f>
        <v>TM - 7B/H (Afspan 90 Derajat)</v>
      </c>
      <c r="M226" s="4" t="str">
        <f>IFERROR(__xludf.DUMMYFUNCTION("""COMPUTED_VALUE"""),"Tidak Ada")</f>
        <v>Tidak Ada</v>
      </c>
      <c r="N226" s="4"/>
      <c r="O226" s="4" t="str">
        <f>IFERROR(__xludf.DUMMYFUNCTION("""COMPUTED_VALUE"""),"PEMBANDING SEJENIS")</f>
        <v>PEMBANDING SEJENIS</v>
      </c>
      <c r="P226" s="4" t="str">
        <f>IFERROR(__xludf.DUMMYFUNCTION("""COMPUTED_VALUE"""),"KONEKTOR/JUMPER")</f>
        <v>KONEKTOR/JUMPER</v>
      </c>
      <c r="Q226" s="4">
        <f>IFERROR(__xludf.DUMMYFUNCTION("""COMPUTED_VALUE"""),20.0)</f>
        <v>20</v>
      </c>
      <c r="R226" s="4">
        <f>IFERROR(__xludf.DUMMYFUNCTION("""COMPUTED_VALUE"""),20.0)</f>
        <v>20</v>
      </c>
      <c r="S226" s="4">
        <f>IFERROR(__xludf.DUMMYFUNCTION("""COMPUTED_VALUE"""),20.0)</f>
        <v>20</v>
      </c>
      <c r="T226" s="4"/>
      <c r="U226" s="4" t="str">
        <f>IFERROR(__xludf.DUMMYFUNCTION("""COMPUTED_VALUE"""),"BAIK")</f>
        <v>BAIK</v>
      </c>
      <c r="V226" s="4" t="str">
        <f>IFERROR(__xludf.DUMMYFUNCTION("""COMPUTED_VALUE"""),"Tidak Ada")</f>
        <v>Tidak Ada</v>
      </c>
      <c r="W226" s="4"/>
      <c r="X226" s="4"/>
      <c r="Y226" s="4"/>
      <c r="Z226" s="4"/>
      <c r="AA226" s="4"/>
      <c r="AB226" s="4"/>
      <c r="AC226" s="4" t="str">
        <f>IFERROR(__xludf.DUMMYFUNCTION("""COMPUTED_VALUE"""),"INSPEKSI SUTM - T2_Images/298b6c22.FOTO.122443.jpg")</f>
        <v>INSPEKSI SUTM - T2_Images/298b6c22.FOTO.122443.jpg</v>
      </c>
      <c r="AD226" s="4"/>
      <c r="AE226" s="4"/>
      <c r="AF226" s="4" t="str">
        <f>IFERROR(__xludf.DUMMYFUNCTION("""COMPUTED_VALUE"""),"BELUM")</f>
        <v>BELUM</v>
      </c>
      <c r="AG226" s="6">
        <f>IFERROR(__xludf.DUMMYFUNCTION("""COMPUTED_VALUE"""),46052.0)</f>
        <v>46052</v>
      </c>
      <c r="AH226" s="4"/>
      <c r="AI226" s="4"/>
    </row>
    <row r="227" ht="15.75" customHeight="1">
      <c r="A227" s="4" t="str">
        <f>IFERROR(__xludf.DUMMYFUNCTION("""COMPUTED_VALUE"""),"72db759a")</f>
        <v>72db759a</v>
      </c>
      <c r="B227" s="5">
        <f>IFERROR(__xludf.DUMMYFUNCTION("""COMPUTED_VALUE"""),46052.80699074074)</f>
        <v>46052.80699</v>
      </c>
      <c r="C227" s="4" t="str">
        <f>IFERROR(__xludf.DUMMYFUNCTION("""COMPUTED_VALUE"""),"-6.978848, 107.670506")</f>
        <v>-6.978848, 107.670506</v>
      </c>
      <c r="D227" s="4" t="str">
        <f>IFERROR(__xludf.DUMMYFUNCTION("""COMPUTED_VALUE"""),"Jihan kiki")</f>
        <v>Jihan kiki</v>
      </c>
      <c r="E227" s="4" t="str">
        <f>IFERROR(__xludf.DUMMYFUNCTION("""COMPUTED_VALUE"""),"BANDUNG")</f>
        <v>BANDUNG</v>
      </c>
      <c r="F227" s="4" t="str">
        <f>IFERROR(__xludf.DUMMYFUNCTION("""COMPUTED_VALUE"""),"CIJAWURA")</f>
        <v>CIJAWURA</v>
      </c>
      <c r="G227" s="4" t="str">
        <f>IFERROR(__xludf.DUMMYFUNCTION("""COMPUTED_VALUE"""),"GIS SUMMARECON")</f>
        <v>GIS SUMMARECON</v>
      </c>
      <c r="H227" s="4" t="str">
        <f>IFERROR(__xludf.DUMMYFUNCTION("""COMPUTED_VALUE"""),"MRDN")</f>
        <v>MRDN</v>
      </c>
      <c r="I227" s="4" t="str">
        <f>IFERROR(__xludf.DUMMYFUNCTION("""COMPUTED_VALUE"""),"LBS GBH - LBS DBUB")</f>
        <v>LBS GBH - LBS DBUB</v>
      </c>
      <c r="J227" s="4" t="str">
        <f>IFERROR(__xludf.DUMMYFUNCTION("""COMPUTED_VALUE"""),"ZONA 3")</f>
        <v>ZONA 3</v>
      </c>
      <c r="K227" s="4" t="str">
        <f>IFERROR(__xludf.DUMMYFUNCTION("""COMPUTED_VALUE"""),"027R20")</f>
        <v>027R20</v>
      </c>
      <c r="L227" s="4" t="str">
        <f>IFERROR(__xludf.DUMMYFUNCTION("""COMPUTED_VALUE"""),"TM - 7B/H (Afspan 90 Derajat)")</f>
        <v>TM - 7B/H (Afspan 90 Derajat)</v>
      </c>
      <c r="M227" s="4" t="str">
        <f>IFERROR(__xludf.DUMMYFUNCTION("""COMPUTED_VALUE"""),"Tidak Ada")</f>
        <v>Tidak Ada</v>
      </c>
      <c r="N227" s="4"/>
      <c r="O227" s="4" t="str">
        <f>IFERROR(__xludf.DUMMYFUNCTION("""COMPUTED_VALUE"""),"PEMBANDING SEJENIS")</f>
        <v>PEMBANDING SEJENIS</v>
      </c>
      <c r="P227" s="4" t="str">
        <f>IFERROR(__xludf.DUMMYFUNCTION("""COMPUTED_VALUE"""),"KONEKTOR/JUMPER")</f>
        <v>KONEKTOR/JUMPER</v>
      </c>
      <c r="Q227" s="4">
        <f>IFERROR(__xludf.DUMMYFUNCTION("""COMPUTED_VALUE"""),20.0)</f>
        <v>20</v>
      </c>
      <c r="R227" s="4">
        <f>IFERROR(__xludf.DUMMYFUNCTION("""COMPUTED_VALUE"""),20.0)</f>
        <v>20</v>
      </c>
      <c r="S227" s="4">
        <f>IFERROR(__xludf.DUMMYFUNCTION("""COMPUTED_VALUE"""),19.0)</f>
        <v>19</v>
      </c>
      <c r="T227" s="4"/>
      <c r="U227" s="4" t="str">
        <f>IFERROR(__xludf.DUMMYFUNCTION("""COMPUTED_VALUE"""),"BAIK")</f>
        <v>BAIK</v>
      </c>
      <c r="V227" s="4" t="str">
        <f>IFERROR(__xludf.DUMMYFUNCTION("""COMPUTED_VALUE"""),"Tidak Ada")</f>
        <v>Tidak Ada</v>
      </c>
      <c r="W227" s="4"/>
      <c r="X227" s="4"/>
      <c r="Y227" s="4"/>
      <c r="Z227" s="4"/>
      <c r="AA227" s="4"/>
      <c r="AB227" s="4"/>
      <c r="AC227" s="4" t="str">
        <f>IFERROR(__xludf.DUMMYFUNCTION("""COMPUTED_VALUE"""),"INSPEKSI SUTM - T2_Images/72db759a.FOTO.122448.jpg")</f>
        <v>INSPEKSI SUTM - T2_Images/72db759a.FOTO.122448.jpg</v>
      </c>
      <c r="AD227" s="4"/>
      <c r="AE227" s="4"/>
      <c r="AF227" s="4" t="str">
        <f>IFERROR(__xludf.DUMMYFUNCTION("""COMPUTED_VALUE"""),"BELUM")</f>
        <v>BELUM</v>
      </c>
      <c r="AG227" s="6">
        <f>IFERROR(__xludf.DUMMYFUNCTION("""COMPUTED_VALUE"""),46052.0)</f>
        <v>46052</v>
      </c>
      <c r="AH227" s="4"/>
      <c r="AI227" s="4"/>
    </row>
    <row r="228" ht="15.75" customHeight="1">
      <c r="A228" s="4" t="str">
        <f>IFERROR(__xludf.DUMMYFUNCTION("""COMPUTED_VALUE"""),"5301b220")</f>
        <v>5301b220</v>
      </c>
      <c r="B228" s="5">
        <f>IFERROR(__xludf.DUMMYFUNCTION("""COMPUTED_VALUE"""),46052.80761574074)</f>
        <v>46052.80762</v>
      </c>
      <c r="C228" s="4" t="str">
        <f>IFERROR(__xludf.DUMMYFUNCTION("""COMPUTED_VALUE"""),"-6.978847, 107.670213")</f>
        <v>-6.978847, 107.670213</v>
      </c>
      <c r="D228" s="4" t="str">
        <f>IFERROR(__xludf.DUMMYFUNCTION("""COMPUTED_VALUE"""),"Jihan kiki")</f>
        <v>Jihan kiki</v>
      </c>
      <c r="E228" s="4" t="str">
        <f>IFERROR(__xludf.DUMMYFUNCTION("""COMPUTED_VALUE"""),"BANDUNG")</f>
        <v>BANDUNG</v>
      </c>
      <c r="F228" s="4" t="str">
        <f>IFERROR(__xludf.DUMMYFUNCTION("""COMPUTED_VALUE"""),"CIJAWURA")</f>
        <v>CIJAWURA</v>
      </c>
      <c r="G228" s="4" t="str">
        <f>IFERROR(__xludf.DUMMYFUNCTION("""COMPUTED_VALUE"""),"GIS SUMMARECON")</f>
        <v>GIS SUMMARECON</v>
      </c>
      <c r="H228" s="4" t="str">
        <f>IFERROR(__xludf.DUMMYFUNCTION("""COMPUTED_VALUE"""),"MRDN")</f>
        <v>MRDN</v>
      </c>
      <c r="I228" s="4" t="str">
        <f>IFERROR(__xludf.DUMMYFUNCTION("""COMPUTED_VALUE"""),"LBS GBH - LBS DBUB")</f>
        <v>LBS GBH - LBS DBUB</v>
      </c>
      <c r="J228" s="4" t="str">
        <f>IFERROR(__xludf.DUMMYFUNCTION("""COMPUTED_VALUE"""),"ZONA 3")</f>
        <v>ZONA 3</v>
      </c>
      <c r="K228" s="4" t="str">
        <f>IFERROR(__xludf.DUMMYFUNCTION("""COMPUTED_VALUE"""),"027R21")</f>
        <v>027R21</v>
      </c>
      <c r="L228" s="4" t="str">
        <f>IFERROR(__xludf.DUMMYFUNCTION("""COMPUTED_VALUE"""),"TM - 7B/H (Afspan 90 Derajat)")</f>
        <v>TM - 7B/H (Afspan 90 Derajat)</v>
      </c>
      <c r="M228" s="4" t="str">
        <f>IFERROR(__xludf.DUMMYFUNCTION("""COMPUTED_VALUE"""),"Tidak Ada")</f>
        <v>Tidak Ada</v>
      </c>
      <c r="N228" s="4"/>
      <c r="O228" s="4" t="str">
        <f>IFERROR(__xludf.DUMMYFUNCTION("""COMPUTED_VALUE"""),"PEMBANDING SEJENIS")</f>
        <v>PEMBANDING SEJENIS</v>
      </c>
      <c r="P228" s="4" t="str">
        <f>IFERROR(__xludf.DUMMYFUNCTION("""COMPUTED_VALUE"""),"KONEKTOR/JUMPER")</f>
        <v>KONEKTOR/JUMPER</v>
      </c>
      <c r="Q228" s="4">
        <f>IFERROR(__xludf.DUMMYFUNCTION("""COMPUTED_VALUE"""),18.0)</f>
        <v>18</v>
      </c>
      <c r="R228" s="4">
        <f>IFERROR(__xludf.DUMMYFUNCTION("""COMPUTED_VALUE"""),18.0)</f>
        <v>18</v>
      </c>
      <c r="S228" s="4">
        <f>IFERROR(__xludf.DUMMYFUNCTION("""COMPUTED_VALUE"""),18.0)</f>
        <v>18</v>
      </c>
      <c r="T228" s="4"/>
      <c r="U228" s="4" t="str">
        <f>IFERROR(__xludf.DUMMYFUNCTION("""COMPUTED_VALUE"""),"BAIK")</f>
        <v>BAIK</v>
      </c>
      <c r="V228" s="4" t="str">
        <f>IFERROR(__xludf.DUMMYFUNCTION("""COMPUTED_VALUE"""),"Tidak Ada")</f>
        <v>Tidak Ada</v>
      </c>
      <c r="W228" s="4"/>
      <c r="X228" s="4"/>
      <c r="Y228" s="4"/>
      <c r="Z228" s="4"/>
      <c r="AA228" s="4"/>
      <c r="AB228" s="4"/>
      <c r="AC228" s="4" t="str">
        <f>IFERROR(__xludf.DUMMYFUNCTION("""COMPUTED_VALUE"""),"INSPEKSI SUTM - T2_Images/5301b220.FOTO.122502.jpg")</f>
        <v>INSPEKSI SUTM - T2_Images/5301b220.FOTO.122502.jpg</v>
      </c>
      <c r="AD228" s="4"/>
      <c r="AE228" s="4"/>
      <c r="AF228" s="4" t="str">
        <f>IFERROR(__xludf.DUMMYFUNCTION("""COMPUTED_VALUE"""),"BELUM")</f>
        <v>BELUM</v>
      </c>
      <c r="AG228" s="6">
        <f>IFERROR(__xludf.DUMMYFUNCTION("""COMPUTED_VALUE"""),46052.0)</f>
        <v>46052</v>
      </c>
      <c r="AH228" s="4"/>
      <c r="AI228" s="4"/>
    </row>
    <row r="229" ht="15.75" customHeight="1">
      <c r="A229" s="4" t="str">
        <f>IFERROR(__xludf.DUMMYFUNCTION("""COMPUTED_VALUE"""),"ee1ed4cd")</f>
        <v>ee1ed4cd</v>
      </c>
      <c r="B229" s="5">
        <f>IFERROR(__xludf.DUMMYFUNCTION("""COMPUTED_VALUE"""),46052.80983796297)</f>
        <v>46052.80984</v>
      </c>
      <c r="C229" s="4" t="str">
        <f>IFERROR(__xludf.DUMMYFUNCTION("""COMPUTED_VALUE"""),"-6.978334, 107.670172")</f>
        <v>-6.978334, 107.670172</v>
      </c>
      <c r="D229" s="4" t="str">
        <f>IFERROR(__xludf.DUMMYFUNCTION("""COMPUTED_VALUE"""),"Jihan kiki")</f>
        <v>Jihan kiki</v>
      </c>
      <c r="E229" s="4" t="str">
        <f>IFERROR(__xludf.DUMMYFUNCTION("""COMPUTED_VALUE"""),"BANDUNG")</f>
        <v>BANDUNG</v>
      </c>
      <c r="F229" s="4" t="str">
        <f>IFERROR(__xludf.DUMMYFUNCTION("""COMPUTED_VALUE"""),"CIJAWURA")</f>
        <v>CIJAWURA</v>
      </c>
      <c r="G229" s="4" t="str">
        <f>IFERROR(__xludf.DUMMYFUNCTION("""COMPUTED_VALUE"""),"GIS SUMMARECON")</f>
        <v>GIS SUMMARECON</v>
      </c>
      <c r="H229" s="4" t="str">
        <f>IFERROR(__xludf.DUMMYFUNCTION("""COMPUTED_VALUE"""),"MRDN")</f>
        <v>MRDN</v>
      </c>
      <c r="I229" s="4" t="str">
        <f>IFERROR(__xludf.DUMMYFUNCTION("""COMPUTED_VALUE"""),"LBS GBH - LBS DBUB")</f>
        <v>LBS GBH - LBS DBUB</v>
      </c>
      <c r="J229" s="4" t="str">
        <f>IFERROR(__xludf.DUMMYFUNCTION("""COMPUTED_VALUE"""),"ZONA 3")</f>
        <v>ZONA 3</v>
      </c>
      <c r="K229" s="4" t="str">
        <f>IFERROR(__xludf.DUMMYFUNCTION("""COMPUTED_VALUE"""),"027R23")</f>
        <v>027R23</v>
      </c>
      <c r="L229" s="4" t="str">
        <f>IFERROR(__xludf.DUMMYFUNCTION("""COMPUTED_VALUE"""),"TM - 7B/H (Afspan 90 Derajat)")</f>
        <v>TM - 7B/H (Afspan 90 Derajat)</v>
      </c>
      <c r="M229" s="4" t="str">
        <f>IFERROR(__xludf.DUMMYFUNCTION("""COMPUTED_VALUE"""),"Tidak Ada")</f>
        <v>Tidak Ada</v>
      </c>
      <c r="N229" s="4"/>
      <c r="O229" s="4" t="str">
        <f>IFERROR(__xludf.DUMMYFUNCTION("""COMPUTED_VALUE"""),"PEMBANDING SEJENIS")</f>
        <v>PEMBANDING SEJENIS</v>
      </c>
      <c r="P229" s="4" t="str">
        <f>IFERROR(__xludf.DUMMYFUNCTION("""COMPUTED_VALUE"""),"KONEKTOR/JUMPER")</f>
        <v>KONEKTOR/JUMPER</v>
      </c>
      <c r="Q229" s="4">
        <f>IFERROR(__xludf.DUMMYFUNCTION("""COMPUTED_VALUE"""),20.0)</f>
        <v>20</v>
      </c>
      <c r="R229" s="4">
        <f>IFERROR(__xludf.DUMMYFUNCTION("""COMPUTED_VALUE"""),19.0)</f>
        <v>19</v>
      </c>
      <c r="S229" s="4">
        <f>IFERROR(__xludf.DUMMYFUNCTION("""COMPUTED_VALUE"""),19.0)</f>
        <v>19</v>
      </c>
      <c r="T229" s="4"/>
      <c r="U229" s="4" t="str">
        <f>IFERROR(__xludf.DUMMYFUNCTION("""COMPUTED_VALUE"""),"BAIK")</f>
        <v>BAIK</v>
      </c>
      <c r="V229" s="4" t="str">
        <f>IFERROR(__xludf.DUMMYFUNCTION("""COMPUTED_VALUE"""),"Tidak Ada")</f>
        <v>Tidak Ada</v>
      </c>
      <c r="W229" s="4"/>
      <c r="X229" s="4"/>
      <c r="Y229" s="4"/>
      <c r="Z229" s="4"/>
      <c r="AA229" s="4"/>
      <c r="AB229" s="4"/>
      <c r="AC229" s="4" t="str">
        <f>IFERROR(__xludf.DUMMYFUNCTION("""COMPUTED_VALUE"""),"INSPEKSI SUTM - T2_Images/ee1ed4cd.FOTO.122657.jpg")</f>
        <v>INSPEKSI SUTM - T2_Images/ee1ed4cd.FOTO.122657.jpg</v>
      </c>
      <c r="AD229" s="4"/>
      <c r="AE229" s="4"/>
      <c r="AF229" s="4" t="str">
        <f>IFERROR(__xludf.DUMMYFUNCTION("""COMPUTED_VALUE"""),"BELUM")</f>
        <v>BELUM</v>
      </c>
      <c r="AG229" s="6">
        <f>IFERROR(__xludf.DUMMYFUNCTION("""COMPUTED_VALUE"""),46052.0)</f>
        <v>46052</v>
      </c>
      <c r="AH229" s="4"/>
      <c r="AI229" s="4"/>
    </row>
    <row r="230" ht="15.75" customHeight="1">
      <c r="A230" s="4" t="str">
        <f>IFERROR(__xludf.DUMMYFUNCTION("""COMPUTED_VALUE"""),"e9d7edd4")</f>
        <v>e9d7edd4</v>
      </c>
      <c r="B230" s="5">
        <f>IFERROR(__xludf.DUMMYFUNCTION("""COMPUTED_VALUE"""),46052.81065972222)</f>
        <v>46052.81066</v>
      </c>
      <c r="C230" s="4" t="str">
        <f>IFERROR(__xludf.DUMMYFUNCTION("""COMPUTED_VALUE"""),"-6.978306, 107.668390")</f>
        <v>-6.978306, 107.668390</v>
      </c>
      <c r="D230" s="4" t="str">
        <f>IFERROR(__xludf.DUMMYFUNCTION("""COMPUTED_VALUE"""),"Jihan kiki")</f>
        <v>Jihan kiki</v>
      </c>
      <c r="E230" s="4" t="str">
        <f>IFERROR(__xludf.DUMMYFUNCTION("""COMPUTED_VALUE"""),"BANDUNG")</f>
        <v>BANDUNG</v>
      </c>
      <c r="F230" s="4" t="str">
        <f>IFERROR(__xludf.DUMMYFUNCTION("""COMPUTED_VALUE"""),"CIJAWURA")</f>
        <v>CIJAWURA</v>
      </c>
      <c r="G230" s="4" t="str">
        <f>IFERROR(__xludf.DUMMYFUNCTION("""COMPUTED_VALUE"""),"GIS SUMMARECON")</f>
        <v>GIS SUMMARECON</v>
      </c>
      <c r="H230" s="4" t="str">
        <f>IFERROR(__xludf.DUMMYFUNCTION("""COMPUTED_VALUE"""),"MRDN")</f>
        <v>MRDN</v>
      </c>
      <c r="I230" s="4" t="str">
        <f>IFERROR(__xludf.DUMMYFUNCTION("""COMPUTED_VALUE"""),"LBS GBH - LBS DBUB")</f>
        <v>LBS GBH - LBS DBUB</v>
      </c>
      <c r="J230" s="4" t="str">
        <f>IFERROR(__xludf.DUMMYFUNCTION("""COMPUTED_VALUE"""),"ZONA 3")</f>
        <v>ZONA 3</v>
      </c>
      <c r="K230" s="4" t="str">
        <f>IFERROR(__xludf.DUMMYFUNCTION("""COMPUTED_VALUE"""),"027R31")</f>
        <v>027R31</v>
      </c>
      <c r="L230" s="4" t="str">
        <f>IFERROR(__xludf.DUMMYFUNCTION("""COMPUTED_VALUE"""),"TM - 7B/H (Afspan 90 Derajat)")</f>
        <v>TM - 7B/H (Afspan 90 Derajat)</v>
      </c>
      <c r="M230" s="4" t="str">
        <f>IFERROR(__xludf.DUMMYFUNCTION("""COMPUTED_VALUE"""),"Tidak Ada")</f>
        <v>Tidak Ada</v>
      </c>
      <c r="N230" s="4"/>
      <c r="O230" s="4" t="str">
        <f>IFERROR(__xludf.DUMMYFUNCTION("""COMPUTED_VALUE"""),"PEMBANDING SEJENIS")</f>
        <v>PEMBANDING SEJENIS</v>
      </c>
      <c r="P230" s="4" t="str">
        <f>IFERROR(__xludf.DUMMYFUNCTION("""COMPUTED_VALUE"""),"KONEKTOR/JUMPER")</f>
        <v>KONEKTOR/JUMPER</v>
      </c>
      <c r="Q230" s="4">
        <f>IFERROR(__xludf.DUMMYFUNCTION("""COMPUTED_VALUE"""),19.0)</f>
        <v>19</v>
      </c>
      <c r="R230" s="4">
        <f>IFERROR(__xludf.DUMMYFUNCTION("""COMPUTED_VALUE"""),20.0)</f>
        <v>20</v>
      </c>
      <c r="S230" s="4">
        <f>IFERROR(__xludf.DUMMYFUNCTION("""COMPUTED_VALUE"""),19.0)</f>
        <v>19</v>
      </c>
      <c r="T230" s="4"/>
      <c r="U230" s="4" t="str">
        <f>IFERROR(__xludf.DUMMYFUNCTION("""COMPUTED_VALUE"""),"BAIK")</f>
        <v>BAIK</v>
      </c>
      <c r="V230" s="4" t="str">
        <f>IFERROR(__xludf.DUMMYFUNCTION("""COMPUTED_VALUE"""),"Tidak Ada")</f>
        <v>Tidak Ada</v>
      </c>
      <c r="W230" s="4"/>
      <c r="X230" s="4"/>
      <c r="Y230" s="4"/>
      <c r="Z230" s="4"/>
      <c r="AA230" s="4"/>
      <c r="AB230" s="4"/>
      <c r="AC230" s="4" t="str">
        <f>IFERROR(__xludf.DUMMYFUNCTION("""COMPUTED_VALUE"""),"INSPEKSI SUTM - T2_Images/e9d7edd4.FOTO.122805.jpg")</f>
        <v>INSPEKSI SUTM - T2_Images/e9d7edd4.FOTO.122805.jpg</v>
      </c>
      <c r="AD230" s="4"/>
      <c r="AE230" s="4"/>
      <c r="AF230" s="4" t="str">
        <f>IFERROR(__xludf.DUMMYFUNCTION("""COMPUTED_VALUE"""),"BELUM")</f>
        <v>BELUM</v>
      </c>
      <c r="AG230" s="6">
        <f>IFERROR(__xludf.DUMMYFUNCTION("""COMPUTED_VALUE"""),46052.0)</f>
        <v>46052</v>
      </c>
      <c r="AH230" s="4"/>
      <c r="AI230" s="4"/>
    </row>
    <row r="231" ht="15.75" customHeight="1">
      <c r="A231" s="4" t="str">
        <f>IFERROR(__xludf.DUMMYFUNCTION("""COMPUTED_VALUE"""),"029ebb7a")</f>
        <v>029ebb7a</v>
      </c>
      <c r="B231" s="5">
        <f>IFERROR(__xludf.DUMMYFUNCTION("""COMPUTED_VALUE"""),46052.811435185184)</f>
        <v>46052.81144</v>
      </c>
      <c r="C231" s="4" t="str">
        <f>IFERROR(__xludf.DUMMYFUNCTION("""COMPUTED_VALUE"""),"-6.975098, 107.673966")</f>
        <v>-6.975098, 107.673966</v>
      </c>
      <c r="D231" s="4" t="str">
        <f>IFERROR(__xludf.DUMMYFUNCTION("""COMPUTED_VALUE"""),"Jihan kiki")</f>
        <v>Jihan kiki</v>
      </c>
      <c r="E231" s="4" t="str">
        <f>IFERROR(__xludf.DUMMYFUNCTION("""COMPUTED_VALUE"""),"BANDUNG")</f>
        <v>BANDUNG</v>
      </c>
      <c r="F231" s="4" t="str">
        <f>IFERROR(__xludf.DUMMYFUNCTION("""COMPUTED_VALUE"""),"CIJAWURA")</f>
        <v>CIJAWURA</v>
      </c>
      <c r="G231" s="4" t="str">
        <f>IFERROR(__xludf.DUMMYFUNCTION("""COMPUTED_VALUE"""),"GIS SUMMARECON")</f>
        <v>GIS SUMMARECON</v>
      </c>
      <c r="H231" s="4" t="str">
        <f>IFERROR(__xludf.DUMMYFUNCTION("""COMPUTED_VALUE"""),"MRDN")</f>
        <v>MRDN</v>
      </c>
      <c r="I231" s="4" t="str">
        <f>IFERROR(__xludf.DUMMYFUNCTION("""COMPUTED_VALUE"""),"LBS GBH - LBS DBUB")</f>
        <v>LBS GBH - LBS DBUB</v>
      </c>
      <c r="J231" s="4" t="str">
        <f>IFERROR(__xludf.DUMMYFUNCTION("""COMPUTED_VALUE"""),"ZONA 3")</f>
        <v>ZONA 3</v>
      </c>
      <c r="K231" s="4" t="str">
        <f>IFERROR(__xludf.DUMMYFUNCTION("""COMPUTED_VALUE"""),"029")</f>
        <v>029</v>
      </c>
      <c r="L231" s="4" t="str">
        <f>IFERROR(__xludf.DUMMYFUNCTION("""COMPUTED_VALUE"""),"TM - 7B/H (Afspan 90 Derajat)")</f>
        <v>TM - 7B/H (Afspan 90 Derajat)</v>
      </c>
      <c r="M231" s="4" t="str">
        <f>IFERROR(__xludf.DUMMYFUNCTION("""COMPUTED_VALUE"""),"Tidak Ada")</f>
        <v>Tidak Ada</v>
      </c>
      <c r="N231" s="4"/>
      <c r="O231" s="4" t="str">
        <f>IFERROR(__xludf.DUMMYFUNCTION("""COMPUTED_VALUE"""),"PEMBANDING SEJENIS")</f>
        <v>PEMBANDING SEJENIS</v>
      </c>
      <c r="P231" s="4" t="str">
        <f>IFERROR(__xludf.DUMMYFUNCTION("""COMPUTED_VALUE"""),"KONEKTOR/JUMPER")</f>
        <v>KONEKTOR/JUMPER</v>
      </c>
      <c r="Q231" s="4">
        <f>IFERROR(__xludf.DUMMYFUNCTION("""COMPUTED_VALUE"""),21.0)</f>
        <v>21</v>
      </c>
      <c r="R231" s="4">
        <f>IFERROR(__xludf.DUMMYFUNCTION("""COMPUTED_VALUE"""),22.0)</f>
        <v>22</v>
      </c>
      <c r="S231" s="4">
        <f>IFERROR(__xludf.DUMMYFUNCTION("""COMPUTED_VALUE"""),21.0)</f>
        <v>21</v>
      </c>
      <c r="T231" s="4"/>
      <c r="U231" s="4" t="str">
        <f>IFERROR(__xludf.DUMMYFUNCTION("""COMPUTED_VALUE"""),"BAIK")</f>
        <v>BAIK</v>
      </c>
      <c r="V231" s="4" t="str">
        <f>IFERROR(__xludf.DUMMYFUNCTION("""COMPUTED_VALUE"""),"Tidak Ada")</f>
        <v>Tidak Ada</v>
      </c>
      <c r="W231" s="4"/>
      <c r="X231" s="4"/>
      <c r="Y231" s="4"/>
      <c r="Z231" s="4"/>
      <c r="AA231" s="4"/>
      <c r="AB231" s="4"/>
      <c r="AC231" s="4" t="str">
        <f>IFERROR(__xludf.DUMMYFUNCTION("""COMPUTED_VALUE"""),"INSPEKSI SUTM - T2_Images/029ebb7a.FOTO.122905.jpg")</f>
        <v>INSPEKSI SUTM - T2_Images/029ebb7a.FOTO.122905.jpg</v>
      </c>
      <c r="AD231" s="4"/>
      <c r="AE231" s="4"/>
      <c r="AF231" s="4" t="str">
        <f>IFERROR(__xludf.DUMMYFUNCTION("""COMPUTED_VALUE"""),"BELUM")</f>
        <v>BELUM</v>
      </c>
      <c r="AG231" s="6">
        <f>IFERROR(__xludf.DUMMYFUNCTION("""COMPUTED_VALUE"""),46052.0)</f>
        <v>46052</v>
      </c>
      <c r="AH231" s="4"/>
      <c r="AI231" s="4"/>
    </row>
    <row r="232" ht="15.75" customHeight="1">
      <c r="A232" s="4" t="str">
        <f>IFERROR(__xludf.DUMMYFUNCTION("""COMPUTED_VALUE"""),"126c81ce")</f>
        <v>126c81ce</v>
      </c>
      <c r="B232" s="5">
        <f>IFERROR(__xludf.DUMMYFUNCTION("""COMPUTED_VALUE"""),46052.812060185184)</f>
        <v>46052.81206</v>
      </c>
      <c r="C232" s="4" t="str">
        <f>IFERROR(__xludf.DUMMYFUNCTION("""COMPUTED_VALUE"""),"-6.975423, 107.673999")</f>
        <v>-6.975423, 107.673999</v>
      </c>
      <c r="D232" s="4" t="str">
        <f>IFERROR(__xludf.DUMMYFUNCTION("""COMPUTED_VALUE"""),"Jihan kiki")</f>
        <v>Jihan kiki</v>
      </c>
      <c r="E232" s="4" t="str">
        <f>IFERROR(__xludf.DUMMYFUNCTION("""COMPUTED_VALUE"""),"BANDUNG")</f>
        <v>BANDUNG</v>
      </c>
      <c r="F232" s="4" t="str">
        <f>IFERROR(__xludf.DUMMYFUNCTION("""COMPUTED_VALUE"""),"CIJAWURA")</f>
        <v>CIJAWURA</v>
      </c>
      <c r="G232" s="4" t="str">
        <f>IFERROR(__xludf.DUMMYFUNCTION("""COMPUTED_VALUE"""),"GIS SUMMARECON")</f>
        <v>GIS SUMMARECON</v>
      </c>
      <c r="H232" s="4" t="str">
        <f>IFERROR(__xludf.DUMMYFUNCTION("""COMPUTED_VALUE"""),"MRDN")</f>
        <v>MRDN</v>
      </c>
      <c r="I232" s="4" t="str">
        <f>IFERROR(__xludf.DUMMYFUNCTION("""COMPUTED_VALUE"""),"LBS GBH - LBS DBUB")</f>
        <v>LBS GBH - LBS DBUB</v>
      </c>
      <c r="J232" s="4" t="str">
        <f>IFERROR(__xludf.DUMMYFUNCTION("""COMPUTED_VALUE"""),"ZONA 3")</f>
        <v>ZONA 3</v>
      </c>
      <c r="K232" s="4" t="str">
        <f>IFERROR(__xludf.DUMMYFUNCTION("""COMPUTED_VALUE"""),"030")</f>
        <v>030</v>
      </c>
      <c r="L232" s="4" t="str">
        <f>IFERROR(__xludf.DUMMYFUNCTION("""COMPUTED_VALUE"""),"TM - 8B/H (Percabangan)")</f>
        <v>TM - 8B/H (Percabangan)</v>
      </c>
      <c r="M232" s="4" t="str">
        <f>IFERROR(__xludf.DUMMYFUNCTION("""COMPUTED_VALUE"""),"Tidak Ada")</f>
        <v>Tidak Ada</v>
      </c>
      <c r="N232" s="4"/>
      <c r="O232" s="4" t="str">
        <f>IFERROR(__xludf.DUMMYFUNCTION("""COMPUTED_VALUE"""),"PEMBANDING SEJENIS")</f>
        <v>PEMBANDING SEJENIS</v>
      </c>
      <c r="P232" s="4" t="str">
        <f>IFERROR(__xludf.DUMMYFUNCTION("""COMPUTED_VALUE"""),"KONEKTOR/JUMPER")</f>
        <v>KONEKTOR/JUMPER</v>
      </c>
      <c r="Q232" s="4">
        <f>IFERROR(__xludf.DUMMYFUNCTION("""COMPUTED_VALUE"""),19.0)</f>
        <v>19</v>
      </c>
      <c r="R232" s="4">
        <f>IFERROR(__xludf.DUMMYFUNCTION("""COMPUTED_VALUE"""),20.0)</f>
        <v>20</v>
      </c>
      <c r="S232" s="4">
        <f>IFERROR(__xludf.DUMMYFUNCTION("""COMPUTED_VALUE"""),19.0)</f>
        <v>19</v>
      </c>
      <c r="T232" s="4"/>
      <c r="U232" s="4" t="str">
        <f>IFERROR(__xludf.DUMMYFUNCTION("""COMPUTED_VALUE"""),"BAIK")</f>
        <v>BAIK</v>
      </c>
      <c r="V232" s="4" t="str">
        <f>IFERROR(__xludf.DUMMYFUNCTION("""COMPUTED_VALUE"""),"Tidak Ada")</f>
        <v>Tidak Ada</v>
      </c>
      <c r="W232" s="4"/>
      <c r="X232" s="4"/>
      <c r="Y232" s="4"/>
      <c r="Z232" s="4"/>
      <c r="AA232" s="4"/>
      <c r="AB232" s="4"/>
      <c r="AC232" s="4" t="str">
        <f>IFERROR(__xludf.DUMMYFUNCTION("""COMPUTED_VALUE"""),"INSPEKSI SUTM - T2_Images/126c81ce.FOTO.123004.jpg")</f>
        <v>INSPEKSI SUTM - T2_Images/126c81ce.FOTO.123004.jpg</v>
      </c>
      <c r="AD232" s="4"/>
      <c r="AE232" s="4"/>
      <c r="AF232" s="4" t="str">
        <f>IFERROR(__xludf.DUMMYFUNCTION("""COMPUTED_VALUE"""),"BELUM")</f>
        <v>BELUM</v>
      </c>
      <c r="AG232" s="6">
        <f>IFERROR(__xludf.DUMMYFUNCTION("""COMPUTED_VALUE"""),46052.0)</f>
        <v>46052</v>
      </c>
      <c r="AH232" s="4"/>
      <c r="AI232" s="4"/>
    </row>
    <row r="233" ht="15.75" customHeight="1">
      <c r="A233" s="4" t="str">
        <f>IFERROR(__xludf.DUMMYFUNCTION("""COMPUTED_VALUE"""),"41b3b22c")</f>
        <v>41b3b22c</v>
      </c>
      <c r="B233" s="5">
        <f>IFERROR(__xludf.DUMMYFUNCTION("""COMPUTED_VALUE"""),46052.8130787037)</f>
        <v>46052.81308</v>
      </c>
      <c r="C233" s="4" t="str">
        <f>IFERROR(__xludf.DUMMYFUNCTION("""COMPUTED_VALUE"""),"-6.978440, 107.674122")</f>
        <v>-6.978440, 107.674122</v>
      </c>
      <c r="D233" s="4" t="str">
        <f>IFERROR(__xludf.DUMMYFUNCTION("""COMPUTED_VALUE"""),"Jihan kiki")</f>
        <v>Jihan kiki</v>
      </c>
      <c r="E233" s="4" t="str">
        <f>IFERROR(__xludf.DUMMYFUNCTION("""COMPUTED_VALUE"""),"BANDUNG")</f>
        <v>BANDUNG</v>
      </c>
      <c r="F233" s="4" t="str">
        <f>IFERROR(__xludf.DUMMYFUNCTION("""COMPUTED_VALUE"""),"CIJAWURA")</f>
        <v>CIJAWURA</v>
      </c>
      <c r="G233" s="4" t="str">
        <f>IFERROR(__xludf.DUMMYFUNCTION("""COMPUTED_VALUE"""),"GIS SUMMARECON")</f>
        <v>GIS SUMMARECON</v>
      </c>
      <c r="H233" s="4" t="str">
        <f>IFERROR(__xludf.DUMMYFUNCTION("""COMPUTED_VALUE"""),"MRDN")</f>
        <v>MRDN</v>
      </c>
      <c r="I233" s="4" t="str">
        <f>IFERROR(__xludf.DUMMYFUNCTION("""COMPUTED_VALUE"""),"LBS GBH - LBS DBUB")</f>
        <v>LBS GBH - LBS DBUB</v>
      </c>
      <c r="J233" s="4" t="str">
        <f>IFERROR(__xludf.DUMMYFUNCTION("""COMPUTED_VALUE"""),"ZONA 3")</f>
        <v>ZONA 3</v>
      </c>
      <c r="K233" s="4" t="str">
        <f>IFERROR(__xludf.DUMMYFUNCTION("""COMPUTED_VALUE"""),"038")</f>
        <v>038</v>
      </c>
      <c r="L233" s="4" t="str">
        <f>IFERROR(__xludf.DUMMYFUNCTION("""COMPUTED_VALUE"""),"TM - 16B/H (REC/SSO/LBS)")</f>
        <v>TM - 16B/H (REC/SSO/LBS)</v>
      </c>
      <c r="M233" s="4" t="str">
        <f>IFERROR(__xludf.DUMMYFUNCTION("""COMPUTED_VALUE"""),"REC")</f>
        <v>REC</v>
      </c>
      <c r="N233" s="4" t="str">
        <f>IFERROR(__xludf.DUMMYFUNCTION("""COMPUTED_VALUE"""),"DBUB")</f>
        <v>DBUB</v>
      </c>
      <c r="O233" s="4" t="str">
        <f>IFERROR(__xludf.DUMMYFUNCTION("""COMPUTED_VALUE"""),"PEMBANDING SEJENIS")</f>
        <v>PEMBANDING SEJENIS</v>
      </c>
      <c r="P233" s="4" t="str">
        <f>IFERROR(__xludf.DUMMYFUNCTION("""COMPUTED_VALUE"""),"KONEKTOR/JUMPER")</f>
        <v>KONEKTOR/JUMPER</v>
      </c>
      <c r="Q233" s="4">
        <f>IFERROR(__xludf.DUMMYFUNCTION("""COMPUTED_VALUE"""),20.0)</f>
        <v>20</v>
      </c>
      <c r="R233" s="4">
        <f>IFERROR(__xludf.DUMMYFUNCTION("""COMPUTED_VALUE"""),25.0)</f>
        <v>25</v>
      </c>
      <c r="S233" s="4">
        <f>IFERROR(__xludf.DUMMYFUNCTION("""COMPUTED_VALUE"""),20.0)</f>
        <v>20</v>
      </c>
      <c r="T233" s="4"/>
      <c r="U233" s="4" t="str">
        <f>IFERROR(__xludf.DUMMYFUNCTION("""COMPUTED_VALUE"""),"CUKUP")</f>
        <v>CUKUP</v>
      </c>
      <c r="V233" s="4" t="str">
        <f>IFERROR(__xludf.DUMMYFUNCTION("""COMPUTED_VALUE"""),"Tidak Ada")</f>
        <v>Tidak Ada</v>
      </c>
      <c r="W233" s="4"/>
      <c r="X233" s="4"/>
      <c r="Y233" s="4"/>
      <c r="Z233" s="4"/>
      <c r="AA233" s="4"/>
      <c r="AB233" s="4"/>
      <c r="AC233" s="4" t="str">
        <f>IFERROR(__xludf.DUMMYFUNCTION("""COMPUTED_VALUE"""),"INSPEKSI SUTM - T2_Images/41b3b22c.FOTO.123130.jpg")</f>
        <v>INSPEKSI SUTM - T2_Images/41b3b22c.FOTO.123130.jpg</v>
      </c>
      <c r="AD233" s="4"/>
      <c r="AE233" s="4"/>
      <c r="AF233" s="4" t="str">
        <f>IFERROR(__xludf.DUMMYFUNCTION("""COMPUTED_VALUE"""),"BELUM")</f>
        <v>BELUM</v>
      </c>
      <c r="AG233" s="6">
        <f>IFERROR(__xludf.DUMMYFUNCTION("""COMPUTED_VALUE"""),46052.0)</f>
        <v>46052</v>
      </c>
      <c r="AH233" s="4"/>
      <c r="AI233" s="4"/>
    </row>
    <row r="234" ht="15.75" customHeight="1">
      <c r="A234" s="4" t="str">
        <f>IFERROR(__xludf.DUMMYFUNCTION("""COMPUTED_VALUE"""),"74c1dfe7")</f>
        <v>74c1dfe7</v>
      </c>
      <c r="B234" s="5">
        <f>IFERROR(__xludf.DUMMYFUNCTION("""COMPUTED_VALUE"""),46052.81371527778)</f>
        <v>46052.81372</v>
      </c>
      <c r="C234" s="4" t="str">
        <f>IFERROR(__xludf.DUMMYFUNCTION("""COMPUTED_VALUE"""),"-6.978432, 107.674118")</f>
        <v>-6.978432, 107.674118</v>
      </c>
      <c r="D234" s="4" t="str">
        <f>IFERROR(__xludf.DUMMYFUNCTION("""COMPUTED_VALUE"""),"Jihan kiki")</f>
        <v>Jihan kiki</v>
      </c>
      <c r="E234" s="4" t="str">
        <f>IFERROR(__xludf.DUMMYFUNCTION("""COMPUTED_VALUE"""),"BANDUNG")</f>
        <v>BANDUNG</v>
      </c>
      <c r="F234" s="4" t="str">
        <f>IFERROR(__xludf.DUMMYFUNCTION("""COMPUTED_VALUE"""),"CIJAWURA")</f>
        <v>CIJAWURA</v>
      </c>
      <c r="G234" s="4" t="str">
        <f>IFERROR(__xludf.DUMMYFUNCTION("""COMPUTED_VALUE"""),"GIS SUMMARECON")</f>
        <v>GIS SUMMARECON</v>
      </c>
      <c r="H234" s="4" t="str">
        <f>IFERROR(__xludf.DUMMYFUNCTION("""COMPUTED_VALUE"""),"MRDN")</f>
        <v>MRDN</v>
      </c>
      <c r="I234" s="4" t="str">
        <f>IFERROR(__xludf.DUMMYFUNCTION("""COMPUTED_VALUE"""),"LBS DBUB - KNR")</f>
        <v>LBS DBUB - KNR</v>
      </c>
      <c r="J234" s="4" t="str">
        <f>IFERROR(__xludf.DUMMYFUNCTION("""COMPUTED_VALUE"""),"ZONA 3")</f>
        <v>ZONA 3</v>
      </c>
      <c r="K234" s="4" t="str">
        <f>IFERROR(__xludf.DUMMYFUNCTION("""COMPUTED_VALUE"""),"040")</f>
        <v>040</v>
      </c>
      <c r="L234" s="4" t="str">
        <f>IFERROR(__xludf.DUMMYFUNCTION("""COMPUTED_VALUE"""),"TM - 8B/H (Percabangan)")</f>
        <v>TM - 8B/H (Percabangan)</v>
      </c>
      <c r="M234" s="4" t="str">
        <f>IFERROR(__xludf.DUMMYFUNCTION("""COMPUTED_VALUE"""),"Tidak Ada")</f>
        <v>Tidak Ada</v>
      </c>
      <c r="N234" s="4"/>
      <c r="O234" s="4" t="str">
        <f>IFERROR(__xludf.DUMMYFUNCTION("""COMPUTED_VALUE"""),"PEMBANDING SEJENIS")</f>
        <v>PEMBANDING SEJENIS</v>
      </c>
      <c r="P234" s="4" t="str">
        <f>IFERROR(__xludf.DUMMYFUNCTION("""COMPUTED_VALUE"""),"KONEKTOR/JUMPER")</f>
        <v>KONEKTOR/JUMPER</v>
      </c>
      <c r="Q234" s="4">
        <f>IFERROR(__xludf.DUMMYFUNCTION("""COMPUTED_VALUE"""),20.0)</f>
        <v>20</v>
      </c>
      <c r="R234" s="4">
        <f>IFERROR(__xludf.DUMMYFUNCTION("""COMPUTED_VALUE"""),20.0)</f>
        <v>20</v>
      </c>
      <c r="S234" s="4">
        <f>IFERROR(__xludf.DUMMYFUNCTION("""COMPUTED_VALUE"""),20.0)</f>
        <v>20</v>
      </c>
      <c r="T234" s="4"/>
      <c r="U234" s="4" t="str">
        <f>IFERROR(__xludf.DUMMYFUNCTION("""COMPUTED_VALUE"""),"BAIK")</f>
        <v>BAIK</v>
      </c>
      <c r="V234" s="4" t="str">
        <f>IFERROR(__xludf.DUMMYFUNCTION("""COMPUTED_VALUE"""),"Tidak Ada")</f>
        <v>Tidak Ada</v>
      </c>
      <c r="W234" s="4"/>
      <c r="X234" s="4"/>
      <c r="Y234" s="4"/>
      <c r="Z234" s="4"/>
      <c r="AA234" s="4"/>
      <c r="AB234" s="4"/>
      <c r="AC234" s="4" t="str">
        <f>IFERROR(__xludf.DUMMYFUNCTION("""COMPUTED_VALUE"""),"INSPEKSI SUTM - T2_Images/74c1dfe7.FOTO.123217.jpg")</f>
        <v>INSPEKSI SUTM - T2_Images/74c1dfe7.FOTO.123217.jpg</v>
      </c>
      <c r="AD234" s="4"/>
      <c r="AE234" s="4"/>
      <c r="AF234" s="4" t="str">
        <f>IFERROR(__xludf.DUMMYFUNCTION("""COMPUTED_VALUE"""),"BELUM")</f>
        <v>BELUM</v>
      </c>
      <c r="AG234" s="6">
        <f>IFERROR(__xludf.DUMMYFUNCTION("""COMPUTED_VALUE"""),46052.0)</f>
        <v>46052</v>
      </c>
      <c r="AH234" s="4"/>
      <c r="AI234" s="4"/>
    </row>
    <row r="235" ht="15.75" customHeight="1">
      <c r="A235" s="4" t="str">
        <f>IFERROR(__xludf.DUMMYFUNCTION("""COMPUTED_VALUE"""),"721cac33")</f>
        <v>721cac33</v>
      </c>
      <c r="B235" s="5">
        <f>IFERROR(__xludf.DUMMYFUNCTION("""COMPUTED_VALUE"""),46058.91868055556)</f>
        <v>46058.91868</v>
      </c>
      <c r="C235" s="4" t="str">
        <f>IFERROR(__xludf.DUMMYFUNCTION("""COMPUTED_VALUE"""),"-6.936454, 107.730229")</f>
        <v>-6.936454, 107.730229</v>
      </c>
      <c r="D235" s="4" t="str">
        <f>IFERROR(__xludf.DUMMYFUNCTION("""COMPUTED_VALUE"""),"Heri chandra")</f>
        <v>Heri chandra</v>
      </c>
      <c r="E235" s="4" t="str">
        <f>IFERROR(__xludf.DUMMYFUNCTION("""COMPUTED_VALUE"""),"BANDUNG")</f>
        <v>BANDUNG</v>
      </c>
      <c r="F235" s="4" t="str">
        <f>IFERROR(__xludf.DUMMYFUNCTION("""COMPUTED_VALUE"""),"UJUNGBERUNG")</f>
        <v>UJUNGBERUNG</v>
      </c>
      <c r="G235" s="4" t="str">
        <f>IFERROR(__xludf.DUMMYFUNCTION("""COMPUTED_VALUE"""),"UJUNGBERUNG")</f>
        <v>UJUNGBERUNG</v>
      </c>
      <c r="H235" s="4" t="str">
        <f>IFERROR(__xludf.DUMMYFUNCTION("""COMPUTED_VALUE"""),"CPDU")</f>
        <v>CPDU</v>
      </c>
      <c r="I235" s="4" t="str">
        <f>IFERROR(__xludf.DUMMYFUNCTION("""COMPUTED_VALUE"""),"GI UBRNG - REC.CBUA")</f>
        <v>GI UBRNG - REC.CBUA</v>
      </c>
      <c r="J235" s="4" t="str">
        <f>IFERROR(__xludf.DUMMYFUNCTION("""COMPUTED_VALUE"""),"ZONA 1")</f>
        <v>ZONA 1</v>
      </c>
      <c r="K235" s="4" t="str">
        <f>IFERROR(__xludf.DUMMYFUNCTION("""COMPUTED_VALUE"""),"001")</f>
        <v>001</v>
      </c>
      <c r="L235" s="4" t="str">
        <f>IFERROR(__xludf.DUMMYFUNCTION("""COMPUTED_VALUE"""),"TM - 11B/H (Kabel Naik)")</f>
        <v>TM - 11B/H (Kabel Naik)</v>
      </c>
      <c r="M235" s="4" t="str">
        <f>IFERROR(__xludf.DUMMYFUNCTION("""COMPUTED_VALUE"""),"Tidak Ada")</f>
        <v>Tidak Ada</v>
      </c>
      <c r="N235" s="4"/>
      <c r="O235" s="4" t="str">
        <f>IFERROR(__xludf.DUMMYFUNCTION("""COMPUTED_VALUE"""),"PEMBANDING SEJENIS")</f>
        <v>PEMBANDING SEJENIS</v>
      </c>
      <c r="P235" s="4" t="str">
        <f>IFERROR(__xludf.DUMMYFUNCTION("""COMPUTED_VALUE"""),"TERMINASI")</f>
        <v>TERMINASI</v>
      </c>
      <c r="Q235" s="4">
        <f>IFERROR(__xludf.DUMMYFUNCTION("""COMPUTED_VALUE"""),37.1)</f>
        <v>37.1</v>
      </c>
      <c r="R235" s="4">
        <f>IFERROR(__xludf.DUMMYFUNCTION("""COMPUTED_VALUE"""),25.4)</f>
        <v>25.4</v>
      </c>
      <c r="S235" s="4">
        <f>IFERROR(__xludf.DUMMYFUNCTION("""COMPUTED_VALUE"""),24.6)</f>
        <v>24.6</v>
      </c>
      <c r="T235" s="4"/>
      <c r="U235" s="4" t="str">
        <f>IFERROR(__xludf.DUMMYFUNCTION("""COMPUTED_VALUE"""),"KURANG")</f>
        <v>KURANG</v>
      </c>
      <c r="V235" s="4" t="str">
        <f>IFERROR(__xludf.DUMMYFUNCTION("""COMPUTED_VALUE"""),"Tidak Ada")</f>
        <v>Tidak Ada</v>
      </c>
      <c r="W235" s="4"/>
      <c r="X235" s="4"/>
      <c r="Y235" s="4"/>
      <c r="Z235" s="4"/>
      <c r="AA235" s="4"/>
      <c r="AB235" s="4"/>
      <c r="AC235" s="4" t="str">
        <f>IFERROR(__xludf.DUMMYFUNCTION("""COMPUTED_VALUE"""),"INSPEKSI SUTM - T2_Images/721cac33.FOTO.150427.jpg")</f>
        <v>INSPEKSI SUTM - T2_Images/721cac33.FOTO.150427.jpg</v>
      </c>
      <c r="AD235" s="4"/>
      <c r="AE235" s="4"/>
      <c r="AF235" s="4" t="str">
        <f>IFERROR(__xludf.DUMMYFUNCTION("""COMPUTED_VALUE"""),"BELUM")</f>
        <v>BELUM</v>
      </c>
      <c r="AG235" s="6">
        <f>IFERROR(__xludf.DUMMYFUNCTION("""COMPUTED_VALUE"""),46058.0)</f>
        <v>46058</v>
      </c>
      <c r="AH235" s="4"/>
      <c r="AI235" s="4"/>
    </row>
    <row r="236" ht="15.75" customHeight="1">
      <c r="A236" s="4" t="str">
        <f>IFERROR(__xludf.DUMMYFUNCTION("""COMPUTED_VALUE"""),"5f382109")</f>
        <v>5f382109</v>
      </c>
      <c r="B236" s="5">
        <f>IFERROR(__xludf.DUMMYFUNCTION("""COMPUTED_VALUE"""),46058.91982638889)</f>
        <v>46058.91983</v>
      </c>
      <c r="C236" s="4" t="str">
        <f>IFERROR(__xludf.DUMMYFUNCTION("""COMPUTED_VALUE"""),"-6.936453, 107.730219")</f>
        <v>-6.936453, 107.730219</v>
      </c>
      <c r="D236" s="4" t="str">
        <f>IFERROR(__xludf.DUMMYFUNCTION("""COMPUTED_VALUE"""),"Heri chandra")</f>
        <v>Heri chandra</v>
      </c>
      <c r="E236" s="4" t="str">
        <f>IFERROR(__xludf.DUMMYFUNCTION("""COMPUTED_VALUE"""),"BANDUNG")</f>
        <v>BANDUNG</v>
      </c>
      <c r="F236" s="4" t="str">
        <f>IFERROR(__xludf.DUMMYFUNCTION("""COMPUTED_VALUE"""),"UJUNGBERUNG")</f>
        <v>UJUNGBERUNG</v>
      </c>
      <c r="G236" s="4" t="str">
        <f>IFERROR(__xludf.DUMMYFUNCTION("""COMPUTED_VALUE"""),"UJUNGBERUNG")</f>
        <v>UJUNGBERUNG</v>
      </c>
      <c r="H236" s="4" t="str">
        <f>IFERROR(__xludf.DUMMYFUNCTION("""COMPUTED_VALUE"""),"CPDU")</f>
        <v>CPDU</v>
      </c>
      <c r="I236" s="4" t="str">
        <f>IFERROR(__xludf.DUMMYFUNCTION("""COMPUTED_VALUE"""),"GI UBRNG - REC.CBUA")</f>
        <v>GI UBRNG - REC.CBUA</v>
      </c>
      <c r="J236" s="4" t="str">
        <f>IFERROR(__xludf.DUMMYFUNCTION("""COMPUTED_VALUE"""),"ZONA 1")</f>
        <v>ZONA 1</v>
      </c>
      <c r="K236" s="4" t="str">
        <f>IFERROR(__xludf.DUMMYFUNCTION("""COMPUTED_VALUE"""),"003")</f>
        <v>003</v>
      </c>
      <c r="L236" s="4" t="str">
        <f>IFERROR(__xludf.DUMMYFUNCTION("""COMPUTED_VALUE"""),"TM - 4B/H (Afspan)")</f>
        <v>TM - 4B/H (Afspan)</v>
      </c>
      <c r="M236" s="4" t="str">
        <f>IFERROR(__xludf.DUMMYFUNCTION("""COMPUTED_VALUE"""),"Tidak Ada")</f>
        <v>Tidak Ada</v>
      </c>
      <c r="N236" s="4"/>
      <c r="O236" s="4" t="str">
        <f>IFERROR(__xludf.DUMMYFUNCTION("""COMPUTED_VALUE"""),"PEMBANDING SEJENIS")</f>
        <v>PEMBANDING SEJENIS</v>
      </c>
      <c r="P236" s="4" t="str">
        <f>IFERROR(__xludf.DUMMYFUNCTION("""COMPUTED_VALUE"""),"ARRESTER")</f>
        <v>ARRESTER</v>
      </c>
      <c r="Q236" s="4">
        <f>IFERROR(__xludf.DUMMYFUNCTION("""COMPUTED_VALUE"""),22.8)</f>
        <v>22.8</v>
      </c>
      <c r="R236" s="4">
        <f>IFERROR(__xludf.DUMMYFUNCTION("""COMPUTED_VALUE"""),22.8)</f>
        <v>22.8</v>
      </c>
      <c r="S236" s="4">
        <f>IFERROR(__xludf.DUMMYFUNCTION("""COMPUTED_VALUE"""),22.9)</f>
        <v>22.9</v>
      </c>
      <c r="T236" s="4"/>
      <c r="U236" s="4" t="str">
        <f>IFERROR(__xludf.DUMMYFUNCTION("""COMPUTED_VALUE"""),"BAIK")</f>
        <v>BAIK</v>
      </c>
      <c r="V236" s="4" t="str">
        <f>IFERROR(__xludf.DUMMYFUNCTION("""COMPUTED_VALUE"""),"Tidak Ada")</f>
        <v>Tidak Ada</v>
      </c>
      <c r="W236" s="4"/>
      <c r="X236" s="4"/>
      <c r="Y236" s="4"/>
      <c r="Z236" s="4"/>
      <c r="AA236" s="4"/>
      <c r="AB236" s="4"/>
      <c r="AC236" s="4" t="str">
        <f>IFERROR(__xludf.DUMMYFUNCTION("""COMPUTED_VALUE"""),"INSPEKSI SUTM - T2_Images/5f382109.FOTO.150529.jpg")</f>
        <v>INSPEKSI SUTM - T2_Images/5f382109.FOTO.150529.jpg</v>
      </c>
      <c r="AD236" s="4"/>
      <c r="AE236" s="4"/>
      <c r="AF236" s="4" t="str">
        <f>IFERROR(__xludf.DUMMYFUNCTION("""COMPUTED_VALUE"""),"BELUM")</f>
        <v>BELUM</v>
      </c>
      <c r="AG236" s="6">
        <f>IFERROR(__xludf.DUMMYFUNCTION("""COMPUTED_VALUE"""),46058.0)</f>
        <v>46058</v>
      </c>
      <c r="AH236" s="4"/>
      <c r="AI236" s="4"/>
    </row>
    <row r="237" ht="15.75" customHeight="1">
      <c r="A237" s="4" t="str">
        <f>IFERROR(__xludf.DUMMYFUNCTION("""COMPUTED_VALUE"""),"c3ed36b2")</f>
        <v>c3ed36b2</v>
      </c>
      <c r="B237" s="5">
        <f>IFERROR(__xludf.DUMMYFUNCTION("""COMPUTED_VALUE"""),46058.92061342593)</f>
        <v>46058.92061</v>
      </c>
      <c r="C237" s="4" t="str">
        <f>IFERROR(__xludf.DUMMYFUNCTION("""COMPUTED_VALUE"""),"-6.935501, 107.728591")</f>
        <v>-6.935501, 107.728591</v>
      </c>
      <c r="D237" s="4" t="str">
        <f>IFERROR(__xludf.DUMMYFUNCTION("""COMPUTED_VALUE"""),"Heri cjandra")</f>
        <v>Heri cjandra</v>
      </c>
      <c r="E237" s="4" t="str">
        <f>IFERROR(__xludf.DUMMYFUNCTION("""COMPUTED_VALUE"""),"BANDUNG")</f>
        <v>BANDUNG</v>
      </c>
      <c r="F237" s="4" t="str">
        <f>IFERROR(__xludf.DUMMYFUNCTION("""COMPUTED_VALUE"""),"UJUNGBERUNG")</f>
        <v>UJUNGBERUNG</v>
      </c>
      <c r="G237" s="4" t="str">
        <f>IFERROR(__xludf.DUMMYFUNCTION("""COMPUTED_VALUE"""),"UJUNGBERUNG")</f>
        <v>UJUNGBERUNG</v>
      </c>
      <c r="H237" s="4" t="str">
        <f>IFERROR(__xludf.DUMMYFUNCTION("""COMPUTED_VALUE"""),"CPDU")</f>
        <v>CPDU</v>
      </c>
      <c r="I237" s="4" t="str">
        <f>IFERROR(__xludf.DUMMYFUNCTION("""COMPUTED_VALUE"""),"GI UBRNG - REC.CBUA")</f>
        <v>GI UBRNG - REC.CBUA</v>
      </c>
      <c r="J237" s="4" t="str">
        <f>IFERROR(__xludf.DUMMYFUNCTION("""COMPUTED_VALUE"""),"ZONA 1")</f>
        <v>ZONA 1</v>
      </c>
      <c r="K237" s="4" t="str">
        <f>IFERROR(__xludf.DUMMYFUNCTION("""COMPUTED_VALUE"""),"005")</f>
        <v>005</v>
      </c>
      <c r="L237" s="4" t="str">
        <f>IFERROR(__xludf.DUMMYFUNCTION("""COMPUTED_VALUE"""),"TM - 1B/H (Tumpu)")</f>
        <v>TM - 1B/H (Tumpu)</v>
      </c>
      <c r="M237" s="4" t="str">
        <f>IFERROR(__xludf.DUMMYFUNCTION("""COMPUTED_VALUE"""),"Tidak Ada")</f>
        <v>Tidak Ada</v>
      </c>
      <c r="N237" s="4"/>
      <c r="O237" s="4" t="str">
        <f>IFERROR(__xludf.DUMMYFUNCTION("""COMPUTED_VALUE"""),"PEMBANDING SEJENIS")</f>
        <v>PEMBANDING SEJENIS</v>
      </c>
      <c r="P237" s="4" t="str">
        <f>IFERROR(__xludf.DUMMYFUNCTION("""COMPUTED_VALUE"""),"ARRESTER")</f>
        <v>ARRESTER</v>
      </c>
      <c r="Q237" s="4">
        <f>IFERROR(__xludf.DUMMYFUNCTION("""COMPUTED_VALUE"""),23.8)</f>
        <v>23.8</v>
      </c>
      <c r="R237" s="4">
        <f>IFERROR(__xludf.DUMMYFUNCTION("""COMPUTED_VALUE"""),22.9)</f>
        <v>22.9</v>
      </c>
      <c r="S237" s="4">
        <f>IFERROR(__xludf.DUMMYFUNCTION("""COMPUTED_VALUE"""),23.7)</f>
        <v>23.7</v>
      </c>
      <c r="T237" s="4"/>
      <c r="U237" s="4" t="str">
        <f>IFERROR(__xludf.DUMMYFUNCTION("""COMPUTED_VALUE"""),"BAIK")</f>
        <v>BAIK</v>
      </c>
      <c r="V237" s="4" t="str">
        <f>IFERROR(__xludf.DUMMYFUNCTION("""COMPUTED_VALUE"""),"Tidak Ada")</f>
        <v>Tidak Ada</v>
      </c>
      <c r="W237" s="4"/>
      <c r="X237" s="4"/>
      <c r="Y237" s="4"/>
      <c r="Z237" s="4"/>
      <c r="AA237" s="4"/>
      <c r="AB237" s="4"/>
      <c r="AC237" s="4" t="str">
        <f>IFERROR(__xludf.DUMMYFUNCTION("""COMPUTED_VALUE"""),"INSPEKSI SUTM - T2_Images/c3ed36b2.FOTO.150642.jpg")</f>
        <v>INSPEKSI SUTM - T2_Images/c3ed36b2.FOTO.150642.jpg</v>
      </c>
      <c r="AD237" s="4"/>
      <c r="AE237" s="4"/>
      <c r="AF237" s="4" t="str">
        <f>IFERROR(__xludf.DUMMYFUNCTION("""COMPUTED_VALUE"""),"BELUM")</f>
        <v>BELUM</v>
      </c>
      <c r="AG237" s="6">
        <f>IFERROR(__xludf.DUMMYFUNCTION("""COMPUTED_VALUE"""),46058.0)</f>
        <v>46058</v>
      </c>
      <c r="AH237" s="4"/>
      <c r="AI237" s="4"/>
    </row>
    <row r="238" ht="15.75" customHeight="1">
      <c r="A238" s="4" t="str">
        <f>IFERROR(__xludf.DUMMYFUNCTION("""COMPUTED_VALUE"""),"2f919ff3")</f>
        <v>2f919ff3</v>
      </c>
      <c r="B238" s="5">
        <f>IFERROR(__xludf.DUMMYFUNCTION("""COMPUTED_VALUE"""),46058.921747685185)</f>
        <v>46058.92175</v>
      </c>
      <c r="C238" s="4" t="str">
        <f>IFERROR(__xludf.DUMMYFUNCTION("""COMPUTED_VALUE"""),"-6.935148, 107.728281")</f>
        <v>-6.935148, 107.728281</v>
      </c>
      <c r="D238" s="4" t="str">
        <f>IFERROR(__xludf.DUMMYFUNCTION("""COMPUTED_VALUE"""),"Heri xhandfa")</f>
        <v>Heri xhandfa</v>
      </c>
      <c r="E238" s="4" t="str">
        <f>IFERROR(__xludf.DUMMYFUNCTION("""COMPUTED_VALUE"""),"BANDUNG")</f>
        <v>BANDUNG</v>
      </c>
      <c r="F238" s="4" t="str">
        <f>IFERROR(__xludf.DUMMYFUNCTION("""COMPUTED_VALUE"""),"UJUNGBERUNG")</f>
        <v>UJUNGBERUNG</v>
      </c>
      <c r="G238" s="4" t="str">
        <f>IFERROR(__xludf.DUMMYFUNCTION("""COMPUTED_VALUE"""),"UJUNGBERUNG")</f>
        <v>UJUNGBERUNG</v>
      </c>
      <c r="H238" s="4" t="str">
        <f>IFERROR(__xludf.DUMMYFUNCTION("""COMPUTED_VALUE"""),"CPDU")</f>
        <v>CPDU</v>
      </c>
      <c r="I238" s="4" t="str">
        <f>IFERROR(__xludf.DUMMYFUNCTION("""COMPUTED_VALUE"""),"GI UBRNG - REC.CBUA")</f>
        <v>GI UBRNG - REC.CBUA</v>
      </c>
      <c r="J238" s="4" t="str">
        <f>IFERROR(__xludf.DUMMYFUNCTION("""COMPUTED_VALUE"""),"ZONA 1")</f>
        <v>ZONA 1</v>
      </c>
      <c r="K238" s="4" t="str">
        <f>IFERROR(__xludf.DUMMYFUNCTION("""COMPUTED_VALUE"""),"006")</f>
        <v>006</v>
      </c>
      <c r="L238" s="4" t="str">
        <f>IFERROR(__xludf.DUMMYFUNCTION("""COMPUTED_VALUE"""),"TM - 5B/H (Portal andongan &lt;170m)")</f>
        <v>TM - 5B/H (Portal andongan &lt;170m)</v>
      </c>
      <c r="M238" s="4" t="str">
        <f>IFERROR(__xludf.DUMMYFUNCTION("""COMPUTED_VALUE"""),"Tidak Ada")</f>
        <v>Tidak Ada</v>
      </c>
      <c r="N238" s="4"/>
      <c r="O238" s="4" t="str">
        <f>IFERROR(__xludf.DUMMYFUNCTION("""COMPUTED_VALUE"""),"PEMBANDING SEJENIS")</f>
        <v>PEMBANDING SEJENIS</v>
      </c>
      <c r="P238" s="4" t="str">
        <f>IFERROR(__xludf.DUMMYFUNCTION("""COMPUTED_VALUE"""),"KONEKTOR/JUMPER")</f>
        <v>KONEKTOR/JUMPER</v>
      </c>
      <c r="Q238" s="4">
        <f>IFERROR(__xludf.DUMMYFUNCTION("""COMPUTED_VALUE"""),26.5)</f>
        <v>26.5</v>
      </c>
      <c r="R238" s="4">
        <f>IFERROR(__xludf.DUMMYFUNCTION("""COMPUTED_VALUE"""),23.0)</f>
        <v>23</v>
      </c>
      <c r="S238" s="4">
        <f>IFERROR(__xludf.DUMMYFUNCTION("""COMPUTED_VALUE"""),22.6)</f>
        <v>22.6</v>
      </c>
      <c r="T238" s="4"/>
      <c r="U238" s="4" t="str">
        <f>IFERROR(__xludf.DUMMYFUNCTION("""COMPUTED_VALUE"""),"CUKUP")</f>
        <v>CUKUP</v>
      </c>
      <c r="V238" s="4" t="str">
        <f>IFERROR(__xludf.DUMMYFUNCTION("""COMPUTED_VALUE"""),"Tidak Ada")</f>
        <v>Tidak Ada</v>
      </c>
      <c r="W238" s="4"/>
      <c r="X238" s="4"/>
      <c r="Y238" s="4"/>
      <c r="Z238" s="4"/>
      <c r="AA238" s="4"/>
      <c r="AB238" s="4"/>
      <c r="AC238" s="4" t="str">
        <f>IFERROR(__xludf.DUMMYFUNCTION("""COMPUTED_VALUE"""),"INSPEKSI SUTM - T2_Images/2f919ff3.FOTO.150817.jpg")</f>
        <v>INSPEKSI SUTM - T2_Images/2f919ff3.FOTO.150817.jpg</v>
      </c>
      <c r="AD238" s="4"/>
      <c r="AE238" s="4"/>
      <c r="AF238" s="4" t="str">
        <f>IFERROR(__xludf.DUMMYFUNCTION("""COMPUTED_VALUE"""),"BELUM")</f>
        <v>BELUM</v>
      </c>
      <c r="AG238" s="6">
        <f>IFERROR(__xludf.DUMMYFUNCTION("""COMPUTED_VALUE"""),46058.0)</f>
        <v>46058</v>
      </c>
      <c r="AH238" s="4"/>
      <c r="AI238" s="4"/>
    </row>
    <row r="239" ht="15.75" customHeight="1">
      <c r="A239" s="4" t="str">
        <f>IFERROR(__xludf.DUMMYFUNCTION("""COMPUTED_VALUE"""),"7cf9f757")</f>
        <v>7cf9f757</v>
      </c>
      <c r="B239" s="5">
        <f>IFERROR(__xludf.DUMMYFUNCTION("""COMPUTED_VALUE"""),46058.92273148148)</f>
        <v>46058.92273</v>
      </c>
      <c r="C239" s="4" t="str">
        <f>IFERROR(__xludf.DUMMYFUNCTION("""COMPUTED_VALUE"""),"-6.935148, 107.728272")</f>
        <v>-6.935148, 107.728272</v>
      </c>
      <c r="D239" s="4" t="str">
        <f>IFERROR(__xludf.DUMMYFUNCTION("""COMPUTED_VALUE"""),"Hrrichandta")</f>
        <v>Hrrichandta</v>
      </c>
      <c r="E239" s="4" t="str">
        <f>IFERROR(__xludf.DUMMYFUNCTION("""COMPUTED_VALUE"""),"BANDUNG")</f>
        <v>BANDUNG</v>
      </c>
      <c r="F239" s="4" t="str">
        <f>IFERROR(__xludf.DUMMYFUNCTION("""COMPUTED_VALUE"""),"UJUNGBERUNG")</f>
        <v>UJUNGBERUNG</v>
      </c>
      <c r="G239" s="4" t="str">
        <f>IFERROR(__xludf.DUMMYFUNCTION("""COMPUTED_VALUE"""),"UJUNGBERUNG")</f>
        <v>UJUNGBERUNG</v>
      </c>
      <c r="H239" s="4" t="str">
        <f>IFERROR(__xludf.DUMMYFUNCTION("""COMPUTED_VALUE"""),"CPDU")</f>
        <v>CPDU</v>
      </c>
      <c r="I239" s="4" t="str">
        <f>IFERROR(__xludf.DUMMYFUNCTION("""COMPUTED_VALUE"""),"GI UBRNG - REC.CBUA")</f>
        <v>GI UBRNG - REC.CBUA</v>
      </c>
      <c r="J239" s="4" t="str">
        <f>IFERROR(__xludf.DUMMYFUNCTION("""COMPUTED_VALUE"""),"ZONA 1")</f>
        <v>ZONA 1</v>
      </c>
      <c r="K239" s="4" t="str">
        <f>IFERROR(__xludf.DUMMYFUNCTION("""COMPUTED_VALUE"""),"007")</f>
        <v>007</v>
      </c>
      <c r="L239" s="4" t="str">
        <f>IFERROR(__xludf.DUMMYFUNCTION("""COMPUTED_VALUE"""),"TM - 14B/H (Akhir)")</f>
        <v>TM - 14B/H (Akhir)</v>
      </c>
      <c r="M239" s="4" t="str">
        <f>IFERROR(__xludf.DUMMYFUNCTION("""COMPUTED_VALUE"""),"Tidak Ada")</f>
        <v>Tidak Ada</v>
      </c>
      <c r="N239" s="4"/>
      <c r="O239" s="4" t="str">
        <f>IFERROR(__xludf.DUMMYFUNCTION("""COMPUTED_VALUE"""),"PEMBANDING SEJENIS")</f>
        <v>PEMBANDING SEJENIS</v>
      </c>
      <c r="P239" s="4" t="str">
        <f>IFERROR(__xludf.DUMMYFUNCTION("""COMPUTED_VALUE"""),"TERMINASI")</f>
        <v>TERMINASI</v>
      </c>
      <c r="Q239" s="4">
        <f>IFERROR(__xludf.DUMMYFUNCTION("""COMPUTED_VALUE"""),22.5)</f>
        <v>22.5</v>
      </c>
      <c r="R239" s="4">
        <f>IFERROR(__xludf.DUMMYFUNCTION("""COMPUTED_VALUE"""),20.0)</f>
        <v>20</v>
      </c>
      <c r="S239" s="4">
        <f>IFERROR(__xludf.DUMMYFUNCTION("""COMPUTED_VALUE"""),21.5)</f>
        <v>21.5</v>
      </c>
      <c r="T239" s="4"/>
      <c r="U239" s="4" t="str">
        <f>IFERROR(__xludf.DUMMYFUNCTION("""COMPUTED_VALUE"""),"BAIK")</f>
        <v>BAIK</v>
      </c>
      <c r="V239" s="4" t="str">
        <f>IFERROR(__xludf.DUMMYFUNCTION("""COMPUTED_VALUE"""),"Tidak Ada")</f>
        <v>Tidak Ada</v>
      </c>
      <c r="W239" s="4"/>
      <c r="X239" s="4"/>
      <c r="Y239" s="4"/>
      <c r="Z239" s="4"/>
      <c r="AA239" s="4"/>
      <c r="AB239" s="4"/>
      <c r="AC239" s="4" t="str">
        <f>IFERROR(__xludf.DUMMYFUNCTION("""COMPUTED_VALUE"""),"INSPEKSI SUTM - T2_Images/7cf9f757.FOTO.150932.jpg")</f>
        <v>INSPEKSI SUTM - T2_Images/7cf9f757.FOTO.150932.jpg</v>
      </c>
      <c r="AD239" s="4"/>
      <c r="AE239" s="4"/>
      <c r="AF239" s="4" t="str">
        <f>IFERROR(__xludf.DUMMYFUNCTION("""COMPUTED_VALUE"""),"BELUM")</f>
        <v>BELUM</v>
      </c>
      <c r="AG239" s="6">
        <f>IFERROR(__xludf.DUMMYFUNCTION("""COMPUTED_VALUE"""),46058.0)</f>
        <v>46058</v>
      </c>
      <c r="AH239" s="4"/>
      <c r="AI239" s="4"/>
    </row>
    <row r="240" ht="15.75" customHeight="1">
      <c r="A240" s="4" t="str">
        <f>IFERROR(__xludf.DUMMYFUNCTION("""COMPUTED_VALUE"""),"7055f02b")</f>
        <v>7055f02b</v>
      </c>
      <c r="B240" s="5">
        <f>IFERROR(__xludf.DUMMYFUNCTION("""COMPUTED_VALUE"""),46058.923425925925)</f>
        <v>46058.92343</v>
      </c>
      <c r="C240" s="4" t="str">
        <f>IFERROR(__xludf.DUMMYFUNCTION("""COMPUTED_VALUE"""),"-6.935139, 107.728274")</f>
        <v>-6.935139, 107.728274</v>
      </c>
      <c r="D240" s="4" t="str">
        <f>IFERROR(__xludf.DUMMYFUNCTION("""COMPUTED_VALUE"""),"Heri chandta")</f>
        <v>Heri chandta</v>
      </c>
      <c r="E240" s="4" t="str">
        <f>IFERROR(__xludf.DUMMYFUNCTION("""COMPUTED_VALUE"""),"BANDUNG")</f>
        <v>BANDUNG</v>
      </c>
      <c r="F240" s="4" t="str">
        <f>IFERROR(__xludf.DUMMYFUNCTION("""COMPUTED_VALUE"""),"UJUNGBERUNG")</f>
        <v>UJUNGBERUNG</v>
      </c>
      <c r="G240" s="4" t="str">
        <f>IFERROR(__xludf.DUMMYFUNCTION("""COMPUTED_VALUE"""),"UJUNGBERUNG")</f>
        <v>UJUNGBERUNG</v>
      </c>
      <c r="H240" s="4" t="str">
        <f>IFERROR(__xludf.DUMMYFUNCTION("""COMPUTED_VALUE"""),"CPDU")</f>
        <v>CPDU</v>
      </c>
      <c r="I240" s="4" t="str">
        <f>IFERROR(__xludf.DUMMYFUNCTION("""COMPUTED_VALUE"""),"GI UBRNG - REC.CBUA")</f>
        <v>GI UBRNG - REC.CBUA</v>
      </c>
      <c r="J240" s="4" t="str">
        <f>IFERROR(__xludf.DUMMYFUNCTION("""COMPUTED_VALUE"""),"ZONA 1")</f>
        <v>ZONA 1</v>
      </c>
      <c r="K240" s="4" t="str">
        <f>IFERROR(__xludf.DUMMYFUNCTION("""COMPUTED_VALUE"""),"008")</f>
        <v>008</v>
      </c>
      <c r="L240" s="4" t="str">
        <f>IFERROR(__xludf.DUMMYFUNCTION("""COMPUTED_VALUE"""),"TM - 11B/H (Kabel Naik)")</f>
        <v>TM - 11B/H (Kabel Naik)</v>
      </c>
      <c r="M240" s="4" t="str">
        <f>IFERROR(__xludf.DUMMYFUNCTION("""COMPUTED_VALUE"""),"Tidak Ada")</f>
        <v>Tidak Ada</v>
      </c>
      <c r="N240" s="4"/>
      <c r="O240" s="4" t="str">
        <f>IFERROR(__xludf.DUMMYFUNCTION("""COMPUTED_VALUE"""),"PEMBANDING SEJENIS")</f>
        <v>PEMBANDING SEJENIS</v>
      </c>
      <c r="P240" s="4" t="str">
        <f>IFERROR(__xludf.DUMMYFUNCTION("""COMPUTED_VALUE"""),"TERMINASI")</f>
        <v>TERMINASI</v>
      </c>
      <c r="Q240" s="4">
        <f>IFERROR(__xludf.DUMMYFUNCTION("""COMPUTED_VALUE"""),21.7)</f>
        <v>21.7</v>
      </c>
      <c r="R240" s="4">
        <f>IFERROR(__xludf.DUMMYFUNCTION("""COMPUTED_VALUE"""),19.4)</f>
        <v>19.4</v>
      </c>
      <c r="S240" s="4">
        <f>IFERROR(__xludf.DUMMYFUNCTION("""COMPUTED_VALUE"""),20.1)</f>
        <v>20.1</v>
      </c>
      <c r="T240" s="4"/>
      <c r="U240" s="4" t="str">
        <f>IFERROR(__xludf.DUMMYFUNCTION("""COMPUTED_VALUE"""),"BAIK")</f>
        <v>BAIK</v>
      </c>
      <c r="V240" s="4" t="str">
        <f>IFERROR(__xludf.DUMMYFUNCTION("""COMPUTED_VALUE"""),"Tidak Ada")</f>
        <v>Tidak Ada</v>
      </c>
      <c r="W240" s="4"/>
      <c r="X240" s="4"/>
      <c r="Y240" s="4"/>
      <c r="Z240" s="4"/>
      <c r="AA240" s="4"/>
      <c r="AB240" s="4"/>
      <c r="AC240" s="4" t="str">
        <f>IFERROR(__xludf.DUMMYFUNCTION("""COMPUTED_VALUE"""),"INSPEKSI SUTM - T2_Images/7055f02b.FOTO.152559.jpg")</f>
        <v>INSPEKSI SUTM - T2_Images/7055f02b.FOTO.152559.jpg</v>
      </c>
      <c r="AD240" s="4"/>
      <c r="AE240" s="4"/>
      <c r="AF240" s="4" t="str">
        <f>IFERROR(__xludf.DUMMYFUNCTION("""COMPUTED_VALUE"""),"BELUM")</f>
        <v>BELUM</v>
      </c>
      <c r="AG240" s="6">
        <f>IFERROR(__xludf.DUMMYFUNCTION("""COMPUTED_VALUE"""),46058.0)</f>
        <v>46058</v>
      </c>
      <c r="AH240" s="4"/>
      <c r="AI240" s="4"/>
    </row>
    <row r="241" ht="15.75" customHeight="1">
      <c r="A241" s="4" t="str">
        <f>IFERROR(__xludf.DUMMYFUNCTION("""COMPUTED_VALUE"""),"eeed36e0")</f>
        <v>eeed36e0</v>
      </c>
      <c r="B241" s="5">
        <f>IFERROR(__xludf.DUMMYFUNCTION("""COMPUTED_VALUE"""),46058.93517361111)</f>
        <v>46058.93517</v>
      </c>
      <c r="C241" s="4" t="str">
        <f>IFERROR(__xludf.DUMMYFUNCTION("""COMPUTED_VALUE"""),"-6.932918, 107.729476")</f>
        <v>-6.932918, 107.729476</v>
      </c>
      <c r="D241" s="4" t="str">
        <f>IFERROR(__xludf.DUMMYFUNCTION("""COMPUTED_VALUE"""),"Heri chandra")</f>
        <v>Heri chandra</v>
      </c>
      <c r="E241" s="4" t="str">
        <f>IFERROR(__xludf.DUMMYFUNCTION("""COMPUTED_VALUE"""),"BANDUNG")</f>
        <v>BANDUNG</v>
      </c>
      <c r="F241" s="4" t="str">
        <f>IFERROR(__xludf.DUMMYFUNCTION("""COMPUTED_VALUE"""),"UJUNGBERUNG")</f>
        <v>UJUNGBERUNG</v>
      </c>
      <c r="G241" s="4" t="str">
        <f>IFERROR(__xludf.DUMMYFUNCTION("""COMPUTED_VALUE"""),"UJUNGBERUNG")</f>
        <v>UJUNGBERUNG</v>
      </c>
      <c r="H241" s="4" t="str">
        <f>IFERROR(__xludf.DUMMYFUNCTION("""COMPUTED_VALUE"""),"CPDU")</f>
        <v>CPDU</v>
      </c>
      <c r="I241" s="4" t="str">
        <f>IFERROR(__xludf.DUMMYFUNCTION("""COMPUTED_VALUE"""),"GI UBRNG - REC.CBUA")</f>
        <v>GI UBRNG - REC.CBUA</v>
      </c>
      <c r="J241" s="4" t="str">
        <f>IFERROR(__xludf.DUMMYFUNCTION("""COMPUTED_VALUE"""),"ZONA 1")</f>
        <v>ZONA 1</v>
      </c>
      <c r="K241" s="4" t="str">
        <f>IFERROR(__xludf.DUMMYFUNCTION("""COMPUTED_VALUE"""),"013R05")</f>
        <v>013R05</v>
      </c>
      <c r="L241" s="4" t="str">
        <f>IFERROR(__xludf.DUMMYFUNCTION("""COMPUTED_VALUE"""),"TM - 8BC/HC (Percabangan dengan CO)")</f>
        <v>TM - 8BC/HC (Percabangan dengan CO)</v>
      </c>
      <c r="M241" s="4" t="str">
        <f>IFERROR(__xludf.DUMMYFUNCTION("""COMPUTED_VALUE"""),"FCO")</f>
        <v>FCO</v>
      </c>
      <c r="N241" s="4" t="str">
        <f>IFERROR(__xludf.DUMMYFUNCTION("""COMPUTED_VALUE"""),"Aftak cnna")</f>
        <v>Aftak cnna</v>
      </c>
      <c r="O241" s="4" t="str">
        <f>IFERROR(__xludf.DUMMYFUNCTION("""COMPUTED_VALUE"""),"PEMBANDING SEJENIS")</f>
        <v>PEMBANDING SEJENIS</v>
      </c>
      <c r="P241" s="4" t="str">
        <f>IFERROR(__xludf.DUMMYFUNCTION("""COMPUTED_VALUE"""),"FCO")</f>
        <v>FCO</v>
      </c>
      <c r="Q241" s="4">
        <f>IFERROR(__xludf.DUMMYFUNCTION("""COMPUTED_VALUE"""),20.5)</f>
        <v>20.5</v>
      </c>
      <c r="R241" s="4">
        <f>IFERROR(__xludf.DUMMYFUNCTION("""COMPUTED_VALUE"""),20.9)</f>
        <v>20.9</v>
      </c>
      <c r="S241" s="4">
        <f>IFERROR(__xludf.DUMMYFUNCTION("""COMPUTED_VALUE"""),23.2)</f>
        <v>23.2</v>
      </c>
      <c r="T241" s="4"/>
      <c r="U241" s="4" t="str">
        <f>IFERROR(__xludf.DUMMYFUNCTION("""COMPUTED_VALUE"""),"BAIK")</f>
        <v>BAIK</v>
      </c>
      <c r="V241" s="4" t="str">
        <f>IFERROR(__xludf.DUMMYFUNCTION("""COMPUTED_VALUE"""),"Tidak Ada")</f>
        <v>Tidak Ada</v>
      </c>
      <c r="W241" s="4"/>
      <c r="X241" s="4"/>
      <c r="Y241" s="4"/>
      <c r="Z241" s="4"/>
      <c r="AA241" s="4"/>
      <c r="AB241" s="4"/>
      <c r="AC241" s="4" t="str">
        <f>IFERROR(__xludf.DUMMYFUNCTION("""COMPUTED_VALUE"""),"INSPEKSI SUTM - T2_Images/eeed36e0.FOTO.152730.jpg")</f>
        <v>INSPEKSI SUTM - T2_Images/eeed36e0.FOTO.152730.jpg</v>
      </c>
      <c r="AD241" s="4"/>
      <c r="AE241" s="4"/>
      <c r="AF241" s="4" t="str">
        <f>IFERROR(__xludf.DUMMYFUNCTION("""COMPUTED_VALUE"""),"BELUM")</f>
        <v>BELUM</v>
      </c>
      <c r="AG241" s="6">
        <f>IFERROR(__xludf.DUMMYFUNCTION("""COMPUTED_VALUE"""),46058.0)</f>
        <v>46058</v>
      </c>
      <c r="AH241" s="4"/>
      <c r="AI241" s="4"/>
    </row>
    <row r="242" ht="15.75" customHeight="1">
      <c r="A242" s="4" t="str">
        <f>IFERROR(__xludf.DUMMYFUNCTION("""COMPUTED_VALUE"""),"3fdd62c5")</f>
        <v>3fdd62c5</v>
      </c>
      <c r="B242" s="5">
        <f>IFERROR(__xludf.DUMMYFUNCTION("""COMPUTED_VALUE"""),46058.936793981484)</f>
        <v>46058.93679</v>
      </c>
      <c r="C242" s="4" t="str">
        <f>IFERROR(__xludf.DUMMYFUNCTION("""COMPUTED_VALUE"""),"-6.932902, 107.729791")</f>
        <v>-6.932902, 107.729791</v>
      </c>
      <c r="D242" s="4" t="str">
        <f>IFERROR(__xludf.DUMMYFUNCTION("""COMPUTED_VALUE"""),"Heri chandta")</f>
        <v>Heri chandta</v>
      </c>
      <c r="E242" s="4" t="str">
        <f>IFERROR(__xludf.DUMMYFUNCTION("""COMPUTED_VALUE"""),"BANDUNG")</f>
        <v>BANDUNG</v>
      </c>
      <c r="F242" s="4" t="str">
        <f>IFERROR(__xludf.DUMMYFUNCTION("""COMPUTED_VALUE"""),"UJUNGBERUNG")</f>
        <v>UJUNGBERUNG</v>
      </c>
      <c r="G242" s="4" t="str">
        <f>IFERROR(__xludf.DUMMYFUNCTION("""COMPUTED_VALUE"""),"UJUNGBERUNG")</f>
        <v>UJUNGBERUNG</v>
      </c>
      <c r="H242" s="4" t="str">
        <f>IFERROR(__xludf.DUMMYFUNCTION("""COMPUTED_VALUE"""),"CPDU")</f>
        <v>CPDU</v>
      </c>
      <c r="I242" s="4" t="str">
        <f>IFERROR(__xludf.DUMMYFUNCTION("""COMPUTED_VALUE"""),"GI UBRNG - REC.CBUA")</f>
        <v>GI UBRNG - REC.CBUA</v>
      </c>
      <c r="J242" s="4" t="str">
        <f>IFERROR(__xludf.DUMMYFUNCTION("""COMPUTED_VALUE"""),"ZONA 1")</f>
        <v>ZONA 1</v>
      </c>
      <c r="K242" s="4" t="str">
        <f>IFERROR(__xludf.DUMMYFUNCTION("""COMPUTED_VALUE"""),"013R06")</f>
        <v>013R06</v>
      </c>
      <c r="L242" s="4" t="str">
        <f>IFERROR(__xludf.DUMMYFUNCTION("""COMPUTED_VALUE"""),"TM - 7B/H (Afspan 90 Derajat)")</f>
        <v>TM - 7B/H (Afspan 90 Derajat)</v>
      </c>
      <c r="M242" s="4" t="str">
        <f>IFERROR(__xludf.DUMMYFUNCTION("""COMPUTED_VALUE"""),"Tidak Ada")</f>
        <v>Tidak Ada</v>
      </c>
      <c r="N242" s="4"/>
      <c r="O242" s="4" t="str">
        <f>IFERROR(__xludf.DUMMYFUNCTION("""COMPUTED_VALUE"""),"PEMBANDING SEJENIS")</f>
        <v>PEMBANDING SEJENIS</v>
      </c>
      <c r="P242" s="4" t="str">
        <f>IFERROR(__xludf.DUMMYFUNCTION("""COMPUTED_VALUE"""),"KONEKTOR/JUMPER")</f>
        <v>KONEKTOR/JUMPER</v>
      </c>
      <c r="Q242" s="4">
        <f>IFERROR(__xludf.DUMMYFUNCTION("""COMPUTED_VALUE"""),19.4)</f>
        <v>19.4</v>
      </c>
      <c r="R242" s="4">
        <f>IFERROR(__xludf.DUMMYFUNCTION("""COMPUTED_VALUE"""),20.6)</f>
        <v>20.6</v>
      </c>
      <c r="S242" s="4">
        <f>IFERROR(__xludf.DUMMYFUNCTION("""COMPUTED_VALUE"""),19.4)</f>
        <v>19.4</v>
      </c>
      <c r="T242" s="4"/>
      <c r="U242" s="4" t="str">
        <f>IFERROR(__xludf.DUMMYFUNCTION("""COMPUTED_VALUE"""),"BAIK")</f>
        <v>BAIK</v>
      </c>
      <c r="V242" s="4" t="str">
        <f>IFERROR(__xludf.DUMMYFUNCTION("""COMPUTED_VALUE"""),"Tidak Ada")</f>
        <v>Tidak Ada</v>
      </c>
      <c r="W242" s="4"/>
      <c r="X242" s="4"/>
      <c r="Y242" s="4"/>
      <c r="Z242" s="4"/>
      <c r="AA242" s="4"/>
      <c r="AB242" s="4"/>
      <c r="AC242" s="4" t="str">
        <f>IFERROR(__xludf.DUMMYFUNCTION("""COMPUTED_VALUE"""),"INSPEKSI SUTM - T2_Images/3fdd62c5.FOTO.152939.jpg")</f>
        <v>INSPEKSI SUTM - T2_Images/3fdd62c5.FOTO.152939.jpg</v>
      </c>
      <c r="AD242" s="4"/>
      <c r="AE242" s="4"/>
      <c r="AF242" s="4" t="str">
        <f>IFERROR(__xludf.DUMMYFUNCTION("""COMPUTED_VALUE"""),"BELUM")</f>
        <v>BELUM</v>
      </c>
      <c r="AG242" s="6">
        <f>IFERROR(__xludf.DUMMYFUNCTION("""COMPUTED_VALUE"""),46058.0)</f>
        <v>46058</v>
      </c>
      <c r="AH242" s="4"/>
      <c r="AI242" s="4"/>
    </row>
    <row r="243" ht="15.75" customHeight="1">
      <c r="A243" s="4" t="str">
        <f>IFERROR(__xludf.DUMMYFUNCTION("""COMPUTED_VALUE"""),"f3600a17")</f>
        <v>f3600a17</v>
      </c>
      <c r="B243" s="5">
        <f>IFERROR(__xludf.DUMMYFUNCTION("""COMPUTED_VALUE"""),46058.9374537037)</f>
        <v>46058.93745</v>
      </c>
      <c r="C243" s="4" t="str">
        <f>IFERROR(__xludf.DUMMYFUNCTION("""COMPUTED_VALUE"""),"-6.931891, 107.730380")</f>
        <v>-6.931891, 107.730380</v>
      </c>
      <c r="D243" s="4" t="str">
        <f>IFERROR(__xludf.DUMMYFUNCTION("""COMPUTED_VALUE"""),"Heri chandra")</f>
        <v>Heri chandra</v>
      </c>
      <c r="E243" s="4" t="str">
        <f>IFERROR(__xludf.DUMMYFUNCTION("""COMPUTED_VALUE"""),"BANDUNG")</f>
        <v>BANDUNG</v>
      </c>
      <c r="F243" s="4" t="str">
        <f>IFERROR(__xludf.DUMMYFUNCTION("""COMPUTED_VALUE"""),"UJUNGBERUNG")</f>
        <v>UJUNGBERUNG</v>
      </c>
      <c r="G243" s="4" t="str">
        <f>IFERROR(__xludf.DUMMYFUNCTION("""COMPUTED_VALUE"""),"UJUNGBERUNG")</f>
        <v>UJUNGBERUNG</v>
      </c>
      <c r="H243" s="4" t="str">
        <f>IFERROR(__xludf.DUMMYFUNCTION("""COMPUTED_VALUE"""),"CPDU")</f>
        <v>CPDU</v>
      </c>
      <c r="I243" s="4" t="str">
        <f>IFERROR(__xludf.DUMMYFUNCTION("""COMPUTED_VALUE"""),"GI UBRNG - REC.CBUA")</f>
        <v>GI UBRNG - REC.CBUA</v>
      </c>
      <c r="J243" s="4" t="str">
        <f>IFERROR(__xludf.DUMMYFUNCTION("""COMPUTED_VALUE"""),"ZONA 1")</f>
        <v>ZONA 1</v>
      </c>
      <c r="K243" s="4" t="str">
        <f>IFERROR(__xludf.DUMMYFUNCTION("""COMPUTED_VALUE"""),"013R09")</f>
        <v>013R09</v>
      </c>
      <c r="L243" s="4" t="str">
        <f>IFERROR(__xludf.DUMMYFUNCTION("""COMPUTED_VALUE"""),"TM - 11B/H (Kabel Naik)")</f>
        <v>TM - 11B/H (Kabel Naik)</v>
      </c>
      <c r="M243" s="4" t="str">
        <f>IFERROR(__xludf.DUMMYFUNCTION("""COMPUTED_VALUE"""),"Tidak Ada")</f>
        <v>Tidak Ada</v>
      </c>
      <c r="N243" s="4"/>
      <c r="O243" s="4" t="str">
        <f>IFERROR(__xludf.DUMMYFUNCTION("""COMPUTED_VALUE"""),"PEMBANDING SEJENIS")</f>
        <v>PEMBANDING SEJENIS</v>
      </c>
      <c r="P243" s="4" t="str">
        <f>IFERROR(__xludf.DUMMYFUNCTION("""COMPUTED_VALUE"""),"TERMINASI")</f>
        <v>TERMINASI</v>
      </c>
      <c r="Q243" s="4">
        <f>IFERROR(__xludf.DUMMYFUNCTION("""COMPUTED_VALUE"""),18.2)</f>
        <v>18.2</v>
      </c>
      <c r="R243" s="4">
        <f>IFERROR(__xludf.DUMMYFUNCTION("""COMPUTED_VALUE"""),22.7)</f>
        <v>22.7</v>
      </c>
      <c r="S243" s="4">
        <f>IFERROR(__xludf.DUMMYFUNCTION("""COMPUTED_VALUE"""),22.2)</f>
        <v>22.2</v>
      </c>
      <c r="T243" s="4"/>
      <c r="U243" s="4" t="str">
        <f>IFERROR(__xludf.DUMMYFUNCTION("""COMPUTED_VALUE"""),"CUKUP")</f>
        <v>CUKUP</v>
      </c>
      <c r="V243" s="4" t="str">
        <f>IFERROR(__xludf.DUMMYFUNCTION("""COMPUTED_VALUE"""),"Tidak Ada")</f>
        <v>Tidak Ada</v>
      </c>
      <c r="W243" s="4"/>
      <c r="X243" s="4"/>
      <c r="Y243" s="4"/>
      <c r="Z243" s="4"/>
      <c r="AA243" s="4"/>
      <c r="AB243" s="4"/>
      <c r="AC243" s="4" t="str">
        <f>IFERROR(__xludf.DUMMYFUNCTION("""COMPUTED_VALUE"""),"INSPEKSI SUTM - T2_Images/f3600a17.FOTO.153048.jpg")</f>
        <v>INSPEKSI SUTM - T2_Images/f3600a17.FOTO.153048.jpg</v>
      </c>
      <c r="AD243" s="4"/>
      <c r="AE243" s="4"/>
      <c r="AF243" s="4" t="str">
        <f>IFERROR(__xludf.DUMMYFUNCTION("""COMPUTED_VALUE"""),"BELUM")</f>
        <v>BELUM</v>
      </c>
      <c r="AG243" s="6">
        <f>IFERROR(__xludf.DUMMYFUNCTION("""COMPUTED_VALUE"""),46058.0)</f>
        <v>46058</v>
      </c>
      <c r="AH243" s="4"/>
      <c r="AI243" s="4"/>
    </row>
    <row r="244" ht="15.75" customHeight="1">
      <c r="A244" s="4" t="str">
        <f>IFERROR(__xludf.DUMMYFUNCTION("""COMPUTED_VALUE"""),"729ec520")</f>
        <v>729ec520</v>
      </c>
      <c r="B244" s="5">
        <f>IFERROR(__xludf.DUMMYFUNCTION("""COMPUTED_VALUE"""),46058.93819444445)</f>
        <v>46058.93819</v>
      </c>
      <c r="C244" s="4" t="str">
        <f>IFERROR(__xludf.DUMMYFUNCTION("""COMPUTED_VALUE"""),"-6.931895, 107.730384")</f>
        <v>-6.931895, 107.730384</v>
      </c>
      <c r="D244" s="4" t="str">
        <f>IFERROR(__xludf.DUMMYFUNCTION("""COMPUTED_VALUE"""),"Herichandta")</f>
        <v>Herichandta</v>
      </c>
      <c r="E244" s="4" t="str">
        <f>IFERROR(__xludf.DUMMYFUNCTION("""COMPUTED_VALUE"""),"BANDUNG")</f>
        <v>BANDUNG</v>
      </c>
      <c r="F244" s="4" t="str">
        <f>IFERROR(__xludf.DUMMYFUNCTION("""COMPUTED_VALUE"""),"UJUNGBERUNG")</f>
        <v>UJUNGBERUNG</v>
      </c>
      <c r="G244" s="4" t="str">
        <f>IFERROR(__xludf.DUMMYFUNCTION("""COMPUTED_VALUE"""),"UJUNGBERUNG")</f>
        <v>UJUNGBERUNG</v>
      </c>
      <c r="H244" s="4" t="str">
        <f>IFERROR(__xludf.DUMMYFUNCTION("""COMPUTED_VALUE"""),"CPDU")</f>
        <v>CPDU</v>
      </c>
      <c r="I244" s="4" t="str">
        <f>IFERROR(__xludf.DUMMYFUNCTION("""COMPUTED_VALUE"""),"GI UBRNG - REC.CBUA")</f>
        <v>GI UBRNG - REC.CBUA</v>
      </c>
      <c r="J244" s="4" t="str">
        <f>IFERROR(__xludf.DUMMYFUNCTION("""COMPUTED_VALUE"""),"ZONA 1")</f>
        <v>ZONA 1</v>
      </c>
      <c r="K244" s="4" t="str">
        <f>IFERROR(__xludf.DUMMYFUNCTION("""COMPUTED_VALUE"""),"013R010")</f>
        <v>013R010</v>
      </c>
      <c r="L244" s="4" t="str">
        <f>IFERROR(__xludf.DUMMYFUNCTION("""COMPUTED_VALUE"""),"TM - 11B/H (Kabel Naik)")</f>
        <v>TM - 11B/H (Kabel Naik)</v>
      </c>
      <c r="M244" s="4" t="str">
        <f>IFERROR(__xludf.DUMMYFUNCTION("""COMPUTED_VALUE"""),"Tidak Ada")</f>
        <v>Tidak Ada</v>
      </c>
      <c r="N244" s="4"/>
      <c r="O244" s="4" t="str">
        <f>IFERROR(__xludf.DUMMYFUNCTION("""COMPUTED_VALUE"""),"PEMBANDING SEJENIS")</f>
        <v>PEMBANDING SEJENIS</v>
      </c>
      <c r="P244" s="4" t="str">
        <f>IFERROR(__xludf.DUMMYFUNCTION("""COMPUTED_VALUE"""),"TERMINASI")</f>
        <v>TERMINASI</v>
      </c>
      <c r="Q244" s="4">
        <f>IFERROR(__xludf.DUMMYFUNCTION("""COMPUTED_VALUE"""),20.7)</f>
        <v>20.7</v>
      </c>
      <c r="R244" s="4">
        <f>IFERROR(__xludf.DUMMYFUNCTION("""COMPUTED_VALUE"""),21.0)</f>
        <v>21</v>
      </c>
      <c r="S244" s="4">
        <f>IFERROR(__xludf.DUMMYFUNCTION("""COMPUTED_VALUE"""),20.1)</f>
        <v>20.1</v>
      </c>
      <c r="T244" s="4"/>
      <c r="U244" s="4" t="str">
        <f>IFERROR(__xludf.DUMMYFUNCTION("""COMPUTED_VALUE"""),"BAIK")</f>
        <v>BAIK</v>
      </c>
      <c r="V244" s="4" t="str">
        <f>IFERROR(__xludf.DUMMYFUNCTION("""COMPUTED_VALUE"""),"Tidak Ada")</f>
        <v>Tidak Ada</v>
      </c>
      <c r="W244" s="4"/>
      <c r="X244" s="4"/>
      <c r="Y244" s="4"/>
      <c r="Z244" s="4"/>
      <c r="AA244" s="4"/>
      <c r="AB244" s="4"/>
      <c r="AC244" s="4" t="str">
        <f>IFERROR(__xludf.DUMMYFUNCTION("""COMPUTED_VALUE"""),"INSPEKSI SUTM - T2_Images/729ec520.FOTO.153145.jpg")</f>
        <v>INSPEKSI SUTM - T2_Images/729ec520.FOTO.153145.jpg</v>
      </c>
      <c r="AD244" s="4"/>
      <c r="AE244" s="4"/>
      <c r="AF244" s="4" t="str">
        <f>IFERROR(__xludf.DUMMYFUNCTION("""COMPUTED_VALUE"""),"BELUM")</f>
        <v>BELUM</v>
      </c>
      <c r="AG244" s="6">
        <f>IFERROR(__xludf.DUMMYFUNCTION("""COMPUTED_VALUE"""),46058.0)</f>
        <v>46058</v>
      </c>
      <c r="AH244" s="4"/>
      <c r="AI244" s="4"/>
    </row>
    <row r="245" ht="15.75" customHeight="1">
      <c r="A245" s="4" t="str">
        <f>IFERROR(__xludf.DUMMYFUNCTION("""COMPUTED_VALUE"""),"99eabcb2")</f>
        <v>99eabcb2</v>
      </c>
      <c r="B245" s="5">
        <f>IFERROR(__xludf.DUMMYFUNCTION("""COMPUTED_VALUE"""),46058.93881944445)</f>
        <v>46058.93882</v>
      </c>
      <c r="C245" s="4" t="str">
        <f>IFERROR(__xludf.DUMMYFUNCTION("""COMPUTED_VALUE"""),"-6.932018, 107.730622")</f>
        <v>-6.932018, 107.730622</v>
      </c>
      <c r="D245" s="4" t="str">
        <f>IFERROR(__xludf.DUMMYFUNCTION("""COMPUTED_VALUE"""),"Herichandta")</f>
        <v>Herichandta</v>
      </c>
      <c r="E245" s="4" t="str">
        <f>IFERROR(__xludf.DUMMYFUNCTION("""COMPUTED_VALUE"""),"BANDUNG")</f>
        <v>BANDUNG</v>
      </c>
      <c r="F245" s="4" t="str">
        <f>IFERROR(__xludf.DUMMYFUNCTION("""COMPUTED_VALUE"""),"UJUNGBERUNG")</f>
        <v>UJUNGBERUNG</v>
      </c>
      <c r="G245" s="4" t="str">
        <f>IFERROR(__xludf.DUMMYFUNCTION("""COMPUTED_VALUE"""),"UJUNGBERUNG")</f>
        <v>UJUNGBERUNG</v>
      </c>
      <c r="H245" s="4" t="str">
        <f>IFERROR(__xludf.DUMMYFUNCTION("""COMPUTED_VALUE"""),"CPDU")</f>
        <v>CPDU</v>
      </c>
      <c r="I245" s="4" t="str">
        <f>IFERROR(__xludf.DUMMYFUNCTION("""COMPUTED_VALUE"""),"GI UBRNG - REC.CBUA")</f>
        <v>GI UBRNG - REC.CBUA</v>
      </c>
      <c r="J245" s="4" t="str">
        <f>IFERROR(__xludf.DUMMYFUNCTION("""COMPUTED_VALUE"""),"ZONA 1")</f>
        <v>ZONA 1</v>
      </c>
      <c r="K245" s="4" t="str">
        <f>IFERROR(__xludf.DUMMYFUNCTION("""COMPUTED_VALUE"""),"013R012")</f>
        <v>013R012</v>
      </c>
      <c r="L245" s="4" t="str">
        <f>IFERROR(__xludf.DUMMYFUNCTION("""COMPUTED_VALUE"""),"TM - 7B/H (Afspan 90 Derajat)")</f>
        <v>TM - 7B/H (Afspan 90 Derajat)</v>
      </c>
      <c r="M245" s="4" t="str">
        <f>IFERROR(__xludf.DUMMYFUNCTION("""COMPUTED_VALUE"""),"Tidak Ada")</f>
        <v>Tidak Ada</v>
      </c>
      <c r="N245" s="4"/>
      <c r="O245" s="4" t="str">
        <f>IFERROR(__xludf.DUMMYFUNCTION("""COMPUTED_VALUE"""),"PEMBANDING SEJENIS")</f>
        <v>PEMBANDING SEJENIS</v>
      </c>
      <c r="P245" s="4" t="str">
        <f>IFERROR(__xludf.DUMMYFUNCTION("""COMPUTED_VALUE"""),"KONEKTOR/JUMPER")</f>
        <v>KONEKTOR/JUMPER</v>
      </c>
      <c r="Q245" s="4">
        <f>IFERROR(__xludf.DUMMYFUNCTION("""COMPUTED_VALUE"""),19.2)</f>
        <v>19.2</v>
      </c>
      <c r="R245" s="4">
        <f>IFERROR(__xludf.DUMMYFUNCTION("""COMPUTED_VALUE"""),19.3)</f>
        <v>19.3</v>
      </c>
      <c r="S245" s="4">
        <f>IFERROR(__xludf.DUMMYFUNCTION("""COMPUTED_VALUE"""),19.3)</f>
        <v>19.3</v>
      </c>
      <c r="T245" s="4"/>
      <c r="U245" s="4" t="str">
        <f>IFERROR(__xludf.DUMMYFUNCTION("""COMPUTED_VALUE"""),"BAIK")</f>
        <v>BAIK</v>
      </c>
      <c r="V245" s="4" t="str">
        <f>IFERROR(__xludf.DUMMYFUNCTION("""COMPUTED_VALUE"""),"Tidak Ada")</f>
        <v>Tidak Ada</v>
      </c>
      <c r="W245" s="4"/>
      <c r="X245" s="4"/>
      <c r="Y245" s="4"/>
      <c r="Z245" s="4"/>
      <c r="AA245" s="4"/>
      <c r="AB245" s="4"/>
      <c r="AC245" s="4" t="str">
        <f>IFERROR(__xludf.DUMMYFUNCTION("""COMPUTED_VALUE"""),"INSPEKSI SUTM - T2_Images/99eabcb2.FOTO.153233.jpg")</f>
        <v>INSPEKSI SUTM - T2_Images/99eabcb2.FOTO.153233.jpg</v>
      </c>
      <c r="AD245" s="4"/>
      <c r="AE245" s="4"/>
      <c r="AF245" s="4" t="str">
        <f>IFERROR(__xludf.DUMMYFUNCTION("""COMPUTED_VALUE"""),"BELUM")</f>
        <v>BELUM</v>
      </c>
      <c r="AG245" s="6">
        <f>IFERROR(__xludf.DUMMYFUNCTION("""COMPUTED_VALUE"""),46058.0)</f>
        <v>46058</v>
      </c>
      <c r="AH245" s="4"/>
      <c r="AI245" s="4"/>
    </row>
    <row r="246" ht="15.75" customHeight="1">
      <c r="A246" s="4" t="str">
        <f>IFERROR(__xludf.DUMMYFUNCTION("""COMPUTED_VALUE"""),"356c46b3")</f>
        <v>356c46b3</v>
      </c>
      <c r="B246" s="5">
        <f>IFERROR(__xludf.DUMMYFUNCTION("""COMPUTED_VALUE"""),46058.939467592594)</f>
        <v>46058.93947</v>
      </c>
      <c r="C246" s="4" t="str">
        <f>IFERROR(__xludf.DUMMYFUNCTION("""COMPUTED_VALUE"""),"-6.931125, 107.731644")</f>
        <v>-6.931125, 107.731644</v>
      </c>
      <c r="D246" s="4" t="str">
        <f>IFERROR(__xludf.DUMMYFUNCTION("""COMPUTED_VALUE"""),"Heri chandta")</f>
        <v>Heri chandta</v>
      </c>
      <c r="E246" s="4" t="str">
        <f>IFERROR(__xludf.DUMMYFUNCTION("""COMPUTED_VALUE"""),"BANDUNG")</f>
        <v>BANDUNG</v>
      </c>
      <c r="F246" s="4" t="str">
        <f>IFERROR(__xludf.DUMMYFUNCTION("""COMPUTED_VALUE"""),"UJUNGBERUNG")</f>
        <v>UJUNGBERUNG</v>
      </c>
      <c r="G246" s="4" t="str">
        <f>IFERROR(__xludf.DUMMYFUNCTION("""COMPUTED_VALUE"""),"UJUNGBERUNG")</f>
        <v>UJUNGBERUNG</v>
      </c>
      <c r="H246" s="4" t="str">
        <f>IFERROR(__xludf.DUMMYFUNCTION("""COMPUTED_VALUE"""),"CPDU")</f>
        <v>CPDU</v>
      </c>
      <c r="I246" s="4" t="str">
        <f>IFERROR(__xludf.DUMMYFUNCTION("""COMPUTED_VALUE"""),"GI UBRNG - REC.CBUA")</f>
        <v>GI UBRNG - REC.CBUA</v>
      </c>
      <c r="J246" s="4" t="str">
        <f>IFERROR(__xludf.DUMMYFUNCTION("""COMPUTED_VALUE"""),"ZONA 1")</f>
        <v>ZONA 1</v>
      </c>
      <c r="K246" s="4" t="str">
        <f>IFERROR(__xludf.DUMMYFUNCTION("""COMPUTED_VALUE"""),"013R016")</f>
        <v>013R016</v>
      </c>
      <c r="L246" s="4" t="str">
        <f>IFERROR(__xludf.DUMMYFUNCTION("""COMPUTED_VALUE"""),"TM - 14B/H (Akhir)")</f>
        <v>TM - 14B/H (Akhir)</v>
      </c>
      <c r="M246" s="4" t="str">
        <f>IFERROR(__xludf.DUMMYFUNCTION("""COMPUTED_VALUE"""),"Tidak Ada")</f>
        <v>Tidak Ada</v>
      </c>
      <c r="N246" s="4"/>
      <c r="O246" s="4" t="str">
        <f>IFERROR(__xludf.DUMMYFUNCTION("""COMPUTED_VALUE"""),"PEMBANDING SEJENIS")</f>
        <v>PEMBANDING SEJENIS</v>
      </c>
      <c r="P246" s="4" t="str">
        <f>IFERROR(__xludf.DUMMYFUNCTION("""COMPUTED_VALUE"""),"TERMINASI")</f>
        <v>TERMINASI</v>
      </c>
      <c r="Q246" s="4">
        <f>IFERROR(__xludf.DUMMYFUNCTION("""COMPUTED_VALUE"""),19.9)</f>
        <v>19.9</v>
      </c>
      <c r="R246" s="4">
        <f>IFERROR(__xludf.DUMMYFUNCTION("""COMPUTED_VALUE"""),19.7)</f>
        <v>19.7</v>
      </c>
      <c r="S246" s="4">
        <f>IFERROR(__xludf.DUMMYFUNCTION("""COMPUTED_VALUE"""),19.3)</f>
        <v>19.3</v>
      </c>
      <c r="T246" s="4"/>
      <c r="U246" s="4" t="str">
        <f>IFERROR(__xludf.DUMMYFUNCTION("""COMPUTED_VALUE"""),"BAIK")</f>
        <v>BAIK</v>
      </c>
      <c r="V246" s="4" t="str">
        <f>IFERROR(__xludf.DUMMYFUNCTION("""COMPUTED_VALUE"""),"Tidak Ada")</f>
        <v>Tidak Ada</v>
      </c>
      <c r="W246" s="4"/>
      <c r="X246" s="4"/>
      <c r="Y246" s="4"/>
      <c r="Z246" s="4"/>
      <c r="AA246" s="4"/>
      <c r="AB246" s="4"/>
      <c r="AC246" s="4" t="str">
        <f>IFERROR(__xludf.DUMMYFUNCTION("""COMPUTED_VALUE"""),"INSPEKSI SUTM - T2_Images/356c46b3.FOTO.153336.jpg")</f>
        <v>INSPEKSI SUTM - T2_Images/356c46b3.FOTO.153336.jpg</v>
      </c>
      <c r="AD246" s="4"/>
      <c r="AE246" s="4"/>
      <c r="AF246" s="4" t="str">
        <f>IFERROR(__xludf.DUMMYFUNCTION("""COMPUTED_VALUE"""),"BELUM")</f>
        <v>BELUM</v>
      </c>
      <c r="AG246" s="6">
        <f>IFERROR(__xludf.DUMMYFUNCTION("""COMPUTED_VALUE"""),46058.0)</f>
        <v>46058</v>
      </c>
      <c r="AH246" s="4"/>
      <c r="AI246" s="4"/>
    </row>
    <row r="247" ht="15.75" customHeight="1">
      <c r="A247" s="4" t="str">
        <f>IFERROR(__xludf.DUMMYFUNCTION("""COMPUTED_VALUE"""),"6997b076")</f>
        <v>6997b076</v>
      </c>
      <c r="B247" s="5">
        <f>IFERROR(__xludf.DUMMYFUNCTION("""COMPUTED_VALUE"""),46058.94150462963)</f>
        <v>46058.9415</v>
      </c>
      <c r="C247" s="4" t="str">
        <f>IFERROR(__xludf.DUMMYFUNCTION("""COMPUTED_VALUE"""),"-6.933670, 107.727483")</f>
        <v>-6.933670, 107.727483</v>
      </c>
      <c r="D247" s="4" t="str">
        <f>IFERROR(__xludf.DUMMYFUNCTION("""COMPUTED_VALUE"""),"Heri xhandra")</f>
        <v>Heri xhandra</v>
      </c>
      <c r="E247" s="4" t="str">
        <f>IFERROR(__xludf.DUMMYFUNCTION("""COMPUTED_VALUE"""),"BANDUNG")</f>
        <v>BANDUNG</v>
      </c>
      <c r="F247" s="4" t="str">
        <f>IFERROR(__xludf.DUMMYFUNCTION("""COMPUTED_VALUE"""),"UJUNGBERUNG")</f>
        <v>UJUNGBERUNG</v>
      </c>
      <c r="G247" s="4" t="str">
        <f>IFERROR(__xludf.DUMMYFUNCTION("""COMPUTED_VALUE"""),"UJUNGBERUNG")</f>
        <v>UJUNGBERUNG</v>
      </c>
      <c r="H247" s="4" t="str">
        <f>IFERROR(__xludf.DUMMYFUNCTION("""COMPUTED_VALUE"""),"CPDU")</f>
        <v>CPDU</v>
      </c>
      <c r="I247" s="4" t="str">
        <f>IFERROR(__xludf.DUMMYFUNCTION("""COMPUTED_VALUE"""),"GI UBRNG - REC.CBUA")</f>
        <v>GI UBRNG - REC.CBUA</v>
      </c>
      <c r="J247" s="4" t="str">
        <f>IFERROR(__xludf.DUMMYFUNCTION("""COMPUTED_VALUE"""),"ZONA 1")</f>
        <v>ZONA 1</v>
      </c>
      <c r="K247" s="4" t="str">
        <f>IFERROR(__xludf.DUMMYFUNCTION("""COMPUTED_VALUE"""),"016")</f>
        <v>016</v>
      </c>
      <c r="L247" s="4" t="str">
        <f>IFERROR(__xludf.DUMMYFUNCTION("""COMPUTED_VALUE"""),"TM - 8B/H (Percabangan)")</f>
        <v>TM - 8B/H (Percabangan)</v>
      </c>
      <c r="M247" s="4" t="str">
        <f>IFERROR(__xludf.DUMMYFUNCTION("""COMPUTED_VALUE"""),"Tidak Ada")</f>
        <v>Tidak Ada</v>
      </c>
      <c r="N247" s="4"/>
      <c r="O247" s="4" t="str">
        <f>IFERROR(__xludf.DUMMYFUNCTION("""COMPUTED_VALUE"""),"PEMBANDING SEJENIS")</f>
        <v>PEMBANDING SEJENIS</v>
      </c>
      <c r="P247" s="4" t="str">
        <f>IFERROR(__xludf.DUMMYFUNCTION("""COMPUTED_VALUE"""),"KONEKTOR/JUMPER")</f>
        <v>KONEKTOR/JUMPER</v>
      </c>
      <c r="Q247" s="4">
        <f>IFERROR(__xludf.DUMMYFUNCTION("""COMPUTED_VALUE"""),21.6)</f>
        <v>21.6</v>
      </c>
      <c r="R247" s="4">
        <f>IFERROR(__xludf.DUMMYFUNCTION("""COMPUTED_VALUE"""),20.9)</f>
        <v>20.9</v>
      </c>
      <c r="S247" s="4">
        <f>IFERROR(__xludf.DUMMYFUNCTION("""COMPUTED_VALUE"""),22.6)</f>
        <v>22.6</v>
      </c>
      <c r="T247" s="4"/>
      <c r="U247" s="4" t="str">
        <f>IFERROR(__xludf.DUMMYFUNCTION("""COMPUTED_VALUE"""),"BAIK")</f>
        <v>BAIK</v>
      </c>
      <c r="V247" s="4" t="str">
        <f>IFERROR(__xludf.DUMMYFUNCTION("""COMPUTED_VALUE"""),"Tidak Ada")</f>
        <v>Tidak Ada</v>
      </c>
      <c r="W247" s="4"/>
      <c r="X247" s="4"/>
      <c r="Y247" s="4"/>
      <c r="Z247" s="4"/>
      <c r="AA247" s="4"/>
      <c r="AB247" s="4"/>
      <c r="AC247" s="4" t="str">
        <f>IFERROR(__xludf.DUMMYFUNCTION("""COMPUTED_VALUE"""),"INSPEKSI SUTM - T2_Images/6997b076.FOTO.153642.jpg")</f>
        <v>INSPEKSI SUTM - T2_Images/6997b076.FOTO.153642.jpg</v>
      </c>
      <c r="AD247" s="4"/>
      <c r="AE247" s="4"/>
      <c r="AF247" s="4" t="str">
        <f>IFERROR(__xludf.DUMMYFUNCTION("""COMPUTED_VALUE"""),"BELUM")</f>
        <v>BELUM</v>
      </c>
      <c r="AG247" s="6">
        <f>IFERROR(__xludf.DUMMYFUNCTION("""COMPUTED_VALUE"""),46058.0)</f>
        <v>46058</v>
      </c>
      <c r="AH247" s="4"/>
      <c r="AI247" s="4"/>
    </row>
    <row r="248" ht="15.75" customHeight="1">
      <c r="A248" s="4" t="str">
        <f>IFERROR(__xludf.DUMMYFUNCTION("""COMPUTED_VALUE"""),"321886ff")</f>
        <v>321886ff</v>
      </c>
      <c r="B248" s="5">
        <f>IFERROR(__xludf.DUMMYFUNCTION("""COMPUTED_VALUE"""),46058.942407407405)</f>
        <v>46058.94241</v>
      </c>
      <c r="C248" s="4" t="str">
        <f>IFERROR(__xludf.DUMMYFUNCTION("""COMPUTED_VALUE"""),"-6.934092, 107.727074")</f>
        <v>-6.934092, 107.727074</v>
      </c>
      <c r="D248" s="4" t="str">
        <f>IFERROR(__xludf.DUMMYFUNCTION("""COMPUTED_VALUE"""),"Heri chandta")</f>
        <v>Heri chandta</v>
      </c>
      <c r="E248" s="4" t="str">
        <f>IFERROR(__xludf.DUMMYFUNCTION("""COMPUTED_VALUE"""),"BANDUNG")</f>
        <v>BANDUNG</v>
      </c>
      <c r="F248" s="4" t="str">
        <f>IFERROR(__xludf.DUMMYFUNCTION("""COMPUTED_VALUE"""),"UJUNGBERUNG")</f>
        <v>UJUNGBERUNG</v>
      </c>
      <c r="G248" s="4" t="str">
        <f>IFERROR(__xludf.DUMMYFUNCTION("""COMPUTED_VALUE"""),"UJUNGBERUNG")</f>
        <v>UJUNGBERUNG</v>
      </c>
      <c r="H248" s="4" t="str">
        <f>IFERROR(__xludf.DUMMYFUNCTION("""COMPUTED_VALUE"""),"CPDU")</f>
        <v>CPDU</v>
      </c>
      <c r="I248" s="4" t="str">
        <f>IFERROR(__xludf.DUMMYFUNCTION("""COMPUTED_VALUE"""),"GI UBRNG - REC.CBUA")</f>
        <v>GI UBRNG - REC.CBUA</v>
      </c>
      <c r="J248" s="4" t="str">
        <f>IFERROR(__xludf.DUMMYFUNCTION("""COMPUTED_VALUE"""),"ZONA 1")</f>
        <v>ZONA 1</v>
      </c>
      <c r="K248" s="4" t="str">
        <f>IFERROR(__xludf.DUMMYFUNCTION("""COMPUTED_VALUE"""),"016L03")</f>
        <v>016L03</v>
      </c>
      <c r="L248" s="4" t="str">
        <f>IFERROR(__xludf.DUMMYFUNCTION("""COMPUTED_VALUE"""),"TM - 16B/H (REC/SSO/LBS)")</f>
        <v>TM - 16B/H (REC/SSO/LBS)</v>
      </c>
      <c r="M248" s="4" t="str">
        <f>IFERROR(__xludf.DUMMYFUNCTION("""COMPUTED_VALUE"""),"LBS")</f>
        <v>LBS</v>
      </c>
      <c r="N248" s="4" t="str">
        <f>IFERROR(__xludf.DUMMYFUNCTION("""COMPUTED_VALUE"""),"Cnn")</f>
        <v>Cnn</v>
      </c>
      <c r="O248" s="4" t="str">
        <f>IFERROR(__xludf.DUMMYFUNCTION("""COMPUTED_VALUE"""),"PEMBANDING SEJENIS")</f>
        <v>PEMBANDING SEJENIS</v>
      </c>
      <c r="P248" s="4" t="str">
        <f>IFERROR(__xludf.DUMMYFUNCTION("""COMPUTED_VALUE"""),"KONEKTOR/JUMPER")</f>
        <v>KONEKTOR/JUMPER</v>
      </c>
      <c r="Q248" s="4">
        <f>IFERROR(__xludf.DUMMYFUNCTION("""COMPUTED_VALUE"""),18.6)</f>
        <v>18.6</v>
      </c>
      <c r="R248" s="4">
        <f>IFERROR(__xludf.DUMMYFUNCTION("""COMPUTED_VALUE"""),18.2)</f>
        <v>18.2</v>
      </c>
      <c r="S248" s="4">
        <f>IFERROR(__xludf.DUMMYFUNCTION("""COMPUTED_VALUE"""),18.1)</f>
        <v>18.1</v>
      </c>
      <c r="T248" s="4"/>
      <c r="U248" s="4" t="str">
        <f>IFERROR(__xludf.DUMMYFUNCTION("""COMPUTED_VALUE"""),"BAIK")</f>
        <v>BAIK</v>
      </c>
      <c r="V248" s="4" t="str">
        <f>IFERROR(__xludf.DUMMYFUNCTION("""COMPUTED_VALUE"""),"Tidak Ada")</f>
        <v>Tidak Ada</v>
      </c>
      <c r="W248" s="4"/>
      <c r="X248" s="4"/>
      <c r="Y248" s="4"/>
      <c r="Z248" s="4"/>
      <c r="AA248" s="4"/>
      <c r="AB248" s="4"/>
      <c r="AC248" s="4" t="str">
        <f>IFERROR(__xludf.DUMMYFUNCTION("""COMPUTED_VALUE"""),"INSPEKSI SUTM - T2_Images/321886ff.FOTO.153803.jpg")</f>
        <v>INSPEKSI SUTM - T2_Images/321886ff.FOTO.153803.jpg</v>
      </c>
      <c r="AD248" s="4"/>
      <c r="AE248" s="4"/>
      <c r="AF248" s="4" t="str">
        <f>IFERROR(__xludf.DUMMYFUNCTION("""COMPUTED_VALUE"""),"BELUM")</f>
        <v>BELUM</v>
      </c>
      <c r="AG248" s="6">
        <f>IFERROR(__xludf.DUMMYFUNCTION("""COMPUTED_VALUE"""),46058.0)</f>
        <v>46058</v>
      </c>
      <c r="AH248" s="4"/>
      <c r="AI248" s="4"/>
    </row>
    <row r="249" ht="15.75" customHeight="1">
      <c r="A249" s="4" t="str">
        <f>IFERROR(__xludf.DUMMYFUNCTION("""COMPUTED_VALUE"""),"006fa16d")</f>
        <v>006fa16d</v>
      </c>
      <c r="B249" s="5">
        <f>IFERROR(__xludf.DUMMYFUNCTION("""COMPUTED_VALUE"""),46058.943194444444)</f>
        <v>46058.94319</v>
      </c>
      <c r="C249" s="4" t="str">
        <f>IFERROR(__xludf.DUMMYFUNCTION("""COMPUTED_VALUE"""),"-6.933005, 107.726251")</f>
        <v>-6.933005, 107.726251</v>
      </c>
      <c r="D249" s="4" t="str">
        <f>IFERROR(__xludf.DUMMYFUNCTION("""COMPUTED_VALUE"""),"Herichandra")</f>
        <v>Herichandra</v>
      </c>
      <c r="E249" s="4" t="str">
        <f>IFERROR(__xludf.DUMMYFUNCTION("""COMPUTED_VALUE"""),"BANDUNG")</f>
        <v>BANDUNG</v>
      </c>
      <c r="F249" s="4" t="str">
        <f>IFERROR(__xludf.DUMMYFUNCTION("""COMPUTED_VALUE"""),"UJUNGBERUNG")</f>
        <v>UJUNGBERUNG</v>
      </c>
      <c r="G249" s="4" t="str">
        <f>IFERROR(__xludf.DUMMYFUNCTION("""COMPUTED_VALUE"""),"UJUNGBERUNG")</f>
        <v>UJUNGBERUNG</v>
      </c>
      <c r="H249" s="4" t="str">
        <f>IFERROR(__xludf.DUMMYFUNCTION("""COMPUTED_VALUE"""),"CPDU")</f>
        <v>CPDU</v>
      </c>
      <c r="I249" s="4" t="str">
        <f>IFERROR(__xludf.DUMMYFUNCTION("""COMPUTED_VALUE"""),"GI UBRNG - REC.CBUA")</f>
        <v>GI UBRNG - REC.CBUA</v>
      </c>
      <c r="J249" s="4" t="str">
        <f>IFERROR(__xludf.DUMMYFUNCTION("""COMPUTED_VALUE"""),"ZONA 1")</f>
        <v>ZONA 1</v>
      </c>
      <c r="K249" s="4" t="str">
        <f>IFERROR(__xludf.DUMMYFUNCTION("""COMPUTED_VALUE"""),"019")</f>
        <v>019</v>
      </c>
      <c r="L249" s="4" t="str">
        <f>IFERROR(__xludf.DUMMYFUNCTION("""COMPUTED_VALUE"""),"TM - 8B/H (Percabangan)")</f>
        <v>TM - 8B/H (Percabangan)</v>
      </c>
      <c r="M249" s="4" t="str">
        <f>IFERROR(__xludf.DUMMYFUNCTION("""COMPUTED_VALUE"""),"Tidak Ada")</f>
        <v>Tidak Ada</v>
      </c>
      <c r="N249" s="4"/>
      <c r="O249" s="4" t="str">
        <f>IFERROR(__xludf.DUMMYFUNCTION("""COMPUTED_VALUE"""),"PEMBANDING SEJENIS")</f>
        <v>PEMBANDING SEJENIS</v>
      </c>
      <c r="P249" s="4" t="str">
        <f>IFERROR(__xludf.DUMMYFUNCTION("""COMPUTED_VALUE"""),"KONEKTOR/JUMPER")</f>
        <v>KONEKTOR/JUMPER</v>
      </c>
      <c r="Q249" s="4">
        <f>IFERROR(__xludf.DUMMYFUNCTION("""COMPUTED_VALUE"""),20.8)</f>
        <v>20.8</v>
      </c>
      <c r="R249" s="4">
        <f>IFERROR(__xludf.DUMMYFUNCTION("""COMPUTED_VALUE"""),21.3)</f>
        <v>21.3</v>
      </c>
      <c r="S249" s="4">
        <f>IFERROR(__xludf.DUMMYFUNCTION("""COMPUTED_VALUE"""),20.7)</f>
        <v>20.7</v>
      </c>
      <c r="T249" s="4"/>
      <c r="U249" s="4" t="str">
        <f>IFERROR(__xludf.DUMMYFUNCTION("""COMPUTED_VALUE"""),"BAIK")</f>
        <v>BAIK</v>
      </c>
      <c r="V249" s="4" t="str">
        <f>IFERROR(__xludf.DUMMYFUNCTION("""COMPUTED_VALUE"""),"Tidak Ada")</f>
        <v>Tidak Ada</v>
      </c>
      <c r="W249" s="4"/>
      <c r="X249" s="4"/>
      <c r="Y249" s="4"/>
      <c r="Z249" s="4"/>
      <c r="AA249" s="4"/>
      <c r="AB249" s="4"/>
      <c r="AC249" s="4" t="str">
        <f>IFERROR(__xludf.DUMMYFUNCTION("""COMPUTED_VALUE"""),"INSPEKSI SUTM - T2_Images/006fa16d.FOTO.153915.jpg")</f>
        <v>INSPEKSI SUTM - T2_Images/006fa16d.FOTO.153915.jpg</v>
      </c>
      <c r="AD249" s="4"/>
      <c r="AE249" s="4"/>
      <c r="AF249" s="4" t="str">
        <f>IFERROR(__xludf.DUMMYFUNCTION("""COMPUTED_VALUE"""),"BELUM")</f>
        <v>BELUM</v>
      </c>
      <c r="AG249" s="6">
        <f>IFERROR(__xludf.DUMMYFUNCTION("""COMPUTED_VALUE"""),46058.0)</f>
        <v>46058</v>
      </c>
      <c r="AH249" s="4"/>
      <c r="AI249" s="4"/>
    </row>
    <row r="250" ht="15.75" customHeight="1">
      <c r="A250" s="4" t="str">
        <f>IFERROR(__xludf.DUMMYFUNCTION("""COMPUTED_VALUE"""),"ae0a1900")</f>
        <v>ae0a1900</v>
      </c>
      <c r="B250" s="5">
        <f>IFERROR(__xludf.DUMMYFUNCTION("""COMPUTED_VALUE"""),46058.944016203706)</f>
        <v>46058.94402</v>
      </c>
      <c r="C250" s="4" t="str">
        <f>IFERROR(__xludf.DUMMYFUNCTION("""COMPUTED_VALUE"""),"-6.933015, 107.726261")</f>
        <v>-6.933015, 107.726261</v>
      </c>
      <c r="D250" s="4" t="str">
        <f>IFERROR(__xludf.DUMMYFUNCTION("""COMPUTED_VALUE"""),"Heri chandra")</f>
        <v>Heri chandra</v>
      </c>
      <c r="E250" s="4" t="str">
        <f>IFERROR(__xludf.DUMMYFUNCTION("""COMPUTED_VALUE"""),"BANDUNG")</f>
        <v>BANDUNG</v>
      </c>
      <c r="F250" s="4" t="str">
        <f>IFERROR(__xludf.DUMMYFUNCTION("""COMPUTED_VALUE"""),"UJUNGBERUNG")</f>
        <v>UJUNGBERUNG</v>
      </c>
      <c r="G250" s="4" t="str">
        <f>IFERROR(__xludf.DUMMYFUNCTION("""COMPUTED_VALUE"""),"UJUNGBERUNG")</f>
        <v>UJUNGBERUNG</v>
      </c>
      <c r="H250" s="4" t="str">
        <f>IFERROR(__xludf.DUMMYFUNCTION("""COMPUTED_VALUE"""),"CPDU")</f>
        <v>CPDU</v>
      </c>
      <c r="I250" s="4" t="str">
        <f>IFERROR(__xludf.DUMMYFUNCTION("""COMPUTED_VALUE"""),"GI UBRNG - REC.CBUA")</f>
        <v>GI UBRNG - REC.CBUA</v>
      </c>
      <c r="J250" s="4" t="str">
        <f>IFERROR(__xludf.DUMMYFUNCTION("""COMPUTED_VALUE"""),"ZONA 1")</f>
        <v>ZONA 1</v>
      </c>
      <c r="K250" s="4" t="str">
        <f>IFERROR(__xludf.DUMMYFUNCTION("""COMPUTED_VALUE"""),"019R02")</f>
        <v>019R02</v>
      </c>
      <c r="L250" s="4" t="str">
        <f>IFERROR(__xludf.DUMMYFUNCTION("""COMPUTED_VALUE"""),"TM - 4B/H (Afspan)")</f>
        <v>TM - 4B/H (Afspan)</v>
      </c>
      <c r="M250" s="4" t="str">
        <f>IFERROR(__xludf.DUMMYFUNCTION("""COMPUTED_VALUE"""),"Tidak Ada")</f>
        <v>Tidak Ada</v>
      </c>
      <c r="N250" s="4"/>
      <c r="O250" s="4" t="str">
        <f>IFERROR(__xludf.DUMMYFUNCTION("""COMPUTED_VALUE"""),"PEMBANDING SEJENIS")</f>
        <v>PEMBANDING SEJENIS</v>
      </c>
      <c r="P250" s="4" t="str">
        <f>IFERROR(__xludf.DUMMYFUNCTION("""COMPUTED_VALUE"""),"ARRESTER")</f>
        <v>ARRESTER</v>
      </c>
      <c r="Q250" s="4">
        <f>IFERROR(__xludf.DUMMYFUNCTION("""COMPUTED_VALUE"""),20.1)</f>
        <v>20.1</v>
      </c>
      <c r="R250" s="4">
        <f>IFERROR(__xludf.DUMMYFUNCTION("""COMPUTED_VALUE"""),20.9)</f>
        <v>20.9</v>
      </c>
      <c r="S250" s="4">
        <f>IFERROR(__xludf.DUMMYFUNCTION("""COMPUTED_VALUE"""),21.2)</f>
        <v>21.2</v>
      </c>
      <c r="T250" s="4"/>
      <c r="U250" s="4" t="str">
        <f>IFERROR(__xludf.DUMMYFUNCTION("""COMPUTED_VALUE"""),"BAIK")</f>
        <v>BAIK</v>
      </c>
      <c r="V250" s="4" t="str">
        <f>IFERROR(__xludf.DUMMYFUNCTION("""COMPUTED_VALUE"""),"Tidak Ada")</f>
        <v>Tidak Ada</v>
      </c>
      <c r="W250" s="4"/>
      <c r="X250" s="4"/>
      <c r="Y250" s="4"/>
      <c r="Z250" s="4"/>
      <c r="AA250" s="4"/>
      <c r="AB250" s="4"/>
      <c r="AC250" s="4" t="str">
        <f>IFERROR(__xludf.DUMMYFUNCTION("""COMPUTED_VALUE"""),"INSPEKSI SUTM - T2_Images/ae0a1900.FOTO.154014.jpg")</f>
        <v>INSPEKSI SUTM - T2_Images/ae0a1900.FOTO.154014.jpg</v>
      </c>
      <c r="AD250" s="4"/>
      <c r="AE250" s="4"/>
      <c r="AF250" s="4" t="str">
        <f>IFERROR(__xludf.DUMMYFUNCTION("""COMPUTED_VALUE"""),"BELUM")</f>
        <v>BELUM</v>
      </c>
      <c r="AG250" s="6">
        <f>IFERROR(__xludf.DUMMYFUNCTION("""COMPUTED_VALUE"""),46058.0)</f>
        <v>46058</v>
      </c>
      <c r="AH250" s="4"/>
      <c r="AI250" s="4"/>
    </row>
    <row r="251" ht="15.75" customHeight="1">
      <c r="A251" s="4" t="str">
        <f>IFERROR(__xludf.DUMMYFUNCTION("""COMPUTED_VALUE"""),"848e00ee")</f>
        <v>848e00ee</v>
      </c>
      <c r="B251" s="5">
        <f>IFERROR(__xludf.DUMMYFUNCTION("""COMPUTED_VALUE"""),46058.94479166667)</f>
        <v>46058.94479</v>
      </c>
      <c r="C251" s="4" t="str">
        <f>IFERROR(__xludf.DUMMYFUNCTION("""COMPUTED_VALUE"""),"-6.932977, 107.726003")</f>
        <v>-6.932977, 107.726003</v>
      </c>
      <c r="D251" s="4" t="str">
        <f>IFERROR(__xludf.DUMMYFUNCTION("""COMPUTED_VALUE"""),"Heri chandta")</f>
        <v>Heri chandta</v>
      </c>
      <c r="E251" s="4" t="str">
        <f>IFERROR(__xludf.DUMMYFUNCTION("""COMPUTED_VALUE"""),"BANDUNG")</f>
        <v>BANDUNG</v>
      </c>
      <c r="F251" s="4" t="str">
        <f>IFERROR(__xludf.DUMMYFUNCTION("""COMPUTED_VALUE"""),"UJUNGBERUNG")</f>
        <v>UJUNGBERUNG</v>
      </c>
      <c r="G251" s="4" t="str">
        <f>IFERROR(__xludf.DUMMYFUNCTION("""COMPUTED_VALUE"""),"UJUNGBERUNG")</f>
        <v>UJUNGBERUNG</v>
      </c>
      <c r="H251" s="4" t="str">
        <f>IFERROR(__xludf.DUMMYFUNCTION("""COMPUTED_VALUE"""),"CPDU")</f>
        <v>CPDU</v>
      </c>
      <c r="I251" s="4" t="str">
        <f>IFERROR(__xludf.DUMMYFUNCTION("""COMPUTED_VALUE"""),"GI UBRNG - REC.CBUA")</f>
        <v>GI UBRNG - REC.CBUA</v>
      </c>
      <c r="J251" s="4" t="str">
        <f>IFERROR(__xludf.DUMMYFUNCTION("""COMPUTED_VALUE"""),"ZONA 1")</f>
        <v>ZONA 1</v>
      </c>
      <c r="K251" s="4" t="str">
        <f>IFERROR(__xludf.DUMMYFUNCTION("""COMPUTED_VALUE"""),"020")</f>
        <v>020</v>
      </c>
      <c r="L251" s="4" t="str">
        <f>IFERROR(__xludf.DUMMYFUNCTION("""COMPUTED_VALUE"""),"TM - 4B/H (Afspan)")</f>
        <v>TM - 4B/H (Afspan)</v>
      </c>
      <c r="M251" s="4" t="str">
        <f>IFERROR(__xludf.DUMMYFUNCTION("""COMPUTED_VALUE"""),"Tidak Ada")</f>
        <v>Tidak Ada</v>
      </c>
      <c r="N251" s="4"/>
      <c r="O251" s="4" t="str">
        <f>IFERROR(__xludf.DUMMYFUNCTION("""COMPUTED_VALUE"""),"PEMBANDING SEJENIS")</f>
        <v>PEMBANDING SEJENIS</v>
      </c>
      <c r="P251" s="4" t="str">
        <f>IFERROR(__xludf.DUMMYFUNCTION("""COMPUTED_VALUE"""),"KONEKTOR/JUMPER")</f>
        <v>KONEKTOR/JUMPER</v>
      </c>
      <c r="Q251" s="4">
        <f>IFERROR(__xludf.DUMMYFUNCTION("""COMPUTED_VALUE"""),21.5)</f>
        <v>21.5</v>
      </c>
      <c r="R251" s="4">
        <f>IFERROR(__xludf.DUMMYFUNCTION("""COMPUTED_VALUE"""),23.4)</f>
        <v>23.4</v>
      </c>
      <c r="S251" s="4">
        <f>IFERROR(__xludf.DUMMYFUNCTION("""COMPUTED_VALUE"""),23.1)</f>
        <v>23.1</v>
      </c>
      <c r="T251" s="4"/>
      <c r="U251" s="4" t="str">
        <f>IFERROR(__xludf.DUMMYFUNCTION("""COMPUTED_VALUE"""),"BAIK")</f>
        <v>BAIK</v>
      </c>
      <c r="V251" s="4" t="str">
        <f>IFERROR(__xludf.DUMMYFUNCTION("""COMPUTED_VALUE"""),"Tidak Ada")</f>
        <v>Tidak Ada</v>
      </c>
      <c r="W251" s="4"/>
      <c r="X251" s="4"/>
      <c r="Y251" s="4"/>
      <c r="Z251" s="4"/>
      <c r="AA251" s="4"/>
      <c r="AB251" s="4"/>
      <c r="AC251" s="4" t="str">
        <f>IFERROR(__xludf.DUMMYFUNCTION("""COMPUTED_VALUE"""),"INSPEKSI SUTM - T2_Images/848e00ee.FOTO.154127.jpg")</f>
        <v>INSPEKSI SUTM - T2_Images/848e00ee.FOTO.154127.jpg</v>
      </c>
      <c r="AD251" s="4"/>
      <c r="AE251" s="4"/>
      <c r="AF251" s="4" t="str">
        <f>IFERROR(__xludf.DUMMYFUNCTION("""COMPUTED_VALUE"""),"BELUM")</f>
        <v>BELUM</v>
      </c>
      <c r="AG251" s="6">
        <f>IFERROR(__xludf.DUMMYFUNCTION("""COMPUTED_VALUE"""),46058.0)</f>
        <v>46058</v>
      </c>
      <c r="AH251" s="4"/>
      <c r="AI251" s="4"/>
    </row>
    <row r="252" ht="15.75" customHeight="1">
      <c r="A252" s="4" t="str">
        <f>IFERROR(__xludf.DUMMYFUNCTION("""COMPUTED_VALUE"""),"66124ab5")</f>
        <v>66124ab5</v>
      </c>
      <c r="B252" s="5">
        <f>IFERROR(__xludf.DUMMYFUNCTION("""COMPUTED_VALUE"""),46058.9455787037)</f>
        <v>46058.94558</v>
      </c>
      <c r="C252" s="4" t="str">
        <f>IFERROR(__xludf.DUMMYFUNCTION("""COMPUTED_VALUE"""),"-6.932968, 107.725999")</f>
        <v>-6.932968, 107.725999</v>
      </c>
      <c r="D252" s="4" t="str">
        <f>IFERROR(__xludf.DUMMYFUNCTION("""COMPUTED_VALUE"""),"Heri chandta")</f>
        <v>Heri chandta</v>
      </c>
      <c r="E252" s="4" t="str">
        <f>IFERROR(__xludf.DUMMYFUNCTION("""COMPUTED_VALUE"""),"BANDUNG")</f>
        <v>BANDUNG</v>
      </c>
      <c r="F252" s="4" t="str">
        <f>IFERROR(__xludf.DUMMYFUNCTION("""COMPUTED_VALUE"""),"UJUNGBERUNG")</f>
        <v>UJUNGBERUNG</v>
      </c>
      <c r="G252" s="4" t="str">
        <f>IFERROR(__xludf.DUMMYFUNCTION("""COMPUTED_VALUE"""),"UJUNGBERUNG")</f>
        <v>UJUNGBERUNG</v>
      </c>
      <c r="H252" s="4" t="str">
        <f>IFERROR(__xludf.DUMMYFUNCTION("""COMPUTED_VALUE"""),"CPDU")</f>
        <v>CPDU</v>
      </c>
      <c r="I252" s="4" t="str">
        <f>IFERROR(__xludf.DUMMYFUNCTION("""COMPUTED_VALUE"""),"GI UBRNG - REC.CBUA")</f>
        <v>GI UBRNG - REC.CBUA</v>
      </c>
      <c r="J252" s="4" t="str">
        <f>IFERROR(__xludf.DUMMYFUNCTION("""COMPUTED_VALUE"""),"ZONA 1")</f>
        <v>ZONA 1</v>
      </c>
      <c r="K252" s="4" t="str">
        <f>IFERROR(__xludf.DUMMYFUNCTION("""COMPUTED_VALUE"""),"023")</f>
        <v>023</v>
      </c>
      <c r="L252" s="4" t="str">
        <f>IFERROR(__xludf.DUMMYFUNCTION("""COMPUTED_VALUE"""),"TM - 8B/H (Percabangan)")</f>
        <v>TM - 8B/H (Percabangan)</v>
      </c>
      <c r="M252" s="4" t="str">
        <f>IFERROR(__xludf.DUMMYFUNCTION("""COMPUTED_VALUE"""),"Tidak Ada")</f>
        <v>Tidak Ada</v>
      </c>
      <c r="N252" s="4"/>
      <c r="O252" s="4" t="str">
        <f>IFERROR(__xludf.DUMMYFUNCTION("""COMPUTED_VALUE"""),"PEMBANDING SEJENIS")</f>
        <v>PEMBANDING SEJENIS</v>
      </c>
      <c r="P252" s="4" t="str">
        <f>IFERROR(__xludf.DUMMYFUNCTION("""COMPUTED_VALUE"""),"KONEKTOR/JUMPER")</f>
        <v>KONEKTOR/JUMPER</v>
      </c>
      <c r="Q252" s="4">
        <f>IFERROR(__xludf.DUMMYFUNCTION("""COMPUTED_VALUE"""),25.0)</f>
        <v>25</v>
      </c>
      <c r="R252" s="4">
        <f>IFERROR(__xludf.DUMMYFUNCTION("""COMPUTED_VALUE"""),19.5)</f>
        <v>19.5</v>
      </c>
      <c r="S252" s="4">
        <f>IFERROR(__xludf.DUMMYFUNCTION("""COMPUTED_VALUE"""),22.5)</f>
        <v>22.5</v>
      </c>
      <c r="T252" s="4"/>
      <c r="U252" s="4" t="str">
        <f>IFERROR(__xludf.DUMMYFUNCTION("""COMPUTED_VALUE"""),"CUKUP")</f>
        <v>CUKUP</v>
      </c>
      <c r="V252" s="4" t="str">
        <f>IFERROR(__xludf.DUMMYFUNCTION("""COMPUTED_VALUE"""),"Tidak Ada")</f>
        <v>Tidak Ada</v>
      </c>
      <c r="W252" s="4"/>
      <c r="X252" s="4"/>
      <c r="Y252" s="4"/>
      <c r="Z252" s="4"/>
      <c r="AA252" s="4"/>
      <c r="AB252" s="4"/>
      <c r="AC252" s="4" t="str">
        <f>IFERROR(__xludf.DUMMYFUNCTION("""COMPUTED_VALUE"""),"INSPEKSI SUTM - T2_Images/66124ab5.FOTO.154219.jpg")</f>
        <v>INSPEKSI SUTM - T2_Images/66124ab5.FOTO.154219.jpg</v>
      </c>
      <c r="AD252" s="4"/>
      <c r="AE252" s="4"/>
      <c r="AF252" s="4" t="str">
        <f>IFERROR(__xludf.DUMMYFUNCTION("""COMPUTED_VALUE"""),"BELUM")</f>
        <v>BELUM</v>
      </c>
      <c r="AG252" s="6">
        <f>IFERROR(__xludf.DUMMYFUNCTION("""COMPUTED_VALUE"""),46058.0)</f>
        <v>46058</v>
      </c>
      <c r="AH252" s="4"/>
      <c r="AI252" s="4"/>
    </row>
    <row r="253" ht="15.75" customHeight="1">
      <c r="A253" s="4" t="str">
        <f>IFERROR(__xludf.DUMMYFUNCTION("""COMPUTED_VALUE"""),"16c44dc4")</f>
        <v>16c44dc4</v>
      </c>
      <c r="B253" s="5">
        <f>IFERROR(__xludf.DUMMYFUNCTION("""COMPUTED_VALUE"""),46059.92653935185)</f>
        <v>46059.92654</v>
      </c>
      <c r="C253" s="4" t="str">
        <f>IFERROR(__xludf.DUMMYFUNCTION("""COMPUTED_VALUE"""),"-6.934858, 107.719353")</f>
        <v>-6.934858, 107.719353</v>
      </c>
      <c r="D253" s="4" t="str">
        <f>IFERROR(__xludf.DUMMYFUNCTION("""COMPUTED_VALUE"""),"Canra heri")</f>
        <v>Canra heri</v>
      </c>
      <c r="E253" s="4" t="str">
        <f>IFERROR(__xludf.DUMMYFUNCTION("""COMPUTED_VALUE"""),"BANDUNG")</f>
        <v>BANDUNG</v>
      </c>
      <c r="F253" s="4" t="str">
        <f>IFERROR(__xludf.DUMMYFUNCTION("""COMPUTED_VALUE"""),"UJUNGBERUNG")</f>
        <v>UJUNGBERUNG</v>
      </c>
      <c r="G253" s="4" t="str">
        <f>IFERROR(__xludf.DUMMYFUNCTION("""COMPUTED_VALUE"""),"UJUNGBERUNG")</f>
        <v>UJUNGBERUNG</v>
      </c>
      <c r="H253" s="4" t="str">
        <f>IFERROR(__xludf.DUMMYFUNCTION("""COMPUTED_VALUE"""),"CPDU")</f>
        <v>CPDU</v>
      </c>
      <c r="I253" s="4" t="str">
        <f>IFERROR(__xludf.DUMMYFUNCTION("""COMPUTED_VALUE"""),"REC CBUA - LBS MAN")</f>
        <v>REC CBUA - LBS MAN</v>
      </c>
      <c r="J253" s="4" t="str">
        <f>IFERROR(__xludf.DUMMYFUNCTION("""COMPUTED_VALUE"""),"ZONA 2")</f>
        <v>ZONA 2</v>
      </c>
      <c r="K253" s="4" t="str">
        <f>IFERROR(__xludf.DUMMYFUNCTION("""COMPUTED_VALUE"""),"038")</f>
        <v>038</v>
      </c>
      <c r="L253" s="4" t="str">
        <f>IFERROR(__xludf.DUMMYFUNCTION("""COMPUTED_VALUE"""),"TM - 4B/H (Afspan)")</f>
        <v>TM - 4B/H (Afspan)</v>
      </c>
      <c r="M253" s="4" t="str">
        <f>IFERROR(__xludf.DUMMYFUNCTION("""COMPUTED_VALUE"""),"Tidak Ada")</f>
        <v>Tidak Ada</v>
      </c>
      <c r="N253" s="4"/>
      <c r="O253" s="4" t="str">
        <f>IFERROR(__xludf.DUMMYFUNCTION("""COMPUTED_VALUE"""),"PEMBANDING SEJENIS")</f>
        <v>PEMBANDING SEJENIS</v>
      </c>
      <c r="P253" s="4" t="str">
        <f>IFERROR(__xludf.DUMMYFUNCTION("""COMPUTED_VALUE"""),"KONEKTOR/JUMPER")</f>
        <v>KONEKTOR/JUMPER</v>
      </c>
      <c r="Q253" s="4">
        <f>IFERROR(__xludf.DUMMYFUNCTION("""COMPUTED_VALUE"""),19.0)</f>
        <v>19</v>
      </c>
      <c r="R253" s="4">
        <f>IFERROR(__xludf.DUMMYFUNCTION("""COMPUTED_VALUE"""),21.0)</f>
        <v>21</v>
      </c>
      <c r="S253" s="4">
        <f>IFERROR(__xludf.DUMMYFUNCTION("""COMPUTED_VALUE"""),25.0)</f>
        <v>25</v>
      </c>
      <c r="T253" s="4"/>
      <c r="U253" s="4" t="str">
        <f>IFERROR(__xludf.DUMMYFUNCTION("""COMPUTED_VALUE"""),"CUKUP")</f>
        <v>CUKUP</v>
      </c>
      <c r="V253" s="4" t="str">
        <f>IFERROR(__xludf.DUMMYFUNCTION("""COMPUTED_VALUE"""),"Tidak Ada")</f>
        <v>Tidak Ada</v>
      </c>
      <c r="W253" s="4"/>
      <c r="X253" s="4"/>
      <c r="Y253" s="4"/>
      <c r="Z253" s="4"/>
      <c r="AA253" s="4"/>
      <c r="AB253" s="4"/>
      <c r="AC253" s="4" t="str">
        <f>IFERROR(__xludf.DUMMYFUNCTION("""COMPUTED_VALUE"""),"INSPEKSI SUTM - T2_Images/16c44dc4.FOTO.151514.jpg")</f>
        <v>INSPEKSI SUTM - T2_Images/16c44dc4.FOTO.151514.jpg</v>
      </c>
      <c r="AD253" s="4"/>
      <c r="AE253" s="4"/>
      <c r="AF253" s="4" t="str">
        <f>IFERROR(__xludf.DUMMYFUNCTION("""COMPUTED_VALUE"""),"BELUM")</f>
        <v>BELUM</v>
      </c>
      <c r="AG253" s="6">
        <f>IFERROR(__xludf.DUMMYFUNCTION("""COMPUTED_VALUE"""),46059.0)</f>
        <v>46059</v>
      </c>
      <c r="AH253" s="4"/>
      <c r="AI253" s="4"/>
    </row>
    <row r="254" ht="15.75" customHeight="1">
      <c r="A254" s="4" t="str">
        <f>IFERROR(__xludf.DUMMYFUNCTION("""COMPUTED_VALUE"""),"502b3421")</f>
        <v>502b3421</v>
      </c>
      <c r="B254" s="5">
        <f>IFERROR(__xludf.DUMMYFUNCTION("""COMPUTED_VALUE"""),46059.928402777776)</f>
        <v>46059.9284</v>
      </c>
      <c r="C254" s="4" t="str">
        <f>IFERROR(__xludf.DUMMYFUNCTION("""COMPUTED_VALUE"""),"-6.934828, 107.718172")</f>
        <v>-6.934828, 107.718172</v>
      </c>
      <c r="D254" s="4" t="str">
        <f>IFERROR(__xludf.DUMMYFUNCTION("""COMPUTED_VALUE"""),"Canra heri")</f>
        <v>Canra heri</v>
      </c>
      <c r="E254" s="4" t="str">
        <f>IFERROR(__xludf.DUMMYFUNCTION("""COMPUTED_VALUE"""),"BANDUNG")</f>
        <v>BANDUNG</v>
      </c>
      <c r="F254" s="4" t="str">
        <f>IFERROR(__xludf.DUMMYFUNCTION("""COMPUTED_VALUE"""),"UJUNGBERUNG")</f>
        <v>UJUNGBERUNG</v>
      </c>
      <c r="G254" s="4" t="str">
        <f>IFERROR(__xludf.DUMMYFUNCTION("""COMPUTED_VALUE"""),"UJUNGBERUNG")</f>
        <v>UJUNGBERUNG</v>
      </c>
      <c r="H254" s="4" t="str">
        <f>IFERROR(__xludf.DUMMYFUNCTION("""COMPUTED_VALUE"""),"CPDU")</f>
        <v>CPDU</v>
      </c>
      <c r="I254" s="4" t="str">
        <f>IFERROR(__xludf.DUMMYFUNCTION("""COMPUTED_VALUE"""),"REC CBUA - LBS MAN")</f>
        <v>REC CBUA - LBS MAN</v>
      </c>
      <c r="J254" s="4" t="str">
        <f>IFERROR(__xludf.DUMMYFUNCTION("""COMPUTED_VALUE"""),"ZONA 2")</f>
        <v>ZONA 2</v>
      </c>
      <c r="K254" s="4" t="str">
        <f>IFERROR(__xludf.DUMMYFUNCTION("""COMPUTED_VALUE"""),"042")</f>
        <v>042</v>
      </c>
      <c r="L254" s="4" t="str">
        <f>IFERROR(__xludf.DUMMYFUNCTION("""COMPUTED_VALUE"""),"TM - 8B/H (Percabangan)")</f>
        <v>TM - 8B/H (Percabangan)</v>
      </c>
      <c r="M254" s="4" t="str">
        <f>IFERROR(__xludf.DUMMYFUNCTION("""COMPUTED_VALUE"""),"Tidak Ada")</f>
        <v>Tidak Ada</v>
      </c>
      <c r="N254" s="4"/>
      <c r="O254" s="4" t="str">
        <f>IFERROR(__xludf.DUMMYFUNCTION("""COMPUTED_VALUE"""),"PEMBANDING SEJENIS")</f>
        <v>PEMBANDING SEJENIS</v>
      </c>
      <c r="P254" s="4" t="str">
        <f>IFERROR(__xludf.DUMMYFUNCTION("""COMPUTED_VALUE"""),"KONEKTOR/JUMPER")</f>
        <v>KONEKTOR/JUMPER</v>
      </c>
      <c r="Q254" s="4">
        <f>IFERROR(__xludf.DUMMYFUNCTION("""COMPUTED_VALUE"""),21.0)</f>
        <v>21</v>
      </c>
      <c r="R254" s="4">
        <f>IFERROR(__xludf.DUMMYFUNCTION("""COMPUTED_VALUE"""),19.0)</f>
        <v>19</v>
      </c>
      <c r="S254" s="4">
        <f>IFERROR(__xludf.DUMMYFUNCTION("""COMPUTED_VALUE"""),22.0)</f>
        <v>22</v>
      </c>
      <c r="T254" s="4"/>
      <c r="U254" s="4" t="str">
        <f>IFERROR(__xludf.DUMMYFUNCTION("""COMPUTED_VALUE"""),"CUKUP")</f>
        <v>CUKUP</v>
      </c>
      <c r="V254" s="4" t="str">
        <f>IFERROR(__xludf.DUMMYFUNCTION("""COMPUTED_VALUE"""),"Tidak Ada")</f>
        <v>Tidak Ada</v>
      </c>
      <c r="W254" s="4"/>
      <c r="X254" s="4"/>
      <c r="Y254" s="4"/>
      <c r="Z254" s="4"/>
      <c r="AA254" s="4"/>
      <c r="AB254" s="4"/>
      <c r="AC254" s="4" t="str">
        <f>IFERROR(__xludf.DUMMYFUNCTION("""COMPUTED_VALUE"""),"INSPEKSI SUTM - T2_Images/502b3421.FOTO.151751.jpg")</f>
        <v>INSPEKSI SUTM - T2_Images/502b3421.FOTO.151751.jpg</v>
      </c>
      <c r="AD254" s="4"/>
      <c r="AE254" s="4"/>
      <c r="AF254" s="4" t="str">
        <f>IFERROR(__xludf.DUMMYFUNCTION("""COMPUTED_VALUE"""),"BELUM")</f>
        <v>BELUM</v>
      </c>
      <c r="AG254" s="6">
        <f>IFERROR(__xludf.DUMMYFUNCTION("""COMPUTED_VALUE"""),46059.0)</f>
        <v>46059</v>
      </c>
      <c r="AH254" s="4"/>
      <c r="AI254" s="4"/>
    </row>
    <row r="255" ht="15.75" customHeight="1">
      <c r="A255" s="4" t="str">
        <f>IFERROR(__xludf.DUMMYFUNCTION("""COMPUTED_VALUE"""),"1c7eda64")</f>
        <v>1c7eda64</v>
      </c>
      <c r="B255" s="5">
        <f>IFERROR(__xludf.DUMMYFUNCTION("""COMPUTED_VALUE"""),46059.9296875)</f>
        <v>46059.92969</v>
      </c>
      <c r="C255" s="4" t="str">
        <f>IFERROR(__xludf.DUMMYFUNCTION("""COMPUTED_VALUE"""),"-6.934725, 107.717809")</f>
        <v>-6.934725, 107.717809</v>
      </c>
      <c r="D255" s="4" t="str">
        <f>IFERROR(__xludf.DUMMYFUNCTION("""COMPUTED_VALUE"""),"Canra heri")</f>
        <v>Canra heri</v>
      </c>
      <c r="E255" s="4" t="str">
        <f>IFERROR(__xludf.DUMMYFUNCTION("""COMPUTED_VALUE"""),"BANDUNG")</f>
        <v>BANDUNG</v>
      </c>
      <c r="F255" s="4" t="str">
        <f>IFERROR(__xludf.DUMMYFUNCTION("""COMPUTED_VALUE"""),"UJUNGBERUNG")</f>
        <v>UJUNGBERUNG</v>
      </c>
      <c r="G255" s="4" t="str">
        <f>IFERROR(__xludf.DUMMYFUNCTION("""COMPUTED_VALUE"""),"UJUNGBERUNG")</f>
        <v>UJUNGBERUNG</v>
      </c>
      <c r="H255" s="4" t="str">
        <f>IFERROR(__xludf.DUMMYFUNCTION("""COMPUTED_VALUE"""),"CPDU")</f>
        <v>CPDU</v>
      </c>
      <c r="I255" s="4" t="str">
        <f>IFERROR(__xludf.DUMMYFUNCTION("""COMPUTED_VALUE"""),"REC CBUA - LBS MAN")</f>
        <v>REC CBUA - LBS MAN</v>
      </c>
      <c r="J255" s="4" t="str">
        <f>IFERROR(__xludf.DUMMYFUNCTION("""COMPUTED_VALUE"""),"ZONA 2")</f>
        <v>ZONA 2</v>
      </c>
      <c r="K255" s="4" t="str">
        <f>IFERROR(__xludf.DUMMYFUNCTION("""COMPUTED_VALUE"""),"043")</f>
        <v>043</v>
      </c>
      <c r="L255" s="4" t="str">
        <f>IFERROR(__xludf.DUMMYFUNCTION("""COMPUTED_VALUE"""),"TM - 4B/H (Afspan)")</f>
        <v>TM - 4B/H (Afspan)</v>
      </c>
      <c r="M255" s="4" t="str">
        <f>IFERROR(__xludf.DUMMYFUNCTION("""COMPUTED_VALUE"""),"Tidak Ada")</f>
        <v>Tidak Ada</v>
      </c>
      <c r="N255" s="4"/>
      <c r="O255" s="4" t="str">
        <f>IFERROR(__xludf.DUMMYFUNCTION("""COMPUTED_VALUE"""),"PEMBANDING SEJENIS")</f>
        <v>PEMBANDING SEJENIS</v>
      </c>
      <c r="P255" s="4" t="str">
        <f>IFERROR(__xludf.DUMMYFUNCTION("""COMPUTED_VALUE"""),"KONEKTOR/JUMPER")</f>
        <v>KONEKTOR/JUMPER</v>
      </c>
      <c r="Q255" s="4">
        <f>IFERROR(__xludf.DUMMYFUNCTION("""COMPUTED_VALUE"""),23.0)</f>
        <v>23</v>
      </c>
      <c r="R255" s="4">
        <f>IFERROR(__xludf.DUMMYFUNCTION("""COMPUTED_VALUE"""),22.0)</f>
        <v>22</v>
      </c>
      <c r="S255" s="4">
        <f>IFERROR(__xludf.DUMMYFUNCTION("""COMPUTED_VALUE"""),24.0)</f>
        <v>24</v>
      </c>
      <c r="T255" s="4"/>
      <c r="U255" s="4" t="str">
        <f>IFERROR(__xludf.DUMMYFUNCTION("""COMPUTED_VALUE"""),"BAIK")</f>
        <v>BAIK</v>
      </c>
      <c r="V255" s="4" t="str">
        <f>IFERROR(__xludf.DUMMYFUNCTION("""COMPUTED_VALUE"""),"Tidak Ada")</f>
        <v>Tidak Ada</v>
      </c>
      <c r="W255" s="4"/>
      <c r="X255" s="4"/>
      <c r="Y255" s="4"/>
      <c r="Z255" s="4"/>
      <c r="AA255" s="4"/>
      <c r="AB255" s="4"/>
      <c r="AC255" s="4" t="str">
        <f>IFERROR(__xludf.DUMMYFUNCTION("""COMPUTED_VALUE"""),"INSPEKSI SUTM - T2_Images/1c7eda64.FOTO.151940.jpg")</f>
        <v>INSPEKSI SUTM - T2_Images/1c7eda64.FOTO.151940.jpg</v>
      </c>
      <c r="AD255" s="4"/>
      <c r="AE255" s="4"/>
      <c r="AF255" s="4" t="str">
        <f>IFERROR(__xludf.DUMMYFUNCTION("""COMPUTED_VALUE"""),"BELUM")</f>
        <v>BELUM</v>
      </c>
      <c r="AG255" s="6">
        <f>IFERROR(__xludf.DUMMYFUNCTION("""COMPUTED_VALUE"""),46059.0)</f>
        <v>46059</v>
      </c>
      <c r="AH255" s="4"/>
      <c r="AI255" s="4"/>
    </row>
    <row r="256" ht="15.75" customHeight="1">
      <c r="A256" s="4" t="str">
        <f>IFERROR(__xludf.DUMMYFUNCTION("""COMPUTED_VALUE"""),"4a486de4")</f>
        <v>4a486de4</v>
      </c>
      <c r="B256" s="5">
        <f>IFERROR(__xludf.DUMMYFUNCTION("""COMPUTED_VALUE"""),46059.94605324074)</f>
        <v>46059.94605</v>
      </c>
      <c r="C256" s="4" t="str">
        <f>IFERROR(__xludf.DUMMYFUNCTION("""COMPUTED_VALUE"""),"-6.934697, 107.717757")</f>
        <v>-6.934697, 107.717757</v>
      </c>
      <c r="D256" s="4" t="str">
        <f>IFERROR(__xludf.DUMMYFUNCTION("""COMPUTED_VALUE"""),"Canra heri")</f>
        <v>Canra heri</v>
      </c>
      <c r="E256" s="4" t="str">
        <f>IFERROR(__xludf.DUMMYFUNCTION("""COMPUTED_VALUE"""),"BANDUNG")</f>
        <v>BANDUNG</v>
      </c>
      <c r="F256" s="4" t="str">
        <f>IFERROR(__xludf.DUMMYFUNCTION("""COMPUTED_VALUE"""),"UJUNGBERUNG")</f>
        <v>UJUNGBERUNG</v>
      </c>
      <c r="G256" s="4" t="str">
        <f>IFERROR(__xludf.DUMMYFUNCTION("""COMPUTED_VALUE"""),"UJUNGBERUNG")</f>
        <v>UJUNGBERUNG</v>
      </c>
      <c r="H256" s="4" t="str">
        <f>IFERROR(__xludf.DUMMYFUNCTION("""COMPUTED_VALUE"""),"CPDU")</f>
        <v>CPDU</v>
      </c>
      <c r="I256" s="4" t="str">
        <f>IFERROR(__xludf.DUMMYFUNCTION("""COMPUTED_VALUE"""),"REC CBUA - LBS MAN")</f>
        <v>REC CBUA - LBS MAN</v>
      </c>
      <c r="J256" s="4" t="str">
        <f>IFERROR(__xludf.DUMMYFUNCTION("""COMPUTED_VALUE"""),"ZONA 2")</f>
        <v>ZONA 2</v>
      </c>
      <c r="K256" s="4" t="str">
        <f>IFERROR(__xludf.DUMMYFUNCTION("""COMPUTED_VALUE"""),"044")</f>
        <v>044</v>
      </c>
      <c r="L256" s="4" t="str">
        <f>IFERROR(__xludf.DUMMYFUNCTION("""COMPUTED_VALUE"""),"TM - 8B/H (Percabangan)")</f>
        <v>TM - 8B/H (Percabangan)</v>
      </c>
      <c r="M256" s="4" t="str">
        <f>IFERROR(__xludf.DUMMYFUNCTION("""COMPUTED_VALUE"""),"Tidak Ada")</f>
        <v>Tidak Ada</v>
      </c>
      <c r="N256" s="4"/>
      <c r="O256" s="4" t="str">
        <f>IFERROR(__xludf.DUMMYFUNCTION("""COMPUTED_VALUE"""),"PEMBANDING SEJENIS")</f>
        <v>PEMBANDING SEJENIS</v>
      </c>
      <c r="P256" s="4" t="str">
        <f>IFERROR(__xludf.DUMMYFUNCTION("""COMPUTED_VALUE"""),"KONEKTOR/JUMPER")</f>
        <v>KONEKTOR/JUMPER</v>
      </c>
      <c r="Q256" s="4">
        <f>IFERROR(__xludf.DUMMYFUNCTION("""COMPUTED_VALUE"""),19.0)</f>
        <v>19</v>
      </c>
      <c r="R256" s="4">
        <f>IFERROR(__xludf.DUMMYFUNCTION("""COMPUTED_VALUE"""),23.0)</f>
        <v>23</v>
      </c>
      <c r="S256" s="4">
        <f>IFERROR(__xludf.DUMMYFUNCTION("""COMPUTED_VALUE"""),23.0)</f>
        <v>23</v>
      </c>
      <c r="T256" s="4"/>
      <c r="U256" s="4" t="str">
        <f>IFERROR(__xludf.DUMMYFUNCTION("""COMPUTED_VALUE"""),"CUKUP")</f>
        <v>CUKUP</v>
      </c>
      <c r="V256" s="4" t="str">
        <f>IFERROR(__xludf.DUMMYFUNCTION("""COMPUTED_VALUE"""),"Tidak Ada")</f>
        <v>Tidak Ada</v>
      </c>
      <c r="W256" s="4"/>
      <c r="X256" s="4"/>
      <c r="Y256" s="4"/>
      <c r="Z256" s="4"/>
      <c r="AA256" s="4"/>
      <c r="AB256" s="4"/>
      <c r="AC256" s="4" t="str">
        <f>IFERROR(__xludf.DUMMYFUNCTION("""COMPUTED_VALUE"""),"INSPEKSI SUTM - T2_Images/4a486de4.FOTO.154317.jpg")</f>
        <v>INSPEKSI SUTM - T2_Images/4a486de4.FOTO.154317.jpg</v>
      </c>
      <c r="AD256" s="4"/>
      <c r="AE256" s="4"/>
      <c r="AF256" s="4" t="str">
        <f>IFERROR(__xludf.DUMMYFUNCTION("""COMPUTED_VALUE"""),"BELUM")</f>
        <v>BELUM</v>
      </c>
      <c r="AG256" s="6">
        <f>IFERROR(__xludf.DUMMYFUNCTION("""COMPUTED_VALUE"""),46059.0)</f>
        <v>46059</v>
      </c>
      <c r="AH256" s="4"/>
      <c r="AI256" s="4"/>
    </row>
    <row r="257" ht="15.75" customHeight="1">
      <c r="A257" s="4" t="str">
        <f>IFERROR(__xludf.DUMMYFUNCTION("""COMPUTED_VALUE"""),"85c738fb")</f>
        <v>85c738fb</v>
      </c>
      <c r="B257" s="5">
        <f>IFERROR(__xludf.DUMMYFUNCTION("""COMPUTED_VALUE"""),46059.95133101852)</f>
        <v>46059.95133</v>
      </c>
      <c r="C257" s="4" t="str">
        <f>IFERROR(__xludf.DUMMYFUNCTION("""COMPUTED_VALUE"""),"-6.935255, 107.715322")</f>
        <v>-6.935255, 107.715322</v>
      </c>
      <c r="D257" s="4" t="str">
        <f>IFERROR(__xludf.DUMMYFUNCTION("""COMPUTED_VALUE"""),"Canrabjeri")</f>
        <v>Canrabjeri</v>
      </c>
      <c r="E257" s="4" t="str">
        <f>IFERROR(__xludf.DUMMYFUNCTION("""COMPUTED_VALUE"""),"BANDUNG")</f>
        <v>BANDUNG</v>
      </c>
      <c r="F257" s="4" t="str">
        <f>IFERROR(__xludf.DUMMYFUNCTION("""COMPUTED_VALUE"""),"UJUNGBERUNG")</f>
        <v>UJUNGBERUNG</v>
      </c>
      <c r="G257" s="4" t="str">
        <f>IFERROR(__xludf.DUMMYFUNCTION("""COMPUTED_VALUE"""),"UJUNGBERUNG")</f>
        <v>UJUNGBERUNG</v>
      </c>
      <c r="H257" s="4" t="str">
        <f>IFERROR(__xludf.DUMMYFUNCTION("""COMPUTED_VALUE"""),"CPDU")</f>
        <v>CPDU</v>
      </c>
      <c r="I257" s="4" t="str">
        <f>IFERROR(__xludf.DUMMYFUNCTION("""COMPUTED_VALUE"""),"REC CBUA - LBS MAN")</f>
        <v>REC CBUA - LBS MAN</v>
      </c>
      <c r="J257" s="4" t="str">
        <f>IFERROR(__xludf.DUMMYFUNCTION("""COMPUTED_VALUE"""),"ZONA 2")</f>
        <v>ZONA 2</v>
      </c>
      <c r="K257" s="4" t="str">
        <f>IFERROR(__xludf.DUMMYFUNCTION("""COMPUTED_VALUE"""),"046L07")</f>
        <v>046L07</v>
      </c>
      <c r="L257" s="4" t="str">
        <f>IFERROR(__xludf.DUMMYFUNCTION("""COMPUTED_VALUE"""),"TM - 1B/H (Tumpu)")</f>
        <v>TM - 1B/H (Tumpu)</v>
      </c>
      <c r="M257" s="4" t="str">
        <f>IFERROR(__xludf.DUMMYFUNCTION("""COMPUTED_VALUE"""),"Tidak Ada")</f>
        <v>Tidak Ada</v>
      </c>
      <c r="N257" s="4"/>
      <c r="O257" s="4" t="str">
        <f>IFERROR(__xludf.DUMMYFUNCTION("""COMPUTED_VALUE"""),"PEMBANDING SEJENIS")</f>
        <v>PEMBANDING SEJENIS</v>
      </c>
      <c r="P257" s="4" t="str">
        <f>IFERROR(__xludf.DUMMYFUNCTION("""COMPUTED_VALUE"""),"KONEKTOR/JUMPER")</f>
        <v>KONEKTOR/JUMPER</v>
      </c>
      <c r="Q257" s="4">
        <f>IFERROR(__xludf.DUMMYFUNCTION("""COMPUTED_VALUE"""),21.0)</f>
        <v>21</v>
      </c>
      <c r="R257" s="4">
        <f>IFERROR(__xludf.DUMMYFUNCTION("""COMPUTED_VALUE"""),22.0)</f>
        <v>22</v>
      </c>
      <c r="S257" s="4">
        <f>IFERROR(__xludf.DUMMYFUNCTION("""COMPUTED_VALUE"""),22.0)</f>
        <v>22</v>
      </c>
      <c r="T257" s="4"/>
      <c r="U257" s="4" t="str">
        <f>IFERROR(__xludf.DUMMYFUNCTION("""COMPUTED_VALUE"""),"BAIK")</f>
        <v>BAIK</v>
      </c>
      <c r="V257" s="4" t="str">
        <f>IFERROR(__xludf.DUMMYFUNCTION("""COMPUTED_VALUE"""),"Tidak Ada")</f>
        <v>Tidak Ada</v>
      </c>
      <c r="W257" s="4"/>
      <c r="X257" s="4"/>
      <c r="Y257" s="4"/>
      <c r="Z257" s="4"/>
      <c r="AA257" s="4"/>
      <c r="AB257" s="4"/>
      <c r="AC257" s="4" t="str">
        <f>IFERROR(__xludf.DUMMYFUNCTION("""COMPUTED_VALUE"""),"INSPEKSI SUTM - T2_Images/85c738fb.FOTO.155051.jpg")</f>
        <v>INSPEKSI SUTM - T2_Images/85c738fb.FOTO.155051.jpg</v>
      </c>
      <c r="AD257" s="4"/>
      <c r="AE257" s="4"/>
      <c r="AF257" s="4" t="str">
        <f>IFERROR(__xludf.DUMMYFUNCTION("""COMPUTED_VALUE"""),"BELUM")</f>
        <v>BELUM</v>
      </c>
      <c r="AG257" s="6">
        <f>IFERROR(__xludf.DUMMYFUNCTION("""COMPUTED_VALUE"""),46059.0)</f>
        <v>46059</v>
      </c>
      <c r="AH257" s="4"/>
      <c r="AI257" s="4"/>
    </row>
    <row r="258" ht="15.75" customHeight="1">
      <c r="A258" s="4" t="str">
        <f>IFERROR(__xludf.DUMMYFUNCTION("""COMPUTED_VALUE"""),"1694a6b3")</f>
        <v>1694a6b3</v>
      </c>
      <c r="B258" s="5">
        <f>IFERROR(__xludf.DUMMYFUNCTION("""COMPUTED_VALUE"""),46059.95260416667)</f>
        <v>46059.9526</v>
      </c>
      <c r="C258" s="4" t="str">
        <f>IFERROR(__xludf.DUMMYFUNCTION("""COMPUTED_VALUE"""),"-6.935265, 107.715404")</f>
        <v>-6.935265, 107.715404</v>
      </c>
      <c r="D258" s="4" t="str">
        <f>IFERROR(__xludf.DUMMYFUNCTION("""COMPUTED_VALUE"""),"Canra heri")</f>
        <v>Canra heri</v>
      </c>
      <c r="E258" s="4" t="str">
        <f>IFERROR(__xludf.DUMMYFUNCTION("""COMPUTED_VALUE"""),"BANDUNG")</f>
        <v>BANDUNG</v>
      </c>
      <c r="F258" s="4" t="str">
        <f>IFERROR(__xludf.DUMMYFUNCTION("""COMPUTED_VALUE"""),"UJUNGBERUNG")</f>
        <v>UJUNGBERUNG</v>
      </c>
      <c r="G258" s="4" t="str">
        <f>IFERROR(__xludf.DUMMYFUNCTION("""COMPUTED_VALUE"""),"UJUNGBERUNG")</f>
        <v>UJUNGBERUNG</v>
      </c>
      <c r="H258" s="4" t="str">
        <f>IFERROR(__xludf.DUMMYFUNCTION("""COMPUTED_VALUE"""),"CPDU")</f>
        <v>CPDU</v>
      </c>
      <c r="I258" s="4" t="str">
        <f>IFERROR(__xludf.DUMMYFUNCTION("""COMPUTED_VALUE"""),"REC CBUA - LBS MAN")</f>
        <v>REC CBUA - LBS MAN</v>
      </c>
      <c r="J258" s="4" t="str">
        <f>IFERROR(__xludf.DUMMYFUNCTION("""COMPUTED_VALUE"""),"ZONA 2")</f>
        <v>ZONA 2</v>
      </c>
      <c r="K258" s="4" t="str">
        <f>IFERROR(__xludf.DUMMYFUNCTION("""COMPUTED_VALUE"""),"046L06")</f>
        <v>046L06</v>
      </c>
      <c r="L258" s="4" t="str">
        <f>IFERROR(__xludf.DUMMYFUNCTION("""COMPUTED_VALUE"""),"TM - 8B/H (Percabangan)")</f>
        <v>TM - 8B/H (Percabangan)</v>
      </c>
      <c r="M258" s="4" t="str">
        <f>IFERROR(__xludf.DUMMYFUNCTION("""COMPUTED_VALUE"""),"Tidak Ada")</f>
        <v>Tidak Ada</v>
      </c>
      <c r="N258" s="4"/>
      <c r="O258" s="4" t="str">
        <f>IFERROR(__xludf.DUMMYFUNCTION("""COMPUTED_VALUE"""),"PEMBANDING SEJENIS")</f>
        <v>PEMBANDING SEJENIS</v>
      </c>
      <c r="P258" s="4" t="str">
        <f>IFERROR(__xludf.DUMMYFUNCTION("""COMPUTED_VALUE"""),"KONEKTOR/JUMPER")</f>
        <v>KONEKTOR/JUMPER</v>
      </c>
      <c r="Q258" s="4">
        <f>IFERROR(__xludf.DUMMYFUNCTION("""COMPUTED_VALUE"""),21.0)</f>
        <v>21</v>
      </c>
      <c r="R258" s="4">
        <f>IFERROR(__xludf.DUMMYFUNCTION("""COMPUTED_VALUE"""),20.0)</f>
        <v>20</v>
      </c>
      <c r="S258" s="4">
        <f>IFERROR(__xludf.DUMMYFUNCTION("""COMPUTED_VALUE"""),21.0)</f>
        <v>21</v>
      </c>
      <c r="T258" s="4"/>
      <c r="U258" s="4" t="str">
        <f>IFERROR(__xludf.DUMMYFUNCTION("""COMPUTED_VALUE"""),"BAIK")</f>
        <v>BAIK</v>
      </c>
      <c r="V258" s="4" t="str">
        <f>IFERROR(__xludf.DUMMYFUNCTION("""COMPUTED_VALUE"""),"Tidak Ada")</f>
        <v>Tidak Ada</v>
      </c>
      <c r="W258" s="4"/>
      <c r="X258" s="4"/>
      <c r="Y258" s="4"/>
      <c r="Z258" s="4"/>
      <c r="AA258" s="4"/>
      <c r="AB258" s="4"/>
      <c r="AC258" s="4" t="str">
        <f>IFERROR(__xludf.DUMMYFUNCTION("""COMPUTED_VALUE"""),"INSPEKSI SUTM - T2_Images/1694a6b3.FOTO.155229.jpg")</f>
        <v>INSPEKSI SUTM - T2_Images/1694a6b3.FOTO.155229.jpg</v>
      </c>
      <c r="AD258" s="4"/>
      <c r="AE258" s="4"/>
      <c r="AF258" s="4" t="str">
        <f>IFERROR(__xludf.DUMMYFUNCTION("""COMPUTED_VALUE"""),"BELUM")</f>
        <v>BELUM</v>
      </c>
      <c r="AG258" s="6">
        <f>IFERROR(__xludf.DUMMYFUNCTION("""COMPUTED_VALUE"""),46059.0)</f>
        <v>46059</v>
      </c>
      <c r="AH258" s="4"/>
      <c r="AI258" s="4"/>
    </row>
    <row r="259" ht="15.75" customHeight="1">
      <c r="A259" s="4" t="str">
        <f>IFERROR(__xludf.DUMMYFUNCTION("""COMPUTED_VALUE"""),"71be1c56")</f>
        <v>71be1c56</v>
      </c>
      <c r="B259" s="5">
        <f>IFERROR(__xludf.DUMMYFUNCTION("""COMPUTED_VALUE"""),46059.95568287037)</f>
        <v>46059.95568</v>
      </c>
      <c r="C259" s="4" t="str">
        <f>IFERROR(__xludf.DUMMYFUNCTION("""COMPUTED_VALUE"""),"-6.935354, 107.714020")</f>
        <v>-6.935354, 107.714020</v>
      </c>
      <c r="D259" s="4" t="str">
        <f>IFERROR(__xludf.DUMMYFUNCTION("""COMPUTED_VALUE"""),"Canra heri")</f>
        <v>Canra heri</v>
      </c>
      <c r="E259" s="4" t="str">
        <f>IFERROR(__xludf.DUMMYFUNCTION("""COMPUTED_VALUE"""),"BANDUNG")</f>
        <v>BANDUNG</v>
      </c>
      <c r="F259" s="4" t="str">
        <f>IFERROR(__xludf.DUMMYFUNCTION("""COMPUTED_VALUE"""),"UJUNGBERUNG")</f>
        <v>UJUNGBERUNG</v>
      </c>
      <c r="G259" s="4" t="str">
        <f>IFERROR(__xludf.DUMMYFUNCTION("""COMPUTED_VALUE"""),"UJUNGBERUNG")</f>
        <v>UJUNGBERUNG</v>
      </c>
      <c r="H259" s="4" t="str">
        <f>IFERROR(__xludf.DUMMYFUNCTION("""COMPUTED_VALUE"""),"CPDU")</f>
        <v>CPDU</v>
      </c>
      <c r="I259" s="4" t="str">
        <f>IFERROR(__xludf.DUMMYFUNCTION("""COMPUTED_VALUE"""),"REC CBUA - LBS MAN")</f>
        <v>REC CBUA - LBS MAN</v>
      </c>
      <c r="J259" s="4" t="str">
        <f>IFERROR(__xludf.DUMMYFUNCTION("""COMPUTED_VALUE"""),"ZONA 2")</f>
        <v>ZONA 2</v>
      </c>
      <c r="K259" s="4" t="str">
        <f>IFERROR(__xludf.DUMMYFUNCTION("""COMPUTED_VALUE"""),"046L010")</f>
        <v>046L010</v>
      </c>
      <c r="L259" s="4" t="str">
        <f>IFERROR(__xludf.DUMMYFUNCTION("""COMPUTED_VALUE"""),"TM - 16B/H (REC/SSO/LBS)")</f>
        <v>TM - 16B/H (REC/SSO/LBS)</v>
      </c>
      <c r="M259" s="4" t="str">
        <f>IFERROR(__xludf.DUMMYFUNCTION("""COMPUTED_VALUE"""),"LBS")</f>
        <v>LBS</v>
      </c>
      <c r="N259" s="4" t="str">
        <f>IFERROR(__xludf.DUMMYFUNCTION("""COMPUTED_VALUE"""),"Sad")</f>
        <v>Sad</v>
      </c>
      <c r="O259" s="4" t="str">
        <f>IFERROR(__xludf.DUMMYFUNCTION("""COMPUTED_VALUE"""),"PEMBANDING SEJENIS")</f>
        <v>PEMBANDING SEJENIS</v>
      </c>
      <c r="P259" s="4" t="str">
        <f>IFERROR(__xludf.DUMMYFUNCTION("""COMPUTED_VALUE"""),"KONEKTOR/JUMPER")</f>
        <v>KONEKTOR/JUMPER</v>
      </c>
      <c r="Q259" s="4">
        <f>IFERROR(__xludf.DUMMYFUNCTION("""COMPUTED_VALUE"""),22.0)</f>
        <v>22</v>
      </c>
      <c r="R259" s="4">
        <f>IFERROR(__xludf.DUMMYFUNCTION("""COMPUTED_VALUE"""),8.0)</f>
        <v>8</v>
      </c>
      <c r="S259" s="4">
        <f>IFERROR(__xludf.DUMMYFUNCTION("""COMPUTED_VALUE"""),21.0)</f>
        <v>21</v>
      </c>
      <c r="T259" s="4"/>
      <c r="U259" s="4" t="str">
        <f>IFERROR(__xludf.DUMMYFUNCTION("""COMPUTED_VALUE"""),"KURANG")</f>
        <v>KURANG</v>
      </c>
      <c r="V259" s="4" t="str">
        <f>IFERROR(__xludf.DUMMYFUNCTION("""COMPUTED_VALUE"""),"Tidak Ada")</f>
        <v>Tidak Ada</v>
      </c>
      <c r="W259" s="4"/>
      <c r="X259" s="4"/>
      <c r="Y259" s="4"/>
      <c r="Z259" s="4"/>
      <c r="AA259" s="4"/>
      <c r="AB259" s="4"/>
      <c r="AC259" s="4" t="str">
        <f>IFERROR(__xludf.DUMMYFUNCTION("""COMPUTED_VALUE"""),"INSPEKSI SUTM - T2_Images/71be1c56.FOTO.155705.jpg")</f>
        <v>INSPEKSI SUTM - T2_Images/71be1c56.FOTO.155705.jpg</v>
      </c>
      <c r="AD259" s="4"/>
      <c r="AE259" s="4"/>
      <c r="AF259" s="4" t="str">
        <f>IFERROR(__xludf.DUMMYFUNCTION("""COMPUTED_VALUE"""),"BELUM")</f>
        <v>BELUM</v>
      </c>
      <c r="AG259" s="6">
        <f>IFERROR(__xludf.DUMMYFUNCTION("""COMPUTED_VALUE"""),46059.0)</f>
        <v>46059</v>
      </c>
      <c r="AH259" s="4"/>
      <c r="AI259" s="4"/>
    </row>
    <row r="260" ht="15.75" customHeight="1">
      <c r="A260" s="4" t="str">
        <f>IFERROR(__xludf.DUMMYFUNCTION("""COMPUTED_VALUE"""),"f7037500")</f>
        <v>f7037500</v>
      </c>
      <c r="B260" s="5">
        <f>IFERROR(__xludf.DUMMYFUNCTION("""COMPUTED_VALUE"""),46059.95861111111)</f>
        <v>46059.95861</v>
      </c>
      <c r="C260" s="4" t="str">
        <f>IFERROR(__xludf.DUMMYFUNCTION("""COMPUTED_VALUE"""),"-6.935152, 107.716912")</f>
        <v>-6.935152, 107.716912</v>
      </c>
      <c r="D260" s="4" t="str">
        <f>IFERROR(__xludf.DUMMYFUNCTION("""COMPUTED_VALUE"""),"Canra heri")</f>
        <v>Canra heri</v>
      </c>
      <c r="E260" s="4" t="str">
        <f>IFERROR(__xludf.DUMMYFUNCTION("""COMPUTED_VALUE"""),"BANDUNG")</f>
        <v>BANDUNG</v>
      </c>
      <c r="F260" s="4" t="str">
        <f>IFERROR(__xludf.DUMMYFUNCTION("""COMPUTED_VALUE"""),"UJUNGBERUNG")</f>
        <v>UJUNGBERUNG</v>
      </c>
      <c r="G260" s="4" t="str">
        <f>IFERROR(__xludf.DUMMYFUNCTION("""COMPUTED_VALUE"""),"UJUNGBERUNG")</f>
        <v>UJUNGBERUNG</v>
      </c>
      <c r="H260" s="4" t="str">
        <f>IFERROR(__xludf.DUMMYFUNCTION("""COMPUTED_VALUE"""),"CPDU")</f>
        <v>CPDU</v>
      </c>
      <c r="I260" s="4" t="str">
        <f>IFERROR(__xludf.DUMMYFUNCTION("""COMPUTED_VALUE"""),"REC CBUA - LBS MAN")</f>
        <v>REC CBUA - LBS MAN</v>
      </c>
      <c r="J260" s="4" t="str">
        <f>IFERROR(__xludf.DUMMYFUNCTION("""COMPUTED_VALUE"""),"ZONA 2")</f>
        <v>ZONA 2</v>
      </c>
      <c r="K260" s="4" t="str">
        <f>IFERROR(__xludf.DUMMYFUNCTION("""COMPUTED_VALUE"""),"046L02")</f>
        <v>046L02</v>
      </c>
      <c r="L260" s="4" t="str">
        <f>IFERROR(__xludf.DUMMYFUNCTION("""COMPUTED_VALUE"""),"TM - 7B/H (Afspan 90 Derajat)")</f>
        <v>TM - 7B/H (Afspan 90 Derajat)</v>
      </c>
      <c r="M260" s="4" t="str">
        <f>IFERROR(__xludf.DUMMYFUNCTION("""COMPUTED_VALUE"""),"Tidak Ada")</f>
        <v>Tidak Ada</v>
      </c>
      <c r="N260" s="4"/>
      <c r="O260" s="4" t="str">
        <f>IFERROR(__xludf.DUMMYFUNCTION("""COMPUTED_VALUE"""),"PEMBANDING SEJENIS")</f>
        <v>PEMBANDING SEJENIS</v>
      </c>
      <c r="P260" s="4" t="str">
        <f>IFERROR(__xludf.DUMMYFUNCTION("""COMPUTED_VALUE"""),"KONEKTOR/JUMPER")</f>
        <v>KONEKTOR/JUMPER</v>
      </c>
      <c r="Q260" s="4">
        <f>IFERROR(__xludf.DUMMYFUNCTION("""COMPUTED_VALUE"""),22.0)</f>
        <v>22</v>
      </c>
      <c r="R260" s="4">
        <f>IFERROR(__xludf.DUMMYFUNCTION("""COMPUTED_VALUE"""),21.0)</f>
        <v>21</v>
      </c>
      <c r="S260" s="4">
        <f>IFERROR(__xludf.DUMMYFUNCTION("""COMPUTED_VALUE"""),18.0)</f>
        <v>18</v>
      </c>
      <c r="T260" s="4"/>
      <c r="U260" s="4" t="str">
        <f>IFERROR(__xludf.DUMMYFUNCTION("""COMPUTED_VALUE"""),"CUKUP")</f>
        <v>CUKUP</v>
      </c>
      <c r="V260" s="4" t="str">
        <f>IFERROR(__xludf.DUMMYFUNCTION("""COMPUTED_VALUE"""),"Tidak Ada")</f>
        <v>Tidak Ada</v>
      </c>
      <c r="W260" s="4"/>
      <c r="X260" s="4"/>
      <c r="Y260" s="4"/>
      <c r="Z260" s="4"/>
      <c r="AA260" s="4"/>
      <c r="AB260" s="4"/>
      <c r="AC260" s="4" t="str">
        <f>IFERROR(__xludf.DUMMYFUNCTION("""COMPUTED_VALUE"""),"INSPEKSI SUTM - T2_Images/f7037500.FOTO.160119.jpg")</f>
        <v>INSPEKSI SUTM - T2_Images/f7037500.FOTO.160119.jpg</v>
      </c>
      <c r="AD260" s="4"/>
      <c r="AE260" s="4"/>
      <c r="AF260" s="4" t="str">
        <f>IFERROR(__xludf.DUMMYFUNCTION("""COMPUTED_VALUE"""),"BELUM")</f>
        <v>BELUM</v>
      </c>
      <c r="AG260" s="6">
        <f>IFERROR(__xludf.DUMMYFUNCTION("""COMPUTED_VALUE"""),46059.0)</f>
        <v>46059</v>
      </c>
      <c r="AH260" s="4"/>
      <c r="AI260" s="4"/>
    </row>
    <row r="261" ht="15.75" customHeight="1">
      <c r="A261" s="4" t="str">
        <f>IFERROR(__xludf.DUMMYFUNCTION("""COMPUTED_VALUE"""),"94c9f996")</f>
        <v>94c9f996</v>
      </c>
      <c r="B261" s="5">
        <f>IFERROR(__xludf.DUMMYFUNCTION("""COMPUTED_VALUE"""),46059.96189814815)</f>
        <v>46059.9619</v>
      </c>
      <c r="C261" s="4" t="str">
        <f>IFERROR(__xludf.DUMMYFUNCTION("""COMPUTED_VALUE"""),"-6.935218, 107.715380")</f>
        <v>-6.935218, 107.715380</v>
      </c>
      <c r="D261" s="4" t="str">
        <f>IFERROR(__xludf.DUMMYFUNCTION("""COMPUTED_VALUE"""),"Canra heri")</f>
        <v>Canra heri</v>
      </c>
      <c r="E261" s="4" t="str">
        <f>IFERROR(__xludf.DUMMYFUNCTION("""COMPUTED_VALUE"""),"BANDUNG")</f>
        <v>BANDUNG</v>
      </c>
      <c r="F261" s="4" t="str">
        <f>IFERROR(__xludf.DUMMYFUNCTION("""COMPUTED_VALUE"""),"UJUNGBERUNG")</f>
        <v>UJUNGBERUNG</v>
      </c>
      <c r="G261" s="4" t="str">
        <f>IFERROR(__xludf.DUMMYFUNCTION("""COMPUTED_VALUE"""),"UJUNGBERUNG")</f>
        <v>UJUNGBERUNG</v>
      </c>
      <c r="H261" s="4" t="str">
        <f>IFERROR(__xludf.DUMMYFUNCTION("""COMPUTED_VALUE"""),"CPDU")</f>
        <v>CPDU</v>
      </c>
      <c r="I261" s="4" t="str">
        <f>IFERROR(__xludf.DUMMYFUNCTION("""COMPUTED_VALUE"""),"REC CBUA - LBS MAN")</f>
        <v>REC CBUA - LBS MAN</v>
      </c>
      <c r="J261" s="4" t="str">
        <f>IFERROR(__xludf.DUMMYFUNCTION("""COMPUTED_VALUE"""),"ZONA 2")</f>
        <v>ZONA 2</v>
      </c>
      <c r="K261" s="4" t="str">
        <f>IFERROR(__xludf.DUMMYFUNCTION("""COMPUTED_VALUE"""),"046L08")</f>
        <v>046L08</v>
      </c>
      <c r="L261" s="4" t="str">
        <f>IFERROR(__xludf.DUMMYFUNCTION("""COMPUTED_VALUE"""),"TM - 8B/H (Percabangan)")</f>
        <v>TM - 8B/H (Percabangan)</v>
      </c>
      <c r="M261" s="4" t="str">
        <f>IFERROR(__xludf.DUMMYFUNCTION("""COMPUTED_VALUE"""),"Tidak Ada")</f>
        <v>Tidak Ada</v>
      </c>
      <c r="N261" s="4"/>
      <c r="O261" s="4" t="str">
        <f>IFERROR(__xludf.DUMMYFUNCTION("""COMPUTED_VALUE"""),"PEMBANDING SEJENIS")</f>
        <v>PEMBANDING SEJENIS</v>
      </c>
      <c r="P261" s="4" t="str">
        <f>IFERROR(__xludf.DUMMYFUNCTION("""COMPUTED_VALUE"""),"KONEKTOR/JUMPER")</f>
        <v>KONEKTOR/JUMPER</v>
      </c>
      <c r="Q261" s="4">
        <f>IFERROR(__xludf.DUMMYFUNCTION("""COMPUTED_VALUE"""),22.0)</f>
        <v>22</v>
      </c>
      <c r="R261" s="4">
        <f>IFERROR(__xludf.DUMMYFUNCTION("""COMPUTED_VALUE"""),18.0)</f>
        <v>18</v>
      </c>
      <c r="S261" s="4">
        <f>IFERROR(__xludf.DUMMYFUNCTION("""COMPUTED_VALUE"""),20.0)</f>
        <v>20</v>
      </c>
      <c r="T261" s="4"/>
      <c r="U261" s="4" t="str">
        <f>IFERROR(__xludf.DUMMYFUNCTION("""COMPUTED_VALUE"""),"CUKUP")</f>
        <v>CUKUP</v>
      </c>
      <c r="V261" s="4" t="str">
        <f>IFERROR(__xludf.DUMMYFUNCTION("""COMPUTED_VALUE"""),"Tidak Ada")</f>
        <v>Tidak Ada</v>
      </c>
      <c r="W261" s="4"/>
      <c r="X261" s="4"/>
      <c r="Y261" s="4"/>
      <c r="Z261" s="4"/>
      <c r="AA261" s="4"/>
      <c r="AB261" s="4"/>
      <c r="AC261" s="4" t="str">
        <f>IFERROR(__xludf.DUMMYFUNCTION("""COMPUTED_VALUE"""),"INSPEKSI SUTM - T2_Images/94c9f996.FOTO.160615.jpg")</f>
        <v>INSPEKSI SUTM - T2_Images/94c9f996.FOTO.160615.jpg</v>
      </c>
      <c r="AD261" s="4"/>
      <c r="AE261" s="4"/>
      <c r="AF261" s="4" t="str">
        <f>IFERROR(__xludf.DUMMYFUNCTION("""COMPUTED_VALUE"""),"BELUM")</f>
        <v>BELUM</v>
      </c>
      <c r="AG261" s="6">
        <f>IFERROR(__xludf.DUMMYFUNCTION("""COMPUTED_VALUE"""),46059.0)</f>
        <v>46059</v>
      </c>
      <c r="AH261" s="4"/>
      <c r="AI261" s="4"/>
    </row>
    <row r="262" ht="15.75" customHeight="1">
      <c r="A262" s="4" t="str">
        <f>IFERROR(__xludf.DUMMYFUNCTION("""COMPUTED_VALUE"""),"2f5dd54e")</f>
        <v>2f5dd54e</v>
      </c>
      <c r="B262" s="5">
        <f>IFERROR(__xludf.DUMMYFUNCTION("""COMPUTED_VALUE"""),46059.963368055556)</f>
        <v>46059.96337</v>
      </c>
      <c r="C262" s="4" t="str">
        <f>IFERROR(__xludf.DUMMYFUNCTION("""COMPUTED_VALUE"""),"-6.931727, 107.714109")</f>
        <v>-6.931727, 107.714109</v>
      </c>
      <c r="D262" s="4" t="str">
        <f>IFERROR(__xludf.DUMMYFUNCTION("""COMPUTED_VALUE"""),"Canra heri")</f>
        <v>Canra heri</v>
      </c>
      <c r="E262" s="4" t="str">
        <f>IFERROR(__xludf.DUMMYFUNCTION("""COMPUTED_VALUE"""),"BANDUNG")</f>
        <v>BANDUNG</v>
      </c>
      <c r="F262" s="4" t="str">
        <f>IFERROR(__xludf.DUMMYFUNCTION("""COMPUTED_VALUE"""),"UJUNGBERUNG")</f>
        <v>UJUNGBERUNG</v>
      </c>
      <c r="G262" s="4" t="str">
        <f>IFERROR(__xludf.DUMMYFUNCTION("""COMPUTED_VALUE"""),"UJUNGBERUNG")</f>
        <v>UJUNGBERUNG</v>
      </c>
      <c r="H262" s="4" t="str">
        <f>IFERROR(__xludf.DUMMYFUNCTION("""COMPUTED_VALUE"""),"CPDU")</f>
        <v>CPDU</v>
      </c>
      <c r="I262" s="4" t="str">
        <f>IFERROR(__xludf.DUMMYFUNCTION("""COMPUTED_VALUE"""),"REC CBUA - LBS MAN")</f>
        <v>REC CBUA - LBS MAN</v>
      </c>
      <c r="J262" s="4" t="str">
        <f>IFERROR(__xludf.DUMMYFUNCTION("""COMPUTED_VALUE"""),"ZONA 2")</f>
        <v>ZONA 2</v>
      </c>
      <c r="K262" s="4" t="str">
        <f>IFERROR(__xludf.DUMMYFUNCTION("""COMPUTED_VALUE"""),"057")</f>
        <v>057</v>
      </c>
      <c r="L262" s="4" t="str">
        <f>IFERROR(__xludf.DUMMYFUNCTION("""COMPUTED_VALUE"""),"TM - 8B/H (Percabangan)")</f>
        <v>TM - 8B/H (Percabangan)</v>
      </c>
      <c r="M262" s="4" t="str">
        <f>IFERROR(__xludf.DUMMYFUNCTION("""COMPUTED_VALUE"""),"Tidak Ada")</f>
        <v>Tidak Ada</v>
      </c>
      <c r="N262" s="4"/>
      <c r="O262" s="4" t="str">
        <f>IFERROR(__xludf.DUMMYFUNCTION("""COMPUTED_VALUE"""),"PEMBANDING SEJENIS")</f>
        <v>PEMBANDING SEJENIS</v>
      </c>
      <c r="P262" s="4" t="str">
        <f>IFERROR(__xludf.DUMMYFUNCTION("""COMPUTED_VALUE"""),"KONEKTOR/JUMPER")</f>
        <v>KONEKTOR/JUMPER</v>
      </c>
      <c r="Q262" s="4">
        <f>IFERROR(__xludf.DUMMYFUNCTION("""COMPUTED_VALUE"""),19.0)</f>
        <v>19</v>
      </c>
      <c r="R262" s="4">
        <f>IFERROR(__xludf.DUMMYFUNCTION("""COMPUTED_VALUE"""),20.0)</f>
        <v>20</v>
      </c>
      <c r="S262" s="4">
        <f>IFERROR(__xludf.DUMMYFUNCTION("""COMPUTED_VALUE"""),22.0)</f>
        <v>22</v>
      </c>
      <c r="T262" s="4"/>
      <c r="U262" s="4" t="str">
        <f>IFERROR(__xludf.DUMMYFUNCTION("""COMPUTED_VALUE"""),"CUKUP")</f>
        <v>CUKUP</v>
      </c>
      <c r="V262" s="4" t="str">
        <f>IFERROR(__xludf.DUMMYFUNCTION("""COMPUTED_VALUE"""),"Tidak Ada")</f>
        <v>Tidak Ada</v>
      </c>
      <c r="W262" s="4"/>
      <c r="X262" s="4"/>
      <c r="Y262" s="4"/>
      <c r="Z262" s="4"/>
      <c r="AA262" s="4"/>
      <c r="AB262" s="4"/>
      <c r="AC262" s="4" t="str">
        <f>IFERROR(__xludf.DUMMYFUNCTION("""COMPUTED_VALUE"""),"INSPEKSI SUTM - T2_Images/2f5dd54e.FOTO.160917.jpg")</f>
        <v>INSPEKSI SUTM - T2_Images/2f5dd54e.FOTO.160917.jpg</v>
      </c>
      <c r="AD262" s="4"/>
      <c r="AE262" s="4"/>
      <c r="AF262" s="4" t="str">
        <f>IFERROR(__xludf.DUMMYFUNCTION("""COMPUTED_VALUE"""),"BELUM")</f>
        <v>BELUM</v>
      </c>
      <c r="AG262" s="6">
        <f>IFERROR(__xludf.DUMMYFUNCTION("""COMPUTED_VALUE"""),46059.0)</f>
        <v>46059</v>
      </c>
      <c r="AH262" s="4"/>
      <c r="AI262" s="4"/>
    </row>
    <row r="263" ht="15.75" customHeight="1">
      <c r="A263" s="4" t="str">
        <f>IFERROR(__xludf.DUMMYFUNCTION("""COMPUTED_VALUE"""),"88176c7b")</f>
        <v>88176c7b</v>
      </c>
      <c r="B263" s="5">
        <f>IFERROR(__xludf.DUMMYFUNCTION("""COMPUTED_VALUE"""),46059.9656712963)</f>
        <v>46059.96567</v>
      </c>
      <c r="C263" s="4" t="str">
        <f>IFERROR(__xludf.DUMMYFUNCTION("""COMPUTED_VALUE"""),"-6.930368, 107.714701")</f>
        <v>-6.930368, 107.714701</v>
      </c>
      <c r="D263" s="4" t="str">
        <f>IFERROR(__xludf.DUMMYFUNCTION("""COMPUTED_VALUE"""),"Canra heri")</f>
        <v>Canra heri</v>
      </c>
      <c r="E263" s="4" t="str">
        <f>IFERROR(__xludf.DUMMYFUNCTION("""COMPUTED_VALUE"""),"BANDUNG")</f>
        <v>BANDUNG</v>
      </c>
      <c r="F263" s="4" t="str">
        <f>IFERROR(__xludf.DUMMYFUNCTION("""COMPUTED_VALUE"""),"UJUNGBERUNG")</f>
        <v>UJUNGBERUNG</v>
      </c>
      <c r="G263" s="4" t="str">
        <f>IFERROR(__xludf.DUMMYFUNCTION("""COMPUTED_VALUE"""),"UJUNGBERUNG")</f>
        <v>UJUNGBERUNG</v>
      </c>
      <c r="H263" s="4" t="str">
        <f>IFERROR(__xludf.DUMMYFUNCTION("""COMPUTED_VALUE"""),"CPDU")</f>
        <v>CPDU</v>
      </c>
      <c r="I263" s="4" t="str">
        <f>IFERROR(__xludf.DUMMYFUNCTION("""COMPUTED_VALUE"""),"REC CBUA - LBS MAN")</f>
        <v>REC CBUA - LBS MAN</v>
      </c>
      <c r="J263" s="4" t="str">
        <f>IFERROR(__xludf.DUMMYFUNCTION("""COMPUTED_VALUE"""),"ZONA 2")</f>
        <v>ZONA 2</v>
      </c>
      <c r="K263" s="4" t="str">
        <f>IFERROR(__xludf.DUMMYFUNCTION("""COMPUTED_VALUE"""),"057R04")</f>
        <v>057R04</v>
      </c>
      <c r="L263" s="4" t="str">
        <f>IFERROR(__xludf.DUMMYFUNCTION("""COMPUTED_VALUE"""),"TM - 8B/H (Percabangan)")</f>
        <v>TM - 8B/H (Percabangan)</v>
      </c>
      <c r="M263" s="4" t="str">
        <f>IFERROR(__xludf.DUMMYFUNCTION("""COMPUTED_VALUE"""),"Tidak Ada")</f>
        <v>Tidak Ada</v>
      </c>
      <c r="N263" s="4"/>
      <c r="O263" s="4" t="str">
        <f>IFERROR(__xludf.DUMMYFUNCTION("""COMPUTED_VALUE"""),"PEMBANDING SEJENIS")</f>
        <v>PEMBANDING SEJENIS</v>
      </c>
      <c r="P263" s="4" t="str">
        <f>IFERROR(__xludf.DUMMYFUNCTION("""COMPUTED_VALUE"""),"KONEKTOR/JUMPER")</f>
        <v>KONEKTOR/JUMPER</v>
      </c>
      <c r="Q263" s="4">
        <f>IFERROR(__xludf.DUMMYFUNCTION("""COMPUTED_VALUE"""),23.0)</f>
        <v>23</v>
      </c>
      <c r="R263" s="4">
        <f>IFERROR(__xludf.DUMMYFUNCTION("""COMPUTED_VALUE"""),23.0)</f>
        <v>23</v>
      </c>
      <c r="S263" s="4">
        <f>IFERROR(__xludf.DUMMYFUNCTION("""COMPUTED_VALUE"""),24.0)</f>
        <v>24</v>
      </c>
      <c r="T263" s="4"/>
      <c r="U263" s="4" t="str">
        <f>IFERROR(__xludf.DUMMYFUNCTION("""COMPUTED_VALUE"""),"BAIK")</f>
        <v>BAIK</v>
      </c>
      <c r="V263" s="4" t="str">
        <f>IFERROR(__xludf.DUMMYFUNCTION("""COMPUTED_VALUE"""),"Tidak Ada")</f>
        <v>Tidak Ada</v>
      </c>
      <c r="W263" s="4"/>
      <c r="X263" s="4"/>
      <c r="Y263" s="4"/>
      <c r="Z263" s="4"/>
      <c r="AA263" s="4"/>
      <c r="AB263" s="4"/>
      <c r="AC263" s="4" t="str">
        <f>IFERROR(__xludf.DUMMYFUNCTION("""COMPUTED_VALUE"""),"INSPEKSI SUTM - T2_Images/88176c7b.FOTO.161127.jpg")</f>
        <v>INSPEKSI SUTM - T2_Images/88176c7b.FOTO.161127.jpg</v>
      </c>
      <c r="AD263" s="4"/>
      <c r="AE263" s="4"/>
      <c r="AF263" s="4" t="str">
        <f>IFERROR(__xludf.DUMMYFUNCTION("""COMPUTED_VALUE"""),"BELUM")</f>
        <v>BELUM</v>
      </c>
      <c r="AG263" s="6">
        <f>IFERROR(__xludf.DUMMYFUNCTION("""COMPUTED_VALUE"""),46059.0)</f>
        <v>46059</v>
      </c>
      <c r="AH263" s="4"/>
      <c r="AI263" s="4"/>
    </row>
    <row r="264" ht="15.75" customHeight="1">
      <c r="A264" s="4" t="str">
        <f>IFERROR(__xludf.DUMMYFUNCTION("""COMPUTED_VALUE"""),"4854b58e")</f>
        <v>4854b58e</v>
      </c>
      <c r="B264" s="5">
        <f>IFERROR(__xludf.DUMMYFUNCTION("""COMPUTED_VALUE"""),46059.96697916667)</f>
        <v>46059.96698</v>
      </c>
      <c r="C264" s="4" t="str">
        <f>IFERROR(__xludf.DUMMYFUNCTION("""COMPUTED_VALUE"""),"-6.928141, 107.716264")</f>
        <v>-6.928141, 107.716264</v>
      </c>
      <c r="D264" s="4" t="str">
        <f>IFERROR(__xludf.DUMMYFUNCTION("""COMPUTED_VALUE"""),"Canra heri")</f>
        <v>Canra heri</v>
      </c>
      <c r="E264" s="4" t="str">
        <f>IFERROR(__xludf.DUMMYFUNCTION("""COMPUTED_VALUE"""),"BANDUNG")</f>
        <v>BANDUNG</v>
      </c>
      <c r="F264" s="4" t="str">
        <f>IFERROR(__xludf.DUMMYFUNCTION("""COMPUTED_VALUE"""),"UJUNGBERUNG")</f>
        <v>UJUNGBERUNG</v>
      </c>
      <c r="G264" s="4" t="str">
        <f>IFERROR(__xludf.DUMMYFUNCTION("""COMPUTED_VALUE"""),"UJUNGBERUNG")</f>
        <v>UJUNGBERUNG</v>
      </c>
      <c r="H264" s="4" t="str">
        <f>IFERROR(__xludf.DUMMYFUNCTION("""COMPUTED_VALUE"""),"CPDU")</f>
        <v>CPDU</v>
      </c>
      <c r="I264" s="4" t="str">
        <f>IFERROR(__xludf.DUMMYFUNCTION("""COMPUTED_VALUE"""),"REC CBUA - LBS MAN")</f>
        <v>REC CBUA - LBS MAN</v>
      </c>
      <c r="J264" s="4" t="str">
        <f>IFERROR(__xludf.DUMMYFUNCTION("""COMPUTED_VALUE"""),"ZONA 2")</f>
        <v>ZONA 2</v>
      </c>
      <c r="K264" s="4" t="str">
        <f>IFERROR(__xludf.DUMMYFUNCTION("""COMPUTED_VALUE"""),"057R012")</f>
        <v>057R012</v>
      </c>
      <c r="L264" s="4" t="str">
        <f>IFERROR(__xludf.DUMMYFUNCTION("""COMPUTED_VALUE"""),"TM - 8B/H (Percabangan)")</f>
        <v>TM - 8B/H (Percabangan)</v>
      </c>
      <c r="M264" s="4" t="str">
        <f>IFERROR(__xludf.DUMMYFUNCTION("""COMPUTED_VALUE"""),"Tidak Ada")</f>
        <v>Tidak Ada</v>
      </c>
      <c r="N264" s="4"/>
      <c r="O264" s="4" t="str">
        <f>IFERROR(__xludf.DUMMYFUNCTION("""COMPUTED_VALUE"""),"PEMBANDING SEJENIS")</f>
        <v>PEMBANDING SEJENIS</v>
      </c>
      <c r="P264" s="4" t="str">
        <f>IFERROR(__xludf.DUMMYFUNCTION("""COMPUTED_VALUE"""),"KONEKTOR/JUMPER")</f>
        <v>KONEKTOR/JUMPER</v>
      </c>
      <c r="Q264" s="4">
        <f>IFERROR(__xludf.DUMMYFUNCTION("""COMPUTED_VALUE"""),24.0)</f>
        <v>24</v>
      </c>
      <c r="R264" s="4">
        <f>IFERROR(__xludf.DUMMYFUNCTION("""COMPUTED_VALUE"""),25.0)</f>
        <v>25</v>
      </c>
      <c r="S264" s="4">
        <f>IFERROR(__xludf.DUMMYFUNCTION("""COMPUTED_VALUE"""),25.0)</f>
        <v>25</v>
      </c>
      <c r="T264" s="4"/>
      <c r="U264" s="4" t="str">
        <f>IFERROR(__xludf.DUMMYFUNCTION("""COMPUTED_VALUE"""),"BAIK")</f>
        <v>BAIK</v>
      </c>
      <c r="V264" s="4" t="str">
        <f>IFERROR(__xludf.DUMMYFUNCTION("""COMPUTED_VALUE"""),"Tidak Ada")</f>
        <v>Tidak Ada</v>
      </c>
      <c r="W264" s="4"/>
      <c r="X264" s="4"/>
      <c r="Y264" s="4"/>
      <c r="Z264" s="4"/>
      <c r="AA264" s="4"/>
      <c r="AB264" s="4"/>
      <c r="AC264" s="4" t="str">
        <f>IFERROR(__xludf.DUMMYFUNCTION("""COMPUTED_VALUE"""),"INSPEKSI SUTM - T2_Images/4854b58e.FOTO.161314.jpg")</f>
        <v>INSPEKSI SUTM - T2_Images/4854b58e.FOTO.161314.jpg</v>
      </c>
      <c r="AD264" s="4"/>
      <c r="AE264" s="4"/>
      <c r="AF264" s="4" t="str">
        <f>IFERROR(__xludf.DUMMYFUNCTION("""COMPUTED_VALUE"""),"BELUM")</f>
        <v>BELUM</v>
      </c>
      <c r="AG264" s="6">
        <f>IFERROR(__xludf.DUMMYFUNCTION("""COMPUTED_VALUE"""),46059.0)</f>
        <v>46059</v>
      </c>
      <c r="AH264" s="4"/>
      <c r="AI264" s="4"/>
    </row>
    <row r="265" ht="15.75" customHeight="1">
      <c r="A265" s="4" t="str">
        <f>IFERROR(__xludf.DUMMYFUNCTION("""COMPUTED_VALUE"""),"ca167b45")</f>
        <v>ca167b45</v>
      </c>
      <c r="B265" s="5">
        <f>IFERROR(__xludf.DUMMYFUNCTION("""COMPUTED_VALUE"""),46059.96959490741)</f>
        <v>46059.96959</v>
      </c>
      <c r="C265" s="4" t="str">
        <f>IFERROR(__xludf.DUMMYFUNCTION("""COMPUTED_VALUE"""),"-6.927572, 107.715543")</f>
        <v>-6.927572, 107.715543</v>
      </c>
      <c r="D265" s="4" t="str">
        <f>IFERROR(__xludf.DUMMYFUNCTION("""COMPUTED_VALUE"""),"Canra heri")</f>
        <v>Canra heri</v>
      </c>
      <c r="E265" s="4" t="str">
        <f>IFERROR(__xludf.DUMMYFUNCTION("""COMPUTED_VALUE"""),"BANDUNG")</f>
        <v>BANDUNG</v>
      </c>
      <c r="F265" s="4" t="str">
        <f>IFERROR(__xludf.DUMMYFUNCTION("""COMPUTED_VALUE"""),"UJUNGBERUNG")</f>
        <v>UJUNGBERUNG</v>
      </c>
      <c r="G265" s="4" t="str">
        <f>IFERROR(__xludf.DUMMYFUNCTION("""COMPUTED_VALUE"""),"UJUNGBERUNG")</f>
        <v>UJUNGBERUNG</v>
      </c>
      <c r="H265" s="4" t="str">
        <f>IFERROR(__xludf.DUMMYFUNCTION("""COMPUTED_VALUE"""),"CPDU")</f>
        <v>CPDU</v>
      </c>
      <c r="I265" s="4" t="str">
        <f>IFERROR(__xludf.DUMMYFUNCTION("""COMPUTED_VALUE"""),"REC CBUA - LBS MAN")</f>
        <v>REC CBUA - LBS MAN</v>
      </c>
      <c r="J265" s="4" t="str">
        <f>IFERROR(__xludf.DUMMYFUNCTION("""COMPUTED_VALUE"""),"ZONA 2")</f>
        <v>ZONA 2</v>
      </c>
      <c r="K265" s="4" t="str">
        <f>IFERROR(__xludf.DUMMYFUNCTION("""COMPUTED_VALUE"""),"057R012L04")</f>
        <v>057R012L04</v>
      </c>
      <c r="L265" s="4" t="str">
        <f>IFERROR(__xludf.DUMMYFUNCTION("""COMPUTED_VALUE"""),"TM - 14B/H (Akhir)")</f>
        <v>TM - 14B/H (Akhir)</v>
      </c>
      <c r="M265" s="4" t="str">
        <f>IFERROR(__xludf.DUMMYFUNCTION("""COMPUTED_VALUE"""),"Tidak Ada")</f>
        <v>Tidak Ada</v>
      </c>
      <c r="N265" s="4"/>
      <c r="O265" s="4" t="str">
        <f>IFERROR(__xludf.DUMMYFUNCTION("""COMPUTED_VALUE"""),"PEMBANDING SEJENIS")</f>
        <v>PEMBANDING SEJENIS</v>
      </c>
      <c r="P265" s="4" t="str">
        <f>IFERROR(__xludf.DUMMYFUNCTION("""COMPUTED_VALUE"""),"KONEKTOR/JUMPER")</f>
        <v>KONEKTOR/JUMPER</v>
      </c>
      <c r="Q265" s="4">
        <f>IFERROR(__xludf.DUMMYFUNCTION("""COMPUTED_VALUE"""),22.0)</f>
        <v>22</v>
      </c>
      <c r="R265" s="4">
        <f>IFERROR(__xludf.DUMMYFUNCTION("""COMPUTED_VALUE"""),22.0)</f>
        <v>22</v>
      </c>
      <c r="S265" s="4">
        <f>IFERROR(__xludf.DUMMYFUNCTION("""COMPUTED_VALUE"""),23.0)</f>
        <v>23</v>
      </c>
      <c r="T265" s="4"/>
      <c r="U265" s="4" t="str">
        <f>IFERROR(__xludf.DUMMYFUNCTION("""COMPUTED_VALUE"""),"BAIK")</f>
        <v>BAIK</v>
      </c>
      <c r="V265" s="4" t="str">
        <f>IFERROR(__xludf.DUMMYFUNCTION("""COMPUTED_VALUE"""),"Tidak Ada")</f>
        <v>Tidak Ada</v>
      </c>
      <c r="W265" s="4"/>
      <c r="X265" s="4"/>
      <c r="Y265" s="4"/>
      <c r="Z265" s="4"/>
      <c r="AA265" s="4"/>
      <c r="AB265" s="4"/>
      <c r="AC265" s="4" t="str">
        <f>IFERROR(__xludf.DUMMYFUNCTION("""COMPUTED_VALUE"""),"INSPEKSI SUTM - T2_Images/ca167b45.FOTO.161700.jpg")</f>
        <v>INSPEKSI SUTM - T2_Images/ca167b45.FOTO.161700.jpg</v>
      </c>
      <c r="AD265" s="4"/>
      <c r="AE265" s="4"/>
      <c r="AF265" s="4" t="str">
        <f>IFERROR(__xludf.DUMMYFUNCTION("""COMPUTED_VALUE"""),"BELUM")</f>
        <v>BELUM</v>
      </c>
      <c r="AG265" s="6">
        <f>IFERROR(__xludf.DUMMYFUNCTION("""COMPUTED_VALUE"""),46059.0)</f>
        <v>46059</v>
      </c>
      <c r="AH265" s="4"/>
      <c r="AI265" s="4"/>
    </row>
    <row r="266" ht="15.75" customHeight="1">
      <c r="A266" s="4" t="str">
        <f>IFERROR(__xludf.DUMMYFUNCTION("""COMPUTED_VALUE"""),"bcba7b86")</f>
        <v>bcba7b86</v>
      </c>
      <c r="B266" s="5">
        <f>IFERROR(__xludf.DUMMYFUNCTION("""COMPUTED_VALUE"""),46059.970821759256)</f>
        <v>46059.97082</v>
      </c>
      <c r="C266" s="4" t="str">
        <f>IFERROR(__xludf.DUMMYFUNCTION("""COMPUTED_VALUE"""),"-6.927933, 107.716415")</f>
        <v>-6.927933, 107.716415</v>
      </c>
      <c r="D266" s="4" t="str">
        <f>IFERROR(__xludf.DUMMYFUNCTION("""COMPUTED_VALUE"""),"Canra heri")</f>
        <v>Canra heri</v>
      </c>
      <c r="E266" s="4" t="str">
        <f>IFERROR(__xludf.DUMMYFUNCTION("""COMPUTED_VALUE"""),"BANDUNG")</f>
        <v>BANDUNG</v>
      </c>
      <c r="F266" s="4" t="str">
        <f>IFERROR(__xludf.DUMMYFUNCTION("""COMPUTED_VALUE"""),"UJUNGBERUNG")</f>
        <v>UJUNGBERUNG</v>
      </c>
      <c r="G266" s="4" t="str">
        <f>IFERROR(__xludf.DUMMYFUNCTION("""COMPUTED_VALUE"""),"UJUNGBERUNG")</f>
        <v>UJUNGBERUNG</v>
      </c>
      <c r="H266" s="4" t="str">
        <f>IFERROR(__xludf.DUMMYFUNCTION("""COMPUTED_VALUE"""),"CPDU")</f>
        <v>CPDU</v>
      </c>
      <c r="I266" s="4" t="str">
        <f>IFERROR(__xludf.DUMMYFUNCTION("""COMPUTED_VALUE"""),"REC CBUA - LBS MAN")</f>
        <v>REC CBUA - LBS MAN</v>
      </c>
      <c r="J266" s="4" t="str">
        <f>IFERROR(__xludf.DUMMYFUNCTION("""COMPUTED_VALUE"""),"ZONA 2")</f>
        <v>ZONA 2</v>
      </c>
      <c r="K266" s="4" t="str">
        <f>IFERROR(__xludf.DUMMYFUNCTION("""COMPUTED_VALUE"""),"057R013")</f>
        <v>057R013</v>
      </c>
      <c r="L266" s="4" t="str">
        <f>IFERROR(__xludf.DUMMYFUNCTION("""COMPUTED_VALUE"""),"TM - 8B/H (Percabangan)")</f>
        <v>TM - 8B/H (Percabangan)</v>
      </c>
      <c r="M266" s="4" t="str">
        <f>IFERROR(__xludf.DUMMYFUNCTION("""COMPUTED_VALUE"""),"Tidak Ada")</f>
        <v>Tidak Ada</v>
      </c>
      <c r="N266" s="4"/>
      <c r="O266" s="4" t="str">
        <f>IFERROR(__xludf.DUMMYFUNCTION("""COMPUTED_VALUE"""),"PEMBANDING SEJENIS")</f>
        <v>PEMBANDING SEJENIS</v>
      </c>
      <c r="P266" s="4" t="str">
        <f>IFERROR(__xludf.DUMMYFUNCTION("""COMPUTED_VALUE"""),"KONEKTOR/JUMPER")</f>
        <v>KONEKTOR/JUMPER</v>
      </c>
      <c r="Q266" s="4">
        <f>IFERROR(__xludf.DUMMYFUNCTION("""COMPUTED_VALUE"""),23.0)</f>
        <v>23</v>
      </c>
      <c r="R266" s="4">
        <f>IFERROR(__xludf.DUMMYFUNCTION("""COMPUTED_VALUE"""),24.0)</f>
        <v>24</v>
      </c>
      <c r="S266" s="4">
        <f>IFERROR(__xludf.DUMMYFUNCTION("""COMPUTED_VALUE"""),22.0)</f>
        <v>22</v>
      </c>
      <c r="T266" s="4"/>
      <c r="U266" s="4" t="str">
        <f>IFERROR(__xludf.DUMMYFUNCTION("""COMPUTED_VALUE"""),"BAIK")</f>
        <v>BAIK</v>
      </c>
      <c r="V266" s="4" t="str">
        <f>IFERROR(__xludf.DUMMYFUNCTION("""COMPUTED_VALUE"""),"Tidak Ada")</f>
        <v>Tidak Ada</v>
      </c>
      <c r="W266" s="4"/>
      <c r="X266" s="4"/>
      <c r="Y266" s="4"/>
      <c r="Z266" s="4"/>
      <c r="AA266" s="4"/>
      <c r="AB266" s="4"/>
      <c r="AC266" s="4" t="str">
        <f>IFERROR(__xludf.DUMMYFUNCTION("""COMPUTED_VALUE"""),"INSPEKSI SUTM - T2_Images/bcba7b86.FOTO.161903.jpg")</f>
        <v>INSPEKSI SUTM - T2_Images/bcba7b86.FOTO.161903.jpg</v>
      </c>
      <c r="AD266" s="4"/>
      <c r="AE266" s="4"/>
      <c r="AF266" s="4" t="str">
        <f>IFERROR(__xludf.DUMMYFUNCTION("""COMPUTED_VALUE"""),"BELUM")</f>
        <v>BELUM</v>
      </c>
      <c r="AG266" s="6">
        <f>IFERROR(__xludf.DUMMYFUNCTION("""COMPUTED_VALUE"""),46059.0)</f>
        <v>46059</v>
      </c>
      <c r="AH266" s="4"/>
      <c r="AI266" s="4"/>
    </row>
    <row r="267" ht="15.75" customHeight="1">
      <c r="A267" s="4" t="str">
        <f>IFERROR(__xludf.DUMMYFUNCTION("""COMPUTED_VALUE"""),"6f3de01e")</f>
        <v>6f3de01e</v>
      </c>
      <c r="B267" s="5">
        <f>IFERROR(__xludf.DUMMYFUNCTION("""COMPUTED_VALUE"""),46059.97230324074)</f>
        <v>46059.9723</v>
      </c>
      <c r="C267" s="4" t="str">
        <f>IFERROR(__xludf.DUMMYFUNCTION("""COMPUTED_VALUE"""),"-6.925839, 107.718004")</f>
        <v>-6.925839, 107.718004</v>
      </c>
      <c r="D267" s="4" t="str">
        <f>IFERROR(__xludf.DUMMYFUNCTION("""COMPUTED_VALUE"""),"Canra heri")</f>
        <v>Canra heri</v>
      </c>
      <c r="E267" s="4" t="str">
        <f>IFERROR(__xludf.DUMMYFUNCTION("""COMPUTED_VALUE"""),"BANDUNG")</f>
        <v>BANDUNG</v>
      </c>
      <c r="F267" s="4" t="str">
        <f>IFERROR(__xludf.DUMMYFUNCTION("""COMPUTED_VALUE"""),"UJUNGBERUNG")</f>
        <v>UJUNGBERUNG</v>
      </c>
      <c r="G267" s="4" t="str">
        <f>IFERROR(__xludf.DUMMYFUNCTION("""COMPUTED_VALUE"""),"UJUNGBERUNG")</f>
        <v>UJUNGBERUNG</v>
      </c>
      <c r="H267" s="4" t="str">
        <f>IFERROR(__xludf.DUMMYFUNCTION("""COMPUTED_VALUE"""),"CPDU")</f>
        <v>CPDU</v>
      </c>
      <c r="I267" s="4" t="str">
        <f>IFERROR(__xludf.DUMMYFUNCTION("""COMPUTED_VALUE"""),"REC CBUA - LBS MAN")</f>
        <v>REC CBUA - LBS MAN</v>
      </c>
      <c r="J267" s="4" t="str">
        <f>IFERROR(__xludf.DUMMYFUNCTION("""COMPUTED_VALUE"""),"ZONA 2")</f>
        <v>ZONA 2</v>
      </c>
      <c r="K267" s="4" t="str">
        <f>IFERROR(__xludf.DUMMYFUNCTION("""COMPUTED_VALUE"""),"057R020")</f>
        <v>057R020</v>
      </c>
      <c r="L267" s="4" t="str">
        <f>IFERROR(__xludf.DUMMYFUNCTION("""COMPUTED_VALUE"""),"TM - 8B/H (Percabangan)")</f>
        <v>TM - 8B/H (Percabangan)</v>
      </c>
      <c r="M267" s="4" t="str">
        <f>IFERROR(__xludf.DUMMYFUNCTION("""COMPUTED_VALUE"""),"Tidak Ada")</f>
        <v>Tidak Ada</v>
      </c>
      <c r="N267" s="4"/>
      <c r="O267" s="4" t="str">
        <f>IFERROR(__xludf.DUMMYFUNCTION("""COMPUTED_VALUE"""),"PEMBANDING SEJENIS")</f>
        <v>PEMBANDING SEJENIS</v>
      </c>
      <c r="P267" s="4" t="str">
        <f>IFERROR(__xludf.DUMMYFUNCTION("""COMPUTED_VALUE"""),"KONEKTOR/JUMPER")</f>
        <v>KONEKTOR/JUMPER</v>
      </c>
      <c r="Q267" s="4">
        <f>IFERROR(__xludf.DUMMYFUNCTION("""COMPUTED_VALUE"""),24.0)</f>
        <v>24</v>
      </c>
      <c r="R267" s="4">
        <f>IFERROR(__xludf.DUMMYFUNCTION("""COMPUTED_VALUE"""),23.0)</f>
        <v>23</v>
      </c>
      <c r="S267" s="4">
        <f>IFERROR(__xludf.DUMMYFUNCTION("""COMPUTED_VALUE"""),23.0)</f>
        <v>23</v>
      </c>
      <c r="T267" s="4"/>
      <c r="U267" s="4" t="str">
        <f>IFERROR(__xludf.DUMMYFUNCTION("""COMPUTED_VALUE"""),"BAIK")</f>
        <v>BAIK</v>
      </c>
      <c r="V267" s="4" t="str">
        <f>IFERROR(__xludf.DUMMYFUNCTION("""COMPUTED_VALUE"""),"Tidak Ada")</f>
        <v>Tidak Ada</v>
      </c>
      <c r="W267" s="4"/>
      <c r="X267" s="4"/>
      <c r="Y267" s="4"/>
      <c r="Z267" s="4"/>
      <c r="AA267" s="4"/>
      <c r="AB267" s="4"/>
      <c r="AC267" s="4" t="str">
        <f>IFERROR(__xludf.DUMMYFUNCTION("""COMPUTED_VALUE"""),"INSPEKSI SUTM - T2_Images/6f3de01e.FOTO.162058.jpg")</f>
        <v>INSPEKSI SUTM - T2_Images/6f3de01e.FOTO.162058.jpg</v>
      </c>
      <c r="AD267" s="4"/>
      <c r="AE267" s="4"/>
      <c r="AF267" s="4" t="str">
        <f>IFERROR(__xludf.DUMMYFUNCTION("""COMPUTED_VALUE"""),"BELUM")</f>
        <v>BELUM</v>
      </c>
      <c r="AG267" s="6">
        <f>IFERROR(__xludf.DUMMYFUNCTION("""COMPUTED_VALUE"""),46059.0)</f>
        <v>46059</v>
      </c>
      <c r="AH267" s="4"/>
      <c r="AI267" s="4"/>
    </row>
    <row r="268" ht="15.75" customHeight="1">
      <c r="A268" s="4" t="str">
        <f>IFERROR(__xludf.DUMMYFUNCTION("""COMPUTED_VALUE"""),"e8249b45")</f>
        <v>e8249b45</v>
      </c>
      <c r="B268" s="5">
        <f>IFERROR(__xludf.DUMMYFUNCTION("""COMPUTED_VALUE"""),46059.97361111111)</f>
        <v>46059.97361</v>
      </c>
      <c r="C268" s="4" t="str">
        <f>IFERROR(__xludf.DUMMYFUNCTION("""COMPUTED_VALUE"""),"-6.925706, 107.718186")</f>
        <v>-6.925706, 107.718186</v>
      </c>
      <c r="D268" s="4" t="str">
        <f>IFERROR(__xludf.DUMMYFUNCTION("""COMPUTED_VALUE"""),"Canra heri")</f>
        <v>Canra heri</v>
      </c>
      <c r="E268" s="4" t="str">
        <f>IFERROR(__xludf.DUMMYFUNCTION("""COMPUTED_VALUE"""),"BANDUNG")</f>
        <v>BANDUNG</v>
      </c>
      <c r="F268" s="4" t="str">
        <f>IFERROR(__xludf.DUMMYFUNCTION("""COMPUTED_VALUE"""),"UJUNGBERUNG")</f>
        <v>UJUNGBERUNG</v>
      </c>
      <c r="G268" s="4" t="str">
        <f>IFERROR(__xludf.DUMMYFUNCTION("""COMPUTED_VALUE"""),"UJUNGBERUNG")</f>
        <v>UJUNGBERUNG</v>
      </c>
      <c r="H268" s="4" t="str">
        <f>IFERROR(__xludf.DUMMYFUNCTION("""COMPUTED_VALUE"""),"CPDU")</f>
        <v>CPDU</v>
      </c>
      <c r="I268" s="4" t="str">
        <f>IFERROR(__xludf.DUMMYFUNCTION("""COMPUTED_VALUE"""),"REC CBUA - LBS MAN")</f>
        <v>REC CBUA - LBS MAN</v>
      </c>
      <c r="J268" s="4" t="str">
        <f>IFERROR(__xludf.DUMMYFUNCTION("""COMPUTED_VALUE"""),"ZONA 2")</f>
        <v>ZONA 2</v>
      </c>
      <c r="K268" s="4" t="str">
        <f>IFERROR(__xludf.DUMMYFUNCTION("""COMPUTED_VALUE"""),"057R020R01")</f>
        <v>057R020R01</v>
      </c>
      <c r="L268" s="4" t="str">
        <f>IFERROR(__xludf.DUMMYFUNCTION("""COMPUTED_VALUE"""),"TM - 8B/H (Percabangan)")</f>
        <v>TM - 8B/H (Percabangan)</v>
      </c>
      <c r="M268" s="4" t="str">
        <f>IFERROR(__xludf.DUMMYFUNCTION("""COMPUTED_VALUE"""),"Tidak Ada")</f>
        <v>Tidak Ada</v>
      </c>
      <c r="N268" s="4"/>
      <c r="O268" s="4" t="str">
        <f>IFERROR(__xludf.DUMMYFUNCTION("""COMPUTED_VALUE"""),"PEMBANDING SEJENIS")</f>
        <v>PEMBANDING SEJENIS</v>
      </c>
      <c r="P268" s="4" t="str">
        <f>IFERROR(__xludf.DUMMYFUNCTION("""COMPUTED_VALUE"""),"KONEKTOR/JUMPER")</f>
        <v>KONEKTOR/JUMPER</v>
      </c>
      <c r="Q268" s="4">
        <f>IFERROR(__xludf.DUMMYFUNCTION("""COMPUTED_VALUE"""),21.0)</f>
        <v>21</v>
      </c>
      <c r="R268" s="4">
        <f>IFERROR(__xludf.DUMMYFUNCTION("""COMPUTED_VALUE"""),22.0)</f>
        <v>22</v>
      </c>
      <c r="S268" s="4">
        <f>IFERROR(__xludf.DUMMYFUNCTION("""COMPUTED_VALUE"""),21.0)</f>
        <v>21</v>
      </c>
      <c r="T268" s="4"/>
      <c r="U268" s="4" t="str">
        <f>IFERROR(__xludf.DUMMYFUNCTION("""COMPUTED_VALUE"""),"BAIK")</f>
        <v>BAIK</v>
      </c>
      <c r="V268" s="4" t="str">
        <f>IFERROR(__xludf.DUMMYFUNCTION("""COMPUTED_VALUE"""),"Tidak Ada")</f>
        <v>Tidak Ada</v>
      </c>
      <c r="W268" s="4"/>
      <c r="X268" s="4"/>
      <c r="Y268" s="4"/>
      <c r="Z268" s="4"/>
      <c r="AA268" s="4"/>
      <c r="AB268" s="4"/>
      <c r="AC268" s="4" t="str">
        <f>IFERROR(__xludf.DUMMYFUNCTION("""COMPUTED_VALUE"""),"INSPEKSI SUTM - T2_Images/e8249b45.FOTO.162249.jpg")</f>
        <v>INSPEKSI SUTM - T2_Images/e8249b45.FOTO.162249.jpg</v>
      </c>
      <c r="AD268" s="4"/>
      <c r="AE268" s="4"/>
      <c r="AF268" s="4" t="str">
        <f>IFERROR(__xludf.DUMMYFUNCTION("""COMPUTED_VALUE"""),"BELUM")</f>
        <v>BELUM</v>
      </c>
      <c r="AG268" s="6">
        <f>IFERROR(__xludf.DUMMYFUNCTION("""COMPUTED_VALUE"""),46059.0)</f>
        <v>46059</v>
      </c>
      <c r="AH268" s="4"/>
      <c r="AI268" s="4"/>
    </row>
    <row r="269" ht="15.75" customHeight="1">
      <c r="A269" s="4" t="str">
        <f>IFERROR(__xludf.DUMMYFUNCTION("""COMPUTED_VALUE"""),"bd31e7ad")</f>
        <v>bd31e7ad</v>
      </c>
      <c r="B269" s="5">
        <f>IFERROR(__xludf.DUMMYFUNCTION("""COMPUTED_VALUE"""),46059.9868287037)</f>
        <v>46059.98683</v>
      </c>
      <c r="C269" s="4" t="str">
        <f>IFERROR(__xludf.DUMMYFUNCTION("""COMPUTED_VALUE"""),"-6.924528, 107.719034")</f>
        <v>-6.924528, 107.719034</v>
      </c>
      <c r="D269" s="4" t="str">
        <f>IFERROR(__xludf.DUMMYFUNCTION("""COMPUTED_VALUE"""),"Heri chandra")</f>
        <v>Heri chandra</v>
      </c>
      <c r="E269" s="4" t="str">
        <f>IFERROR(__xludf.DUMMYFUNCTION("""COMPUTED_VALUE"""),"BANDUNG")</f>
        <v>BANDUNG</v>
      </c>
      <c r="F269" s="4" t="str">
        <f>IFERROR(__xludf.DUMMYFUNCTION("""COMPUTED_VALUE"""),"UJUNGBERUNG")</f>
        <v>UJUNGBERUNG</v>
      </c>
      <c r="G269" s="4" t="str">
        <f>IFERROR(__xludf.DUMMYFUNCTION("""COMPUTED_VALUE"""),"UJUNGBERUNG")</f>
        <v>UJUNGBERUNG</v>
      </c>
      <c r="H269" s="4" t="str">
        <f>IFERROR(__xludf.DUMMYFUNCTION("""COMPUTED_VALUE"""),"CPDU")</f>
        <v>CPDU</v>
      </c>
      <c r="I269" s="4" t="str">
        <f>IFERROR(__xludf.DUMMYFUNCTION("""COMPUTED_VALUE"""),"LBS MAN - REC PDB")</f>
        <v>LBS MAN - REC PDB</v>
      </c>
      <c r="J269" s="4" t="str">
        <f>IFERROR(__xludf.DUMMYFUNCTION("""COMPUTED_VALUE"""),"ZONA 2")</f>
        <v>ZONA 2</v>
      </c>
      <c r="K269" s="4" t="str">
        <f>IFERROR(__xludf.DUMMYFUNCTION("""COMPUTED_VALUE"""),"057R025")</f>
        <v>057R025</v>
      </c>
      <c r="L269" s="4" t="str">
        <f>IFERROR(__xludf.DUMMYFUNCTION("""COMPUTED_VALUE"""),"TM - 4B/H (Afspan)")</f>
        <v>TM - 4B/H (Afspan)</v>
      </c>
      <c r="M269" s="4" t="str">
        <f>IFERROR(__xludf.DUMMYFUNCTION("""COMPUTED_VALUE"""),"Tidak Ada")</f>
        <v>Tidak Ada</v>
      </c>
      <c r="N269" s="4"/>
      <c r="O269" s="4" t="str">
        <f>IFERROR(__xludf.DUMMYFUNCTION("""COMPUTED_VALUE"""),"PEMBANDING SEJENIS")</f>
        <v>PEMBANDING SEJENIS</v>
      </c>
      <c r="P269" s="4" t="str">
        <f>IFERROR(__xludf.DUMMYFUNCTION("""COMPUTED_VALUE"""),"KONEKTOR/JUMPER")</f>
        <v>KONEKTOR/JUMPER</v>
      </c>
      <c r="Q269" s="4">
        <f>IFERROR(__xludf.DUMMYFUNCTION("""COMPUTED_VALUE"""),23.4)</f>
        <v>23.4</v>
      </c>
      <c r="R269" s="4">
        <f>IFERROR(__xludf.DUMMYFUNCTION("""COMPUTED_VALUE"""),23.6)</f>
        <v>23.6</v>
      </c>
      <c r="S269" s="4">
        <f>IFERROR(__xludf.DUMMYFUNCTION("""COMPUTED_VALUE"""),23.2)</f>
        <v>23.2</v>
      </c>
      <c r="T269" s="4"/>
      <c r="U269" s="4" t="str">
        <f>IFERROR(__xludf.DUMMYFUNCTION("""COMPUTED_VALUE"""),"BAIK")</f>
        <v>BAIK</v>
      </c>
      <c r="V269" s="4" t="str">
        <f>IFERROR(__xludf.DUMMYFUNCTION("""COMPUTED_VALUE"""),"Tidak Ada")</f>
        <v>Tidak Ada</v>
      </c>
      <c r="W269" s="4"/>
      <c r="X269" s="4"/>
      <c r="Y269" s="4"/>
      <c r="Z269" s="4"/>
      <c r="AA269" s="4"/>
      <c r="AB269" s="4"/>
      <c r="AC269" s="4" t="str">
        <f>IFERROR(__xludf.DUMMYFUNCTION("""COMPUTED_VALUE"""),"INSPEKSI SUTM - T2_Images/bd31e7ad.FOTO.164217.jpg")</f>
        <v>INSPEKSI SUTM - T2_Images/bd31e7ad.FOTO.164217.jpg</v>
      </c>
      <c r="AD269" s="4"/>
      <c r="AE269" s="4"/>
      <c r="AF269" s="4" t="str">
        <f>IFERROR(__xludf.DUMMYFUNCTION("""COMPUTED_VALUE"""),"BELUM")</f>
        <v>BELUM</v>
      </c>
      <c r="AG269" s="6">
        <f>IFERROR(__xludf.DUMMYFUNCTION("""COMPUTED_VALUE"""),46059.0)</f>
        <v>46059</v>
      </c>
      <c r="AH269" s="4"/>
      <c r="AI269" s="4"/>
    </row>
    <row r="270" ht="15.75" customHeight="1">
      <c r="A270" s="4" t="str">
        <f>IFERROR(__xludf.DUMMYFUNCTION("""COMPUTED_VALUE"""),"f8129377")</f>
        <v>f8129377</v>
      </c>
      <c r="B270" s="5">
        <f>IFERROR(__xludf.DUMMYFUNCTION("""COMPUTED_VALUE"""),46059.98795138889)</f>
        <v>46059.98795</v>
      </c>
      <c r="C270" s="4" t="str">
        <f>IFERROR(__xludf.DUMMYFUNCTION("""COMPUTED_VALUE"""),"-6.923051, 107.720001")</f>
        <v>-6.923051, 107.720001</v>
      </c>
      <c r="D270" s="4" t="str">
        <f>IFERROR(__xludf.DUMMYFUNCTION("""COMPUTED_VALUE"""),"Heri chandra")</f>
        <v>Heri chandra</v>
      </c>
      <c r="E270" s="4" t="str">
        <f>IFERROR(__xludf.DUMMYFUNCTION("""COMPUTED_VALUE"""),"BANDUNG")</f>
        <v>BANDUNG</v>
      </c>
      <c r="F270" s="4" t="str">
        <f>IFERROR(__xludf.DUMMYFUNCTION("""COMPUTED_VALUE"""),"UJUNGBERUNG")</f>
        <v>UJUNGBERUNG</v>
      </c>
      <c r="G270" s="4" t="str">
        <f>IFERROR(__xludf.DUMMYFUNCTION("""COMPUTED_VALUE"""),"UJUNGBERUNG")</f>
        <v>UJUNGBERUNG</v>
      </c>
      <c r="H270" s="4" t="str">
        <f>IFERROR(__xludf.DUMMYFUNCTION("""COMPUTED_VALUE"""),"CPDU")</f>
        <v>CPDU</v>
      </c>
      <c r="I270" s="4" t="str">
        <f>IFERROR(__xludf.DUMMYFUNCTION("""COMPUTED_VALUE"""),"LBS MAN - REC PDB")</f>
        <v>LBS MAN - REC PDB</v>
      </c>
      <c r="J270" s="4" t="str">
        <f>IFERROR(__xludf.DUMMYFUNCTION("""COMPUTED_VALUE"""),"ZONA 2")</f>
        <v>ZONA 2</v>
      </c>
      <c r="K270" s="4" t="str">
        <f>IFERROR(__xludf.DUMMYFUNCTION("""COMPUTED_VALUE"""),"057R028")</f>
        <v>057R028</v>
      </c>
      <c r="L270" s="4" t="str">
        <f>IFERROR(__xludf.DUMMYFUNCTION("""COMPUTED_VALUE"""),"TM - 8BC/HC (Percabangan dengan CO)")</f>
        <v>TM - 8BC/HC (Percabangan dengan CO)</v>
      </c>
      <c r="M270" s="4" t="str">
        <f>IFERROR(__xludf.DUMMYFUNCTION("""COMPUTED_VALUE"""),"FCO")</f>
        <v>FCO</v>
      </c>
      <c r="N270" s="4" t="str">
        <f>IFERROR(__xludf.DUMMYFUNCTION("""COMPUTED_VALUE"""),"Aftak bcc")</f>
        <v>Aftak bcc</v>
      </c>
      <c r="O270" s="4" t="str">
        <f>IFERROR(__xludf.DUMMYFUNCTION("""COMPUTED_VALUE"""),"PEMBANDING SEJENIS")</f>
        <v>PEMBANDING SEJENIS</v>
      </c>
      <c r="P270" s="4" t="str">
        <f>IFERROR(__xludf.DUMMYFUNCTION("""COMPUTED_VALUE"""),"FCO")</f>
        <v>FCO</v>
      </c>
      <c r="Q270" s="4">
        <f>IFERROR(__xludf.DUMMYFUNCTION("""COMPUTED_VALUE"""),24.9)</f>
        <v>24.9</v>
      </c>
      <c r="R270" s="4">
        <f>IFERROR(__xludf.DUMMYFUNCTION("""COMPUTED_VALUE"""),22.4)</f>
        <v>22.4</v>
      </c>
      <c r="S270" s="4">
        <f>IFERROR(__xludf.DUMMYFUNCTION("""COMPUTED_VALUE"""),23.5)</f>
        <v>23.5</v>
      </c>
      <c r="T270" s="4"/>
      <c r="U270" s="4" t="str">
        <f>IFERROR(__xludf.DUMMYFUNCTION("""COMPUTED_VALUE"""),"BAIK")</f>
        <v>BAIK</v>
      </c>
      <c r="V270" s="4" t="str">
        <f>IFERROR(__xludf.DUMMYFUNCTION("""COMPUTED_VALUE"""),"Tidak Ada")</f>
        <v>Tidak Ada</v>
      </c>
      <c r="W270" s="4"/>
      <c r="X270" s="4"/>
      <c r="Y270" s="4"/>
      <c r="Z270" s="4"/>
      <c r="AA270" s="4"/>
      <c r="AB270" s="4"/>
      <c r="AC270" s="4" t="str">
        <f>IFERROR(__xludf.DUMMYFUNCTION("""COMPUTED_VALUE"""),"INSPEKSI SUTM - T2_Images/f8129377.FOTO.164341.jpg")</f>
        <v>INSPEKSI SUTM - T2_Images/f8129377.FOTO.164341.jpg</v>
      </c>
      <c r="AD270" s="4"/>
      <c r="AE270" s="4"/>
      <c r="AF270" s="4" t="str">
        <f>IFERROR(__xludf.DUMMYFUNCTION("""COMPUTED_VALUE"""),"BELUM")</f>
        <v>BELUM</v>
      </c>
      <c r="AG270" s="6">
        <f>IFERROR(__xludf.DUMMYFUNCTION("""COMPUTED_VALUE"""),46059.0)</f>
        <v>46059</v>
      </c>
      <c r="AH270" s="4"/>
      <c r="AI270" s="4"/>
    </row>
    <row r="271" ht="15.75" customHeight="1">
      <c r="A271" s="4" t="str">
        <f>IFERROR(__xludf.DUMMYFUNCTION("""COMPUTED_VALUE"""),"1edbb6a7")</f>
        <v>1edbb6a7</v>
      </c>
      <c r="B271" s="5">
        <f>IFERROR(__xludf.DUMMYFUNCTION("""COMPUTED_VALUE"""),46059.98888888889)</f>
        <v>46059.98889</v>
      </c>
      <c r="C271" s="4" t="str">
        <f>IFERROR(__xludf.DUMMYFUNCTION("""COMPUTED_VALUE"""),"-6.920811, 107.721195")</f>
        <v>-6.920811, 107.721195</v>
      </c>
      <c r="D271" s="4" t="str">
        <f>IFERROR(__xludf.DUMMYFUNCTION("""COMPUTED_VALUE"""),"Heu chandra")</f>
        <v>Heu chandra</v>
      </c>
      <c r="E271" s="4" t="str">
        <f>IFERROR(__xludf.DUMMYFUNCTION("""COMPUTED_VALUE"""),"BANDUNG")</f>
        <v>BANDUNG</v>
      </c>
      <c r="F271" s="4" t="str">
        <f>IFERROR(__xludf.DUMMYFUNCTION("""COMPUTED_VALUE"""),"UJUNGBERUNG")</f>
        <v>UJUNGBERUNG</v>
      </c>
      <c r="G271" s="4" t="str">
        <f>IFERROR(__xludf.DUMMYFUNCTION("""COMPUTED_VALUE"""),"UJUNGBERUNG")</f>
        <v>UJUNGBERUNG</v>
      </c>
      <c r="H271" s="4" t="str">
        <f>IFERROR(__xludf.DUMMYFUNCTION("""COMPUTED_VALUE"""),"CPDU")</f>
        <v>CPDU</v>
      </c>
      <c r="I271" s="4" t="str">
        <f>IFERROR(__xludf.DUMMYFUNCTION("""COMPUTED_VALUE"""),"LBS MAN - REC PDB")</f>
        <v>LBS MAN - REC PDB</v>
      </c>
      <c r="J271" s="4" t="str">
        <f>IFERROR(__xludf.DUMMYFUNCTION("""COMPUTED_VALUE"""),"ZONA 2")</f>
        <v>ZONA 2</v>
      </c>
      <c r="K271" s="4" t="str">
        <f>IFERROR(__xludf.DUMMYFUNCTION("""COMPUTED_VALUE"""),"057R034")</f>
        <v>057R034</v>
      </c>
      <c r="L271" s="4" t="str">
        <f>IFERROR(__xludf.DUMMYFUNCTION("""COMPUTED_VALUE"""),"TM - 8B/H (Percabangan)")</f>
        <v>TM - 8B/H (Percabangan)</v>
      </c>
      <c r="M271" s="4" t="str">
        <f>IFERROR(__xludf.DUMMYFUNCTION("""COMPUTED_VALUE"""),"FCO")</f>
        <v>FCO</v>
      </c>
      <c r="N271" s="4" t="str">
        <f>IFERROR(__xludf.DUMMYFUNCTION("""COMPUTED_VALUE"""),"Aftak wnp")</f>
        <v>Aftak wnp</v>
      </c>
      <c r="O271" s="4" t="str">
        <f>IFERROR(__xludf.DUMMYFUNCTION("""COMPUTED_VALUE"""),"PEMBANDING SEJENIS")</f>
        <v>PEMBANDING SEJENIS</v>
      </c>
      <c r="P271" s="4" t="str">
        <f>IFERROR(__xludf.DUMMYFUNCTION("""COMPUTED_VALUE"""),"FCO")</f>
        <v>FCO</v>
      </c>
      <c r="Q271" s="4">
        <f>IFERROR(__xludf.DUMMYFUNCTION("""COMPUTED_VALUE"""),20.8)</f>
        <v>20.8</v>
      </c>
      <c r="R271" s="4">
        <f>IFERROR(__xludf.DUMMYFUNCTION("""COMPUTED_VALUE"""),23.6)</f>
        <v>23.6</v>
      </c>
      <c r="S271" s="4">
        <f>IFERROR(__xludf.DUMMYFUNCTION("""COMPUTED_VALUE"""),23.7)</f>
        <v>23.7</v>
      </c>
      <c r="T271" s="4"/>
      <c r="U271" s="4" t="str">
        <f>IFERROR(__xludf.DUMMYFUNCTION("""COMPUTED_VALUE"""),"BAIK")</f>
        <v>BAIK</v>
      </c>
      <c r="V271" s="4" t="str">
        <f>IFERROR(__xludf.DUMMYFUNCTION("""COMPUTED_VALUE"""),"Tidak Ada")</f>
        <v>Tidak Ada</v>
      </c>
      <c r="W271" s="4"/>
      <c r="X271" s="4"/>
      <c r="Y271" s="4"/>
      <c r="Z271" s="4"/>
      <c r="AA271" s="4"/>
      <c r="AB271" s="4"/>
      <c r="AC271" s="4" t="str">
        <f>IFERROR(__xludf.DUMMYFUNCTION("""COMPUTED_VALUE"""),"INSPEKSI SUTM - T2_Images/1edbb6a7.FOTO.164455.jpg")</f>
        <v>INSPEKSI SUTM - T2_Images/1edbb6a7.FOTO.164455.jpg</v>
      </c>
      <c r="AD271" s="4"/>
      <c r="AE271" s="4"/>
      <c r="AF271" s="4" t="str">
        <f>IFERROR(__xludf.DUMMYFUNCTION("""COMPUTED_VALUE"""),"BELUM")</f>
        <v>BELUM</v>
      </c>
      <c r="AG271" s="6">
        <f>IFERROR(__xludf.DUMMYFUNCTION("""COMPUTED_VALUE"""),46059.0)</f>
        <v>46059</v>
      </c>
      <c r="AH271" s="4"/>
      <c r="AI271" s="4"/>
    </row>
    <row r="272" ht="15.75" customHeight="1">
      <c r="A272" s="4" t="str">
        <f>IFERROR(__xludf.DUMMYFUNCTION("""COMPUTED_VALUE"""),"431ec895")</f>
        <v>431ec895</v>
      </c>
      <c r="B272" s="5">
        <f>IFERROR(__xludf.DUMMYFUNCTION("""COMPUTED_VALUE"""),46059.989641203705)</f>
        <v>46059.98964</v>
      </c>
      <c r="C272" s="4" t="str">
        <f>IFERROR(__xludf.DUMMYFUNCTION("""COMPUTED_VALUE"""),"-6.919320, 107.719805")</f>
        <v>-6.919320, 107.719805</v>
      </c>
      <c r="D272" s="4" t="str">
        <f>IFERROR(__xludf.DUMMYFUNCTION("""COMPUTED_VALUE"""),"Heri chandra")</f>
        <v>Heri chandra</v>
      </c>
      <c r="E272" s="4" t="str">
        <f>IFERROR(__xludf.DUMMYFUNCTION("""COMPUTED_VALUE"""),"BANDUNG")</f>
        <v>BANDUNG</v>
      </c>
      <c r="F272" s="4" t="str">
        <f>IFERROR(__xludf.DUMMYFUNCTION("""COMPUTED_VALUE"""),"UJUNGBERUNG")</f>
        <v>UJUNGBERUNG</v>
      </c>
      <c r="G272" s="4" t="str">
        <f>IFERROR(__xludf.DUMMYFUNCTION("""COMPUTED_VALUE"""),"UJUNGBERUNG")</f>
        <v>UJUNGBERUNG</v>
      </c>
      <c r="H272" s="4" t="str">
        <f>IFERROR(__xludf.DUMMYFUNCTION("""COMPUTED_VALUE"""),"CPDU")</f>
        <v>CPDU</v>
      </c>
      <c r="I272" s="4" t="str">
        <f>IFERROR(__xludf.DUMMYFUNCTION("""COMPUTED_VALUE"""),"LBS MAN - REC PDB")</f>
        <v>LBS MAN - REC PDB</v>
      </c>
      <c r="J272" s="4" t="str">
        <f>IFERROR(__xludf.DUMMYFUNCTION("""COMPUTED_VALUE"""),"ZONA 2")</f>
        <v>ZONA 2</v>
      </c>
      <c r="K272" s="4" t="str">
        <f>IFERROR(__xludf.DUMMYFUNCTION("""COMPUTED_VALUE"""),"057R034L06")</f>
        <v>057R034L06</v>
      </c>
      <c r="L272" s="4" t="str">
        <f>IFERROR(__xludf.DUMMYFUNCTION("""COMPUTED_VALUE"""),"TM - 13B/H (Kabel Naik Pada Tiang Tumpu)")</f>
        <v>TM - 13B/H (Kabel Naik Pada Tiang Tumpu)</v>
      </c>
      <c r="M272" s="4" t="str">
        <f>IFERROR(__xludf.DUMMYFUNCTION("""COMPUTED_VALUE"""),"Tidak Ada")</f>
        <v>Tidak Ada</v>
      </c>
      <c r="N272" s="4"/>
      <c r="O272" s="4" t="str">
        <f>IFERROR(__xludf.DUMMYFUNCTION("""COMPUTED_VALUE"""),"PEMBANDING SEJENIS")</f>
        <v>PEMBANDING SEJENIS</v>
      </c>
      <c r="P272" s="4" t="str">
        <f>IFERROR(__xludf.DUMMYFUNCTION("""COMPUTED_VALUE"""),"TERMINASI")</f>
        <v>TERMINASI</v>
      </c>
      <c r="Q272" s="4">
        <f>IFERROR(__xludf.DUMMYFUNCTION("""COMPUTED_VALUE"""),21.8)</f>
        <v>21.8</v>
      </c>
      <c r="R272" s="4">
        <f>IFERROR(__xludf.DUMMYFUNCTION("""COMPUTED_VALUE"""),22.5)</f>
        <v>22.5</v>
      </c>
      <c r="S272" s="4">
        <f>IFERROR(__xludf.DUMMYFUNCTION("""COMPUTED_VALUE"""),23.8)</f>
        <v>23.8</v>
      </c>
      <c r="T272" s="4"/>
      <c r="U272" s="4" t="str">
        <f>IFERROR(__xludf.DUMMYFUNCTION("""COMPUTED_VALUE"""),"BAIK")</f>
        <v>BAIK</v>
      </c>
      <c r="V272" s="4" t="str">
        <f>IFERROR(__xludf.DUMMYFUNCTION("""COMPUTED_VALUE"""),"Tidak Ada")</f>
        <v>Tidak Ada</v>
      </c>
      <c r="W272" s="4"/>
      <c r="X272" s="4"/>
      <c r="Y272" s="4"/>
      <c r="Z272" s="4"/>
      <c r="AA272" s="4"/>
      <c r="AB272" s="4"/>
      <c r="AC272" s="4" t="str">
        <f>IFERROR(__xludf.DUMMYFUNCTION("""COMPUTED_VALUE"""),"INSPEKSI SUTM - T2_Images/431ec895.FOTO.164602.jpg")</f>
        <v>INSPEKSI SUTM - T2_Images/431ec895.FOTO.164602.jpg</v>
      </c>
      <c r="AD272" s="4"/>
      <c r="AE272" s="4"/>
      <c r="AF272" s="4" t="str">
        <f>IFERROR(__xludf.DUMMYFUNCTION("""COMPUTED_VALUE"""),"BELUM")</f>
        <v>BELUM</v>
      </c>
      <c r="AG272" s="6">
        <f>IFERROR(__xludf.DUMMYFUNCTION("""COMPUTED_VALUE"""),46059.0)</f>
        <v>46059</v>
      </c>
      <c r="AH272" s="4"/>
      <c r="AI272" s="4"/>
    </row>
    <row r="273" ht="15.75" customHeight="1">
      <c r="A273" s="4" t="str">
        <f>IFERROR(__xludf.DUMMYFUNCTION("""COMPUTED_VALUE"""),"26ce1524")</f>
        <v>26ce1524</v>
      </c>
      <c r="B273" s="5">
        <f>IFERROR(__xludf.DUMMYFUNCTION("""COMPUTED_VALUE"""),46059.990578703706)</f>
        <v>46059.99058</v>
      </c>
      <c r="C273" s="4" t="str">
        <f>IFERROR(__xludf.DUMMYFUNCTION("""COMPUTED_VALUE"""),"-6.920570, 107.721346")</f>
        <v>-6.920570, 107.721346</v>
      </c>
      <c r="D273" s="4" t="str">
        <f>IFERROR(__xludf.DUMMYFUNCTION("""COMPUTED_VALUE"""),"Heri chandra")</f>
        <v>Heri chandra</v>
      </c>
      <c r="E273" s="4" t="str">
        <f>IFERROR(__xludf.DUMMYFUNCTION("""COMPUTED_VALUE"""),"BANDUNG")</f>
        <v>BANDUNG</v>
      </c>
      <c r="F273" s="4" t="str">
        <f>IFERROR(__xludf.DUMMYFUNCTION("""COMPUTED_VALUE"""),"UJUNGBERUNG")</f>
        <v>UJUNGBERUNG</v>
      </c>
      <c r="G273" s="4" t="str">
        <f>IFERROR(__xludf.DUMMYFUNCTION("""COMPUTED_VALUE"""),"UJUNGBERUNG")</f>
        <v>UJUNGBERUNG</v>
      </c>
      <c r="H273" s="4" t="str">
        <f>IFERROR(__xludf.DUMMYFUNCTION("""COMPUTED_VALUE"""),"CPDU")</f>
        <v>CPDU</v>
      </c>
      <c r="I273" s="4" t="str">
        <f>IFERROR(__xludf.DUMMYFUNCTION("""COMPUTED_VALUE"""),"LBS MAN - REC PDB")</f>
        <v>LBS MAN - REC PDB</v>
      </c>
      <c r="J273" s="4" t="str">
        <f>IFERROR(__xludf.DUMMYFUNCTION("""COMPUTED_VALUE"""),"ZONA 2")</f>
        <v>ZONA 2</v>
      </c>
      <c r="K273" s="4" t="str">
        <f>IFERROR(__xludf.DUMMYFUNCTION("""COMPUTED_VALUE"""),"057R035")</f>
        <v>057R035</v>
      </c>
      <c r="L273" s="4" t="str">
        <f>IFERROR(__xludf.DUMMYFUNCTION("""COMPUTED_VALUE"""),"TM - 8B/H (Percabangan)")</f>
        <v>TM - 8B/H (Percabangan)</v>
      </c>
      <c r="M273" s="4" t="str">
        <f>IFERROR(__xludf.DUMMYFUNCTION("""COMPUTED_VALUE"""),"Tidak Ada")</f>
        <v>Tidak Ada</v>
      </c>
      <c r="N273" s="4"/>
      <c r="O273" s="4" t="str">
        <f>IFERROR(__xludf.DUMMYFUNCTION("""COMPUTED_VALUE"""),"PEMBANDING SEJENIS")</f>
        <v>PEMBANDING SEJENIS</v>
      </c>
      <c r="P273" s="4" t="str">
        <f>IFERROR(__xludf.DUMMYFUNCTION("""COMPUTED_VALUE"""),"KONEKTOR/JUMPER")</f>
        <v>KONEKTOR/JUMPER</v>
      </c>
      <c r="Q273" s="4">
        <f>IFERROR(__xludf.DUMMYFUNCTION("""COMPUTED_VALUE"""),19.3)</f>
        <v>19.3</v>
      </c>
      <c r="R273" s="4">
        <f>IFERROR(__xludf.DUMMYFUNCTION("""COMPUTED_VALUE"""),19.6)</f>
        <v>19.6</v>
      </c>
      <c r="S273" s="4">
        <f>IFERROR(__xludf.DUMMYFUNCTION("""COMPUTED_VALUE"""),19.4)</f>
        <v>19.4</v>
      </c>
      <c r="T273" s="4"/>
      <c r="U273" s="4" t="str">
        <f>IFERROR(__xludf.DUMMYFUNCTION("""COMPUTED_VALUE"""),"BAIK")</f>
        <v>BAIK</v>
      </c>
      <c r="V273" s="4" t="str">
        <f>IFERROR(__xludf.DUMMYFUNCTION("""COMPUTED_VALUE"""),"Tidak Ada")</f>
        <v>Tidak Ada</v>
      </c>
      <c r="W273" s="4"/>
      <c r="X273" s="4"/>
      <c r="Y273" s="4"/>
      <c r="Z273" s="4"/>
      <c r="AA273" s="4"/>
      <c r="AB273" s="4"/>
      <c r="AC273" s="4" t="str">
        <f>IFERROR(__xludf.DUMMYFUNCTION("""COMPUTED_VALUE"""),"INSPEKSI SUTM - T2_Images/26ce1524.FOTO.164706.jpg")</f>
        <v>INSPEKSI SUTM - T2_Images/26ce1524.FOTO.164706.jpg</v>
      </c>
      <c r="AD273" s="4"/>
      <c r="AE273" s="4"/>
      <c r="AF273" s="4" t="str">
        <f>IFERROR(__xludf.DUMMYFUNCTION("""COMPUTED_VALUE"""),"BELUM")</f>
        <v>BELUM</v>
      </c>
      <c r="AG273" s="6">
        <f>IFERROR(__xludf.DUMMYFUNCTION("""COMPUTED_VALUE"""),46059.0)</f>
        <v>46059</v>
      </c>
      <c r="AH273" s="4"/>
      <c r="AI273" s="4"/>
    </row>
    <row r="274" ht="15.75" customHeight="1">
      <c r="A274" s="4" t="str">
        <f>IFERROR(__xludf.DUMMYFUNCTION("""COMPUTED_VALUE"""),"a63b4f02")</f>
        <v>a63b4f02</v>
      </c>
      <c r="B274" s="5">
        <f>IFERROR(__xludf.DUMMYFUNCTION("""COMPUTED_VALUE"""),46059.99122685185)</f>
        <v>46059.99123</v>
      </c>
      <c r="C274" s="4" t="str">
        <f>IFERROR(__xludf.DUMMYFUNCTION("""COMPUTED_VALUE"""),"-6.920008, 107.721801")</f>
        <v>-6.920008, 107.721801</v>
      </c>
      <c r="D274" s="4" t="str">
        <f>IFERROR(__xludf.DUMMYFUNCTION("""COMPUTED_VALUE"""),"H3ri chandra")</f>
        <v>H3ri chandra</v>
      </c>
      <c r="E274" s="4" t="str">
        <f>IFERROR(__xludf.DUMMYFUNCTION("""COMPUTED_VALUE"""),"BANDUNG")</f>
        <v>BANDUNG</v>
      </c>
      <c r="F274" s="4" t="str">
        <f>IFERROR(__xludf.DUMMYFUNCTION("""COMPUTED_VALUE"""),"UJUNGBERUNG")</f>
        <v>UJUNGBERUNG</v>
      </c>
      <c r="G274" s="4" t="str">
        <f>IFERROR(__xludf.DUMMYFUNCTION("""COMPUTED_VALUE"""),"UJUNGBERUNG")</f>
        <v>UJUNGBERUNG</v>
      </c>
      <c r="H274" s="4" t="str">
        <f>IFERROR(__xludf.DUMMYFUNCTION("""COMPUTED_VALUE"""),"CPDU")</f>
        <v>CPDU</v>
      </c>
      <c r="I274" s="4" t="str">
        <f>IFERROR(__xludf.DUMMYFUNCTION("""COMPUTED_VALUE"""),"LBS MAN - REC PDB")</f>
        <v>LBS MAN - REC PDB</v>
      </c>
      <c r="J274" s="4" t="str">
        <f>IFERROR(__xludf.DUMMYFUNCTION("""COMPUTED_VALUE"""),"ZONA 2")</f>
        <v>ZONA 2</v>
      </c>
      <c r="K274" s="4" t="str">
        <f>IFERROR(__xludf.DUMMYFUNCTION("""COMPUTED_VALUE"""),"057R037")</f>
        <v>057R037</v>
      </c>
      <c r="L274" s="4" t="str">
        <f>IFERROR(__xludf.DUMMYFUNCTION("""COMPUTED_VALUE"""),"TM - 7B/H (Afspan 90 Derajat)")</f>
        <v>TM - 7B/H (Afspan 90 Derajat)</v>
      </c>
      <c r="M274" s="4" t="str">
        <f>IFERROR(__xludf.DUMMYFUNCTION("""COMPUTED_VALUE"""),"Tidak Ada")</f>
        <v>Tidak Ada</v>
      </c>
      <c r="N274" s="4"/>
      <c r="O274" s="4" t="str">
        <f>IFERROR(__xludf.DUMMYFUNCTION("""COMPUTED_VALUE"""),"PEMBANDING SEJENIS")</f>
        <v>PEMBANDING SEJENIS</v>
      </c>
      <c r="P274" s="4" t="str">
        <f>IFERROR(__xludf.DUMMYFUNCTION("""COMPUTED_VALUE"""),"KONEKTOR/JUMPER")</f>
        <v>KONEKTOR/JUMPER</v>
      </c>
      <c r="Q274" s="4">
        <f>IFERROR(__xludf.DUMMYFUNCTION("""COMPUTED_VALUE"""),20.3)</f>
        <v>20.3</v>
      </c>
      <c r="R274" s="4">
        <f>IFERROR(__xludf.DUMMYFUNCTION("""COMPUTED_VALUE"""),21.3)</f>
        <v>21.3</v>
      </c>
      <c r="S274" s="4">
        <f>IFERROR(__xludf.DUMMYFUNCTION("""COMPUTED_VALUE"""),21.0)</f>
        <v>21</v>
      </c>
      <c r="T274" s="4"/>
      <c r="U274" s="4" t="str">
        <f>IFERROR(__xludf.DUMMYFUNCTION("""COMPUTED_VALUE"""),"BAIK")</f>
        <v>BAIK</v>
      </c>
      <c r="V274" s="4" t="str">
        <f>IFERROR(__xludf.DUMMYFUNCTION("""COMPUTED_VALUE"""),"Tidak Ada")</f>
        <v>Tidak Ada</v>
      </c>
      <c r="W274" s="4"/>
      <c r="X274" s="4"/>
      <c r="Y274" s="4"/>
      <c r="Z274" s="4"/>
      <c r="AA274" s="4"/>
      <c r="AB274" s="4"/>
      <c r="AC274" s="4" t="str">
        <f>IFERROR(__xludf.DUMMYFUNCTION("""COMPUTED_VALUE"""),"INSPEKSI SUTM - T2_Images/a63b4f02.FOTO.164807.jpg")</f>
        <v>INSPEKSI SUTM - T2_Images/a63b4f02.FOTO.164807.jpg</v>
      </c>
      <c r="AD274" s="4"/>
      <c r="AE274" s="4"/>
      <c r="AF274" s="4" t="str">
        <f>IFERROR(__xludf.DUMMYFUNCTION("""COMPUTED_VALUE"""),"BELUM")</f>
        <v>BELUM</v>
      </c>
      <c r="AG274" s="6">
        <f>IFERROR(__xludf.DUMMYFUNCTION("""COMPUTED_VALUE"""),46059.0)</f>
        <v>46059</v>
      </c>
      <c r="AH274" s="4"/>
      <c r="AI274" s="4"/>
    </row>
    <row r="275" ht="15.75" customHeight="1">
      <c r="A275" s="4" t="str">
        <f>IFERROR(__xludf.DUMMYFUNCTION("""COMPUTED_VALUE"""),"8db9acba")</f>
        <v>8db9acba</v>
      </c>
      <c r="B275" s="5">
        <f>IFERROR(__xludf.DUMMYFUNCTION("""COMPUTED_VALUE"""),46059.9919212963)</f>
        <v>46059.99192</v>
      </c>
      <c r="C275" s="4" t="str">
        <f>IFERROR(__xludf.DUMMYFUNCTION("""COMPUTED_VALUE"""),"-6.919983, 107.722170")</f>
        <v>-6.919983, 107.722170</v>
      </c>
      <c r="D275" s="4" t="str">
        <f>IFERROR(__xludf.DUMMYFUNCTION("""COMPUTED_VALUE"""),"Heri chandta")</f>
        <v>Heri chandta</v>
      </c>
      <c r="E275" s="4" t="str">
        <f>IFERROR(__xludf.DUMMYFUNCTION("""COMPUTED_VALUE"""),"BANDUNG")</f>
        <v>BANDUNG</v>
      </c>
      <c r="F275" s="4" t="str">
        <f>IFERROR(__xludf.DUMMYFUNCTION("""COMPUTED_VALUE"""),"UJUNGBERUNG")</f>
        <v>UJUNGBERUNG</v>
      </c>
      <c r="G275" s="4" t="str">
        <f>IFERROR(__xludf.DUMMYFUNCTION("""COMPUTED_VALUE"""),"UJUNGBERUNG")</f>
        <v>UJUNGBERUNG</v>
      </c>
      <c r="H275" s="4" t="str">
        <f>IFERROR(__xludf.DUMMYFUNCTION("""COMPUTED_VALUE"""),"CPDU")</f>
        <v>CPDU</v>
      </c>
      <c r="I275" s="4" t="str">
        <f>IFERROR(__xludf.DUMMYFUNCTION("""COMPUTED_VALUE"""),"LBS MAN - REC PDB")</f>
        <v>LBS MAN - REC PDB</v>
      </c>
      <c r="J275" s="4" t="str">
        <f>IFERROR(__xludf.DUMMYFUNCTION("""COMPUTED_VALUE"""),"ZONA 2")</f>
        <v>ZONA 2</v>
      </c>
      <c r="K275" s="4" t="str">
        <f>IFERROR(__xludf.DUMMYFUNCTION("""COMPUTED_VALUE"""),"057R038")</f>
        <v>057R038</v>
      </c>
      <c r="L275" s="4" t="str">
        <f>IFERROR(__xludf.DUMMYFUNCTION("""COMPUTED_VALUE"""),"TM - 7B/H (Afspan 90 Derajat)")</f>
        <v>TM - 7B/H (Afspan 90 Derajat)</v>
      </c>
      <c r="M275" s="4" t="str">
        <f>IFERROR(__xludf.DUMMYFUNCTION("""COMPUTED_VALUE"""),"Tidak Ada")</f>
        <v>Tidak Ada</v>
      </c>
      <c r="N275" s="4"/>
      <c r="O275" s="4" t="str">
        <f>IFERROR(__xludf.DUMMYFUNCTION("""COMPUTED_VALUE"""),"PEMBANDING SEJENIS")</f>
        <v>PEMBANDING SEJENIS</v>
      </c>
      <c r="P275" s="4" t="str">
        <f>IFERROR(__xludf.DUMMYFUNCTION("""COMPUTED_VALUE"""),"KONEKTOR/JUMPER")</f>
        <v>KONEKTOR/JUMPER</v>
      </c>
      <c r="Q275" s="4">
        <f>IFERROR(__xludf.DUMMYFUNCTION("""COMPUTED_VALUE"""),19.4)</f>
        <v>19.4</v>
      </c>
      <c r="R275" s="4">
        <f>IFERROR(__xludf.DUMMYFUNCTION("""COMPUTED_VALUE"""),19.6)</f>
        <v>19.6</v>
      </c>
      <c r="S275" s="4">
        <f>IFERROR(__xludf.DUMMYFUNCTION("""COMPUTED_VALUE"""),19.6)</f>
        <v>19.6</v>
      </c>
      <c r="T275" s="4"/>
      <c r="U275" s="4" t="str">
        <f>IFERROR(__xludf.DUMMYFUNCTION("""COMPUTED_VALUE"""),"BAIK")</f>
        <v>BAIK</v>
      </c>
      <c r="V275" s="4" t="str">
        <f>IFERROR(__xludf.DUMMYFUNCTION("""COMPUTED_VALUE"""),"Tidak Ada")</f>
        <v>Tidak Ada</v>
      </c>
      <c r="W275" s="4"/>
      <c r="X275" s="4"/>
      <c r="Y275" s="4"/>
      <c r="Z275" s="4"/>
      <c r="AA275" s="4"/>
      <c r="AB275" s="4"/>
      <c r="AC275" s="4" t="str">
        <f>IFERROR(__xludf.DUMMYFUNCTION("""COMPUTED_VALUE"""),"INSPEKSI SUTM - T2_Images/8db9acba.FOTO.164910.jpg")</f>
        <v>INSPEKSI SUTM - T2_Images/8db9acba.FOTO.164910.jpg</v>
      </c>
      <c r="AD275" s="4"/>
      <c r="AE275" s="4"/>
      <c r="AF275" s="4" t="str">
        <f>IFERROR(__xludf.DUMMYFUNCTION("""COMPUTED_VALUE"""),"BELUM")</f>
        <v>BELUM</v>
      </c>
      <c r="AG275" s="6">
        <f>IFERROR(__xludf.DUMMYFUNCTION("""COMPUTED_VALUE"""),46059.0)</f>
        <v>46059</v>
      </c>
      <c r="AH275" s="4"/>
      <c r="AI275" s="4"/>
    </row>
    <row r="276" ht="15.75" customHeight="1">
      <c r="A276" s="4" t="str">
        <f>IFERROR(__xludf.DUMMYFUNCTION("""COMPUTED_VALUE"""),"b2eb795f")</f>
        <v>b2eb795f</v>
      </c>
      <c r="B276" s="5">
        <f>IFERROR(__xludf.DUMMYFUNCTION("""COMPUTED_VALUE"""),46059.99302083333)</f>
        <v>46059.99302</v>
      </c>
      <c r="C276" s="4" t="str">
        <f>IFERROR(__xludf.DUMMYFUNCTION("""COMPUTED_VALUE"""),"-6.919643, 107.722356")</f>
        <v>-6.919643, 107.722356</v>
      </c>
      <c r="D276" s="4" t="str">
        <f>IFERROR(__xludf.DUMMYFUNCTION("""COMPUTED_VALUE"""),"Heri chndta")</f>
        <v>Heri chndta</v>
      </c>
      <c r="E276" s="4" t="str">
        <f>IFERROR(__xludf.DUMMYFUNCTION("""COMPUTED_VALUE"""),"BANDUNG")</f>
        <v>BANDUNG</v>
      </c>
      <c r="F276" s="4" t="str">
        <f>IFERROR(__xludf.DUMMYFUNCTION("""COMPUTED_VALUE"""),"UJUNGBERUNG")</f>
        <v>UJUNGBERUNG</v>
      </c>
      <c r="G276" s="4" t="str">
        <f>IFERROR(__xludf.DUMMYFUNCTION("""COMPUTED_VALUE"""),"UJUNGBERUNG")</f>
        <v>UJUNGBERUNG</v>
      </c>
      <c r="H276" s="4" t="str">
        <f>IFERROR(__xludf.DUMMYFUNCTION("""COMPUTED_VALUE"""),"CPDU")</f>
        <v>CPDU</v>
      </c>
      <c r="I276" s="4" t="str">
        <f>IFERROR(__xludf.DUMMYFUNCTION("""COMPUTED_VALUE"""),"LBS MAN - REC PDB")</f>
        <v>LBS MAN - REC PDB</v>
      </c>
      <c r="J276" s="4" t="str">
        <f>IFERROR(__xludf.DUMMYFUNCTION("""COMPUTED_VALUE"""),"ZONA 2")</f>
        <v>ZONA 2</v>
      </c>
      <c r="K276" s="4" t="str">
        <f>IFERROR(__xludf.DUMMYFUNCTION("""COMPUTED_VALUE"""),"057R040")</f>
        <v>057R040</v>
      </c>
      <c r="L276" s="4" t="str">
        <f>IFERROR(__xludf.DUMMYFUNCTION("""COMPUTED_VALUE"""),"TM - 8B/H (Percabangan)")</f>
        <v>TM - 8B/H (Percabangan)</v>
      </c>
      <c r="M276" s="4" t="str">
        <f>IFERROR(__xludf.DUMMYFUNCTION("""COMPUTED_VALUE"""),"Tidak Ada")</f>
        <v>Tidak Ada</v>
      </c>
      <c r="N276" s="4"/>
      <c r="O276" s="4" t="str">
        <f>IFERROR(__xludf.DUMMYFUNCTION("""COMPUTED_VALUE"""),"PEMBANDING SEJENIS")</f>
        <v>PEMBANDING SEJENIS</v>
      </c>
      <c r="P276" s="4" t="str">
        <f>IFERROR(__xludf.DUMMYFUNCTION("""COMPUTED_VALUE"""),"KONEKTOR/JUMPER")</f>
        <v>KONEKTOR/JUMPER</v>
      </c>
      <c r="Q276" s="4">
        <f>IFERROR(__xludf.DUMMYFUNCTION("""COMPUTED_VALUE"""),17.9)</f>
        <v>17.9</v>
      </c>
      <c r="R276" s="4">
        <f>IFERROR(__xludf.DUMMYFUNCTION("""COMPUTED_VALUE"""),20.3)</f>
        <v>20.3</v>
      </c>
      <c r="S276" s="4">
        <f>IFERROR(__xludf.DUMMYFUNCTION("""COMPUTED_VALUE"""),19.6)</f>
        <v>19.6</v>
      </c>
      <c r="T276" s="4"/>
      <c r="U276" s="4" t="str">
        <f>IFERROR(__xludf.DUMMYFUNCTION("""COMPUTED_VALUE"""),"BAIK")</f>
        <v>BAIK</v>
      </c>
      <c r="V276" s="4" t="str">
        <f>IFERROR(__xludf.DUMMYFUNCTION("""COMPUTED_VALUE"""),"Tidak Ada")</f>
        <v>Tidak Ada</v>
      </c>
      <c r="W276" s="4"/>
      <c r="X276" s="4"/>
      <c r="Y276" s="4"/>
      <c r="Z276" s="4"/>
      <c r="AA276" s="4"/>
      <c r="AB276" s="4"/>
      <c r="AC276" s="4" t="str">
        <f>IFERROR(__xludf.DUMMYFUNCTION("""COMPUTED_VALUE"""),"INSPEKSI SUTM - T2_Images/b2eb795f.FOTO.165043.jpg")</f>
        <v>INSPEKSI SUTM - T2_Images/b2eb795f.FOTO.165043.jpg</v>
      </c>
      <c r="AD276" s="4"/>
      <c r="AE276" s="4"/>
      <c r="AF276" s="4" t="str">
        <f>IFERROR(__xludf.DUMMYFUNCTION("""COMPUTED_VALUE"""),"BELUM")</f>
        <v>BELUM</v>
      </c>
      <c r="AG276" s="6">
        <f>IFERROR(__xludf.DUMMYFUNCTION("""COMPUTED_VALUE"""),46059.0)</f>
        <v>46059</v>
      </c>
      <c r="AH276" s="4"/>
      <c r="AI276" s="4"/>
    </row>
    <row r="277" ht="15.75" customHeight="1">
      <c r="A277" s="4" t="str">
        <f>IFERROR(__xludf.DUMMYFUNCTION("""COMPUTED_VALUE"""),"ee7768e9")</f>
        <v>ee7768e9</v>
      </c>
      <c r="B277" s="5">
        <f>IFERROR(__xludf.DUMMYFUNCTION("""COMPUTED_VALUE"""),46059.99356481482)</f>
        <v>46059.99356</v>
      </c>
      <c r="C277" s="4" t="str">
        <f>IFERROR(__xludf.DUMMYFUNCTION("""COMPUTED_VALUE"""),"-6.919652, 107.722353")</f>
        <v>-6.919652, 107.722353</v>
      </c>
      <c r="D277" s="4" t="str">
        <f>IFERROR(__xludf.DUMMYFUNCTION("""COMPUTED_VALUE"""),"Heri chandta")</f>
        <v>Heri chandta</v>
      </c>
      <c r="E277" s="4" t="str">
        <f>IFERROR(__xludf.DUMMYFUNCTION("""COMPUTED_VALUE"""),"BANDUNG")</f>
        <v>BANDUNG</v>
      </c>
      <c r="F277" s="4" t="str">
        <f>IFERROR(__xludf.DUMMYFUNCTION("""COMPUTED_VALUE"""),"UJUNGBERUNG")</f>
        <v>UJUNGBERUNG</v>
      </c>
      <c r="G277" s="4" t="str">
        <f>IFERROR(__xludf.DUMMYFUNCTION("""COMPUTED_VALUE"""),"UJUNGBERUNG")</f>
        <v>UJUNGBERUNG</v>
      </c>
      <c r="H277" s="4" t="str">
        <f>IFERROR(__xludf.DUMMYFUNCTION("""COMPUTED_VALUE"""),"CPDU")</f>
        <v>CPDU</v>
      </c>
      <c r="I277" s="4" t="str">
        <f>IFERROR(__xludf.DUMMYFUNCTION("""COMPUTED_VALUE"""),"LBS MAN - REC PDB")</f>
        <v>LBS MAN - REC PDB</v>
      </c>
      <c r="J277" s="4" t="str">
        <f>IFERROR(__xludf.DUMMYFUNCTION("""COMPUTED_VALUE"""),"ZONA 2")</f>
        <v>ZONA 2</v>
      </c>
      <c r="K277" s="4" t="str">
        <f>IFERROR(__xludf.DUMMYFUNCTION("""COMPUTED_VALUE"""),"057R040R01")</f>
        <v>057R040R01</v>
      </c>
      <c r="L277" s="4" t="str">
        <f>IFERROR(__xludf.DUMMYFUNCTION("""COMPUTED_VALUE"""),"TM - 7B/H (Afspan 90 Derajat)")</f>
        <v>TM - 7B/H (Afspan 90 Derajat)</v>
      </c>
      <c r="M277" s="4" t="str">
        <f>IFERROR(__xludf.DUMMYFUNCTION("""COMPUTED_VALUE"""),"Tidak Ada")</f>
        <v>Tidak Ada</v>
      </c>
      <c r="N277" s="4"/>
      <c r="O277" s="4" t="str">
        <f>IFERROR(__xludf.DUMMYFUNCTION("""COMPUTED_VALUE"""),"PEMBANDING SEJENIS")</f>
        <v>PEMBANDING SEJENIS</v>
      </c>
      <c r="P277" s="4" t="str">
        <f>IFERROR(__xludf.DUMMYFUNCTION("""COMPUTED_VALUE"""),"KONEKTOR/JUMPER")</f>
        <v>KONEKTOR/JUMPER</v>
      </c>
      <c r="Q277" s="4">
        <f>IFERROR(__xludf.DUMMYFUNCTION("""COMPUTED_VALUE"""),20.1)</f>
        <v>20.1</v>
      </c>
      <c r="R277" s="4">
        <f>IFERROR(__xludf.DUMMYFUNCTION("""COMPUTED_VALUE"""),17.6)</f>
        <v>17.6</v>
      </c>
      <c r="S277" s="4">
        <f>IFERROR(__xludf.DUMMYFUNCTION("""COMPUTED_VALUE"""),19.8)</f>
        <v>19.8</v>
      </c>
      <c r="T277" s="4"/>
      <c r="U277" s="4" t="str">
        <f>IFERROR(__xludf.DUMMYFUNCTION("""COMPUTED_VALUE"""),"BAIK")</f>
        <v>BAIK</v>
      </c>
      <c r="V277" s="4" t="str">
        <f>IFERROR(__xludf.DUMMYFUNCTION("""COMPUTED_VALUE"""),"Tidak Ada")</f>
        <v>Tidak Ada</v>
      </c>
      <c r="W277" s="4"/>
      <c r="X277" s="4"/>
      <c r="Y277" s="4"/>
      <c r="Z277" s="4"/>
      <c r="AA277" s="4"/>
      <c r="AB277" s="4"/>
      <c r="AC277" s="4" t="str">
        <f>IFERROR(__xludf.DUMMYFUNCTION("""COMPUTED_VALUE"""),"INSPEKSI SUTM - T2_Images/ee7768e9.FOTO.165137.jpg")</f>
        <v>INSPEKSI SUTM - T2_Images/ee7768e9.FOTO.165137.jpg</v>
      </c>
      <c r="AD277" s="4"/>
      <c r="AE277" s="4"/>
      <c r="AF277" s="4" t="str">
        <f>IFERROR(__xludf.DUMMYFUNCTION("""COMPUTED_VALUE"""),"BELUM")</f>
        <v>BELUM</v>
      </c>
      <c r="AG277" s="6">
        <f>IFERROR(__xludf.DUMMYFUNCTION("""COMPUTED_VALUE"""),46059.0)</f>
        <v>46059</v>
      </c>
      <c r="AH277" s="4"/>
      <c r="AI277" s="4"/>
    </row>
    <row r="278" ht="15.75" customHeight="1">
      <c r="A278" s="4" t="str">
        <f>IFERROR(__xludf.DUMMYFUNCTION("""COMPUTED_VALUE"""),"37909373")</f>
        <v>37909373</v>
      </c>
      <c r="B278" s="5">
        <f>IFERROR(__xludf.DUMMYFUNCTION("""COMPUTED_VALUE"""),46062.96921296296)</f>
        <v>46062.96921</v>
      </c>
      <c r="C278" s="4" t="str">
        <f>IFERROR(__xludf.DUMMYFUNCTION("""COMPUTED_VALUE"""),"-6.904319, 107.671001")</f>
        <v>-6.904319, 107.671001</v>
      </c>
      <c r="D278" s="4" t="str">
        <f>IFERROR(__xludf.DUMMYFUNCTION("""COMPUTED_VALUE"""),"Heri chandra")</f>
        <v>Heri chandra</v>
      </c>
      <c r="E278" s="4" t="str">
        <f>IFERROR(__xludf.DUMMYFUNCTION("""COMPUTED_VALUE"""),"BANDUNG")</f>
        <v>BANDUNG</v>
      </c>
      <c r="F278" s="4" t="str">
        <f>IFERROR(__xludf.DUMMYFUNCTION("""COMPUTED_VALUE"""),"UJUNGBERUNG")</f>
        <v>UJUNGBERUNG</v>
      </c>
      <c r="G278" s="4" t="str">
        <f>IFERROR(__xludf.DUMMYFUNCTION("""COMPUTED_VALUE"""),"GIS BANDUNG TIMUR")</f>
        <v>GIS BANDUNG TIMUR</v>
      </c>
      <c r="H278" s="4" t="str">
        <f>IFERROR(__xludf.DUMMYFUNCTION("""COMPUTED_VALUE"""),"MDMK")</f>
        <v>MDMK</v>
      </c>
      <c r="I278" s="4" t="str">
        <f>IFERROR(__xludf.DUMMYFUNCTION("""COMPUTED_VALUE"""),"GIS TIMUR - REC PSME")</f>
        <v>GIS TIMUR - REC PSME</v>
      </c>
      <c r="J278" s="4" t="str">
        <f>IFERROR(__xludf.DUMMYFUNCTION("""COMPUTED_VALUE"""),"ZONA 1")</f>
        <v>ZONA 1</v>
      </c>
      <c r="K278" s="4" t="str">
        <f>IFERROR(__xludf.DUMMYFUNCTION("""COMPUTED_VALUE"""),"001")</f>
        <v>001</v>
      </c>
      <c r="L278" s="4" t="str">
        <f>IFERROR(__xludf.DUMMYFUNCTION("""COMPUTED_VALUE"""),"TM - 11B/H (Kabel Naik)")</f>
        <v>TM - 11B/H (Kabel Naik)</v>
      </c>
      <c r="M278" s="4" t="str">
        <f>IFERROR(__xludf.DUMMYFUNCTION("""COMPUTED_VALUE"""),"Tidak Ada")</f>
        <v>Tidak Ada</v>
      </c>
      <c r="N278" s="4"/>
      <c r="O278" s="4" t="str">
        <f>IFERROR(__xludf.DUMMYFUNCTION("""COMPUTED_VALUE"""),"PEMBANDING SEJENIS")</f>
        <v>PEMBANDING SEJENIS</v>
      </c>
      <c r="P278" s="4" t="str">
        <f>IFERROR(__xludf.DUMMYFUNCTION("""COMPUTED_VALUE"""),"TERMINASI")</f>
        <v>TERMINASI</v>
      </c>
      <c r="Q278" s="4">
        <f>IFERROR(__xludf.DUMMYFUNCTION("""COMPUTED_VALUE"""),25.7)</f>
        <v>25.7</v>
      </c>
      <c r="R278" s="4">
        <f>IFERROR(__xludf.DUMMYFUNCTION("""COMPUTED_VALUE"""),37.2)</f>
        <v>37.2</v>
      </c>
      <c r="S278" s="4">
        <f>IFERROR(__xludf.DUMMYFUNCTION("""COMPUTED_VALUE"""),32.0)</f>
        <v>32</v>
      </c>
      <c r="T278" s="4"/>
      <c r="U278" s="4" t="str">
        <f>IFERROR(__xludf.DUMMYFUNCTION("""COMPUTED_VALUE"""),"KURANG")</f>
        <v>KURANG</v>
      </c>
      <c r="V278" s="4" t="str">
        <f>IFERROR(__xludf.DUMMYFUNCTION("""COMPUTED_VALUE"""),"Tidak Ada")</f>
        <v>Tidak Ada</v>
      </c>
      <c r="W278" s="4"/>
      <c r="X278" s="4"/>
      <c r="Y278" s="4"/>
      <c r="Z278" s="4"/>
      <c r="AA278" s="4"/>
      <c r="AB278" s="4"/>
      <c r="AC278" s="4" t="str">
        <f>IFERROR(__xludf.DUMMYFUNCTION("""COMPUTED_VALUE"""),"INSPEKSI SUTM - T2_Images/37909373.FOTO.161650.jpg")</f>
        <v>INSPEKSI SUTM - T2_Images/37909373.FOTO.161650.jpg</v>
      </c>
      <c r="AD278" s="4"/>
      <c r="AE278" s="4"/>
      <c r="AF278" s="4" t="str">
        <f>IFERROR(__xludf.DUMMYFUNCTION("""COMPUTED_VALUE"""),"BELUM")</f>
        <v>BELUM</v>
      </c>
      <c r="AG278" s="6">
        <f>IFERROR(__xludf.DUMMYFUNCTION("""COMPUTED_VALUE"""),46062.0)</f>
        <v>46062</v>
      </c>
      <c r="AH278" s="4"/>
      <c r="AI278" s="4"/>
    </row>
    <row r="279" ht="15.75" customHeight="1">
      <c r="A279" s="4" t="str">
        <f>IFERROR(__xludf.DUMMYFUNCTION("""COMPUTED_VALUE"""),"20aa547f")</f>
        <v>20aa547f</v>
      </c>
      <c r="B279" s="5">
        <f>IFERROR(__xludf.DUMMYFUNCTION("""COMPUTED_VALUE"""),46062.97017361111)</f>
        <v>46062.97017</v>
      </c>
      <c r="C279" s="4" t="str">
        <f>IFERROR(__xludf.DUMMYFUNCTION("""COMPUTED_VALUE"""),"-6.904290, 107.671203")</f>
        <v>-6.904290, 107.671203</v>
      </c>
      <c r="D279" s="4" t="str">
        <f>IFERROR(__xludf.DUMMYFUNCTION("""COMPUTED_VALUE"""),"Herichandra")</f>
        <v>Herichandra</v>
      </c>
      <c r="E279" s="4" t="str">
        <f>IFERROR(__xludf.DUMMYFUNCTION("""COMPUTED_VALUE"""),"BANDUNG")</f>
        <v>BANDUNG</v>
      </c>
      <c r="F279" s="4" t="str">
        <f>IFERROR(__xludf.DUMMYFUNCTION("""COMPUTED_VALUE"""),"UJUNGBERUNG")</f>
        <v>UJUNGBERUNG</v>
      </c>
      <c r="G279" s="4" t="str">
        <f>IFERROR(__xludf.DUMMYFUNCTION("""COMPUTED_VALUE"""),"GIS BANDUNG TIMUR")</f>
        <v>GIS BANDUNG TIMUR</v>
      </c>
      <c r="H279" s="4" t="str">
        <f>IFERROR(__xludf.DUMMYFUNCTION("""COMPUTED_VALUE"""),"MDMK")</f>
        <v>MDMK</v>
      </c>
      <c r="I279" s="4" t="str">
        <f>IFERROR(__xludf.DUMMYFUNCTION("""COMPUTED_VALUE"""),"GIS TIMUR - REC PSME")</f>
        <v>GIS TIMUR - REC PSME</v>
      </c>
      <c r="J279" s="4" t="str">
        <f>IFERROR(__xludf.DUMMYFUNCTION("""COMPUTED_VALUE"""),"ZONA 1")</f>
        <v>ZONA 1</v>
      </c>
      <c r="K279" s="4" t="str">
        <f>IFERROR(__xludf.DUMMYFUNCTION("""COMPUTED_VALUE"""),"002")</f>
        <v>002</v>
      </c>
      <c r="L279" s="4" t="str">
        <f>IFERROR(__xludf.DUMMYFUNCTION("""COMPUTED_VALUE"""),"TM - 4B/H (Afspan)")</f>
        <v>TM - 4B/H (Afspan)</v>
      </c>
      <c r="M279" s="4" t="str">
        <f>IFERROR(__xludf.DUMMYFUNCTION("""COMPUTED_VALUE"""),"Tidak Ada")</f>
        <v>Tidak Ada</v>
      </c>
      <c r="N279" s="4"/>
      <c r="O279" s="4" t="str">
        <f>IFERROR(__xludf.DUMMYFUNCTION("""COMPUTED_VALUE"""),"PEMBANDING SEJENIS")</f>
        <v>PEMBANDING SEJENIS</v>
      </c>
      <c r="P279" s="4" t="str">
        <f>IFERROR(__xludf.DUMMYFUNCTION("""COMPUTED_VALUE"""),"KONEKTOR/JUMPER")</f>
        <v>KONEKTOR/JUMPER</v>
      </c>
      <c r="Q279" s="4">
        <f>IFERROR(__xludf.DUMMYFUNCTION("""COMPUTED_VALUE"""),26.4)</f>
        <v>26.4</v>
      </c>
      <c r="R279" s="4">
        <f>IFERROR(__xludf.DUMMYFUNCTION("""COMPUTED_VALUE"""),26.0)</f>
        <v>26</v>
      </c>
      <c r="S279" s="4">
        <f>IFERROR(__xludf.DUMMYFUNCTION("""COMPUTED_VALUE"""),25.4)</f>
        <v>25.4</v>
      </c>
      <c r="T279" s="4"/>
      <c r="U279" s="4" t="str">
        <f>IFERROR(__xludf.DUMMYFUNCTION("""COMPUTED_VALUE"""),"BAIK")</f>
        <v>BAIK</v>
      </c>
      <c r="V279" s="4" t="str">
        <f>IFERROR(__xludf.DUMMYFUNCTION("""COMPUTED_VALUE"""),"Tidak Ada")</f>
        <v>Tidak Ada</v>
      </c>
      <c r="W279" s="4"/>
      <c r="X279" s="4"/>
      <c r="Y279" s="4"/>
      <c r="Z279" s="4"/>
      <c r="AA279" s="4"/>
      <c r="AB279" s="4"/>
      <c r="AC279" s="4" t="str">
        <f>IFERROR(__xludf.DUMMYFUNCTION("""COMPUTED_VALUE"""),"INSPEKSI SUTM - T2_Images/20aa547f.FOTO.161753.jpg")</f>
        <v>INSPEKSI SUTM - T2_Images/20aa547f.FOTO.161753.jpg</v>
      </c>
      <c r="AD279" s="4"/>
      <c r="AE279" s="4"/>
      <c r="AF279" s="4" t="str">
        <f>IFERROR(__xludf.DUMMYFUNCTION("""COMPUTED_VALUE"""),"BELUM")</f>
        <v>BELUM</v>
      </c>
      <c r="AG279" s="6">
        <f>IFERROR(__xludf.DUMMYFUNCTION("""COMPUTED_VALUE"""),46062.0)</f>
        <v>46062</v>
      </c>
      <c r="AH279" s="4"/>
      <c r="AI279" s="4"/>
    </row>
    <row r="280" ht="15.75" customHeight="1">
      <c r="A280" s="4" t="str">
        <f>IFERROR(__xludf.DUMMYFUNCTION("""COMPUTED_VALUE"""),"c37fada8")</f>
        <v>c37fada8</v>
      </c>
      <c r="B280" s="5">
        <f>IFERROR(__xludf.DUMMYFUNCTION("""COMPUTED_VALUE"""),46062.970983796295)</f>
        <v>46062.97098</v>
      </c>
      <c r="C280" s="4" t="str">
        <f>IFERROR(__xludf.DUMMYFUNCTION("""COMPUTED_VALUE"""),"-6.904276, 107.671197")</f>
        <v>-6.904276, 107.671197</v>
      </c>
      <c r="D280" s="4" t="str">
        <f>IFERROR(__xludf.DUMMYFUNCTION("""COMPUTED_VALUE"""),"Heri chandra")</f>
        <v>Heri chandra</v>
      </c>
      <c r="E280" s="4" t="str">
        <f>IFERROR(__xludf.DUMMYFUNCTION("""COMPUTED_VALUE"""),"BANDUNG")</f>
        <v>BANDUNG</v>
      </c>
      <c r="F280" s="4" t="str">
        <f>IFERROR(__xludf.DUMMYFUNCTION("""COMPUTED_VALUE"""),"UJUNGBERUNG")</f>
        <v>UJUNGBERUNG</v>
      </c>
      <c r="G280" s="4" t="str">
        <f>IFERROR(__xludf.DUMMYFUNCTION("""COMPUTED_VALUE"""),"GIS BANDUNG TIMUR")</f>
        <v>GIS BANDUNG TIMUR</v>
      </c>
      <c r="H280" s="4" t="str">
        <f>IFERROR(__xludf.DUMMYFUNCTION("""COMPUTED_VALUE"""),"MDMK")</f>
        <v>MDMK</v>
      </c>
      <c r="I280" s="4" t="str">
        <f>IFERROR(__xludf.DUMMYFUNCTION("""COMPUTED_VALUE"""),"GIS TIMUR - REC PSME")</f>
        <v>GIS TIMUR - REC PSME</v>
      </c>
      <c r="J280" s="4" t="str">
        <f>IFERROR(__xludf.DUMMYFUNCTION("""COMPUTED_VALUE"""),"ZONA 1")</f>
        <v>ZONA 1</v>
      </c>
      <c r="K280" s="4" t="str">
        <f>IFERROR(__xludf.DUMMYFUNCTION("""COMPUTED_VALUE"""),"006")</f>
        <v>006</v>
      </c>
      <c r="L280" s="4" t="str">
        <f>IFERROR(__xludf.DUMMYFUNCTION("""COMPUTED_VALUE"""),"TM - 8B/H (Percabangan)")</f>
        <v>TM - 8B/H (Percabangan)</v>
      </c>
      <c r="M280" s="4" t="str">
        <f>IFERROR(__xludf.DUMMYFUNCTION("""COMPUTED_VALUE"""),"Tidak Ada")</f>
        <v>Tidak Ada</v>
      </c>
      <c r="N280" s="4"/>
      <c r="O280" s="4" t="str">
        <f>IFERROR(__xludf.DUMMYFUNCTION("""COMPUTED_VALUE"""),"PEMBANDING SEJENIS")</f>
        <v>PEMBANDING SEJENIS</v>
      </c>
      <c r="P280" s="4" t="str">
        <f>IFERROR(__xludf.DUMMYFUNCTION("""COMPUTED_VALUE"""),"KONEKTOR/JUMPER")</f>
        <v>KONEKTOR/JUMPER</v>
      </c>
      <c r="Q280" s="4">
        <f>IFERROR(__xludf.DUMMYFUNCTION("""COMPUTED_VALUE"""),24.4)</f>
        <v>24.4</v>
      </c>
      <c r="R280" s="4">
        <f>IFERROR(__xludf.DUMMYFUNCTION("""COMPUTED_VALUE"""),24.6)</f>
        <v>24.6</v>
      </c>
      <c r="S280" s="4">
        <f>IFERROR(__xludf.DUMMYFUNCTION("""COMPUTED_VALUE"""),23.3)</f>
        <v>23.3</v>
      </c>
      <c r="T280" s="4"/>
      <c r="U280" s="4" t="str">
        <f>IFERROR(__xludf.DUMMYFUNCTION("""COMPUTED_VALUE"""),"BAIK")</f>
        <v>BAIK</v>
      </c>
      <c r="V280" s="4" t="str">
        <f>IFERROR(__xludf.DUMMYFUNCTION("""COMPUTED_VALUE"""),"Tidak Ada")</f>
        <v>Tidak Ada</v>
      </c>
      <c r="W280" s="4"/>
      <c r="X280" s="4"/>
      <c r="Y280" s="4"/>
      <c r="Z280" s="4"/>
      <c r="AA280" s="4"/>
      <c r="AB280" s="4"/>
      <c r="AC280" s="4" t="str">
        <f>IFERROR(__xludf.DUMMYFUNCTION("""COMPUTED_VALUE"""),"INSPEKSI SUTM - T2_Images/c37fada8.FOTO.161853.jpg")</f>
        <v>INSPEKSI SUTM - T2_Images/c37fada8.FOTO.161853.jpg</v>
      </c>
      <c r="AD280" s="4"/>
      <c r="AE280" s="4"/>
      <c r="AF280" s="4" t="str">
        <f>IFERROR(__xludf.DUMMYFUNCTION("""COMPUTED_VALUE"""),"BELUM")</f>
        <v>BELUM</v>
      </c>
      <c r="AG280" s="6">
        <f>IFERROR(__xludf.DUMMYFUNCTION("""COMPUTED_VALUE"""),46062.0)</f>
        <v>46062</v>
      </c>
      <c r="AH280" s="4"/>
      <c r="AI280" s="4"/>
    </row>
    <row r="281" ht="15.75" customHeight="1">
      <c r="A281" s="4" t="str">
        <f>IFERROR(__xludf.DUMMYFUNCTION("""COMPUTED_VALUE"""),"a3abcd4e")</f>
        <v>a3abcd4e</v>
      </c>
      <c r="B281" s="5">
        <f>IFERROR(__xludf.DUMMYFUNCTION("""COMPUTED_VALUE"""),46062.97170138889)</f>
        <v>46062.9717</v>
      </c>
      <c r="C281" s="4" t="str">
        <f>IFERROR(__xludf.DUMMYFUNCTION("""COMPUTED_VALUE"""),"-6.904761, 107.673592")</f>
        <v>-6.904761, 107.673592</v>
      </c>
      <c r="D281" s="4" t="str">
        <f>IFERROR(__xludf.DUMMYFUNCTION("""COMPUTED_VALUE"""),"Heri chandra")</f>
        <v>Heri chandra</v>
      </c>
      <c r="E281" s="4" t="str">
        <f>IFERROR(__xludf.DUMMYFUNCTION("""COMPUTED_VALUE"""),"BANDUNG")</f>
        <v>BANDUNG</v>
      </c>
      <c r="F281" s="4" t="str">
        <f>IFERROR(__xludf.DUMMYFUNCTION("""COMPUTED_VALUE"""),"UJUNGBERUNG")</f>
        <v>UJUNGBERUNG</v>
      </c>
      <c r="G281" s="4" t="str">
        <f>IFERROR(__xludf.DUMMYFUNCTION("""COMPUTED_VALUE"""),"GIS BANDUNG TIMUR")</f>
        <v>GIS BANDUNG TIMUR</v>
      </c>
      <c r="H281" s="4" t="str">
        <f>IFERROR(__xludf.DUMMYFUNCTION("""COMPUTED_VALUE"""),"MDMK")</f>
        <v>MDMK</v>
      </c>
      <c r="I281" s="4" t="str">
        <f>IFERROR(__xludf.DUMMYFUNCTION("""COMPUTED_VALUE"""),"GIS TIMUR - REC PSME")</f>
        <v>GIS TIMUR - REC PSME</v>
      </c>
      <c r="J281" s="4" t="str">
        <f>IFERROR(__xludf.DUMMYFUNCTION("""COMPUTED_VALUE"""),"ZONA 1")</f>
        <v>ZONA 1</v>
      </c>
      <c r="K281" s="4" t="str">
        <f>IFERROR(__xludf.DUMMYFUNCTION("""COMPUTED_VALUE"""),"010")</f>
        <v>010</v>
      </c>
      <c r="L281" s="4" t="str">
        <f>IFERROR(__xludf.DUMMYFUNCTION("""COMPUTED_VALUE"""),"TM - 1B/H (Tumpu)")</f>
        <v>TM - 1B/H (Tumpu)</v>
      </c>
      <c r="M281" s="4" t="str">
        <f>IFERROR(__xludf.DUMMYFUNCTION("""COMPUTED_VALUE"""),"Tidak Ada")</f>
        <v>Tidak Ada</v>
      </c>
      <c r="N281" s="4"/>
      <c r="O281" s="4" t="str">
        <f>IFERROR(__xludf.DUMMYFUNCTION("""COMPUTED_VALUE"""),"PEMBANDING SEJENIS")</f>
        <v>PEMBANDING SEJENIS</v>
      </c>
      <c r="P281" s="4" t="str">
        <f>IFERROR(__xludf.DUMMYFUNCTION("""COMPUTED_VALUE"""),"ARRESTER")</f>
        <v>ARRESTER</v>
      </c>
      <c r="Q281" s="4">
        <f>IFERROR(__xludf.DUMMYFUNCTION("""COMPUTED_VALUE"""),23.9)</f>
        <v>23.9</v>
      </c>
      <c r="R281" s="4">
        <f>IFERROR(__xludf.DUMMYFUNCTION("""COMPUTED_VALUE"""),23.7)</f>
        <v>23.7</v>
      </c>
      <c r="S281" s="4">
        <f>IFERROR(__xludf.DUMMYFUNCTION("""COMPUTED_VALUE"""),23.7)</f>
        <v>23.7</v>
      </c>
      <c r="T281" s="4"/>
      <c r="U281" s="4" t="str">
        <f>IFERROR(__xludf.DUMMYFUNCTION("""COMPUTED_VALUE"""),"BAIK")</f>
        <v>BAIK</v>
      </c>
      <c r="V281" s="4" t="str">
        <f>IFERROR(__xludf.DUMMYFUNCTION("""COMPUTED_VALUE"""),"Tidak Ada")</f>
        <v>Tidak Ada</v>
      </c>
      <c r="W281" s="4"/>
      <c r="X281" s="4"/>
      <c r="Y281" s="4"/>
      <c r="Z281" s="4"/>
      <c r="AA281" s="4"/>
      <c r="AB281" s="4"/>
      <c r="AC281" s="4" t="str">
        <f>IFERROR(__xludf.DUMMYFUNCTION("""COMPUTED_VALUE"""),"INSPEKSI SUTM - T2_Images/a3abcd4e.FOTO.161953.jpg")</f>
        <v>INSPEKSI SUTM - T2_Images/a3abcd4e.FOTO.161953.jpg</v>
      </c>
      <c r="AD281" s="4"/>
      <c r="AE281" s="4"/>
      <c r="AF281" s="4" t="str">
        <f>IFERROR(__xludf.DUMMYFUNCTION("""COMPUTED_VALUE"""),"BELUM")</f>
        <v>BELUM</v>
      </c>
      <c r="AG281" s="6">
        <f>IFERROR(__xludf.DUMMYFUNCTION("""COMPUTED_VALUE"""),46062.0)</f>
        <v>46062</v>
      </c>
      <c r="AH281" s="4"/>
      <c r="AI281" s="4"/>
    </row>
    <row r="282" ht="15.75" customHeight="1">
      <c r="A282" s="4" t="str">
        <f>IFERROR(__xludf.DUMMYFUNCTION("""COMPUTED_VALUE"""),"0b9cc9ad")</f>
        <v>0b9cc9ad</v>
      </c>
      <c r="B282" s="5">
        <f>IFERROR(__xludf.DUMMYFUNCTION("""COMPUTED_VALUE"""),46062.97232638889)</f>
        <v>46062.97233</v>
      </c>
      <c r="C282" s="4" t="str">
        <f>IFERROR(__xludf.DUMMYFUNCTION("""COMPUTED_VALUE"""),"-6.904750, 107.673585")</f>
        <v>-6.904750, 107.673585</v>
      </c>
      <c r="D282" s="4" t="str">
        <f>IFERROR(__xludf.DUMMYFUNCTION("""COMPUTED_VALUE"""),"Heri chandra")</f>
        <v>Heri chandra</v>
      </c>
      <c r="E282" s="4" t="str">
        <f>IFERROR(__xludf.DUMMYFUNCTION("""COMPUTED_VALUE"""),"BANDUNG")</f>
        <v>BANDUNG</v>
      </c>
      <c r="F282" s="4" t="str">
        <f>IFERROR(__xludf.DUMMYFUNCTION("""COMPUTED_VALUE"""),"UJUNGBERUNG")</f>
        <v>UJUNGBERUNG</v>
      </c>
      <c r="G282" s="4" t="str">
        <f>IFERROR(__xludf.DUMMYFUNCTION("""COMPUTED_VALUE"""),"GIS BANDUNG TIMUR")</f>
        <v>GIS BANDUNG TIMUR</v>
      </c>
      <c r="H282" s="4" t="str">
        <f>IFERROR(__xludf.DUMMYFUNCTION("""COMPUTED_VALUE"""),"MDMK")</f>
        <v>MDMK</v>
      </c>
      <c r="I282" s="4" t="str">
        <f>IFERROR(__xludf.DUMMYFUNCTION("""COMPUTED_VALUE"""),"GIS TIMUR - REC PSME")</f>
        <v>GIS TIMUR - REC PSME</v>
      </c>
      <c r="J282" s="4" t="str">
        <f>IFERROR(__xludf.DUMMYFUNCTION("""COMPUTED_VALUE"""),"ZONA 1")</f>
        <v>ZONA 1</v>
      </c>
      <c r="K282" s="4" t="str">
        <f>IFERROR(__xludf.DUMMYFUNCTION("""COMPUTED_VALUE"""),"011")</f>
        <v>011</v>
      </c>
      <c r="L282" s="4" t="str">
        <f>IFERROR(__xludf.DUMMYFUNCTION("""COMPUTED_VALUE"""),"TM - 4B/H (Afspan)")</f>
        <v>TM - 4B/H (Afspan)</v>
      </c>
      <c r="M282" s="4" t="str">
        <f>IFERROR(__xludf.DUMMYFUNCTION("""COMPUTED_VALUE"""),"Tidak Ada")</f>
        <v>Tidak Ada</v>
      </c>
      <c r="N282" s="4"/>
      <c r="O282" s="4" t="str">
        <f>IFERROR(__xludf.DUMMYFUNCTION("""COMPUTED_VALUE"""),"PEMBANDING SEJENIS")</f>
        <v>PEMBANDING SEJENIS</v>
      </c>
      <c r="P282" s="4" t="str">
        <f>IFERROR(__xludf.DUMMYFUNCTION("""COMPUTED_VALUE"""),"KONEKTOR/JUMPER")</f>
        <v>KONEKTOR/JUMPER</v>
      </c>
      <c r="Q282" s="4">
        <f>IFERROR(__xludf.DUMMYFUNCTION("""COMPUTED_VALUE"""),25.8)</f>
        <v>25.8</v>
      </c>
      <c r="R282" s="4">
        <f>IFERROR(__xludf.DUMMYFUNCTION("""COMPUTED_VALUE"""),25.7)</f>
        <v>25.7</v>
      </c>
      <c r="S282" s="4">
        <f>IFERROR(__xludf.DUMMYFUNCTION("""COMPUTED_VALUE"""),25.7)</f>
        <v>25.7</v>
      </c>
      <c r="T282" s="4"/>
      <c r="U282" s="4" t="str">
        <f>IFERROR(__xludf.DUMMYFUNCTION("""COMPUTED_VALUE"""),"BAIK")</f>
        <v>BAIK</v>
      </c>
      <c r="V282" s="4" t="str">
        <f>IFERROR(__xludf.DUMMYFUNCTION("""COMPUTED_VALUE"""),"Tidak Ada")</f>
        <v>Tidak Ada</v>
      </c>
      <c r="W282" s="4"/>
      <c r="X282" s="4"/>
      <c r="Y282" s="4"/>
      <c r="Z282" s="4"/>
      <c r="AA282" s="4"/>
      <c r="AB282" s="4"/>
      <c r="AC282" s="4" t="str">
        <f>IFERROR(__xludf.DUMMYFUNCTION("""COMPUTED_VALUE"""),"INSPEKSI SUTM - T2_Images/0b9cc9ad.FOTO.162048.jpg")</f>
        <v>INSPEKSI SUTM - T2_Images/0b9cc9ad.FOTO.162048.jpg</v>
      </c>
      <c r="AD282" s="4"/>
      <c r="AE282" s="4"/>
      <c r="AF282" s="4" t="str">
        <f>IFERROR(__xludf.DUMMYFUNCTION("""COMPUTED_VALUE"""),"BELUM")</f>
        <v>BELUM</v>
      </c>
      <c r="AG282" s="6">
        <f>IFERROR(__xludf.DUMMYFUNCTION("""COMPUTED_VALUE"""),46062.0)</f>
        <v>46062</v>
      </c>
      <c r="AH282" s="4"/>
      <c r="AI282" s="4"/>
    </row>
    <row r="283" ht="15.75" customHeight="1">
      <c r="A283" s="4" t="str">
        <f>IFERROR(__xludf.DUMMYFUNCTION("""COMPUTED_VALUE"""),"ee619efe")</f>
        <v>ee619efe</v>
      </c>
      <c r="B283" s="5">
        <f>IFERROR(__xludf.DUMMYFUNCTION("""COMPUTED_VALUE"""),46062.97299768519)</f>
        <v>46062.973</v>
      </c>
      <c r="C283" s="4" t="str">
        <f>IFERROR(__xludf.DUMMYFUNCTION("""COMPUTED_VALUE"""),"-6.904589, 107.675102")</f>
        <v>-6.904589, 107.675102</v>
      </c>
      <c r="D283" s="4" t="str">
        <f>IFERROR(__xludf.DUMMYFUNCTION("""COMPUTED_VALUE"""),"Heri chandta")</f>
        <v>Heri chandta</v>
      </c>
      <c r="E283" s="4" t="str">
        <f>IFERROR(__xludf.DUMMYFUNCTION("""COMPUTED_VALUE"""),"BANDUNG")</f>
        <v>BANDUNG</v>
      </c>
      <c r="F283" s="4" t="str">
        <f>IFERROR(__xludf.DUMMYFUNCTION("""COMPUTED_VALUE"""),"UJUNGBERUNG")</f>
        <v>UJUNGBERUNG</v>
      </c>
      <c r="G283" s="4" t="str">
        <f>IFERROR(__xludf.DUMMYFUNCTION("""COMPUTED_VALUE"""),"GIS BANDUNG TIMUR")</f>
        <v>GIS BANDUNG TIMUR</v>
      </c>
      <c r="H283" s="4" t="str">
        <f>IFERROR(__xludf.DUMMYFUNCTION("""COMPUTED_VALUE"""),"MDMK")</f>
        <v>MDMK</v>
      </c>
      <c r="I283" s="4" t="str">
        <f>IFERROR(__xludf.DUMMYFUNCTION("""COMPUTED_VALUE"""),"GIS TIMUR - REC PSME")</f>
        <v>GIS TIMUR - REC PSME</v>
      </c>
      <c r="J283" s="4" t="str">
        <f>IFERROR(__xludf.DUMMYFUNCTION("""COMPUTED_VALUE"""),"ZONA 1")</f>
        <v>ZONA 1</v>
      </c>
      <c r="K283" s="4" t="str">
        <f>IFERROR(__xludf.DUMMYFUNCTION("""COMPUTED_VALUE"""),"014")</f>
        <v>014</v>
      </c>
      <c r="L283" s="4" t="str">
        <f>IFERROR(__xludf.DUMMYFUNCTION("""COMPUTED_VALUE"""),"TM - 1B/H (Tumpu)")</f>
        <v>TM - 1B/H (Tumpu)</v>
      </c>
      <c r="M283" s="4" t="str">
        <f>IFERROR(__xludf.DUMMYFUNCTION("""COMPUTED_VALUE"""),"Tidak Ada")</f>
        <v>Tidak Ada</v>
      </c>
      <c r="N283" s="4"/>
      <c r="O283" s="4" t="str">
        <f>IFERROR(__xludf.DUMMYFUNCTION("""COMPUTED_VALUE"""),"PEMBANDING SEJENIS")</f>
        <v>PEMBANDING SEJENIS</v>
      </c>
      <c r="P283" s="4" t="str">
        <f>IFERROR(__xludf.DUMMYFUNCTION("""COMPUTED_VALUE"""),"ARRESTER")</f>
        <v>ARRESTER</v>
      </c>
      <c r="Q283" s="4">
        <f>IFERROR(__xludf.DUMMYFUNCTION("""COMPUTED_VALUE"""),23.7)</f>
        <v>23.7</v>
      </c>
      <c r="R283" s="4">
        <f>IFERROR(__xludf.DUMMYFUNCTION("""COMPUTED_VALUE"""),23.7)</f>
        <v>23.7</v>
      </c>
      <c r="S283" s="4">
        <f>IFERROR(__xludf.DUMMYFUNCTION("""COMPUTED_VALUE"""),23.7)</f>
        <v>23.7</v>
      </c>
      <c r="T283" s="4"/>
      <c r="U283" s="4" t="str">
        <f>IFERROR(__xludf.DUMMYFUNCTION("""COMPUTED_VALUE"""),"BAIK")</f>
        <v>BAIK</v>
      </c>
      <c r="V283" s="4" t="str">
        <f>IFERROR(__xludf.DUMMYFUNCTION("""COMPUTED_VALUE"""),"Tidak Ada")</f>
        <v>Tidak Ada</v>
      </c>
      <c r="W283" s="4"/>
      <c r="X283" s="4"/>
      <c r="Y283" s="4"/>
      <c r="Z283" s="4"/>
      <c r="AA283" s="4"/>
      <c r="AB283" s="4"/>
      <c r="AC283" s="4" t="str">
        <f>IFERROR(__xludf.DUMMYFUNCTION("""COMPUTED_VALUE"""),"INSPEKSI SUTM - T2_Images/ee619efe.FOTO.162149.jpg")</f>
        <v>INSPEKSI SUTM - T2_Images/ee619efe.FOTO.162149.jpg</v>
      </c>
      <c r="AD283" s="4"/>
      <c r="AE283" s="4"/>
      <c r="AF283" s="4" t="str">
        <f>IFERROR(__xludf.DUMMYFUNCTION("""COMPUTED_VALUE"""),"BELUM")</f>
        <v>BELUM</v>
      </c>
      <c r="AG283" s="6">
        <f>IFERROR(__xludf.DUMMYFUNCTION("""COMPUTED_VALUE"""),46062.0)</f>
        <v>46062</v>
      </c>
      <c r="AH283" s="4"/>
      <c r="AI283" s="4"/>
    </row>
    <row r="284" ht="15.75" customHeight="1">
      <c r="A284" s="4" t="str">
        <f>IFERROR(__xludf.DUMMYFUNCTION("""COMPUTED_VALUE"""),"48161a46")</f>
        <v>48161a46</v>
      </c>
      <c r="B284" s="5">
        <f>IFERROR(__xludf.DUMMYFUNCTION("""COMPUTED_VALUE"""),46062.973657407405)</f>
        <v>46062.97366</v>
      </c>
      <c r="C284" s="4" t="str">
        <f>IFERROR(__xludf.DUMMYFUNCTION("""COMPUTED_VALUE"""),"-6.904528, 107.675677")</f>
        <v>-6.904528, 107.675677</v>
      </c>
      <c r="D284" s="4" t="str">
        <f>IFERROR(__xludf.DUMMYFUNCTION("""COMPUTED_VALUE"""),"Heri xhandta")</f>
        <v>Heri xhandta</v>
      </c>
      <c r="E284" s="4" t="str">
        <f>IFERROR(__xludf.DUMMYFUNCTION("""COMPUTED_VALUE"""),"BANDUNG")</f>
        <v>BANDUNG</v>
      </c>
      <c r="F284" s="4" t="str">
        <f>IFERROR(__xludf.DUMMYFUNCTION("""COMPUTED_VALUE"""),"UJUNGBERUNG")</f>
        <v>UJUNGBERUNG</v>
      </c>
      <c r="G284" s="4" t="str">
        <f>IFERROR(__xludf.DUMMYFUNCTION("""COMPUTED_VALUE"""),"GIS BANDUNG TIMUR")</f>
        <v>GIS BANDUNG TIMUR</v>
      </c>
      <c r="H284" s="4" t="str">
        <f>IFERROR(__xludf.DUMMYFUNCTION("""COMPUTED_VALUE"""),"MDMK")</f>
        <v>MDMK</v>
      </c>
      <c r="I284" s="4" t="str">
        <f>IFERROR(__xludf.DUMMYFUNCTION("""COMPUTED_VALUE"""),"GIS TIMUR - REC PSME")</f>
        <v>GIS TIMUR - REC PSME</v>
      </c>
      <c r="J284" s="4" t="str">
        <f>IFERROR(__xludf.DUMMYFUNCTION("""COMPUTED_VALUE"""),"ZONA 1")</f>
        <v>ZONA 1</v>
      </c>
      <c r="K284" s="4" t="str">
        <f>IFERROR(__xludf.DUMMYFUNCTION("""COMPUTED_VALUE"""),"016")</f>
        <v>016</v>
      </c>
      <c r="L284" s="4" t="str">
        <f>IFERROR(__xludf.DUMMYFUNCTION("""COMPUTED_VALUE"""),"TM - 7B/H (Afspan 90 Derajat)")</f>
        <v>TM - 7B/H (Afspan 90 Derajat)</v>
      </c>
      <c r="M284" s="4" t="str">
        <f>IFERROR(__xludf.DUMMYFUNCTION("""COMPUTED_VALUE"""),"Tidak Ada")</f>
        <v>Tidak Ada</v>
      </c>
      <c r="N284" s="4"/>
      <c r="O284" s="4" t="str">
        <f>IFERROR(__xludf.DUMMYFUNCTION("""COMPUTED_VALUE"""),"PEMBANDING SEJENIS")</f>
        <v>PEMBANDING SEJENIS</v>
      </c>
      <c r="P284" s="4" t="str">
        <f>IFERROR(__xludf.DUMMYFUNCTION("""COMPUTED_VALUE"""),"KONEKTOR/JUMPER")</f>
        <v>KONEKTOR/JUMPER</v>
      </c>
      <c r="Q284" s="4">
        <f>IFERROR(__xludf.DUMMYFUNCTION("""COMPUTED_VALUE"""),24.4)</f>
        <v>24.4</v>
      </c>
      <c r="R284" s="4">
        <f>IFERROR(__xludf.DUMMYFUNCTION("""COMPUTED_VALUE"""),24.3)</f>
        <v>24.3</v>
      </c>
      <c r="S284" s="4">
        <f>IFERROR(__xludf.DUMMYFUNCTION("""COMPUTED_VALUE"""),24.6)</f>
        <v>24.6</v>
      </c>
      <c r="T284" s="4"/>
      <c r="U284" s="4" t="str">
        <f>IFERROR(__xludf.DUMMYFUNCTION("""COMPUTED_VALUE"""),"BAIK")</f>
        <v>BAIK</v>
      </c>
      <c r="V284" s="4" t="str">
        <f>IFERROR(__xludf.DUMMYFUNCTION("""COMPUTED_VALUE"""),"Tidak Ada")</f>
        <v>Tidak Ada</v>
      </c>
      <c r="W284" s="4"/>
      <c r="X284" s="4"/>
      <c r="Y284" s="4"/>
      <c r="Z284" s="4"/>
      <c r="AA284" s="4"/>
      <c r="AB284" s="4"/>
      <c r="AC284" s="4" t="str">
        <f>IFERROR(__xludf.DUMMYFUNCTION("""COMPUTED_VALUE"""),"INSPEKSI SUTM - T2_Images/48161a46.FOTO.162246.jpg")</f>
        <v>INSPEKSI SUTM - T2_Images/48161a46.FOTO.162246.jpg</v>
      </c>
      <c r="AD284" s="4"/>
      <c r="AE284" s="4"/>
      <c r="AF284" s="4" t="str">
        <f>IFERROR(__xludf.DUMMYFUNCTION("""COMPUTED_VALUE"""),"BELUM")</f>
        <v>BELUM</v>
      </c>
      <c r="AG284" s="6">
        <f>IFERROR(__xludf.DUMMYFUNCTION("""COMPUTED_VALUE"""),46062.0)</f>
        <v>46062</v>
      </c>
      <c r="AH284" s="4"/>
      <c r="AI284" s="4"/>
    </row>
    <row r="285" ht="15.75" customHeight="1">
      <c r="A285" s="4" t="str">
        <f>IFERROR(__xludf.DUMMYFUNCTION("""COMPUTED_VALUE"""),"a584af54")</f>
        <v>a584af54</v>
      </c>
      <c r="B285" s="5">
        <f>IFERROR(__xludf.DUMMYFUNCTION("""COMPUTED_VALUE"""),46062.97430555556)</f>
        <v>46062.97431</v>
      </c>
      <c r="C285" s="4" t="str">
        <f>IFERROR(__xludf.DUMMYFUNCTION("""COMPUTED_VALUE"""),"-6.904516, 107.675666")</f>
        <v>-6.904516, 107.675666</v>
      </c>
      <c r="D285" s="4" t="str">
        <f>IFERROR(__xludf.DUMMYFUNCTION("""COMPUTED_VALUE"""),"Herixhandra")</f>
        <v>Herixhandra</v>
      </c>
      <c r="E285" s="4" t="str">
        <f>IFERROR(__xludf.DUMMYFUNCTION("""COMPUTED_VALUE"""),"BANDUNG")</f>
        <v>BANDUNG</v>
      </c>
      <c r="F285" s="4" t="str">
        <f>IFERROR(__xludf.DUMMYFUNCTION("""COMPUTED_VALUE"""),"UJUNGBERUNG")</f>
        <v>UJUNGBERUNG</v>
      </c>
      <c r="G285" s="4" t="str">
        <f>IFERROR(__xludf.DUMMYFUNCTION("""COMPUTED_VALUE"""),"GIS BANDUNG TIMUR")</f>
        <v>GIS BANDUNG TIMUR</v>
      </c>
      <c r="H285" s="4" t="str">
        <f>IFERROR(__xludf.DUMMYFUNCTION("""COMPUTED_VALUE"""),"MDMK")</f>
        <v>MDMK</v>
      </c>
      <c r="I285" s="4" t="str">
        <f>IFERROR(__xludf.DUMMYFUNCTION("""COMPUTED_VALUE"""),"GIS TIMUR - REC PSME")</f>
        <v>GIS TIMUR - REC PSME</v>
      </c>
      <c r="J285" s="4" t="str">
        <f>IFERROR(__xludf.DUMMYFUNCTION("""COMPUTED_VALUE"""),"ZONA 1")</f>
        <v>ZONA 1</v>
      </c>
      <c r="K285" s="4" t="str">
        <f>IFERROR(__xludf.DUMMYFUNCTION("""COMPUTED_VALUE"""),"017")</f>
        <v>017</v>
      </c>
      <c r="L285" s="4" t="str">
        <f>IFERROR(__xludf.DUMMYFUNCTION("""COMPUTED_VALUE"""),"TM - 8B/H (Percabangan)")</f>
        <v>TM - 8B/H (Percabangan)</v>
      </c>
      <c r="M285" s="4" t="str">
        <f>IFERROR(__xludf.DUMMYFUNCTION("""COMPUTED_VALUE"""),"Tidak Ada")</f>
        <v>Tidak Ada</v>
      </c>
      <c r="N285" s="4"/>
      <c r="O285" s="4" t="str">
        <f>IFERROR(__xludf.DUMMYFUNCTION("""COMPUTED_VALUE"""),"PEMBANDING SEJENIS")</f>
        <v>PEMBANDING SEJENIS</v>
      </c>
      <c r="P285" s="4" t="str">
        <f>IFERROR(__xludf.DUMMYFUNCTION("""COMPUTED_VALUE"""),"KONEKTOR/JUMPER")</f>
        <v>KONEKTOR/JUMPER</v>
      </c>
      <c r="Q285" s="4">
        <f>IFERROR(__xludf.DUMMYFUNCTION("""COMPUTED_VALUE"""),23.2)</f>
        <v>23.2</v>
      </c>
      <c r="R285" s="4">
        <f>IFERROR(__xludf.DUMMYFUNCTION("""COMPUTED_VALUE"""),23.8)</f>
        <v>23.8</v>
      </c>
      <c r="S285" s="4">
        <f>IFERROR(__xludf.DUMMYFUNCTION("""COMPUTED_VALUE"""),24.3)</f>
        <v>24.3</v>
      </c>
      <c r="T285" s="4"/>
      <c r="U285" s="4" t="str">
        <f>IFERROR(__xludf.DUMMYFUNCTION("""COMPUTED_VALUE"""),"BAIK")</f>
        <v>BAIK</v>
      </c>
      <c r="V285" s="4" t="str">
        <f>IFERROR(__xludf.DUMMYFUNCTION("""COMPUTED_VALUE"""),"Tidak Ada")</f>
        <v>Tidak Ada</v>
      </c>
      <c r="W285" s="4"/>
      <c r="X285" s="4"/>
      <c r="Y285" s="4"/>
      <c r="Z285" s="4"/>
      <c r="AA285" s="4"/>
      <c r="AB285" s="4"/>
      <c r="AC285" s="4" t="str">
        <f>IFERROR(__xludf.DUMMYFUNCTION("""COMPUTED_VALUE"""),"INSPEKSI SUTM - T2_Images/a584af54.FOTO.162347.jpg")</f>
        <v>INSPEKSI SUTM - T2_Images/a584af54.FOTO.162347.jpg</v>
      </c>
      <c r="AD285" s="4"/>
      <c r="AE285" s="4"/>
      <c r="AF285" s="4" t="str">
        <f>IFERROR(__xludf.DUMMYFUNCTION("""COMPUTED_VALUE"""),"BELUM")</f>
        <v>BELUM</v>
      </c>
      <c r="AG285" s="6">
        <f>IFERROR(__xludf.DUMMYFUNCTION("""COMPUTED_VALUE"""),46062.0)</f>
        <v>46062</v>
      </c>
      <c r="AH285" s="4"/>
      <c r="AI285" s="4"/>
    </row>
    <row r="286" ht="15.75" customHeight="1">
      <c r="A286" s="4" t="str">
        <f>IFERROR(__xludf.DUMMYFUNCTION("""COMPUTED_VALUE"""),"76828068")</f>
        <v>76828068</v>
      </c>
      <c r="B286" s="5">
        <f>IFERROR(__xludf.DUMMYFUNCTION("""COMPUTED_VALUE"""),46062.97511574074)</f>
        <v>46062.97512</v>
      </c>
      <c r="C286" s="4" t="str">
        <f>IFERROR(__xludf.DUMMYFUNCTION("""COMPUTED_VALUE"""),"-6.903013, 107.675968")</f>
        <v>-6.903013, 107.675968</v>
      </c>
      <c r="D286" s="4" t="str">
        <f>IFERROR(__xludf.DUMMYFUNCTION("""COMPUTED_VALUE"""),"Heri chandra")</f>
        <v>Heri chandra</v>
      </c>
      <c r="E286" s="4" t="str">
        <f>IFERROR(__xludf.DUMMYFUNCTION("""COMPUTED_VALUE"""),"BANDUNG")</f>
        <v>BANDUNG</v>
      </c>
      <c r="F286" s="4" t="str">
        <f>IFERROR(__xludf.DUMMYFUNCTION("""COMPUTED_VALUE"""),"UJUNGBERUNG")</f>
        <v>UJUNGBERUNG</v>
      </c>
      <c r="G286" s="4" t="str">
        <f>IFERROR(__xludf.DUMMYFUNCTION("""COMPUTED_VALUE"""),"GIS BANDUNG TIMUR")</f>
        <v>GIS BANDUNG TIMUR</v>
      </c>
      <c r="H286" s="4" t="str">
        <f>IFERROR(__xludf.DUMMYFUNCTION("""COMPUTED_VALUE"""),"MDMK")</f>
        <v>MDMK</v>
      </c>
      <c r="I286" s="4" t="str">
        <f>IFERROR(__xludf.DUMMYFUNCTION("""COMPUTED_VALUE"""),"GIS TIMUR - REC PSME")</f>
        <v>GIS TIMUR - REC PSME</v>
      </c>
      <c r="J286" s="4" t="str">
        <f>IFERROR(__xludf.DUMMYFUNCTION("""COMPUTED_VALUE"""),"ZONA 1")</f>
        <v>ZONA 1</v>
      </c>
      <c r="K286" s="4" t="str">
        <f>IFERROR(__xludf.DUMMYFUNCTION("""COMPUTED_VALUE"""),"022")</f>
        <v>022</v>
      </c>
      <c r="L286" s="4" t="str">
        <f>IFERROR(__xludf.DUMMYFUNCTION("""COMPUTED_VALUE"""),"TM - 13B/H (Kabel Naik Pada Tiang Tumpu)")</f>
        <v>TM - 13B/H (Kabel Naik Pada Tiang Tumpu)</v>
      </c>
      <c r="M286" s="4" t="str">
        <f>IFERROR(__xludf.DUMMYFUNCTION("""COMPUTED_VALUE"""),"Tidak Ada")</f>
        <v>Tidak Ada</v>
      </c>
      <c r="N286" s="4"/>
      <c r="O286" s="4" t="str">
        <f>IFERROR(__xludf.DUMMYFUNCTION("""COMPUTED_VALUE"""),"PEMBANDING SEJENIS")</f>
        <v>PEMBANDING SEJENIS</v>
      </c>
      <c r="P286" s="4" t="str">
        <f>IFERROR(__xludf.DUMMYFUNCTION("""COMPUTED_VALUE"""),"KONEKTOR/JUMPER")</f>
        <v>KONEKTOR/JUMPER</v>
      </c>
      <c r="Q286" s="4">
        <f>IFERROR(__xludf.DUMMYFUNCTION("""COMPUTED_VALUE"""),23.9)</f>
        <v>23.9</v>
      </c>
      <c r="R286" s="4">
        <f>IFERROR(__xludf.DUMMYFUNCTION("""COMPUTED_VALUE"""),24.7)</f>
        <v>24.7</v>
      </c>
      <c r="S286" s="4">
        <f>IFERROR(__xludf.DUMMYFUNCTION("""COMPUTED_VALUE"""),24.7)</f>
        <v>24.7</v>
      </c>
      <c r="T286" s="4"/>
      <c r="U286" s="4" t="str">
        <f>IFERROR(__xludf.DUMMYFUNCTION("""COMPUTED_VALUE"""),"BAIK")</f>
        <v>BAIK</v>
      </c>
      <c r="V286" s="4" t="str">
        <f>IFERROR(__xludf.DUMMYFUNCTION("""COMPUTED_VALUE"""),"Tidak Ada")</f>
        <v>Tidak Ada</v>
      </c>
      <c r="W286" s="4"/>
      <c r="X286" s="4"/>
      <c r="Y286" s="4"/>
      <c r="Z286" s="4"/>
      <c r="AA286" s="4"/>
      <c r="AB286" s="4"/>
      <c r="AC286" s="4" t="str">
        <f>IFERROR(__xludf.DUMMYFUNCTION("""COMPUTED_VALUE"""),"INSPEKSI SUTM - T2_Images/76828068.FOTO.162457.jpg")</f>
        <v>INSPEKSI SUTM - T2_Images/76828068.FOTO.162457.jpg</v>
      </c>
      <c r="AD286" s="4"/>
      <c r="AE286" s="4"/>
      <c r="AF286" s="4" t="str">
        <f>IFERROR(__xludf.DUMMYFUNCTION("""COMPUTED_VALUE"""),"BELUM")</f>
        <v>BELUM</v>
      </c>
      <c r="AG286" s="6">
        <f>IFERROR(__xludf.DUMMYFUNCTION("""COMPUTED_VALUE"""),46062.0)</f>
        <v>46062</v>
      </c>
      <c r="AH286" s="4"/>
      <c r="AI286" s="4"/>
    </row>
    <row r="287" ht="15.75" customHeight="1">
      <c r="A287" s="4" t="str">
        <f>IFERROR(__xludf.DUMMYFUNCTION("""COMPUTED_VALUE"""),"e5849abc")</f>
        <v>e5849abc</v>
      </c>
      <c r="B287" s="5">
        <f>IFERROR(__xludf.DUMMYFUNCTION("""COMPUTED_VALUE"""),46062.97587962963)</f>
        <v>46062.97588</v>
      </c>
      <c r="C287" s="4" t="str">
        <f>IFERROR(__xludf.DUMMYFUNCTION("""COMPUTED_VALUE"""),"-6.900820, 107.676086")</f>
        <v>-6.900820, 107.676086</v>
      </c>
      <c r="D287" s="4" t="str">
        <f>IFERROR(__xludf.DUMMYFUNCTION("""COMPUTED_VALUE"""),"Heri xhandta")</f>
        <v>Heri xhandta</v>
      </c>
      <c r="E287" s="4" t="str">
        <f>IFERROR(__xludf.DUMMYFUNCTION("""COMPUTED_VALUE"""),"BANDUNG")</f>
        <v>BANDUNG</v>
      </c>
      <c r="F287" s="4" t="str">
        <f>IFERROR(__xludf.DUMMYFUNCTION("""COMPUTED_VALUE"""),"UJUNGBERUNG")</f>
        <v>UJUNGBERUNG</v>
      </c>
      <c r="G287" s="4" t="str">
        <f>IFERROR(__xludf.DUMMYFUNCTION("""COMPUTED_VALUE"""),"GIS BANDUNG TIMUR")</f>
        <v>GIS BANDUNG TIMUR</v>
      </c>
      <c r="H287" s="4" t="str">
        <f>IFERROR(__xludf.DUMMYFUNCTION("""COMPUTED_VALUE"""),"MDMK")</f>
        <v>MDMK</v>
      </c>
      <c r="I287" s="4" t="str">
        <f>IFERROR(__xludf.DUMMYFUNCTION("""COMPUTED_VALUE"""),"GIS TIMUR - REC PSME")</f>
        <v>GIS TIMUR - REC PSME</v>
      </c>
      <c r="J287" s="4" t="str">
        <f>IFERROR(__xludf.DUMMYFUNCTION("""COMPUTED_VALUE"""),"ZONA 1")</f>
        <v>ZONA 1</v>
      </c>
      <c r="K287" s="4" t="str">
        <f>IFERROR(__xludf.DUMMYFUNCTION("""COMPUTED_VALUE"""),"027")</f>
        <v>027</v>
      </c>
      <c r="L287" s="4" t="str">
        <f>IFERROR(__xludf.DUMMYFUNCTION("""COMPUTED_VALUE"""),"TM - 1B/H (Tumpu)")</f>
        <v>TM - 1B/H (Tumpu)</v>
      </c>
      <c r="M287" s="4" t="str">
        <f>IFERROR(__xludf.DUMMYFUNCTION("""COMPUTED_VALUE"""),"Tidak Ada")</f>
        <v>Tidak Ada</v>
      </c>
      <c r="N287" s="4"/>
      <c r="O287" s="4" t="str">
        <f>IFERROR(__xludf.DUMMYFUNCTION("""COMPUTED_VALUE"""),"PEMBANDING SEJENIS")</f>
        <v>PEMBANDING SEJENIS</v>
      </c>
      <c r="P287" s="4" t="str">
        <f>IFERROR(__xludf.DUMMYFUNCTION("""COMPUTED_VALUE"""),"ARRESTER")</f>
        <v>ARRESTER</v>
      </c>
      <c r="Q287" s="4">
        <f>IFERROR(__xludf.DUMMYFUNCTION("""COMPUTED_VALUE"""),23.0)</f>
        <v>23</v>
      </c>
      <c r="R287" s="4">
        <f>IFERROR(__xludf.DUMMYFUNCTION("""COMPUTED_VALUE"""),24.4)</f>
        <v>24.4</v>
      </c>
      <c r="S287" s="4">
        <f>IFERROR(__xludf.DUMMYFUNCTION("""COMPUTED_VALUE"""),25.6)</f>
        <v>25.6</v>
      </c>
      <c r="T287" s="4"/>
      <c r="U287" s="4" t="str">
        <f>IFERROR(__xludf.DUMMYFUNCTION("""COMPUTED_VALUE"""),"BAIK")</f>
        <v>BAIK</v>
      </c>
      <c r="V287" s="4" t="str">
        <f>IFERROR(__xludf.DUMMYFUNCTION("""COMPUTED_VALUE"""),"Tidak Ada")</f>
        <v>Tidak Ada</v>
      </c>
      <c r="W287" s="4"/>
      <c r="X287" s="4"/>
      <c r="Y287" s="4"/>
      <c r="Z287" s="4"/>
      <c r="AA287" s="4"/>
      <c r="AB287" s="4"/>
      <c r="AC287" s="4" t="str">
        <f>IFERROR(__xludf.DUMMYFUNCTION("""COMPUTED_VALUE"""),"INSPEKSI SUTM - T2_Images/e5849abc.FOTO.162558.jpg")</f>
        <v>INSPEKSI SUTM - T2_Images/e5849abc.FOTO.162558.jpg</v>
      </c>
      <c r="AD287" s="4"/>
      <c r="AE287" s="4"/>
      <c r="AF287" s="4" t="str">
        <f>IFERROR(__xludf.DUMMYFUNCTION("""COMPUTED_VALUE"""),"BELUM")</f>
        <v>BELUM</v>
      </c>
      <c r="AG287" s="6">
        <f>IFERROR(__xludf.DUMMYFUNCTION("""COMPUTED_VALUE"""),46062.0)</f>
        <v>46062</v>
      </c>
      <c r="AH287" s="4"/>
      <c r="AI287" s="4"/>
    </row>
    <row r="288" ht="15.75" customHeight="1">
      <c r="A288" s="4" t="str">
        <f>IFERROR(__xludf.DUMMYFUNCTION("""COMPUTED_VALUE"""),"27b0f154")</f>
        <v>27b0f154</v>
      </c>
      <c r="B288" s="5">
        <f>IFERROR(__xludf.DUMMYFUNCTION("""COMPUTED_VALUE"""),46062.976539351854)</f>
        <v>46062.97654</v>
      </c>
      <c r="C288" s="4" t="str">
        <f>IFERROR(__xludf.DUMMYFUNCTION("""COMPUTED_VALUE"""),"-6.900397, 107.676303")</f>
        <v>-6.900397, 107.676303</v>
      </c>
      <c r="D288" s="4" t="str">
        <f>IFERROR(__xludf.DUMMYFUNCTION("""COMPUTED_VALUE"""),"Heri chandta")</f>
        <v>Heri chandta</v>
      </c>
      <c r="E288" s="4" t="str">
        <f>IFERROR(__xludf.DUMMYFUNCTION("""COMPUTED_VALUE"""),"BANDUNG")</f>
        <v>BANDUNG</v>
      </c>
      <c r="F288" s="4" t="str">
        <f>IFERROR(__xludf.DUMMYFUNCTION("""COMPUTED_VALUE"""),"UJUNGBERUNG")</f>
        <v>UJUNGBERUNG</v>
      </c>
      <c r="G288" s="4" t="str">
        <f>IFERROR(__xludf.DUMMYFUNCTION("""COMPUTED_VALUE"""),"GIS BANDUNG TIMUR")</f>
        <v>GIS BANDUNG TIMUR</v>
      </c>
      <c r="H288" s="4" t="str">
        <f>IFERROR(__xludf.DUMMYFUNCTION("""COMPUTED_VALUE"""),"MDMK")</f>
        <v>MDMK</v>
      </c>
      <c r="I288" s="4" t="str">
        <f>IFERROR(__xludf.DUMMYFUNCTION("""COMPUTED_VALUE"""),"GIS TIMUR - REC PSME")</f>
        <v>GIS TIMUR - REC PSME</v>
      </c>
      <c r="J288" s="4" t="str">
        <f>IFERROR(__xludf.DUMMYFUNCTION("""COMPUTED_VALUE"""),"ZONA 1")</f>
        <v>ZONA 1</v>
      </c>
      <c r="K288" s="4" t="str">
        <f>IFERROR(__xludf.DUMMYFUNCTION("""COMPUTED_VALUE"""),"030")</f>
        <v>030</v>
      </c>
      <c r="L288" s="4" t="str">
        <f>IFERROR(__xludf.DUMMYFUNCTION("""COMPUTED_VALUE"""),"TM - 4B/H (Afspan)")</f>
        <v>TM - 4B/H (Afspan)</v>
      </c>
      <c r="M288" s="4" t="str">
        <f>IFERROR(__xludf.DUMMYFUNCTION("""COMPUTED_VALUE"""),"Tidak Ada")</f>
        <v>Tidak Ada</v>
      </c>
      <c r="N288" s="4"/>
      <c r="O288" s="4" t="str">
        <f>IFERROR(__xludf.DUMMYFUNCTION("""COMPUTED_VALUE"""),"PEMBANDING SEJENIS")</f>
        <v>PEMBANDING SEJENIS</v>
      </c>
      <c r="P288" s="4" t="str">
        <f>IFERROR(__xludf.DUMMYFUNCTION("""COMPUTED_VALUE"""),"KONEKTOR/JUMPER")</f>
        <v>KONEKTOR/JUMPER</v>
      </c>
      <c r="Q288" s="4">
        <f>IFERROR(__xludf.DUMMYFUNCTION("""COMPUTED_VALUE"""),23.4)</f>
        <v>23.4</v>
      </c>
      <c r="R288" s="4">
        <f>IFERROR(__xludf.DUMMYFUNCTION("""COMPUTED_VALUE"""),23.5)</f>
        <v>23.5</v>
      </c>
      <c r="S288" s="4">
        <f>IFERROR(__xludf.DUMMYFUNCTION("""COMPUTED_VALUE"""),23.5)</f>
        <v>23.5</v>
      </c>
      <c r="T288" s="4"/>
      <c r="U288" s="4" t="str">
        <f>IFERROR(__xludf.DUMMYFUNCTION("""COMPUTED_VALUE"""),"BAIK")</f>
        <v>BAIK</v>
      </c>
      <c r="V288" s="4" t="str">
        <f>IFERROR(__xludf.DUMMYFUNCTION("""COMPUTED_VALUE"""),"Tidak Ada")</f>
        <v>Tidak Ada</v>
      </c>
      <c r="W288" s="4"/>
      <c r="X288" s="4"/>
      <c r="Y288" s="4"/>
      <c r="Z288" s="4"/>
      <c r="AA288" s="4"/>
      <c r="AB288" s="4"/>
      <c r="AC288" s="4" t="str">
        <f>IFERROR(__xludf.DUMMYFUNCTION("""COMPUTED_VALUE"""),"INSPEKSI SUTM - T2_Images/27b0f154.FOTO.162652.jpg")</f>
        <v>INSPEKSI SUTM - T2_Images/27b0f154.FOTO.162652.jpg</v>
      </c>
      <c r="AD288" s="4"/>
      <c r="AE288" s="4"/>
      <c r="AF288" s="4" t="str">
        <f>IFERROR(__xludf.DUMMYFUNCTION("""COMPUTED_VALUE"""),"BELUM")</f>
        <v>BELUM</v>
      </c>
      <c r="AG288" s="6">
        <f>IFERROR(__xludf.DUMMYFUNCTION("""COMPUTED_VALUE"""),46062.0)</f>
        <v>46062</v>
      </c>
      <c r="AH288" s="4"/>
      <c r="AI288" s="4"/>
    </row>
    <row r="289" ht="15.75" customHeight="1">
      <c r="A289" s="4" t="str">
        <f>IFERROR(__xludf.DUMMYFUNCTION("""COMPUTED_VALUE"""),"ac38a033")</f>
        <v>ac38a033</v>
      </c>
      <c r="B289" s="5">
        <f>IFERROR(__xludf.DUMMYFUNCTION("""COMPUTED_VALUE"""),46062.977222222224)</f>
        <v>46062.97722</v>
      </c>
      <c r="C289" s="4" t="str">
        <f>IFERROR(__xludf.DUMMYFUNCTION("""COMPUTED_VALUE"""),"-6.900035, 107.676334")</f>
        <v>-6.900035, 107.676334</v>
      </c>
      <c r="D289" s="4" t="str">
        <f>IFERROR(__xludf.DUMMYFUNCTION("""COMPUTED_VALUE"""),"Heri chandta")</f>
        <v>Heri chandta</v>
      </c>
      <c r="E289" s="4" t="str">
        <f>IFERROR(__xludf.DUMMYFUNCTION("""COMPUTED_VALUE"""),"BANDUNG")</f>
        <v>BANDUNG</v>
      </c>
      <c r="F289" s="4" t="str">
        <f>IFERROR(__xludf.DUMMYFUNCTION("""COMPUTED_VALUE"""),"UJUNGBERUNG")</f>
        <v>UJUNGBERUNG</v>
      </c>
      <c r="G289" s="4" t="str">
        <f>IFERROR(__xludf.DUMMYFUNCTION("""COMPUTED_VALUE"""),"GIS BANDUNG TIMUR")</f>
        <v>GIS BANDUNG TIMUR</v>
      </c>
      <c r="H289" s="4" t="str">
        <f>IFERROR(__xludf.DUMMYFUNCTION("""COMPUTED_VALUE"""),"MDMK")</f>
        <v>MDMK</v>
      </c>
      <c r="I289" s="4" t="str">
        <f>IFERROR(__xludf.DUMMYFUNCTION("""COMPUTED_VALUE"""),"GIS TIMUR - REC PSME")</f>
        <v>GIS TIMUR - REC PSME</v>
      </c>
      <c r="J289" s="4" t="str">
        <f>IFERROR(__xludf.DUMMYFUNCTION("""COMPUTED_VALUE"""),"ZONA 1")</f>
        <v>ZONA 1</v>
      </c>
      <c r="K289" s="4" t="str">
        <f>IFERROR(__xludf.DUMMYFUNCTION("""COMPUTED_VALUE"""),"031")</f>
        <v>031</v>
      </c>
      <c r="L289" s="4" t="str">
        <f>IFERROR(__xludf.DUMMYFUNCTION("""COMPUTED_VALUE"""),"TM - 13B/H (Kabel Naik Pada Tiang Tumpu)")</f>
        <v>TM - 13B/H (Kabel Naik Pada Tiang Tumpu)</v>
      </c>
      <c r="M289" s="4" t="str">
        <f>IFERROR(__xludf.DUMMYFUNCTION("""COMPUTED_VALUE"""),"Tidak Ada")</f>
        <v>Tidak Ada</v>
      </c>
      <c r="N289" s="4"/>
      <c r="O289" s="4" t="str">
        <f>IFERROR(__xludf.DUMMYFUNCTION("""COMPUTED_VALUE"""),"PEMBANDING SEJENIS")</f>
        <v>PEMBANDING SEJENIS</v>
      </c>
      <c r="P289" s="4" t="str">
        <f>IFERROR(__xludf.DUMMYFUNCTION("""COMPUTED_VALUE"""),"KONEKTOR/JUMPER")</f>
        <v>KONEKTOR/JUMPER</v>
      </c>
      <c r="Q289" s="4">
        <f>IFERROR(__xludf.DUMMYFUNCTION("""COMPUTED_VALUE"""),21.6)</f>
        <v>21.6</v>
      </c>
      <c r="R289" s="4">
        <f>IFERROR(__xludf.DUMMYFUNCTION("""COMPUTED_VALUE"""),23.5)</f>
        <v>23.5</v>
      </c>
      <c r="S289" s="4">
        <f>IFERROR(__xludf.DUMMYFUNCTION("""COMPUTED_VALUE"""),23.4)</f>
        <v>23.4</v>
      </c>
      <c r="T289" s="4"/>
      <c r="U289" s="4" t="str">
        <f>IFERROR(__xludf.DUMMYFUNCTION("""COMPUTED_VALUE"""),"BAIK")</f>
        <v>BAIK</v>
      </c>
      <c r="V289" s="4" t="str">
        <f>IFERROR(__xludf.DUMMYFUNCTION("""COMPUTED_VALUE"""),"Tidak Ada")</f>
        <v>Tidak Ada</v>
      </c>
      <c r="W289" s="4"/>
      <c r="X289" s="4"/>
      <c r="Y289" s="4"/>
      <c r="Z289" s="4"/>
      <c r="AA289" s="4"/>
      <c r="AB289" s="4"/>
      <c r="AC289" s="4" t="str">
        <f>IFERROR(__xludf.DUMMYFUNCTION("""COMPUTED_VALUE"""),"INSPEKSI SUTM - T2_Images/ac38a033.FOTO.162751.jpg")</f>
        <v>INSPEKSI SUTM - T2_Images/ac38a033.FOTO.162751.jpg</v>
      </c>
      <c r="AD289" s="4"/>
      <c r="AE289" s="4"/>
      <c r="AF289" s="4" t="str">
        <f>IFERROR(__xludf.DUMMYFUNCTION("""COMPUTED_VALUE"""),"BELUM")</f>
        <v>BELUM</v>
      </c>
      <c r="AG289" s="6">
        <f>IFERROR(__xludf.DUMMYFUNCTION("""COMPUTED_VALUE"""),46062.0)</f>
        <v>46062</v>
      </c>
      <c r="AH289" s="4"/>
      <c r="AI289" s="4"/>
    </row>
    <row r="290" ht="15.75" customHeight="1">
      <c r="A290" s="4" t="str">
        <f>IFERROR(__xludf.DUMMYFUNCTION("""COMPUTED_VALUE"""),"06a76a68")</f>
        <v>06a76a68</v>
      </c>
      <c r="B290" s="5">
        <f>IFERROR(__xludf.DUMMYFUNCTION("""COMPUTED_VALUE"""),46062.97796296296)</f>
        <v>46062.97796</v>
      </c>
      <c r="C290" s="4" t="str">
        <f>IFERROR(__xludf.DUMMYFUNCTION("""COMPUTED_VALUE"""),"-6.898549, 107.674777")</f>
        <v>-6.898549, 107.674777</v>
      </c>
      <c r="D290" s="4" t="str">
        <f>IFERROR(__xludf.DUMMYFUNCTION("""COMPUTED_VALUE"""),"Heri chandta")</f>
        <v>Heri chandta</v>
      </c>
      <c r="E290" s="4" t="str">
        <f>IFERROR(__xludf.DUMMYFUNCTION("""COMPUTED_VALUE"""),"BANDUNG")</f>
        <v>BANDUNG</v>
      </c>
      <c r="F290" s="4" t="str">
        <f>IFERROR(__xludf.DUMMYFUNCTION("""COMPUTED_VALUE"""),"UJUNGBERUNG")</f>
        <v>UJUNGBERUNG</v>
      </c>
      <c r="G290" s="4" t="str">
        <f>IFERROR(__xludf.DUMMYFUNCTION("""COMPUTED_VALUE"""),"GIS BANDUNG TIMUR")</f>
        <v>GIS BANDUNG TIMUR</v>
      </c>
      <c r="H290" s="4" t="str">
        <f>IFERROR(__xludf.DUMMYFUNCTION("""COMPUTED_VALUE"""),"MDMK")</f>
        <v>MDMK</v>
      </c>
      <c r="I290" s="4" t="str">
        <f>IFERROR(__xludf.DUMMYFUNCTION("""COMPUTED_VALUE"""),"GIS TIMUR - REC PSME")</f>
        <v>GIS TIMUR - REC PSME</v>
      </c>
      <c r="J290" s="4" t="str">
        <f>IFERROR(__xludf.DUMMYFUNCTION("""COMPUTED_VALUE"""),"ZONA 1")</f>
        <v>ZONA 1</v>
      </c>
      <c r="K290" s="4" t="str">
        <f>IFERROR(__xludf.DUMMYFUNCTION("""COMPUTED_VALUE"""),"031L01")</f>
        <v>031L01</v>
      </c>
      <c r="L290" s="4" t="str">
        <f>IFERROR(__xludf.DUMMYFUNCTION("""COMPUTED_VALUE"""),"TM - 11B/H (Kabel Naik)")</f>
        <v>TM - 11B/H (Kabel Naik)</v>
      </c>
      <c r="M290" s="4" t="str">
        <f>IFERROR(__xludf.DUMMYFUNCTION("""COMPUTED_VALUE"""),"Tidak Ada")</f>
        <v>Tidak Ada</v>
      </c>
      <c r="N290" s="4"/>
      <c r="O290" s="4" t="str">
        <f>IFERROR(__xludf.DUMMYFUNCTION("""COMPUTED_VALUE"""),"PEMBANDING SEJENIS")</f>
        <v>PEMBANDING SEJENIS</v>
      </c>
      <c r="P290" s="4" t="str">
        <f>IFERROR(__xludf.DUMMYFUNCTION("""COMPUTED_VALUE"""),"KONEKTOR/JUMPER")</f>
        <v>KONEKTOR/JUMPER</v>
      </c>
      <c r="Q290" s="4">
        <f>IFERROR(__xludf.DUMMYFUNCTION("""COMPUTED_VALUE"""),22.8)</f>
        <v>22.8</v>
      </c>
      <c r="R290" s="4">
        <f>IFERROR(__xludf.DUMMYFUNCTION("""COMPUTED_VALUE"""),22.9)</f>
        <v>22.9</v>
      </c>
      <c r="S290" s="4">
        <f>IFERROR(__xludf.DUMMYFUNCTION("""COMPUTED_VALUE"""),22.2)</f>
        <v>22.2</v>
      </c>
      <c r="T290" s="4"/>
      <c r="U290" s="4" t="str">
        <f>IFERROR(__xludf.DUMMYFUNCTION("""COMPUTED_VALUE"""),"BAIK")</f>
        <v>BAIK</v>
      </c>
      <c r="V290" s="4" t="str">
        <f>IFERROR(__xludf.DUMMYFUNCTION("""COMPUTED_VALUE"""),"Tidak Ada")</f>
        <v>Tidak Ada</v>
      </c>
      <c r="W290" s="4"/>
      <c r="X290" s="4"/>
      <c r="Y290" s="4"/>
      <c r="Z290" s="4"/>
      <c r="AA290" s="4"/>
      <c r="AB290" s="4"/>
      <c r="AC290" s="4" t="str">
        <f>IFERROR(__xludf.DUMMYFUNCTION("""COMPUTED_VALUE"""),"INSPEKSI SUTM - T2_Images/06a76a68.FOTO.162855.jpg")</f>
        <v>INSPEKSI SUTM - T2_Images/06a76a68.FOTO.162855.jpg</v>
      </c>
      <c r="AD290" s="4"/>
      <c r="AE290" s="4"/>
      <c r="AF290" s="4" t="str">
        <f>IFERROR(__xludf.DUMMYFUNCTION("""COMPUTED_VALUE"""),"BELUM")</f>
        <v>BELUM</v>
      </c>
      <c r="AG290" s="6">
        <f>IFERROR(__xludf.DUMMYFUNCTION("""COMPUTED_VALUE"""),46062.0)</f>
        <v>46062</v>
      </c>
      <c r="AH290" s="4"/>
      <c r="AI290" s="4"/>
    </row>
    <row r="291" ht="15.75" customHeight="1">
      <c r="A291" s="4" t="str">
        <f>IFERROR(__xludf.DUMMYFUNCTION("""COMPUTED_VALUE"""),"8ae78edc")</f>
        <v>8ae78edc</v>
      </c>
      <c r="B291" s="5">
        <f>IFERROR(__xludf.DUMMYFUNCTION("""COMPUTED_VALUE"""),46062.978634259256)</f>
        <v>46062.97863</v>
      </c>
      <c r="C291" s="4" t="str">
        <f>IFERROR(__xludf.DUMMYFUNCTION("""COMPUTED_VALUE"""),"-6.898429, 107.673412")</f>
        <v>-6.898429, 107.673412</v>
      </c>
      <c r="D291" s="4" t="str">
        <f>IFERROR(__xludf.DUMMYFUNCTION("""COMPUTED_VALUE"""),"Heri chandra")</f>
        <v>Heri chandra</v>
      </c>
      <c r="E291" s="4" t="str">
        <f>IFERROR(__xludf.DUMMYFUNCTION("""COMPUTED_VALUE"""),"BANDUNG")</f>
        <v>BANDUNG</v>
      </c>
      <c r="F291" s="4" t="str">
        <f>IFERROR(__xludf.DUMMYFUNCTION("""COMPUTED_VALUE"""),"UJUNGBERUNG")</f>
        <v>UJUNGBERUNG</v>
      </c>
      <c r="G291" s="4" t="str">
        <f>IFERROR(__xludf.DUMMYFUNCTION("""COMPUTED_VALUE"""),"GIS BANDUNG TIMUR")</f>
        <v>GIS BANDUNG TIMUR</v>
      </c>
      <c r="H291" s="4" t="str">
        <f>IFERROR(__xludf.DUMMYFUNCTION("""COMPUTED_VALUE"""),"MDMK")</f>
        <v>MDMK</v>
      </c>
      <c r="I291" s="4" t="str">
        <f>IFERROR(__xludf.DUMMYFUNCTION("""COMPUTED_VALUE"""),"GIS TIMUR - REC PSME")</f>
        <v>GIS TIMUR - REC PSME</v>
      </c>
      <c r="J291" s="4" t="str">
        <f>IFERROR(__xludf.DUMMYFUNCTION("""COMPUTED_VALUE"""),"ZONA 1")</f>
        <v>ZONA 1</v>
      </c>
      <c r="K291" s="4" t="str">
        <f>IFERROR(__xludf.DUMMYFUNCTION("""COMPUTED_VALUE"""),"031L05")</f>
        <v>031L05</v>
      </c>
      <c r="L291" s="4" t="str">
        <f>IFERROR(__xludf.DUMMYFUNCTION("""COMPUTED_VALUE"""),"TM - 7B/H (Afspan 90 Derajat)")</f>
        <v>TM - 7B/H (Afspan 90 Derajat)</v>
      </c>
      <c r="M291" s="4" t="str">
        <f>IFERROR(__xludf.DUMMYFUNCTION("""COMPUTED_VALUE"""),"Tidak Ada")</f>
        <v>Tidak Ada</v>
      </c>
      <c r="N291" s="4"/>
      <c r="O291" s="4" t="str">
        <f>IFERROR(__xludf.DUMMYFUNCTION("""COMPUTED_VALUE"""),"PEMBANDING SEJENIS")</f>
        <v>PEMBANDING SEJENIS</v>
      </c>
      <c r="P291" s="4" t="str">
        <f>IFERROR(__xludf.DUMMYFUNCTION("""COMPUTED_VALUE"""),"KONEKTOR/JUMPER")</f>
        <v>KONEKTOR/JUMPER</v>
      </c>
      <c r="Q291" s="4">
        <f>IFERROR(__xludf.DUMMYFUNCTION("""COMPUTED_VALUE"""),23.4)</f>
        <v>23.4</v>
      </c>
      <c r="R291" s="4">
        <f>IFERROR(__xludf.DUMMYFUNCTION("""COMPUTED_VALUE"""),23.4)</f>
        <v>23.4</v>
      </c>
      <c r="S291" s="4">
        <f>IFERROR(__xludf.DUMMYFUNCTION("""COMPUTED_VALUE"""),23.4)</f>
        <v>23.4</v>
      </c>
      <c r="T291" s="4"/>
      <c r="U291" s="4" t="str">
        <f>IFERROR(__xludf.DUMMYFUNCTION("""COMPUTED_VALUE"""),"BAIK")</f>
        <v>BAIK</v>
      </c>
      <c r="V291" s="4" t="str">
        <f>IFERROR(__xludf.DUMMYFUNCTION("""COMPUTED_VALUE"""),"Tidak Ada")</f>
        <v>Tidak Ada</v>
      </c>
      <c r="W291" s="4"/>
      <c r="X291" s="4"/>
      <c r="Y291" s="4"/>
      <c r="Z291" s="4"/>
      <c r="AA291" s="4"/>
      <c r="AB291" s="4"/>
      <c r="AC291" s="4" t="str">
        <f>IFERROR(__xludf.DUMMYFUNCTION("""COMPUTED_VALUE"""),"INSPEKSI SUTM - T2_Images/8ae78edc.FOTO.162948.jpg")</f>
        <v>INSPEKSI SUTM - T2_Images/8ae78edc.FOTO.162948.jpg</v>
      </c>
      <c r="AD291" s="4"/>
      <c r="AE291" s="4"/>
      <c r="AF291" s="4" t="str">
        <f>IFERROR(__xludf.DUMMYFUNCTION("""COMPUTED_VALUE"""),"BELUM")</f>
        <v>BELUM</v>
      </c>
      <c r="AG291" s="6">
        <f>IFERROR(__xludf.DUMMYFUNCTION("""COMPUTED_VALUE"""),46062.0)</f>
        <v>46062</v>
      </c>
      <c r="AH291" s="4"/>
      <c r="AI291" s="4"/>
    </row>
    <row r="292" ht="15.75" customHeight="1">
      <c r="A292" s="4" t="str">
        <f>IFERROR(__xludf.DUMMYFUNCTION("""COMPUTED_VALUE"""),"47d3447d")</f>
        <v>47d3447d</v>
      </c>
      <c r="B292" s="5">
        <f>IFERROR(__xludf.DUMMYFUNCTION("""COMPUTED_VALUE"""),46062.97924768519)</f>
        <v>46062.97925</v>
      </c>
      <c r="C292" s="4" t="str">
        <f>IFERROR(__xludf.DUMMYFUNCTION("""COMPUTED_VALUE"""),"-6.898896, 107.673283")</f>
        <v>-6.898896, 107.673283</v>
      </c>
      <c r="D292" s="4" t="str">
        <f>IFERROR(__xludf.DUMMYFUNCTION("""COMPUTED_VALUE"""),"Heri chandta")</f>
        <v>Heri chandta</v>
      </c>
      <c r="E292" s="4" t="str">
        <f>IFERROR(__xludf.DUMMYFUNCTION("""COMPUTED_VALUE"""),"BANDUNG")</f>
        <v>BANDUNG</v>
      </c>
      <c r="F292" s="4" t="str">
        <f>IFERROR(__xludf.DUMMYFUNCTION("""COMPUTED_VALUE"""),"UJUNGBERUNG")</f>
        <v>UJUNGBERUNG</v>
      </c>
      <c r="G292" s="4" t="str">
        <f>IFERROR(__xludf.DUMMYFUNCTION("""COMPUTED_VALUE"""),"GIS BANDUNG TIMUR")</f>
        <v>GIS BANDUNG TIMUR</v>
      </c>
      <c r="H292" s="4" t="str">
        <f>IFERROR(__xludf.DUMMYFUNCTION("""COMPUTED_VALUE"""),"MDMK")</f>
        <v>MDMK</v>
      </c>
      <c r="I292" s="4" t="str">
        <f>IFERROR(__xludf.DUMMYFUNCTION("""COMPUTED_VALUE"""),"GIS TIMUR - REC PSME")</f>
        <v>GIS TIMUR - REC PSME</v>
      </c>
      <c r="J292" s="4" t="str">
        <f>IFERROR(__xludf.DUMMYFUNCTION("""COMPUTED_VALUE"""),"ZONA 1")</f>
        <v>ZONA 1</v>
      </c>
      <c r="K292" s="4" t="str">
        <f>IFERROR(__xludf.DUMMYFUNCTION("""COMPUTED_VALUE"""),"031L07")</f>
        <v>031L07</v>
      </c>
      <c r="L292" s="4" t="str">
        <f>IFERROR(__xludf.DUMMYFUNCTION("""COMPUTED_VALUE"""),"TM - 7B/H (Afspan 90 Derajat)")</f>
        <v>TM - 7B/H (Afspan 90 Derajat)</v>
      </c>
      <c r="M292" s="4" t="str">
        <f>IFERROR(__xludf.DUMMYFUNCTION("""COMPUTED_VALUE"""),"Tidak Ada")</f>
        <v>Tidak Ada</v>
      </c>
      <c r="N292" s="4"/>
      <c r="O292" s="4" t="str">
        <f>IFERROR(__xludf.DUMMYFUNCTION("""COMPUTED_VALUE"""),"PEMBANDING SEJENIS")</f>
        <v>PEMBANDING SEJENIS</v>
      </c>
      <c r="P292" s="4" t="str">
        <f>IFERROR(__xludf.DUMMYFUNCTION("""COMPUTED_VALUE"""),"KONEKTOR/JUMPER")</f>
        <v>KONEKTOR/JUMPER</v>
      </c>
      <c r="Q292" s="4">
        <f>IFERROR(__xludf.DUMMYFUNCTION("""COMPUTED_VALUE"""),23.8)</f>
        <v>23.8</v>
      </c>
      <c r="R292" s="4">
        <f>IFERROR(__xludf.DUMMYFUNCTION("""COMPUTED_VALUE"""),23.4)</f>
        <v>23.4</v>
      </c>
      <c r="S292" s="4">
        <f>IFERROR(__xludf.DUMMYFUNCTION("""COMPUTED_VALUE"""),23.7)</f>
        <v>23.7</v>
      </c>
      <c r="T292" s="4"/>
      <c r="U292" s="4" t="str">
        <f>IFERROR(__xludf.DUMMYFUNCTION("""COMPUTED_VALUE"""),"BAIK")</f>
        <v>BAIK</v>
      </c>
      <c r="V292" s="4" t="str">
        <f>IFERROR(__xludf.DUMMYFUNCTION("""COMPUTED_VALUE"""),"Tidak Ada")</f>
        <v>Tidak Ada</v>
      </c>
      <c r="W292" s="4"/>
      <c r="X292" s="4"/>
      <c r="Y292" s="4"/>
      <c r="Z292" s="4"/>
      <c r="AA292" s="4"/>
      <c r="AB292" s="4"/>
      <c r="AC292" s="4" t="str">
        <f>IFERROR(__xludf.DUMMYFUNCTION("""COMPUTED_VALUE"""),"INSPEKSI SUTM - T2_Images/47d3447d.FOTO.163053.jpg")</f>
        <v>INSPEKSI SUTM - T2_Images/47d3447d.FOTO.163053.jpg</v>
      </c>
      <c r="AD292" s="4"/>
      <c r="AE292" s="4"/>
      <c r="AF292" s="4" t="str">
        <f>IFERROR(__xludf.DUMMYFUNCTION("""COMPUTED_VALUE"""),"BELUM")</f>
        <v>BELUM</v>
      </c>
      <c r="AG292" s="6">
        <f>IFERROR(__xludf.DUMMYFUNCTION("""COMPUTED_VALUE"""),46062.0)</f>
        <v>46062</v>
      </c>
      <c r="AH292" s="4"/>
      <c r="AI292" s="4"/>
    </row>
    <row r="293" ht="15.75" customHeight="1">
      <c r="A293" s="4" t="str">
        <f>IFERROR(__xludf.DUMMYFUNCTION("""COMPUTED_VALUE"""),"37e00b3f")</f>
        <v>37e00b3f</v>
      </c>
      <c r="B293" s="5">
        <f>IFERROR(__xludf.DUMMYFUNCTION("""COMPUTED_VALUE"""),46062.97998842593)</f>
        <v>46062.97999</v>
      </c>
      <c r="C293" s="4" t="str">
        <f>IFERROR(__xludf.DUMMYFUNCTION("""COMPUTED_VALUE"""),"-6.898488, 107.676227")</f>
        <v>-6.898488, 107.676227</v>
      </c>
      <c r="D293" s="4" t="str">
        <f>IFERROR(__xludf.DUMMYFUNCTION("""COMPUTED_VALUE"""),"Heri chandta")</f>
        <v>Heri chandta</v>
      </c>
      <c r="E293" s="4" t="str">
        <f>IFERROR(__xludf.DUMMYFUNCTION("""COMPUTED_VALUE"""),"BANDUNG")</f>
        <v>BANDUNG</v>
      </c>
      <c r="F293" s="4" t="str">
        <f>IFERROR(__xludf.DUMMYFUNCTION("""COMPUTED_VALUE"""),"UJUNGBERUNG")</f>
        <v>UJUNGBERUNG</v>
      </c>
      <c r="G293" s="4" t="str">
        <f>IFERROR(__xludf.DUMMYFUNCTION("""COMPUTED_VALUE"""),"GIS BANDUNG TIMUR")</f>
        <v>GIS BANDUNG TIMUR</v>
      </c>
      <c r="H293" s="4" t="str">
        <f>IFERROR(__xludf.DUMMYFUNCTION("""COMPUTED_VALUE"""),"MDMK")</f>
        <v>MDMK</v>
      </c>
      <c r="I293" s="4" t="str">
        <f>IFERROR(__xludf.DUMMYFUNCTION("""COMPUTED_VALUE"""),"GIS TIMUR - REC PSME")</f>
        <v>GIS TIMUR - REC PSME</v>
      </c>
      <c r="J293" s="4" t="str">
        <f>IFERROR(__xludf.DUMMYFUNCTION("""COMPUTED_VALUE"""),"ZONA 1")</f>
        <v>ZONA 1</v>
      </c>
      <c r="K293" s="4" t="str">
        <f>IFERROR(__xludf.DUMMYFUNCTION("""COMPUTED_VALUE"""),"033")</f>
        <v>033</v>
      </c>
      <c r="L293" s="4" t="str">
        <f>IFERROR(__xludf.DUMMYFUNCTION("""COMPUTED_VALUE"""),"TM - 8B/H (Percabangan)")</f>
        <v>TM - 8B/H (Percabangan)</v>
      </c>
      <c r="M293" s="4" t="str">
        <f>IFERROR(__xludf.DUMMYFUNCTION("""COMPUTED_VALUE"""),"Tidak Ada")</f>
        <v>Tidak Ada</v>
      </c>
      <c r="N293" s="4"/>
      <c r="O293" s="4" t="str">
        <f>IFERROR(__xludf.DUMMYFUNCTION("""COMPUTED_VALUE"""),"PEMBANDING SEJENIS")</f>
        <v>PEMBANDING SEJENIS</v>
      </c>
      <c r="P293" s="4" t="str">
        <f>IFERROR(__xludf.DUMMYFUNCTION("""COMPUTED_VALUE"""),"KONEKTOR/JUMPER")</f>
        <v>KONEKTOR/JUMPER</v>
      </c>
      <c r="Q293" s="4">
        <f>IFERROR(__xludf.DUMMYFUNCTION("""COMPUTED_VALUE"""),23.3)</f>
        <v>23.3</v>
      </c>
      <c r="R293" s="4">
        <f>IFERROR(__xludf.DUMMYFUNCTION("""COMPUTED_VALUE"""),23.2)</f>
        <v>23.2</v>
      </c>
      <c r="S293" s="4">
        <f>IFERROR(__xludf.DUMMYFUNCTION("""COMPUTED_VALUE"""),23.9)</f>
        <v>23.9</v>
      </c>
      <c r="T293" s="4"/>
      <c r="U293" s="4" t="str">
        <f>IFERROR(__xludf.DUMMYFUNCTION("""COMPUTED_VALUE"""),"BAIK")</f>
        <v>BAIK</v>
      </c>
      <c r="V293" s="4" t="str">
        <f>IFERROR(__xludf.DUMMYFUNCTION("""COMPUTED_VALUE"""),"Tidak Ada")</f>
        <v>Tidak Ada</v>
      </c>
      <c r="W293" s="4"/>
      <c r="X293" s="4"/>
      <c r="Y293" s="4"/>
      <c r="Z293" s="4"/>
      <c r="AA293" s="4"/>
      <c r="AB293" s="4"/>
      <c r="AC293" s="4" t="str">
        <f>IFERROR(__xludf.DUMMYFUNCTION("""COMPUTED_VALUE"""),"INSPEKSI SUTM - T2_Images/37e00b3f.FOTO.163148.jpg")</f>
        <v>INSPEKSI SUTM - T2_Images/37e00b3f.FOTO.163148.jpg</v>
      </c>
      <c r="AD293" s="4"/>
      <c r="AE293" s="4"/>
      <c r="AF293" s="4" t="str">
        <f>IFERROR(__xludf.DUMMYFUNCTION("""COMPUTED_VALUE"""),"BELUM")</f>
        <v>BELUM</v>
      </c>
      <c r="AG293" s="6">
        <f>IFERROR(__xludf.DUMMYFUNCTION("""COMPUTED_VALUE"""),46062.0)</f>
        <v>46062</v>
      </c>
      <c r="AH293" s="4"/>
      <c r="AI293" s="4"/>
    </row>
    <row r="294" ht="15.75" customHeight="1">
      <c r="A294" s="4" t="str">
        <f>IFERROR(__xludf.DUMMYFUNCTION("""COMPUTED_VALUE"""),"3be4c07b")</f>
        <v>3be4c07b</v>
      </c>
      <c r="B294" s="5">
        <f>IFERROR(__xludf.DUMMYFUNCTION("""COMPUTED_VALUE"""),46062.980775462966)</f>
        <v>46062.98078</v>
      </c>
      <c r="C294" s="4" t="str">
        <f>IFERROR(__xludf.DUMMYFUNCTION("""COMPUTED_VALUE"""),"-6.898190, 107.676192")</f>
        <v>-6.898190, 107.676192</v>
      </c>
      <c r="D294" s="4" t="str">
        <f>IFERROR(__xludf.DUMMYFUNCTION("""COMPUTED_VALUE"""),"Herichandta")</f>
        <v>Herichandta</v>
      </c>
      <c r="E294" s="4" t="str">
        <f>IFERROR(__xludf.DUMMYFUNCTION("""COMPUTED_VALUE"""),"BANDUNG")</f>
        <v>BANDUNG</v>
      </c>
      <c r="F294" s="4" t="str">
        <f>IFERROR(__xludf.DUMMYFUNCTION("""COMPUTED_VALUE"""),"UJUNGBERUNG")</f>
        <v>UJUNGBERUNG</v>
      </c>
      <c r="G294" s="4" t="str">
        <f>IFERROR(__xludf.DUMMYFUNCTION("""COMPUTED_VALUE"""),"GIS BANDUNG TIMUR")</f>
        <v>GIS BANDUNG TIMUR</v>
      </c>
      <c r="H294" s="4" t="str">
        <f>IFERROR(__xludf.DUMMYFUNCTION("""COMPUTED_VALUE"""),"MDMK")</f>
        <v>MDMK</v>
      </c>
      <c r="I294" s="4" t="str">
        <f>IFERROR(__xludf.DUMMYFUNCTION("""COMPUTED_VALUE"""),"GIS TIMUR - REC PSME")</f>
        <v>GIS TIMUR - REC PSME</v>
      </c>
      <c r="J294" s="4" t="str">
        <f>IFERROR(__xludf.DUMMYFUNCTION("""COMPUTED_VALUE"""),"ZONA 1")</f>
        <v>ZONA 1</v>
      </c>
      <c r="K294" s="4" t="str">
        <f>IFERROR(__xludf.DUMMYFUNCTION("""COMPUTED_VALUE"""),"034")</f>
        <v>034</v>
      </c>
      <c r="L294" s="4" t="str">
        <f>IFERROR(__xludf.DUMMYFUNCTION("""COMPUTED_VALUE"""),"TM - 16B/H (REC/SSO/LBS)")</f>
        <v>TM - 16B/H (REC/SSO/LBS)</v>
      </c>
      <c r="M294" s="4" t="str">
        <f>IFERROR(__xludf.DUMMYFUNCTION("""COMPUTED_VALUE"""),"REC")</f>
        <v>REC</v>
      </c>
      <c r="N294" s="4" t="str">
        <f>IFERROR(__xludf.DUMMYFUNCTION("""COMPUTED_VALUE"""),"Psme")</f>
        <v>Psme</v>
      </c>
      <c r="O294" s="4" t="str">
        <f>IFERROR(__xludf.DUMMYFUNCTION("""COMPUTED_VALUE"""),"PEMBANDING SEJENIS")</f>
        <v>PEMBANDING SEJENIS</v>
      </c>
      <c r="P294" s="4" t="str">
        <f>IFERROR(__xludf.DUMMYFUNCTION("""COMPUTED_VALUE"""),"KONEKTOR/JUMPER")</f>
        <v>KONEKTOR/JUMPER</v>
      </c>
      <c r="Q294" s="4">
        <f>IFERROR(__xludf.DUMMYFUNCTION("""COMPUTED_VALUE"""),25.1)</f>
        <v>25.1</v>
      </c>
      <c r="R294" s="4">
        <f>IFERROR(__xludf.DUMMYFUNCTION("""COMPUTED_VALUE"""),25.7)</f>
        <v>25.7</v>
      </c>
      <c r="S294" s="4">
        <f>IFERROR(__xludf.DUMMYFUNCTION("""COMPUTED_VALUE"""),27.0)</f>
        <v>27</v>
      </c>
      <c r="T294" s="4"/>
      <c r="U294" s="4" t="str">
        <f>IFERROR(__xludf.DUMMYFUNCTION("""COMPUTED_VALUE"""),"BAIK")</f>
        <v>BAIK</v>
      </c>
      <c r="V294" s="4" t="str">
        <f>IFERROR(__xludf.DUMMYFUNCTION("""COMPUTED_VALUE"""),"Tidak Ada")</f>
        <v>Tidak Ada</v>
      </c>
      <c r="W294" s="4"/>
      <c r="X294" s="4"/>
      <c r="Y294" s="4"/>
      <c r="Z294" s="4"/>
      <c r="AA294" s="4"/>
      <c r="AB294" s="4"/>
      <c r="AC294" s="4" t="str">
        <f>IFERROR(__xludf.DUMMYFUNCTION("""COMPUTED_VALUE"""),"INSPEKSI SUTM - T2_Images/3be4c07b.FOTO.163305.jpg")</f>
        <v>INSPEKSI SUTM - T2_Images/3be4c07b.FOTO.163305.jpg</v>
      </c>
      <c r="AD294" s="4"/>
      <c r="AE294" s="4"/>
      <c r="AF294" s="4" t="str">
        <f>IFERROR(__xludf.DUMMYFUNCTION("""COMPUTED_VALUE"""),"BELUM")</f>
        <v>BELUM</v>
      </c>
      <c r="AG294" s="6">
        <f>IFERROR(__xludf.DUMMYFUNCTION("""COMPUTED_VALUE"""),46062.0)</f>
        <v>46062</v>
      </c>
      <c r="AH294" s="4"/>
      <c r="AI294" s="4"/>
    </row>
    <row r="295" ht="15.75" customHeight="1">
      <c r="A295" s="4" t="str">
        <f>IFERROR(__xludf.DUMMYFUNCTION("""COMPUTED_VALUE"""),"4aa2080d")</f>
        <v>4aa2080d</v>
      </c>
      <c r="B295" s="5">
        <f>IFERROR(__xludf.DUMMYFUNCTION("""COMPUTED_VALUE"""),46063.87113425926)</f>
        <v>46063.87113</v>
      </c>
      <c r="C295" s="4" t="str">
        <f>IFERROR(__xludf.DUMMYFUNCTION("""COMPUTED_VALUE"""),"-6.981918, 107.674160")</f>
        <v>-6.981918, 107.674160</v>
      </c>
      <c r="D295" s="4" t="str">
        <f>IFERROR(__xludf.DUMMYFUNCTION("""COMPUTED_VALUE"""),"JIHAN KIKI")</f>
        <v>JIHAN KIKI</v>
      </c>
      <c r="E295" s="4" t="str">
        <f>IFERROR(__xludf.DUMMYFUNCTION("""COMPUTED_VALUE"""),"BANDUNG")</f>
        <v>BANDUNG</v>
      </c>
      <c r="F295" s="4" t="str">
        <f>IFERROR(__xludf.DUMMYFUNCTION("""COMPUTED_VALUE"""),"CIJAWURA")</f>
        <v>CIJAWURA</v>
      </c>
      <c r="G295" s="4" t="str">
        <f>IFERROR(__xludf.DUMMYFUNCTION("""COMPUTED_VALUE"""),"GIS SUMMARECON")</f>
        <v>GIS SUMMARECON</v>
      </c>
      <c r="H295" s="4" t="str">
        <f>IFERROR(__xludf.DUMMYFUNCTION("""COMPUTED_VALUE"""),"MRDN")</f>
        <v>MRDN</v>
      </c>
      <c r="I295" s="4" t="str">
        <f>IFERROR(__xludf.DUMMYFUNCTION("""COMPUTED_VALUE"""),"LBS DBUB - KNR")</f>
        <v>LBS DBUB - KNR</v>
      </c>
      <c r="J295" s="4" t="str">
        <f>IFERROR(__xludf.DUMMYFUNCTION("""COMPUTED_VALUE"""),"ZONA 3")</f>
        <v>ZONA 3</v>
      </c>
      <c r="K295" s="4" t="str">
        <f>IFERROR(__xludf.DUMMYFUNCTION("""COMPUTED_VALUE"""),"049")</f>
        <v>049</v>
      </c>
      <c r="L295" s="4" t="str">
        <f>IFERROR(__xludf.DUMMYFUNCTION("""COMPUTED_VALUE"""),"TM - 7B/H (Afspan 90 Derajat)")</f>
        <v>TM - 7B/H (Afspan 90 Derajat)</v>
      </c>
      <c r="M295" s="4" t="str">
        <f>IFERROR(__xludf.DUMMYFUNCTION("""COMPUTED_VALUE"""),"Tidak Ada")</f>
        <v>Tidak Ada</v>
      </c>
      <c r="N295" s="4"/>
      <c r="O295" s="4" t="str">
        <f>IFERROR(__xludf.DUMMYFUNCTION("""COMPUTED_VALUE"""),"PEMBANDING SEJENIS")</f>
        <v>PEMBANDING SEJENIS</v>
      </c>
      <c r="P295" s="4" t="str">
        <f>IFERROR(__xludf.DUMMYFUNCTION("""COMPUTED_VALUE"""),"KONEKTOR/JUMPER")</f>
        <v>KONEKTOR/JUMPER</v>
      </c>
      <c r="Q295" s="4">
        <f>IFERROR(__xludf.DUMMYFUNCTION("""COMPUTED_VALUE"""),41.0)</f>
        <v>41</v>
      </c>
      <c r="R295" s="4">
        <f>IFERROR(__xludf.DUMMYFUNCTION("""COMPUTED_VALUE"""),23.0)</f>
        <v>23</v>
      </c>
      <c r="S295" s="4">
        <f>IFERROR(__xludf.DUMMYFUNCTION("""COMPUTED_VALUE"""),32.0)</f>
        <v>32</v>
      </c>
      <c r="T295" s="4"/>
      <c r="U295" s="4" t="str">
        <f>IFERROR(__xludf.DUMMYFUNCTION("""COMPUTED_VALUE"""),"BURUK")</f>
        <v>BURUK</v>
      </c>
      <c r="V295" s="4" t="str">
        <f>IFERROR(__xludf.DUMMYFUNCTION("""COMPUTED_VALUE"""),"Tidak Ada")</f>
        <v>Tidak Ada</v>
      </c>
      <c r="W295" s="4"/>
      <c r="X295" s="4"/>
      <c r="Y295" s="4"/>
      <c r="Z295" s="4"/>
      <c r="AA295" s="4"/>
      <c r="AB295" s="4"/>
      <c r="AC295" s="4" t="str">
        <f>IFERROR(__xludf.DUMMYFUNCTION("""COMPUTED_VALUE"""),"INSPEKSI SUTM - T2_Images/4aa2080d.FOTO.135856.jpg")</f>
        <v>INSPEKSI SUTM - T2_Images/4aa2080d.FOTO.135856.jpg</v>
      </c>
      <c r="AD295" s="4"/>
      <c r="AE295" s="4"/>
      <c r="AF295" s="4" t="str">
        <f>IFERROR(__xludf.DUMMYFUNCTION("""COMPUTED_VALUE"""),"BELUM")</f>
        <v>BELUM</v>
      </c>
      <c r="AG295" s="6">
        <f>IFERROR(__xludf.DUMMYFUNCTION("""COMPUTED_VALUE"""),46063.0)</f>
        <v>46063</v>
      </c>
      <c r="AH295" s="4"/>
      <c r="AI295" s="4"/>
    </row>
    <row r="296" ht="15.75" customHeight="1">
      <c r="A296" s="4" t="str">
        <f>IFERROR(__xludf.DUMMYFUNCTION("""COMPUTED_VALUE"""),"5c807b64")</f>
        <v>5c807b64</v>
      </c>
      <c r="B296" s="5">
        <f>IFERROR(__xludf.DUMMYFUNCTION("""COMPUTED_VALUE"""),46063.87449074074)</f>
        <v>46063.87449</v>
      </c>
      <c r="C296" s="4" t="str">
        <f>IFERROR(__xludf.DUMMYFUNCTION("""COMPUTED_VALUE"""),"-6.981920, 107.674154")</f>
        <v>-6.981920, 107.674154</v>
      </c>
      <c r="D296" s="4" t="str">
        <f>IFERROR(__xludf.DUMMYFUNCTION("""COMPUTED_VALUE"""),"JIHAN KIKI")</f>
        <v>JIHAN KIKI</v>
      </c>
      <c r="E296" s="4" t="str">
        <f>IFERROR(__xludf.DUMMYFUNCTION("""COMPUTED_VALUE"""),"BANDUNG")</f>
        <v>BANDUNG</v>
      </c>
      <c r="F296" s="4" t="str">
        <f>IFERROR(__xludf.DUMMYFUNCTION("""COMPUTED_VALUE"""),"CIJAWURA")</f>
        <v>CIJAWURA</v>
      </c>
      <c r="G296" s="4" t="str">
        <f>IFERROR(__xludf.DUMMYFUNCTION("""COMPUTED_VALUE"""),"GIS SUMMARECON")</f>
        <v>GIS SUMMARECON</v>
      </c>
      <c r="H296" s="4" t="str">
        <f>IFERROR(__xludf.DUMMYFUNCTION("""COMPUTED_VALUE"""),"MRDN")</f>
        <v>MRDN</v>
      </c>
      <c r="I296" s="4" t="str">
        <f>IFERROR(__xludf.DUMMYFUNCTION("""COMPUTED_VALUE"""),"LBS DBUB - KNR")</f>
        <v>LBS DBUB - KNR</v>
      </c>
      <c r="J296" s="4" t="str">
        <f>IFERROR(__xludf.DUMMYFUNCTION("""COMPUTED_VALUE"""),"ZONA 3")</f>
        <v>ZONA 3</v>
      </c>
      <c r="K296" s="4" t="str">
        <f>IFERROR(__xludf.DUMMYFUNCTION("""COMPUTED_VALUE"""),"055")</f>
        <v>055</v>
      </c>
      <c r="L296" s="4" t="str">
        <f>IFERROR(__xludf.DUMMYFUNCTION("""COMPUTED_VALUE"""),"TM - 7B/H (Afspan 90 Derajat)")</f>
        <v>TM - 7B/H (Afspan 90 Derajat)</v>
      </c>
      <c r="M296" s="4" t="str">
        <f>IFERROR(__xludf.DUMMYFUNCTION("""COMPUTED_VALUE"""),"Tidak Ada")</f>
        <v>Tidak Ada</v>
      </c>
      <c r="N296" s="4"/>
      <c r="O296" s="4" t="str">
        <f>IFERROR(__xludf.DUMMYFUNCTION("""COMPUTED_VALUE"""),"PEMBANDING SEJENIS")</f>
        <v>PEMBANDING SEJENIS</v>
      </c>
      <c r="P296" s="4" t="str">
        <f>IFERROR(__xludf.DUMMYFUNCTION("""COMPUTED_VALUE"""),"KONEKTOR/JUMPER")</f>
        <v>KONEKTOR/JUMPER</v>
      </c>
      <c r="Q296" s="4">
        <f>IFERROR(__xludf.DUMMYFUNCTION("""COMPUTED_VALUE"""),25.0)</f>
        <v>25</v>
      </c>
      <c r="R296" s="4">
        <f>IFERROR(__xludf.DUMMYFUNCTION("""COMPUTED_VALUE"""),24.0)</f>
        <v>24</v>
      </c>
      <c r="S296" s="4">
        <f>IFERROR(__xludf.DUMMYFUNCTION("""COMPUTED_VALUE"""),30.0)</f>
        <v>30</v>
      </c>
      <c r="T296" s="4"/>
      <c r="U296" s="4" t="str">
        <f>IFERROR(__xludf.DUMMYFUNCTION("""COMPUTED_VALUE"""),"CUKUP")</f>
        <v>CUKUP</v>
      </c>
      <c r="V296" s="4" t="str">
        <f>IFERROR(__xludf.DUMMYFUNCTION("""COMPUTED_VALUE"""),"Ada")</f>
        <v>Ada</v>
      </c>
      <c r="W296" s="4" t="str">
        <f>IFERROR(__xludf.DUMMYFUNCTION("""COMPUTED_VALUE"""),"KONEKTOR/JUMPER")</f>
        <v>KONEKTOR/JUMPER</v>
      </c>
      <c r="X296" s="4">
        <f>IFERROR(__xludf.DUMMYFUNCTION("""COMPUTED_VALUE"""),24.0)</f>
        <v>24</v>
      </c>
      <c r="Y296" s="4">
        <f>IFERROR(__xludf.DUMMYFUNCTION("""COMPUTED_VALUE"""),24.0)</f>
        <v>24</v>
      </c>
      <c r="Z296" s="4">
        <f>IFERROR(__xludf.DUMMYFUNCTION("""COMPUTED_VALUE"""),24.0)</f>
        <v>24</v>
      </c>
      <c r="AA296" s="4"/>
      <c r="AB296" s="4" t="str">
        <f>IFERROR(__xludf.DUMMYFUNCTION("""COMPUTED_VALUE"""),"BAIK")</f>
        <v>BAIK</v>
      </c>
      <c r="AC296" s="4" t="str">
        <f>IFERROR(__xludf.DUMMYFUNCTION("""COMPUTED_VALUE"""),"INSPEKSI SUTM - T2_Images/5c807b64.FOTO.140119.jpg")</f>
        <v>INSPEKSI SUTM - T2_Images/5c807b64.FOTO.140119.jpg</v>
      </c>
      <c r="AD296" s="4" t="str">
        <f>IFERROR(__xludf.DUMMYFUNCTION("""COMPUTED_VALUE"""),"INSPEKSI SUTM - T2_Images/5c807b64.FOTO TEMUAN LAIN.140119.jpg")</f>
        <v>INSPEKSI SUTM - T2_Images/5c807b64.FOTO TEMUAN LAIN.140119.jpg</v>
      </c>
      <c r="AE296" s="4"/>
      <c r="AF296" s="4" t="str">
        <f>IFERROR(__xludf.DUMMYFUNCTION("""COMPUTED_VALUE"""),"BELUM")</f>
        <v>BELUM</v>
      </c>
      <c r="AG296" s="6">
        <f>IFERROR(__xludf.DUMMYFUNCTION("""COMPUTED_VALUE"""),46063.0)</f>
        <v>46063</v>
      </c>
      <c r="AH296" s="4"/>
      <c r="AI296" s="4"/>
    </row>
    <row r="297" ht="15.75" customHeight="1">
      <c r="A297" s="4" t="str">
        <f>IFERROR(__xludf.DUMMYFUNCTION("""COMPUTED_VALUE"""),"7ea43ffa")</f>
        <v>7ea43ffa</v>
      </c>
      <c r="B297" s="5">
        <f>IFERROR(__xludf.DUMMYFUNCTION("""COMPUTED_VALUE"""),46063.875972222224)</f>
        <v>46063.87597</v>
      </c>
      <c r="C297" s="4" t="str">
        <f>IFERROR(__xludf.DUMMYFUNCTION("""COMPUTED_VALUE"""),"-6.981924, 107.674169")</f>
        <v>-6.981924, 107.674169</v>
      </c>
      <c r="D297" s="4" t="str">
        <f>IFERROR(__xludf.DUMMYFUNCTION("""COMPUTED_VALUE"""),"JIHAN KIKI")</f>
        <v>JIHAN KIKI</v>
      </c>
      <c r="E297" s="4" t="str">
        <f>IFERROR(__xludf.DUMMYFUNCTION("""COMPUTED_VALUE"""),"BANDUNG")</f>
        <v>BANDUNG</v>
      </c>
      <c r="F297" s="4" t="str">
        <f>IFERROR(__xludf.DUMMYFUNCTION("""COMPUTED_VALUE"""),"CIJAWURA")</f>
        <v>CIJAWURA</v>
      </c>
      <c r="G297" s="4" t="str">
        <f>IFERROR(__xludf.DUMMYFUNCTION("""COMPUTED_VALUE"""),"GIS SUMMARECON")</f>
        <v>GIS SUMMARECON</v>
      </c>
      <c r="H297" s="4" t="str">
        <f>IFERROR(__xludf.DUMMYFUNCTION("""COMPUTED_VALUE"""),"MRDN")</f>
        <v>MRDN</v>
      </c>
      <c r="I297" s="4" t="str">
        <f>IFERROR(__xludf.DUMMYFUNCTION("""COMPUTED_VALUE"""),"LBS DBUB - KNR")</f>
        <v>LBS DBUB - KNR</v>
      </c>
      <c r="J297" s="4" t="str">
        <f>IFERROR(__xludf.DUMMYFUNCTION("""COMPUTED_VALUE"""),"ZONA 3")</f>
        <v>ZONA 3</v>
      </c>
      <c r="K297" s="4" t="str">
        <f>IFERROR(__xludf.DUMMYFUNCTION("""COMPUTED_VALUE"""),"056")</f>
        <v>056</v>
      </c>
      <c r="L297" s="4" t="str">
        <f>IFERROR(__xludf.DUMMYFUNCTION("""COMPUTED_VALUE"""),"TM - 7B/H (Afspan 90 Derajat)")</f>
        <v>TM - 7B/H (Afspan 90 Derajat)</v>
      </c>
      <c r="M297" s="4" t="str">
        <f>IFERROR(__xludf.DUMMYFUNCTION("""COMPUTED_VALUE"""),"Tidak Ada")</f>
        <v>Tidak Ada</v>
      </c>
      <c r="N297" s="4"/>
      <c r="O297" s="4" t="str">
        <f>IFERROR(__xludf.DUMMYFUNCTION("""COMPUTED_VALUE"""),"PEMBANDING SEJENIS")</f>
        <v>PEMBANDING SEJENIS</v>
      </c>
      <c r="P297" s="4" t="str">
        <f>IFERROR(__xludf.DUMMYFUNCTION("""COMPUTED_VALUE"""),"KONEKTOR/JUMPER")</f>
        <v>KONEKTOR/JUMPER</v>
      </c>
      <c r="Q297" s="4">
        <f>IFERROR(__xludf.DUMMYFUNCTION("""COMPUTED_VALUE"""),21.0)</f>
        <v>21</v>
      </c>
      <c r="R297" s="4">
        <f>IFERROR(__xludf.DUMMYFUNCTION("""COMPUTED_VALUE"""),24.0)</f>
        <v>24</v>
      </c>
      <c r="S297" s="4">
        <f>IFERROR(__xludf.DUMMYFUNCTION("""COMPUTED_VALUE"""),25.0)</f>
        <v>25</v>
      </c>
      <c r="T297" s="4"/>
      <c r="U297" s="4" t="str">
        <f>IFERROR(__xludf.DUMMYFUNCTION("""COMPUTED_VALUE"""),"CUKUP")</f>
        <v>CUKUP</v>
      </c>
      <c r="V297" s="4" t="str">
        <f>IFERROR(__xludf.DUMMYFUNCTION("""COMPUTED_VALUE"""),"Tidak Ada")</f>
        <v>Tidak Ada</v>
      </c>
      <c r="W297" s="4"/>
      <c r="X297" s="4"/>
      <c r="Y297" s="4"/>
      <c r="Z297" s="4"/>
      <c r="AA297" s="4"/>
      <c r="AB297" s="4"/>
      <c r="AC297" s="4" t="str">
        <f>IFERROR(__xludf.DUMMYFUNCTION("""COMPUTED_VALUE"""),"INSPEKSI SUTM - T2_Images/7ea43ffa.FOTO.140816.jpg")</f>
        <v>INSPEKSI SUTM - T2_Images/7ea43ffa.FOTO.140816.jpg</v>
      </c>
      <c r="AD297" s="4"/>
      <c r="AE297" s="4"/>
      <c r="AF297" s="4" t="str">
        <f>IFERROR(__xludf.DUMMYFUNCTION("""COMPUTED_VALUE"""),"BELUM")</f>
        <v>BELUM</v>
      </c>
      <c r="AG297" s="6">
        <f>IFERROR(__xludf.DUMMYFUNCTION("""COMPUTED_VALUE"""),46063.0)</f>
        <v>46063</v>
      </c>
      <c r="AH297" s="4"/>
      <c r="AI297" s="4"/>
    </row>
    <row r="298" ht="15.75" customHeight="1">
      <c r="A298" s="4" t="str">
        <f>IFERROR(__xludf.DUMMYFUNCTION("""COMPUTED_VALUE"""),"556a0d55")</f>
        <v>556a0d55</v>
      </c>
      <c r="B298" s="5">
        <f>IFERROR(__xludf.DUMMYFUNCTION("""COMPUTED_VALUE"""),46063.87815972222)</f>
        <v>46063.87816</v>
      </c>
      <c r="C298" s="4" t="str">
        <f>IFERROR(__xludf.DUMMYFUNCTION("""COMPUTED_VALUE"""),"-6.984158, 107.672743")</f>
        <v>-6.984158, 107.672743</v>
      </c>
      <c r="D298" s="4" t="str">
        <f>IFERROR(__xludf.DUMMYFUNCTION("""COMPUTED_VALUE"""),"JIHAN KIKI")</f>
        <v>JIHAN KIKI</v>
      </c>
      <c r="E298" s="4" t="str">
        <f>IFERROR(__xludf.DUMMYFUNCTION("""COMPUTED_VALUE"""),"BANDUNG")</f>
        <v>BANDUNG</v>
      </c>
      <c r="F298" s="4" t="str">
        <f>IFERROR(__xludf.DUMMYFUNCTION("""COMPUTED_VALUE"""),"CIJAWURA")</f>
        <v>CIJAWURA</v>
      </c>
      <c r="G298" s="4" t="str">
        <f>IFERROR(__xludf.DUMMYFUNCTION("""COMPUTED_VALUE"""),"GIS SUMMARECON")</f>
        <v>GIS SUMMARECON</v>
      </c>
      <c r="H298" s="4" t="str">
        <f>IFERROR(__xludf.DUMMYFUNCTION("""COMPUTED_VALUE"""),"MRDN")</f>
        <v>MRDN</v>
      </c>
      <c r="I298" s="4" t="str">
        <f>IFERROR(__xludf.DUMMYFUNCTION("""COMPUTED_VALUE"""),"LBS DBUB - KNR")</f>
        <v>LBS DBUB - KNR</v>
      </c>
      <c r="J298" s="4" t="str">
        <f>IFERROR(__xludf.DUMMYFUNCTION("""COMPUTED_VALUE"""),"ZONA 3")</f>
        <v>ZONA 3</v>
      </c>
      <c r="K298" s="4" t="str">
        <f>IFERROR(__xludf.DUMMYFUNCTION("""COMPUTED_VALUE"""),"056")</f>
        <v>056</v>
      </c>
      <c r="L298" s="4" t="str">
        <f>IFERROR(__xludf.DUMMYFUNCTION("""COMPUTED_VALUE"""),"TM - 7B/H (Afspan 90 Derajat)")</f>
        <v>TM - 7B/H (Afspan 90 Derajat)</v>
      </c>
      <c r="M298" s="4" t="str">
        <f>IFERROR(__xludf.DUMMYFUNCTION("""COMPUTED_VALUE"""),"Tidak Ada")</f>
        <v>Tidak Ada</v>
      </c>
      <c r="N298" s="4"/>
      <c r="O298" s="4" t="str">
        <f>IFERROR(__xludf.DUMMYFUNCTION("""COMPUTED_VALUE"""),"PEMBANDING SEJENIS")</f>
        <v>PEMBANDING SEJENIS</v>
      </c>
      <c r="P298" s="4" t="str">
        <f>IFERROR(__xludf.DUMMYFUNCTION("""COMPUTED_VALUE"""),"KONEKTOR/JUMPER")</f>
        <v>KONEKTOR/JUMPER</v>
      </c>
      <c r="Q298" s="4">
        <f>IFERROR(__xludf.DUMMYFUNCTION("""COMPUTED_VALUE"""),21.0)</f>
        <v>21</v>
      </c>
      <c r="R298" s="4">
        <f>IFERROR(__xludf.DUMMYFUNCTION("""COMPUTED_VALUE"""),24.0)</f>
        <v>24</v>
      </c>
      <c r="S298" s="4">
        <f>IFERROR(__xludf.DUMMYFUNCTION("""COMPUTED_VALUE"""),25.0)</f>
        <v>25</v>
      </c>
      <c r="T298" s="4"/>
      <c r="U298" s="4" t="str">
        <f>IFERROR(__xludf.DUMMYFUNCTION("""COMPUTED_VALUE"""),"CUKUP")</f>
        <v>CUKUP</v>
      </c>
      <c r="V298" s="4" t="str">
        <f>IFERROR(__xludf.DUMMYFUNCTION("""COMPUTED_VALUE"""),"Tidak Ada")</f>
        <v>Tidak Ada</v>
      </c>
      <c r="W298" s="4"/>
      <c r="X298" s="4"/>
      <c r="Y298" s="4"/>
      <c r="Z298" s="4"/>
      <c r="AA298" s="4"/>
      <c r="AB298" s="4"/>
      <c r="AC298" s="4" t="str">
        <f>IFERROR(__xludf.DUMMYFUNCTION("""COMPUTED_VALUE"""),"INSPEKSI SUTM - T2_Images/556a0d55.FOTO.140758.jpg")</f>
        <v>INSPEKSI SUTM - T2_Images/556a0d55.FOTO.140758.jpg</v>
      </c>
      <c r="AD298" s="4"/>
      <c r="AE298" s="4"/>
      <c r="AF298" s="4" t="str">
        <f>IFERROR(__xludf.DUMMYFUNCTION("""COMPUTED_VALUE"""),"BELUM")</f>
        <v>BELUM</v>
      </c>
      <c r="AG298" s="6">
        <f>IFERROR(__xludf.DUMMYFUNCTION("""COMPUTED_VALUE"""),46063.0)</f>
        <v>46063</v>
      </c>
      <c r="AH298" s="4"/>
      <c r="AI298" s="4"/>
    </row>
    <row r="299" ht="15.75" customHeight="1">
      <c r="A299" s="4" t="str">
        <f>IFERROR(__xludf.DUMMYFUNCTION("""COMPUTED_VALUE"""),"5c02e48a")</f>
        <v>5c02e48a</v>
      </c>
      <c r="B299" s="5">
        <f>IFERROR(__xludf.DUMMYFUNCTION("""COMPUTED_VALUE"""),46063.881273148145)</f>
        <v>46063.88127</v>
      </c>
      <c r="C299" s="4" t="str">
        <f>IFERROR(__xludf.DUMMYFUNCTION("""COMPUTED_VALUE"""),"-6.984219, 107.674016")</f>
        <v>-6.984219, 107.674016</v>
      </c>
      <c r="D299" s="4" t="str">
        <f>IFERROR(__xludf.DUMMYFUNCTION("""COMPUTED_VALUE"""),"JIHAN KIKI")</f>
        <v>JIHAN KIKI</v>
      </c>
      <c r="E299" s="4" t="str">
        <f>IFERROR(__xludf.DUMMYFUNCTION("""COMPUTED_VALUE"""),"BANDUNG")</f>
        <v>BANDUNG</v>
      </c>
      <c r="F299" s="4" t="str">
        <f>IFERROR(__xludf.DUMMYFUNCTION("""COMPUTED_VALUE"""),"CIJAWURA")</f>
        <v>CIJAWURA</v>
      </c>
      <c r="G299" s="4" t="str">
        <f>IFERROR(__xludf.DUMMYFUNCTION("""COMPUTED_VALUE"""),"GIS SUMMARECON")</f>
        <v>GIS SUMMARECON</v>
      </c>
      <c r="H299" s="4" t="str">
        <f>IFERROR(__xludf.DUMMYFUNCTION("""COMPUTED_VALUE"""),"MRDN")</f>
        <v>MRDN</v>
      </c>
      <c r="I299" s="4" t="str">
        <f>IFERROR(__xludf.DUMMYFUNCTION("""COMPUTED_VALUE"""),"LBS DBUB - KNR")</f>
        <v>LBS DBUB - KNR</v>
      </c>
      <c r="J299" s="4" t="str">
        <f>IFERROR(__xludf.DUMMYFUNCTION("""COMPUTED_VALUE"""),"ZONA 3")</f>
        <v>ZONA 3</v>
      </c>
      <c r="K299" s="4" t="str">
        <f>IFERROR(__xludf.DUMMYFUNCTION("""COMPUTED_VALUE"""),"057")</f>
        <v>057</v>
      </c>
      <c r="L299" s="4" t="str">
        <f>IFERROR(__xludf.DUMMYFUNCTION("""COMPUTED_VALUE"""),"TM - 7B/H (Afspan 90 Derajat)")</f>
        <v>TM - 7B/H (Afspan 90 Derajat)</v>
      </c>
      <c r="M299" s="4" t="str">
        <f>IFERROR(__xludf.DUMMYFUNCTION("""COMPUTED_VALUE"""),"Tidak Ada")</f>
        <v>Tidak Ada</v>
      </c>
      <c r="N299" s="4"/>
      <c r="O299" s="4" t="str">
        <f>IFERROR(__xludf.DUMMYFUNCTION("""COMPUTED_VALUE"""),"PEMBANDING SEJENIS")</f>
        <v>PEMBANDING SEJENIS</v>
      </c>
      <c r="P299" s="4" t="str">
        <f>IFERROR(__xludf.DUMMYFUNCTION("""COMPUTED_VALUE"""),"KONEKTOR/JUMPER")</f>
        <v>KONEKTOR/JUMPER</v>
      </c>
      <c r="Q299" s="4">
        <f>IFERROR(__xludf.DUMMYFUNCTION("""COMPUTED_VALUE"""),21.0)</f>
        <v>21</v>
      </c>
      <c r="R299" s="4">
        <f>IFERROR(__xludf.DUMMYFUNCTION("""COMPUTED_VALUE"""),24.0)</f>
        <v>24</v>
      </c>
      <c r="S299" s="4">
        <f>IFERROR(__xludf.DUMMYFUNCTION("""COMPUTED_VALUE"""),25.0)</f>
        <v>25</v>
      </c>
      <c r="T299" s="4"/>
      <c r="U299" s="4" t="str">
        <f>IFERROR(__xludf.DUMMYFUNCTION("""COMPUTED_VALUE"""),"CUKUP")</f>
        <v>CUKUP</v>
      </c>
      <c r="V299" s="4" t="str">
        <f>IFERROR(__xludf.DUMMYFUNCTION("""COMPUTED_VALUE"""),"Tidak Ada")</f>
        <v>Tidak Ada</v>
      </c>
      <c r="W299" s="4"/>
      <c r="X299" s="4"/>
      <c r="Y299" s="4"/>
      <c r="Z299" s="4"/>
      <c r="AA299" s="4"/>
      <c r="AB299" s="4"/>
      <c r="AC299" s="4" t="str">
        <f>IFERROR(__xludf.DUMMYFUNCTION("""COMPUTED_VALUE"""),"INSPEKSI SUTM - T2_Images/5c02e48a.FOTO.141125.jpg")</f>
        <v>INSPEKSI SUTM - T2_Images/5c02e48a.FOTO.141125.jpg</v>
      </c>
      <c r="AD299" s="4"/>
      <c r="AE299" s="4"/>
      <c r="AF299" s="4" t="str">
        <f>IFERROR(__xludf.DUMMYFUNCTION("""COMPUTED_VALUE"""),"BELUM")</f>
        <v>BELUM</v>
      </c>
      <c r="AG299" s="6">
        <f>IFERROR(__xludf.DUMMYFUNCTION("""COMPUTED_VALUE"""),46063.0)</f>
        <v>46063</v>
      </c>
      <c r="AH299" s="4"/>
      <c r="AI299" s="4"/>
    </row>
    <row r="300" ht="15.75" customHeight="1">
      <c r="A300" s="4" t="str">
        <f>IFERROR(__xludf.DUMMYFUNCTION("""COMPUTED_VALUE"""),"a4a51597")</f>
        <v>a4a51597</v>
      </c>
      <c r="B300" s="5">
        <f>IFERROR(__xludf.DUMMYFUNCTION("""COMPUTED_VALUE"""),46063.88333333333)</f>
        <v>46063.88333</v>
      </c>
      <c r="C300" s="4" t="str">
        <f>IFERROR(__xludf.DUMMYFUNCTION("""COMPUTED_VALUE"""),"-6.984241, 107.674018")</f>
        <v>-6.984241, 107.674018</v>
      </c>
      <c r="D300" s="4" t="str">
        <f>IFERROR(__xludf.DUMMYFUNCTION("""COMPUTED_VALUE"""),"JIHAN KIKI")</f>
        <v>JIHAN KIKI</v>
      </c>
      <c r="E300" s="4" t="str">
        <f>IFERROR(__xludf.DUMMYFUNCTION("""COMPUTED_VALUE"""),"BANDUNG")</f>
        <v>BANDUNG</v>
      </c>
      <c r="F300" s="4" t="str">
        <f>IFERROR(__xludf.DUMMYFUNCTION("""COMPUTED_VALUE"""),"CIJAWURA")</f>
        <v>CIJAWURA</v>
      </c>
      <c r="G300" s="4" t="str">
        <f>IFERROR(__xludf.DUMMYFUNCTION("""COMPUTED_VALUE"""),"GIS SUMMARECON")</f>
        <v>GIS SUMMARECON</v>
      </c>
      <c r="H300" s="4" t="str">
        <f>IFERROR(__xludf.DUMMYFUNCTION("""COMPUTED_VALUE"""),"MRDN")</f>
        <v>MRDN</v>
      </c>
      <c r="I300" s="4" t="str">
        <f>IFERROR(__xludf.DUMMYFUNCTION("""COMPUTED_VALUE"""),"LBS DBUB - KNR")</f>
        <v>LBS DBUB - KNR</v>
      </c>
      <c r="J300" s="4" t="str">
        <f>IFERROR(__xludf.DUMMYFUNCTION("""COMPUTED_VALUE"""),"ZONA 3")</f>
        <v>ZONA 3</v>
      </c>
      <c r="K300" s="4" t="str">
        <f>IFERROR(__xludf.DUMMYFUNCTION("""COMPUTED_VALUE"""),"061")</f>
        <v>061</v>
      </c>
      <c r="L300" s="4" t="str">
        <f>IFERROR(__xludf.DUMMYFUNCTION("""COMPUTED_VALUE"""),"TM - 4B/H (Afspan)")</f>
        <v>TM - 4B/H (Afspan)</v>
      </c>
      <c r="M300" s="4" t="str">
        <f>IFERROR(__xludf.DUMMYFUNCTION("""COMPUTED_VALUE"""),"Tidak Ada")</f>
        <v>Tidak Ada</v>
      </c>
      <c r="N300" s="4"/>
      <c r="O300" s="4" t="str">
        <f>IFERROR(__xludf.DUMMYFUNCTION("""COMPUTED_VALUE"""),"PEMBANDING SEJENIS")</f>
        <v>PEMBANDING SEJENIS</v>
      </c>
      <c r="P300" s="4" t="str">
        <f>IFERROR(__xludf.DUMMYFUNCTION("""COMPUTED_VALUE"""),"KONEKTOR/JUMPER")</f>
        <v>KONEKTOR/JUMPER</v>
      </c>
      <c r="Q300" s="4">
        <f>IFERROR(__xludf.DUMMYFUNCTION("""COMPUTED_VALUE"""),23.0)</f>
        <v>23</v>
      </c>
      <c r="R300" s="4">
        <f>IFERROR(__xludf.DUMMYFUNCTION("""COMPUTED_VALUE"""),22.0)</f>
        <v>22</v>
      </c>
      <c r="S300" s="4">
        <f>IFERROR(__xludf.DUMMYFUNCTION("""COMPUTED_VALUE"""),22.0)</f>
        <v>22</v>
      </c>
      <c r="T300" s="4"/>
      <c r="U300" s="4" t="str">
        <f>IFERROR(__xludf.DUMMYFUNCTION("""COMPUTED_VALUE"""),"BAIK")</f>
        <v>BAIK</v>
      </c>
      <c r="V300" s="4" t="str">
        <f>IFERROR(__xludf.DUMMYFUNCTION("""COMPUTED_VALUE"""),"Tidak Ada")</f>
        <v>Tidak Ada</v>
      </c>
      <c r="W300" s="4"/>
      <c r="X300" s="4"/>
      <c r="Y300" s="4"/>
      <c r="Z300" s="4"/>
      <c r="AA300" s="4"/>
      <c r="AB300" s="4"/>
      <c r="AC300" s="4" t="str">
        <f>IFERROR(__xludf.DUMMYFUNCTION("""COMPUTED_VALUE"""),"INSPEKSI SUTM - T2_Images/a4a51597.FOTO.141632.jpg")</f>
        <v>INSPEKSI SUTM - T2_Images/a4a51597.FOTO.141632.jpg</v>
      </c>
      <c r="AD300" s="4"/>
      <c r="AE300" s="4"/>
      <c r="AF300" s="4" t="str">
        <f>IFERROR(__xludf.DUMMYFUNCTION("""COMPUTED_VALUE"""),"BELUM")</f>
        <v>BELUM</v>
      </c>
      <c r="AG300" s="6">
        <f>IFERROR(__xludf.DUMMYFUNCTION("""COMPUTED_VALUE"""),46063.0)</f>
        <v>46063</v>
      </c>
      <c r="AH300" s="4"/>
      <c r="AI300" s="4"/>
    </row>
    <row r="301" ht="15.75" customHeight="1">
      <c r="A301" s="4" t="str">
        <f>IFERROR(__xludf.DUMMYFUNCTION("""COMPUTED_VALUE"""),"95368684")</f>
        <v>95368684</v>
      </c>
      <c r="B301" s="5">
        <f>IFERROR(__xludf.DUMMYFUNCTION("""COMPUTED_VALUE"""),46063.88429398148)</f>
        <v>46063.88429</v>
      </c>
      <c r="C301" s="4" t="str">
        <f>IFERROR(__xludf.DUMMYFUNCTION("""COMPUTED_VALUE"""),"-6.984692, 107.671053")</f>
        <v>-6.984692, 107.671053</v>
      </c>
      <c r="D301" s="4" t="str">
        <f>IFERROR(__xludf.DUMMYFUNCTION("""COMPUTED_VALUE"""),"JIHAN KIKI")</f>
        <v>JIHAN KIKI</v>
      </c>
      <c r="E301" s="4" t="str">
        <f>IFERROR(__xludf.DUMMYFUNCTION("""COMPUTED_VALUE"""),"BANDUNG")</f>
        <v>BANDUNG</v>
      </c>
      <c r="F301" s="4" t="str">
        <f>IFERROR(__xludf.DUMMYFUNCTION("""COMPUTED_VALUE"""),"CIJAWURA")</f>
        <v>CIJAWURA</v>
      </c>
      <c r="G301" s="4" t="str">
        <f>IFERROR(__xludf.DUMMYFUNCTION("""COMPUTED_VALUE"""),"GIS SUMMARECON")</f>
        <v>GIS SUMMARECON</v>
      </c>
      <c r="H301" s="4" t="str">
        <f>IFERROR(__xludf.DUMMYFUNCTION("""COMPUTED_VALUE"""),"MRDN")</f>
        <v>MRDN</v>
      </c>
      <c r="I301" s="4" t="str">
        <f>IFERROR(__xludf.DUMMYFUNCTION("""COMPUTED_VALUE"""),"LBS DBUB - KNR")</f>
        <v>LBS DBUB - KNR</v>
      </c>
      <c r="J301" s="4" t="str">
        <f>IFERROR(__xludf.DUMMYFUNCTION("""COMPUTED_VALUE"""),"ZONA 3")</f>
        <v>ZONA 3</v>
      </c>
      <c r="K301" s="4" t="str">
        <f>IFERROR(__xludf.DUMMYFUNCTION("""COMPUTED_VALUE"""),"063")</f>
        <v>063</v>
      </c>
      <c r="L301" s="4" t="str">
        <f>IFERROR(__xludf.DUMMYFUNCTION("""COMPUTED_VALUE"""),"TM - 8B/H (Percabangan)")</f>
        <v>TM - 8B/H (Percabangan)</v>
      </c>
      <c r="M301" s="4" t="str">
        <f>IFERROR(__xludf.DUMMYFUNCTION("""COMPUTED_VALUE"""),"Tidak Ada")</f>
        <v>Tidak Ada</v>
      </c>
      <c r="N301" s="4"/>
      <c r="O301" s="4" t="str">
        <f>IFERROR(__xludf.DUMMYFUNCTION("""COMPUTED_VALUE"""),"PEMBANDING SEJENIS")</f>
        <v>PEMBANDING SEJENIS</v>
      </c>
      <c r="P301" s="4" t="str">
        <f>IFERROR(__xludf.DUMMYFUNCTION("""COMPUTED_VALUE"""),"KONEKTOR/JUMPER")</f>
        <v>KONEKTOR/JUMPER</v>
      </c>
      <c r="Q301" s="4">
        <f>IFERROR(__xludf.DUMMYFUNCTION("""COMPUTED_VALUE"""),23.0)</f>
        <v>23</v>
      </c>
      <c r="R301" s="4">
        <f>IFERROR(__xludf.DUMMYFUNCTION("""COMPUTED_VALUE"""),22.0)</f>
        <v>22</v>
      </c>
      <c r="S301" s="4">
        <f>IFERROR(__xludf.DUMMYFUNCTION("""COMPUTED_VALUE"""),22.0)</f>
        <v>22</v>
      </c>
      <c r="T301" s="4"/>
      <c r="U301" s="4" t="str">
        <f>IFERROR(__xludf.DUMMYFUNCTION("""COMPUTED_VALUE"""),"BAIK")</f>
        <v>BAIK</v>
      </c>
      <c r="V301" s="4" t="str">
        <f>IFERROR(__xludf.DUMMYFUNCTION("""COMPUTED_VALUE"""),"Tidak Ada")</f>
        <v>Tidak Ada</v>
      </c>
      <c r="W301" s="4"/>
      <c r="X301" s="4"/>
      <c r="Y301" s="4"/>
      <c r="Z301" s="4"/>
      <c r="AA301" s="4"/>
      <c r="AB301" s="4"/>
      <c r="AC301" s="4" t="str">
        <f>IFERROR(__xludf.DUMMYFUNCTION("""COMPUTED_VALUE"""),"INSPEKSI SUTM - T2_Images/95368684.FOTO.141600.jpg")</f>
        <v>INSPEKSI SUTM - T2_Images/95368684.FOTO.141600.jpg</v>
      </c>
      <c r="AD301" s="4"/>
      <c r="AE301" s="4"/>
      <c r="AF301" s="4" t="str">
        <f>IFERROR(__xludf.DUMMYFUNCTION("""COMPUTED_VALUE"""),"BELUM")</f>
        <v>BELUM</v>
      </c>
      <c r="AG301" s="6">
        <f>IFERROR(__xludf.DUMMYFUNCTION("""COMPUTED_VALUE"""),46063.0)</f>
        <v>46063</v>
      </c>
      <c r="AH301" s="4"/>
      <c r="AI301" s="4"/>
    </row>
    <row r="302" ht="15.75" customHeight="1">
      <c r="A302" s="4" t="str">
        <f>IFERROR(__xludf.DUMMYFUNCTION("""COMPUTED_VALUE"""),"3b3d4bbb")</f>
        <v>3b3d4bbb</v>
      </c>
      <c r="B302" s="5">
        <f>IFERROR(__xludf.DUMMYFUNCTION("""COMPUTED_VALUE"""),46063.88951388889)</f>
        <v>46063.88951</v>
      </c>
      <c r="C302" s="4" t="str">
        <f>IFERROR(__xludf.DUMMYFUNCTION("""COMPUTED_VALUE"""),"-6.984335, 107.669367")</f>
        <v>-6.984335, 107.669367</v>
      </c>
      <c r="D302" s="4" t="str">
        <f>IFERROR(__xludf.DUMMYFUNCTION("""COMPUTED_VALUE"""),"JIHAN KIKI")</f>
        <v>JIHAN KIKI</v>
      </c>
      <c r="E302" s="4" t="str">
        <f>IFERROR(__xludf.DUMMYFUNCTION("""COMPUTED_VALUE"""),"BANDUNG")</f>
        <v>BANDUNG</v>
      </c>
      <c r="F302" s="4" t="str">
        <f>IFERROR(__xludf.DUMMYFUNCTION("""COMPUTED_VALUE"""),"CIJAWURA")</f>
        <v>CIJAWURA</v>
      </c>
      <c r="G302" s="4" t="str">
        <f>IFERROR(__xludf.DUMMYFUNCTION("""COMPUTED_VALUE"""),"GIS SUMMARECON")</f>
        <v>GIS SUMMARECON</v>
      </c>
      <c r="H302" s="4" t="str">
        <f>IFERROR(__xludf.DUMMYFUNCTION("""COMPUTED_VALUE"""),"MRDN")</f>
        <v>MRDN</v>
      </c>
      <c r="I302" s="4" t="str">
        <f>IFERROR(__xludf.DUMMYFUNCTION("""COMPUTED_VALUE"""),"LBS DBUB - KNR")</f>
        <v>LBS DBUB - KNR</v>
      </c>
      <c r="J302" s="4" t="str">
        <f>IFERROR(__xludf.DUMMYFUNCTION("""COMPUTED_VALUE"""),"ZONA 3")</f>
        <v>ZONA 3</v>
      </c>
      <c r="K302" s="4" t="str">
        <f>IFERROR(__xludf.DUMMYFUNCTION("""COMPUTED_VALUE"""),"063R04")</f>
        <v>063R04</v>
      </c>
      <c r="L302" s="4" t="str">
        <f>IFERROR(__xludf.DUMMYFUNCTION("""COMPUTED_VALUE"""),"TM - 7B/H (Afspan 90 Derajat)")</f>
        <v>TM - 7B/H (Afspan 90 Derajat)</v>
      </c>
      <c r="M302" s="4" t="str">
        <f>IFERROR(__xludf.DUMMYFUNCTION("""COMPUTED_VALUE"""),"Tidak Ada")</f>
        <v>Tidak Ada</v>
      </c>
      <c r="N302" s="4"/>
      <c r="O302" s="4" t="str">
        <f>IFERROR(__xludf.DUMMYFUNCTION("""COMPUTED_VALUE"""),"PEMBANDING SEJENIS")</f>
        <v>PEMBANDING SEJENIS</v>
      </c>
      <c r="P302" s="4" t="str">
        <f>IFERROR(__xludf.DUMMYFUNCTION("""COMPUTED_VALUE"""),"KONEKTOR/JUMPER")</f>
        <v>KONEKTOR/JUMPER</v>
      </c>
      <c r="Q302" s="4">
        <f>IFERROR(__xludf.DUMMYFUNCTION("""COMPUTED_VALUE"""),22.0)</f>
        <v>22</v>
      </c>
      <c r="R302" s="4">
        <f>IFERROR(__xludf.DUMMYFUNCTION("""COMPUTED_VALUE"""),23.0)</f>
        <v>23</v>
      </c>
      <c r="S302" s="4">
        <f>IFERROR(__xludf.DUMMYFUNCTION("""COMPUTED_VALUE"""),22.0)</f>
        <v>22</v>
      </c>
      <c r="T302" s="4"/>
      <c r="U302" s="4" t="str">
        <f>IFERROR(__xludf.DUMMYFUNCTION("""COMPUTED_VALUE"""),"BAIK")</f>
        <v>BAIK</v>
      </c>
      <c r="V302" s="4" t="str">
        <f>IFERROR(__xludf.DUMMYFUNCTION("""COMPUTED_VALUE"""),"Tidak Ada")</f>
        <v>Tidak Ada</v>
      </c>
      <c r="W302" s="4"/>
      <c r="X302" s="4"/>
      <c r="Y302" s="4"/>
      <c r="Z302" s="4"/>
      <c r="AA302" s="4"/>
      <c r="AB302" s="4"/>
      <c r="AC302" s="4" t="str">
        <f>IFERROR(__xludf.DUMMYFUNCTION("""COMPUTED_VALUE"""),"INSPEKSI SUTM - T2_Images/3b3d4bbb.FOTO.142158.jpg")</f>
        <v>INSPEKSI SUTM - T2_Images/3b3d4bbb.FOTO.142158.jpg</v>
      </c>
      <c r="AD302" s="4"/>
      <c r="AE302" s="4"/>
      <c r="AF302" s="4" t="str">
        <f>IFERROR(__xludf.DUMMYFUNCTION("""COMPUTED_VALUE"""),"BELUM")</f>
        <v>BELUM</v>
      </c>
      <c r="AG302" s="6">
        <f>IFERROR(__xludf.DUMMYFUNCTION("""COMPUTED_VALUE"""),46063.0)</f>
        <v>46063</v>
      </c>
      <c r="AH302" s="4"/>
      <c r="AI302" s="4"/>
    </row>
    <row r="303" ht="15.75" customHeight="1">
      <c r="A303" s="4" t="str">
        <f>IFERROR(__xludf.DUMMYFUNCTION("""COMPUTED_VALUE"""),"50c18f8f")</f>
        <v>50c18f8f</v>
      </c>
      <c r="B303" s="5">
        <f>IFERROR(__xludf.DUMMYFUNCTION("""COMPUTED_VALUE"""),46063.89061342592)</f>
        <v>46063.89061</v>
      </c>
      <c r="C303" s="4" t="str">
        <f>IFERROR(__xludf.DUMMYFUNCTION("""COMPUTED_VALUE"""),"-6.984354, 107.669373")</f>
        <v>-6.984354, 107.669373</v>
      </c>
      <c r="D303" s="4" t="str">
        <f>IFERROR(__xludf.DUMMYFUNCTION("""COMPUTED_VALUE"""),"JIHAN KIKI")</f>
        <v>JIHAN KIKI</v>
      </c>
      <c r="E303" s="4" t="str">
        <f>IFERROR(__xludf.DUMMYFUNCTION("""COMPUTED_VALUE"""),"BANDUNG")</f>
        <v>BANDUNG</v>
      </c>
      <c r="F303" s="4" t="str">
        <f>IFERROR(__xludf.DUMMYFUNCTION("""COMPUTED_VALUE"""),"CIJAWURA")</f>
        <v>CIJAWURA</v>
      </c>
      <c r="G303" s="4" t="str">
        <f>IFERROR(__xludf.DUMMYFUNCTION("""COMPUTED_VALUE"""),"GIS SUMMARECON")</f>
        <v>GIS SUMMARECON</v>
      </c>
      <c r="H303" s="4" t="str">
        <f>IFERROR(__xludf.DUMMYFUNCTION("""COMPUTED_VALUE"""),"MRDN")</f>
        <v>MRDN</v>
      </c>
      <c r="I303" s="4" t="str">
        <f>IFERROR(__xludf.DUMMYFUNCTION("""COMPUTED_VALUE"""),"LBS DBUB - KNR")</f>
        <v>LBS DBUB - KNR</v>
      </c>
      <c r="J303" s="4" t="str">
        <f>IFERROR(__xludf.DUMMYFUNCTION("""COMPUTED_VALUE"""),"ZONA 3")</f>
        <v>ZONA 3</v>
      </c>
      <c r="K303" s="4" t="str">
        <f>IFERROR(__xludf.DUMMYFUNCTION("""COMPUTED_VALUE"""),"063R08")</f>
        <v>063R08</v>
      </c>
      <c r="L303" s="4" t="str">
        <f>IFERROR(__xludf.DUMMYFUNCTION("""COMPUTED_VALUE"""),"TM - 8B/H (Percabangan)")</f>
        <v>TM - 8B/H (Percabangan)</v>
      </c>
      <c r="M303" s="4" t="str">
        <f>IFERROR(__xludf.DUMMYFUNCTION("""COMPUTED_VALUE"""),"Tidak Ada")</f>
        <v>Tidak Ada</v>
      </c>
      <c r="N303" s="4"/>
      <c r="O303" s="4" t="str">
        <f>IFERROR(__xludf.DUMMYFUNCTION("""COMPUTED_VALUE"""),"PEMBANDING SEJENIS")</f>
        <v>PEMBANDING SEJENIS</v>
      </c>
      <c r="P303" s="4" t="str">
        <f>IFERROR(__xludf.DUMMYFUNCTION("""COMPUTED_VALUE"""),"KONEKTOR/JUMPER")</f>
        <v>KONEKTOR/JUMPER</v>
      </c>
      <c r="Q303" s="4">
        <f>IFERROR(__xludf.DUMMYFUNCTION("""COMPUTED_VALUE"""),22.0)</f>
        <v>22</v>
      </c>
      <c r="R303" s="4">
        <f>IFERROR(__xludf.DUMMYFUNCTION("""COMPUTED_VALUE"""),21.0)</f>
        <v>21</v>
      </c>
      <c r="S303" s="4">
        <f>IFERROR(__xludf.DUMMYFUNCTION("""COMPUTED_VALUE"""),21.0)</f>
        <v>21</v>
      </c>
      <c r="T303" s="4"/>
      <c r="U303" s="4" t="str">
        <f>IFERROR(__xludf.DUMMYFUNCTION("""COMPUTED_VALUE"""),"BAIK")</f>
        <v>BAIK</v>
      </c>
      <c r="V303" s="4" t="str">
        <f>IFERROR(__xludf.DUMMYFUNCTION("""COMPUTED_VALUE"""),"Tidak Ada")</f>
        <v>Tidak Ada</v>
      </c>
      <c r="W303" s="4"/>
      <c r="X303" s="4"/>
      <c r="Y303" s="4"/>
      <c r="Z303" s="4"/>
      <c r="AA303" s="4"/>
      <c r="AB303" s="4"/>
      <c r="AC303" s="4" t="str">
        <f>IFERROR(__xludf.DUMMYFUNCTION("""COMPUTED_VALUE"""),"INSPEKSI SUTM - T2_Images/50c18f8f.FOTO.142357.jpg")</f>
        <v>INSPEKSI SUTM - T2_Images/50c18f8f.FOTO.142357.jpg</v>
      </c>
      <c r="AD303" s="4"/>
      <c r="AE303" s="4"/>
      <c r="AF303" s="4" t="str">
        <f>IFERROR(__xludf.DUMMYFUNCTION("""COMPUTED_VALUE"""),"BELUM")</f>
        <v>BELUM</v>
      </c>
      <c r="AG303" s="6">
        <f>IFERROR(__xludf.DUMMYFUNCTION("""COMPUTED_VALUE"""),46063.0)</f>
        <v>46063</v>
      </c>
      <c r="AH303" s="4"/>
      <c r="AI303" s="4"/>
    </row>
    <row r="304" ht="15.75" customHeight="1">
      <c r="A304" s="4" t="str">
        <f>IFERROR(__xludf.DUMMYFUNCTION("""COMPUTED_VALUE"""),"59d17725")</f>
        <v>59d17725</v>
      </c>
      <c r="B304" s="5">
        <f>IFERROR(__xludf.DUMMYFUNCTION("""COMPUTED_VALUE"""),46063.89199074074)</f>
        <v>46063.89199</v>
      </c>
      <c r="C304" s="4" t="str">
        <f>IFERROR(__xludf.DUMMYFUNCTION("""COMPUTED_VALUE"""),"-6.987024, 107.670503")</f>
        <v>-6.987024, 107.670503</v>
      </c>
      <c r="D304" s="4" t="str">
        <f>IFERROR(__xludf.DUMMYFUNCTION("""COMPUTED_VALUE"""),"Jihan kiki")</f>
        <v>Jihan kiki</v>
      </c>
      <c r="E304" s="4" t="str">
        <f>IFERROR(__xludf.DUMMYFUNCTION("""COMPUTED_VALUE"""),"BANDUNG")</f>
        <v>BANDUNG</v>
      </c>
      <c r="F304" s="4" t="str">
        <f>IFERROR(__xludf.DUMMYFUNCTION("""COMPUTED_VALUE"""),"CIJAWURA")</f>
        <v>CIJAWURA</v>
      </c>
      <c r="G304" s="4" t="str">
        <f>IFERROR(__xludf.DUMMYFUNCTION("""COMPUTED_VALUE"""),"GIS SUMMARECON")</f>
        <v>GIS SUMMARECON</v>
      </c>
      <c r="H304" s="4" t="str">
        <f>IFERROR(__xludf.DUMMYFUNCTION("""COMPUTED_VALUE"""),"MRDN")</f>
        <v>MRDN</v>
      </c>
      <c r="I304" s="4" t="str">
        <f>IFERROR(__xludf.DUMMYFUNCTION("""COMPUTED_VALUE"""),"LBS DBUB - KNR")</f>
        <v>LBS DBUB - KNR</v>
      </c>
      <c r="J304" s="4" t="str">
        <f>IFERROR(__xludf.DUMMYFUNCTION("""COMPUTED_VALUE"""),"ZONA 3")</f>
        <v>ZONA 3</v>
      </c>
      <c r="K304" s="4" t="str">
        <f>IFERROR(__xludf.DUMMYFUNCTION("""COMPUTED_VALUE"""),"071")</f>
        <v>071</v>
      </c>
      <c r="L304" s="4" t="str">
        <f>IFERROR(__xludf.DUMMYFUNCTION("""COMPUTED_VALUE"""),"TM - 4B/H (Afspan)")</f>
        <v>TM - 4B/H (Afspan)</v>
      </c>
      <c r="M304" s="4" t="str">
        <f>IFERROR(__xludf.DUMMYFUNCTION("""COMPUTED_VALUE"""),"Tidak Ada")</f>
        <v>Tidak Ada</v>
      </c>
      <c r="N304" s="4"/>
      <c r="O304" s="4" t="str">
        <f>IFERROR(__xludf.DUMMYFUNCTION("""COMPUTED_VALUE"""),"PEMBANDING SEJENIS")</f>
        <v>PEMBANDING SEJENIS</v>
      </c>
      <c r="P304" s="4" t="str">
        <f>IFERROR(__xludf.DUMMYFUNCTION("""COMPUTED_VALUE"""),"KONEKTOR/JUMPER")</f>
        <v>KONEKTOR/JUMPER</v>
      </c>
      <c r="Q304" s="4">
        <f>IFERROR(__xludf.DUMMYFUNCTION("""COMPUTED_VALUE"""),23.0)</f>
        <v>23</v>
      </c>
      <c r="R304" s="4">
        <f>IFERROR(__xludf.DUMMYFUNCTION("""COMPUTED_VALUE"""),22.0)</f>
        <v>22</v>
      </c>
      <c r="S304" s="4">
        <f>IFERROR(__xludf.DUMMYFUNCTION("""COMPUTED_VALUE"""),22.0)</f>
        <v>22</v>
      </c>
      <c r="T304" s="4"/>
      <c r="U304" s="4" t="str">
        <f>IFERROR(__xludf.DUMMYFUNCTION("""COMPUTED_VALUE"""),"BAIK")</f>
        <v>BAIK</v>
      </c>
      <c r="V304" s="4" t="str">
        <f>IFERROR(__xludf.DUMMYFUNCTION("""COMPUTED_VALUE"""),"Tidak Ada")</f>
        <v>Tidak Ada</v>
      </c>
      <c r="W304" s="4"/>
      <c r="X304" s="4"/>
      <c r="Y304" s="4"/>
      <c r="Z304" s="4"/>
      <c r="AA304" s="4"/>
      <c r="AB304" s="4"/>
      <c r="AC304" s="4" t="str">
        <f>IFERROR(__xludf.DUMMYFUNCTION("""COMPUTED_VALUE"""),"INSPEKSI SUTM - T2_Images/59d17725.FOTO.142528.jpg")</f>
        <v>INSPEKSI SUTM - T2_Images/59d17725.FOTO.142528.jpg</v>
      </c>
      <c r="AD304" s="4"/>
      <c r="AE304" s="4"/>
      <c r="AF304" s="4" t="str">
        <f>IFERROR(__xludf.DUMMYFUNCTION("""COMPUTED_VALUE"""),"BELUM")</f>
        <v>BELUM</v>
      </c>
      <c r="AG304" s="6">
        <f>IFERROR(__xludf.DUMMYFUNCTION("""COMPUTED_VALUE"""),46063.0)</f>
        <v>46063</v>
      </c>
      <c r="AH304" s="4"/>
      <c r="AI304" s="4"/>
    </row>
    <row r="305" ht="15.75" customHeight="1">
      <c r="A305" s="4" t="str">
        <f>IFERROR(__xludf.DUMMYFUNCTION("""COMPUTED_VALUE"""),"72ffbe36")</f>
        <v>72ffbe36</v>
      </c>
      <c r="B305" s="5">
        <f>IFERROR(__xludf.DUMMYFUNCTION("""COMPUTED_VALUE"""),46063.89306712963)</f>
        <v>46063.89307</v>
      </c>
      <c r="C305" s="4" t="str">
        <f>IFERROR(__xludf.DUMMYFUNCTION("""COMPUTED_VALUE"""),"-6.989981, 107.670837")</f>
        <v>-6.989981, 107.670837</v>
      </c>
      <c r="D305" s="4" t="str">
        <f>IFERROR(__xludf.DUMMYFUNCTION("""COMPUTED_VALUE"""),"JIHAN KIKI")</f>
        <v>JIHAN KIKI</v>
      </c>
      <c r="E305" s="4" t="str">
        <f>IFERROR(__xludf.DUMMYFUNCTION("""COMPUTED_VALUE"""),"BANDUNG")</f>
        <v>BANDUNG</v>
      </c>
      <c r="F305" s="4" t="str">
        <f>IFERROR(__xludf.DUMMYFUNCTION("""COMPUTED_VALUE"""),"CIJAWURA")</f>
        <v>CIJAWURA</v>
      </c>
      <c r="G305" s="4" t="str">
        <f>IFERROR(__xludf.DUMMYFUNCTION("""COMPUTED_VALUE"""),"GIS SUMMARECON")</f>
        <v>GIS SUMMARECON</v>
      </c>
      <c r="H305" s="4" t="str">
        <f>IFERROR(__xludf.DUMMYFUNCTION("""COMPUTED_VALUE"""),"MRDN")</f>
        <v>MRDN</v>
      </c>
      <c r="I305" s="4" t="str">
        <f>IFERROR(__xludf.DUMMYFUNCTION("""COMPUTED_VALUE"""),"LBS DBUB - KNR")</f>
        <v>LBS DBUB - KNR</v>
      </c>
      <c r="J305" s="4" t="str">
        <f>IFERROR(__xludf.DUMMYFUNCTION("""COMPUTED_VALUE"""),"ZONA 3")</f>
        <v>ZONA 3</v>
      </c>
      <c r="K305" s="4" t="str">
        <f>IFERROR(__xludf.DUMMYFUNCTION("""COMPUTED_VALUE"""),"076")</f>
        <v>076</v>
      </c>
      <c r="L305" s="4" t="str">
        <f>IFERROR(__xludf.DUMMYFUNCTION("""COMPUTED_VALUE"""),"TM - 8B/H (Percabangan)")</f>
        <v>TM - 8B/H (Percabangan)</v>
      </c>
      <c r="M305" s="4" t="str">
        <f>IFERROR(__xludf.DUMMYFUNCTION("""COMPUTED_VALUE"""),"Tidak Ada")</f>
        <v>Tidak Ada</v>
      </c>
      <c r="N305" s="4"/>
      <c r="O305" s="4" t="str">
        <f>IFERROR(__xludf.DUMMYFUNCTION("""COMPUTED_VALUE"""),"PEMBANDING SEJENIS")</f>
        <v>PEMBANDING SEJENIS</v>
      </c>
      <c r="P305" s="4" t="str">
        <f>IFERROR(__xludf.DUMMYFUNCTION("""COMPUTED_VALUE"""),"KONEKTOR/JUMPER")</f>
        <v>KONEKTOR/JUMPER</v>
      </c>
      <c r="Q305" s="4">
        <f>IFERROR(__xludf.DUMMYFUNCTION("""COMPUTED_VALUE"""),21.0)</f>
        <v>21</v>
      </c>
      <c r="R305" s="4">
        <f>IFERROR(__xludf.DUMMYFUNCTION("""COMPUTED_VALUE"""),21.0)</f>
        <v>21</v>
      </c>
      <c r="S305" s="4">
        <f>IFERROR(__xludf.DUMMYFUNCTION("""COMPUTED_VALUE"""),21.0)</f>
        <v>21</v>
      </c>
      <c r="T305" s="4"/>
      <c r="U305" s="4" t="str">
        <f>IFERROR(__xludf.DUMMYFUNCTION("""COMPUTED_VALUE"""),"BAIK")</f>
        <v>BAIK</v>
      </c>
      <c r="V305" s="4" t="str">
        <f>IFERROR(__xludf.DUMMYFUNCTION("""COMPUTED_VALUE"""),"Ada")</f>
        <v>Ada</v>
      </c>
      <c r="W305" s="4" t="str">
        <f>IFERROR(__xludf.DUMMYFUNCTION("""COMPUTED_VALUE"""),"KONEKTOR/JUMPER")</f>
        <v>KONEKTOR/JUMPER</v>
      </c>
      <c r="X305" s="4">
        <f>IFERROR(__xludf.DUMMYFUNCTION("""COMPUTED_VALUE"""),33.0)</f>
        <v>33</v>
      </c>
      <c r="Y305" s="4">
        <f>IFERROR(__xludf.DUMMYFUNCTION("""COMPUTED_VALUE"""),26.0)</f>
        <v>26</v>
      </c>
      <c r="Z305" s="4">
        <f>IFERROR(__xludf.DUMMYFUNCTION("""COMPUTED_VALUE"""),22.0)</f>
        <v>22</v>
      </c>
      <c r="AA305" s="4"/>
      <c r="AB305" s="4" t="str">
        <f>IFERROR(__xludf.DUMMYFUNCTION("""COMPUTED_VALUE"""),"KURANG")</f>
        <v>KURANG</v>
      </c>
      <c r="AC305" s="4" t="str">
        <f>IFERROR(__xludf.DUMMYFUNCTION("""COMPUTED_VALUE"""),"INSPEKSI SUTM - T2_Images/72ffbe36.FOTO.142740.jpg")</f>
        <v>INSPEKSI SUTM - T2_Images/72ffbe36.FOTO.142740.jpg</v>
      </c>
      <c r="AD305" s="4" t="str">
        <f>IFERROR(__xludf.DUMMYFUNCTION("""COMPUTED_VALUE"""),"INSPEKSI SUTM - T2_Images/72ffbe36.FOTO TEMUAN LAIN.142740.jpg")</f>
        <v>INSPEKSI SUTM - T2_Images/72ffbe36.FOTO TEMUAN LAIN.142740.jpg</v>
      </c>
      <c r="AE305" s="4"/>
      <c r="AF305" s="4" t="str">
        <f>IFERROR(__xludf.DUMMYFUNCTION("""COMPUTED_VALUE"""),"BELUM")</f>
        <v>BELUM</v>
      </c>
      <c r="AG305" s="6">
        <f>IFERROR(__xludf.DUMMYFUNCTION("""COMPUTED_VALUE"""),46063.0)</f>
        <v>46063</v>
      </c>
      <c r="AH305" s="4"/>
      <c r="AI305" s="4"/>
    </row>
    <row r="306" ht="15.75" customHeight="1">
      <c r="A306" s="4" t="str">
        <f>IFERROR(__xludf.DUMMYFUNCTION("""COMPUTED_VALUE"""),"1155c579")</f>
        <v>1155c579</v>
      </c>
      <c r="B306" s="5">
        <f>IFERROR(__xludf.DUMMYFUNCTION("""COMPUTED_VALUE"""),46063.89461805556)</f>
        <v>46063.89462</v>
      </c>
      <c r="C306" s="4" t="str">
        <f>IFERROR(__xludf.DUMMYFUNCTION("""COMPUTED_VALUE"""),"-6.990075, 107.671896")</f>
        <v>-6.990075, 107.671896</v>
      </c>
      <c r="D306" s="4" t="str">
        <f>IFERROR(__xludf.DUMMYFUNCTION("""COMPUTED_VALUE"""),"JIHAN KIKI")</f>
        <v>JIHAN KIKI</v>
      </c>
      <c r="E306" s="4" t="str">
        <f>IFERROR(__xludf.DUMMYFUNCTION("""COMPUTED_VALUE"""),"BANDUNG")</f>
        <v>BANDUNG</v>
      </c>
      <c r="F306" s="4" t="str">
        <f>IFERROR(__xludf.DUMMYFUNCTION("""COMPUTED_VALUE"""),"CIJAWURA")</f>
        <v>CIJAWURA</v>
      </c>
      <c r="G306" s="4" t="str">
        <f>IFERROR(__xludf.DUMMYFUNCTION("""COMPUTED_VALUE"""),"GIS SUMMARECON")</f>
        <v>GIS SUMMARECON</v>
      </c>
      <c r="H306" s="4" t="str">
        <f>IFERROR(__xludf.DUMMYFUNCTION("""COMPUTED_VALUE"""),"MRDN")</f>
        <v>MRDN</v>
      </c>
      <c r="I306" s="4" t="str">
        <f>IFERROR(__xludf.DUMMYFUNCTION("""COMPUTED_VALUE"""),"LBS DBUB - KNR")</f>
        <v>LBS DBUB - KNR</v>
      </c>
      <c r="J306" s="4" t="str">
        <f>IFERROR(__xludf.DUMMYFUNCTION("""COMPUTED_VALUE"""),"ZONA 3")</f>
        <v>ZONA 3</v>
      </c>
      <c r="K306" s="4" t="str">
        <f>IFERROR(__xludf.DUMMYFUNCTION("""COMPUTED_VALUE"""),"076L03")</f>
        <v>076L03</v>
      </c>
      <c r="L306" s="4" t="str">
        <f>IFERROR(__xludf.DUMMYFUNCTION("""COMPUTED_VALUE"""),"TM - 4B/H (Afspan)")</f>
        <v>TM - 4B/H (Afspan)</v>
      </c>
      <c r="M306" s="4" t="str">
        <f>IFERROR(__xludf.DUMMYFUNCTION("""COMPUTED_VALUE"""),"Tidak Ada")</f>
        <v>Tidak Ada</v>
      </c>
      <c r="N306" s="4"/>
      <c r="O306" s="4" t="str">
        <f>IFERROR(__xludf.DUMMYFUNCTION("""COMPUTED_VALUE"""),"PEMBANDING SEJENIS")</f>
        <v>PEMBANDING SEJENIS</v>
      </c>
      <c r="P306" s="4" t="str">
        <f>IFERROR(__xludf.DUMMYFUNCTION("""COMPUTED_VALUE"""),"KONEKTOR/JUMPER")</f>
        <v>KONEKTOR/JUMPER</v>
      </c>
      <c r="Q306" s="4">
        <f>IFERROR(__xludf.DUMMYFUNCTION("""COMPUTED_VALUE"""),21.0)</f>
        <v>21</v>
      </c>
      <c r="R306" s="4">
        <f>IFERROR(__xludf.DUMMYFUNCTION("""COMPUTED_VALUE"""),21.0)</f>
        <v>21</v>
      </c>
      <c r="S306" s="4">
        <f>IFERROR(__xludf.DUMMYFUNCTION("""COMPUTED_VALUE"""),20.0)</f>
        <v>20</v>
      </c>
      <c r="T306" s="4"/>
      <c r="U306" s="4" t="str">
        <f>IFERROR(__xludf.DUMMYFUNCTION("""COMPUTED_VALUE"""),"BAIK")</f>
        <v>BAIK</v>
      </c>
      <c r="V306" s="4" t="str">
        <f>IFERROR(__xludf.DUMMYFUNCTION("""COMPUTED_VALUE"""),"Tidak Ada")</f>
        <v>Tidak Ada</v>
      </c>
      <c r="W306" s="4"/>
      <c r="X306" s="4"/>
      <c r="Y306" s="4"/>
      <c r="Z306" s="4"/>
      <c r="AA306" s="4"/>
      <c r="AB306" s="4"/>
      <c r="AC306" s="4" t="str">
        <f>IFERROR(__xludf.DUMMYFUNCTION("""COMPUTED_VALUE"""),"INSPEKSI SUTM - T2_Images/1155c579.FOTO.143148.jpg")</f>
        <v>INSPEKSI SUTM - T2_Images/1155c579.FOTO.143148.jpg</v>
      </c>
      <c r="AD306" s="4"/>
      <c r="AE306" s="4"/>
      <c r="AF306" s="4" t="str">
        <f>IFERROR(__xludf.DUMMYFUNCTION("""COMPUTED_VALUE"""),"BELUM")</f>
        <v>BELUM</v>
      </c>
      <c r="AG306" s="6">
        <f>IFERROR(__xludf.DUMMYFUNCTION("""COMPUTED_VALUE"""),46063.0)</f>
        <v>46063</v>
      </c>
      <c r="AH306" s="4"/>
      <c r="AI306" s="4"/>
    </row>
    <row r="307" ht="15.75" customHeight="1">
      <c r="A307" s="4" t="str">
        <f>IFERROR(__xludf.DUMMYFUNCTION("""COMPUTED_VALUE"""),"406b93dc")</f>
        <v>406b93dc</v>
      </c>
      <c r="B307" s="5">
        <f>IFERROR(__xludf.DUMMYFUNCTION("""COMPUTED_VALUE"""),46063.904328703706)</f>
        <v>46063.90433</v>
      </c>
      <c r="C307" s="4" t="str">
        <f>IFERROR(__xludf.DUMMYFUNCTION("""COMPUTED_VALUE"""),"-6.990025, 107.673046")</f>
        <v>-6.990025, 107.673046</v>
      </c>
      <c r="D307" s="4" t="str">
        <f>IFERROR(__xludf.DUMMYFUNCTION("""COMPUTED_VALUE"""),"JIHAN KIKI")</f>
        <v>JIHAN KIKI</v>
      </c>
      <c r="E307" s="4" t="str">
        <f>IFERROR(__xludf.DUMMYFUNCTION("""COMPUTED_VALUE"""),"BANDUNG")</f>
        <v>BANDUNG</v>
      </c>
      <c r="F307" s="4" t="str">
        <f>IFERROR(__xludf.DUMMYFUNCTION("""COMPUTED_VALUE"""),"CIJAWURA")</f>
        <v>CIJAWURA</v>
      </c>
      <c r="G307" s="4" t="str">
        <f>IFERROR(__xludf.DUMMYFUNCTION("""COMPUTED_VALUE"""),"GIS SUMMARECON")</f>
        <v>GIS SUMMARECON</v>
      </c>
      <c r="H307" s="4" t="str">
        <f>IFERROR(__xludf.DUMMYFUNCTION("""COMPUTED_VALUE"""),"MRDN")</f>
        <v>MRDN</v>
      </c>
      <c r="I307" s="4" t="str">
        <f>IFERROR(__xludf.DUMMYFUNCTION("""COMPUTED_VALUE"""),"LBS TLR - UJUNG")</f>
        <v>LBS TLR - UJUNG</v>
      </c>
      <c r="J307" s="4" t="str">
        <f>IFERROR(__xludf.DUMMYFUNCTION("""COMPUTED_VALUE"""),"ZONA 3")</f>
        <v>ZONA 3</v>
      </c>
      <c r="K307" s="4" t="str">
        <f>IFERROR(__xludf.DUMMYFUNCTION("""COMPUTED_VALUE"""),"076L05")</f>
        <v>076L05</v>
      </c>
      <c r="L307" s="4" t="str">
        <f>IFERROR(__xludf.DUMMYFUNCTION("""COMPUTED_VALUE"""),"TM - 16B/H (REC/SSO/LBS)")</f>
        <v>TM - 16B/H (REC/SSO/LBS)</v>
      </c>
      <c r="M307" s="4" t="str">
        <f>IFERROR(__xludf.DUMMYFUNCTION("""COMPUTED_VALUE"""),"LBS")</f>
        <v>LBS</v>
      </c>
      <c r="N307" s="4" t="str">
        <f>IFERROR(__xludf.DUMMYFUNCTION("""COMPUTED_VALUE"""),"TLR")</f>
        <v>TLR</v>
      </c>
      <c r="O307" s="4" t="str">
        <f>IFERROR(__xludf.DUMMYFUNCTION("""COMPUTED_VALUE"""),"PEMBANDING SEJENIS")</f>
        <v>PEMBANDING SEJENIS</v>
      </c>
      <c r="P307" s="4" t="str">
        <f>IFERROR(__xludf.DUMMYFUNCTION("""COMPUTED_VALUE"""),"KONEKTOR/JUMPER")</f>
        <v>KONEKTOR/JUMPER</v>
      </c>
      <c r="Q307" s="4">
        <f>IFERROR(__xludf.DUMMYFUNCTION("""COMPUTED_VALUE"""),21.0)</f>
        <v>21</v>
      </c>
      <c r="R307" s="4">
        <f>IFERROR(__xludf.DUMMYFUNCTION("""COMPUTED_VALUE"""),21.0)</f>
        <v>21</v>
      </c>
      <c r="S307" s="4">
        <f>IFERROR(__xludf.DUMMYFUNCTION("""COMPUTED_VALUE"""),21.0)</f>
        <v>21</v>
      </c>
      <c r="T307" s="4"/>
      <c r="U307" s="4" t="str">
        <f>IFERROR(__xludf.DUMMYFUNCTION("""COMPUTED_VALUE"""),"BAIK")</f>
        <v>BAIK</v>
      </c>
      <c r="V307" s="4" t="str">
        <f>IFERROR(__xludf.DUMMYFUNCTION("""COMPUTED_VALUE"""),"Tidak Ada")</f>
        <v>Tidak Ada</v>
      </c>
      <c r="W307" s="4"/>
      <c r="X307" s="4"/>
      <c r="Y307" s="4"/>
      <c r="Z307" s="4"/>
      <c r="AA307" s="4"/>
      <c r="AB307" s="4"/>
      <c r="AC307" s="4" t="str">
        <f>IFERROR(__xludf.DUMMYFUNCTION("""COMPUTED_VALUE"""),"INSPEKSI SUTM - T2_Images/406b93dc.FOTO.144404.jpg")</f>
        <v>INSPEKSI SUTM - T2_Images/406b93dc.FOTO.144404.jpg</v>
      </c>
      <c r="AD307" s="4"/>
      <c r="AE307" s="4"/>
      <c r="AF307" s="4" t="str">
        <f>IFERROR(__xludf.DUMMYFUNCTION("""COMPUTED_VALUE"""),"BELUM")</f>
        <v>BELUM</v>
      </c>
      <c r="AG307" s="6">
        <f>IFERROR(__xludf.DUMMYFUNCTION("""COMPUTED_VALUE"""),46063.0)</f>
        <v>46063</v>
      </c>
      <c r="AH307" s="4"/>
      <c r="AI307" s="4"/>
    </row>
    <row r="308" ht="15.75" customHeight="1">
      <c r="A308" s="4" t="str">
        <f>IFERROR(__xludf.DUMMYFUNCTION("""COMPUTED_VALUE"""),"d6228aa8")</f>
        <v>d6228aa8</v>
      </c>
      <c r="B308" s="5">
        <f>IFERROR(__xludf.DUMMYFUNCTION("""COMPUTED_VALUE"""),46063.90608796296)</f>
        <v>46063.90609</v>
      </c>
      <c r="C308" s="4" t="str">
        <f>IFERROR(__xludf.DUMMYFUNCTION("""COMPUTED_VALUE"""),"-6.990847, 107.676842")</f>
        <v>-6.990847, 107.676842</v>
      </c>
      <c r="D308" s="4" t="str">
        <f>IFERROR(__xludf.DUMMYFUNCTION("""COMPUTED_VALUE"""),"JIHAN KIKI")</f>
        <v>JIHAN KIKI</v>
      </c>
      <c r="E308" s="4" t="str">
        <f>IFERROR(__xludf.DUMMYFUNCTION("""COMPUTED_VALUE"""),"BANDUNG")</f>
        <v>BANDUNG</v>
      </c>
      <c r="F308" s="4" t="str">
        <f>IFERROR(__xludf.DUMMYFUNCTION("""COMPUTED_VALUE"""),"CIJAWURA")</f>
        <v>CIJAWURA</v>
      </c>
      <c r="G308" s="4" t="str">
        <f>IFERROR(__xludf.DUMMYFUNCTION("""COMPUTED_VALUE"""),"GIS SUMMARECON")</f>
        <v>GIS SUMMARECON</v>
      </c>
      <c r="H308" s="4" t="str">
        <f>IFERROR(__xludf.DUMMYFUNCTION("""COMPUTED_VALUE"""),"MRDN")</f>
        <v>MRDN</v>
      </c>
      <c r="I308" s="4" t="str">
        <f>IFERROR(__xludf.DUMMYFUNCTION("""COMPUTED_VALUE"""),"LBS TLR - UJUNG")</f>
        <v>LBS TLR - UJUNG</v>
      </c>
      <c r="J308" s="4" t="str">
        <f>IFERROR(__xludf.DUMMYFUNCTION("""COMPUTED_VALUE"""),"ZONA 3")</f>
        <v>ZONA 3</v>
      </c>
      <c r="K308" s="4" t="str">
        <f>IFERROR(__xludf.DUMMYFUNCTION("""COMPUTED_VALUE"""),"076L13")</f>
        <v>076L13</v>
      </c>
      <c r="L308" s="4" t="str">
        <f>IFERROR(__xludf.DUMMYFUNCTION("""COMPUTED_VALUE"""),"TM - 7B/H (Afspan 90 Derajat)")</f>
        <v>TM - 7B/H (Afspan 90 Derajat)</v>
      </c>
      <c r="M308" s="4" t="str">
        <f>IFERROR(__xludf.DUMMYFUNCTION("""COMPUTED_VALUE"""),"Tidak Ada")</f>
        <v>Tidak Ada</v>
      </c>
      <c r="N308" s="4"/>
      <c r="O308" s="4" t="str">
        <f>IFERROR(__xludf.DUMMYFUNCTION("""COMPUTED_VALUE"""),"PEMBANDING SEJENIS")</f>
        <v>PEMBANDING SEJENIS</v>
      </c>
      <c r="P308" s="4" t="str">
        <f>IFERROR(__xludf.DUMMYFUNCTION("""COMPUTED_VALUE"""),"KONEKTOR/JUMPER")</f>
        <v>KONEKTOR/JUMPER</v>
      </c>
      <c r="Q308" s="4">
        <f>IFERROR(__xludf.DUMMYFUNCTION("""COMPUTED_VALUE"""),22.0)</f>
        <v>22</v>
      </c>
      <c r="R308" s="4">
        <f>IFERROR(__xludf.DUMMYFUNCTION("""COMPUTED_VALUE"""),22.0)</f>
        <v>22</v>
      </c>
      <c r="S308" s="4">
        <f>IFERROR(__xludf.DUMMYFUNCTION("""COMPUTED_VALUE"""),22.0)</f>
        <v>22</v>
      </c>
      <c r="T308" s="4"/>
      <c r="U308" s="4" t="str">
        <f>IFERROR(__xludf.DUMMYFUNCTION("""COMPUTED_VALUE"""),"BAIK")</f>
        <v>BAIK</v>
      </c>
      <c r="V308" s="4" t="str">
        <f>IFERROR(__xludf.DUMMYFUNCTION("""COMPUTED_VALUE"""),"Tidak Ada")</f>
        <v>Tidak Ada</v>
      </c>
      <c r="W308" s="4"/>
      <c r="X308" s="4"/>
      <c r="Y308" s="4"/>
      <c r="Z308" s="4"/>
      <c r="AA308" s="4"/>
      <c r="AB308" s="4"/>
      <c r="AC308" s="4" t="str">
        <f>IFERROR(__xludf.DUMMYFUNCTION("""COMPUTED_VALUE"""),"INSPEKSI SUTM - T2_Images/d6228aa8.FOTO.144556.jpg")</f>
        <v>INSPEKSI SUTM - T2_Images/d6228aa8.FOTO.144556.jpg</v>
      </c>
      <c r="AD308" s="4"/>
      <c r="AE308" s="4"/>
      <c r="AF308" s="4" t="str">
        <f>IFERROR(__xludf.DUMMYFUNCTION("""COMPUTED_VALUE"""),"BELUM")</f>
        <v>BELUM</v>
      </c>
      <c r="AG308" s="6">
        <f>IFERROR(__xludf.DUMMYFUNCTION("""COMPUTED_VALUE"""),46063.0)</f>
        <v>46063</v>
      </c>
      <c r="AH308" s="4"/>
      <c r="AI308" s="4"/>
    </row>
    <row r="309" ht="15.75" customHeight="1">
      <c r="A309" s="4" t="str">
        <f>IFERROR(__xludf.DUMMYFUNCTION("""COMPUTED_VALUE"""),"bab7a773")</f>
        <v>bab7a773</v>
      </c>
      <c r="B309" s="5">
        <f>IFERROR(__xludf.DUMMYFUNCTION("""COMPUTED_VALUE"""),46063.907175925924)</f>
        <v>46063.90718</v>
      </c>
      <c r="C309" s="4" t="str">
        <f>IFERROR(__xludf.DUMMYFUNCTION("""COMPUTED_VALUE"""),"-6.990607, 107.676972")</f>
        <v>-6.990607, 107.676972</v>
      </c>
      <c r="D309" s="4" t="str">
        <f>IFERROR(__xludf.DUMMYFUNCTION("""COMPUTED_VALUE"""),"JIHAN KIKI")</f>
        <v>JIHAN KIKI</v>
      </c>
      <c r="E309" s="4" t="str">
        <f>IFERROR(__xludf.DUMMYFUNCTION("""COMPUTED_VALUE"""),"BANDUNG")</f>
        <v>BANDUNG</v>
      </c>
      <c r="F309" s="4" t="str">
        <f>IFERROR(__xludf.DUMMYFUNCTION("""COMPUTED_VALUE"""),"CIJAWURA")</f>
        <v>CIJAWURA</v>
      </c>
      <c r="G309" s="4" t="str">
        <f>IFERROR(__xludf.DUMMYFUNCTION("""COMPUTED_VALUE"""),"GIS SUMMARECON")</f>
        <v>GIS SUMMARECON</v>
      </c>
      <c r="H309" s="4" t="str">
        <f>IFERROR(__xludf.DUMMYFUNCTION("""COMPUTED_VALUE"""),"MRDN")</f>
        <v>MRDN</v>
      </c>
      <c r="I309" s="4" t="str">
        <f>IFERROR(__xludf.DUMMYFUNCTION("""COMPUTED_VALUE"""),"LBS TLR - UJUNG")</f>
        <v>LBS TLR - UJUNG</v>
      </c>
      <c r="J309" s="4" t="str">
        <f>IFERROR(__xludf.DUMMYFUNCTION("""COMPUTED_VALUE"""),"ZONA 3")</f>
        <v>ZONA 3</v>
      </c>
      <c r="K309" s="4" t="str">
        <f>IFERROR(__xludf.DUMMYFUNCTION("""COMPUTED_VALUE"""),"076L14")</f>
        <v>076L14</v>
      </c>
      <c r="L309" s="4" t="str">
        <f>IFERROR(__xludf.DUMMYFUNCTION("""COMPUTED_VALUE"""),"TM - 7B/H (Afspan 90 Derajat)")</f>
        <v>TM - 7B/H (Afspan 90 Derajat)</v>
      </c>
      <c r="M309" s="4" t="str">
        <f>IFERROR(__xludf.DUMMYFUNCTION("""COMPUTED_VALUE"""),"Tidak Ada")</f>
        <v>Tidak Ada</v>
      </c>
      <c r="N309" s="4"/>
      <c r="O309" s="4" t="str">
        <f>IFERROR(__xludf.DUMMYFUNCTION("""COMPUTED_VALUE"""),"PEMBANDING SEJENIS")</f>
        <v>PEMBANDING SEJENIS</v>
      </c>
      <c r="P309" s="4" t="str">
        <f>IFERROR(__xludf.DUMMYFUNCTION("""COMPUTED_VALUE"""),"KONEKTOR/JUMPER")</f>
        <v>KONEKTOR/JUMPER</v>
      </c>
      <c r="Q309" s="4">
        <f>IFERROR(__xludf.DUMMYFUNCTION("""COMPUTED_VALUE"""),21.0)</f>
        <v>21</v>
      </c>
      <c r="R309" s="4">
        <f>IFERROR(__xludf.DUMMYFUNCTION("""COMPUTED_VALUE"""),21.0)</f>
        <v>21</v>
      </c>
      <c r="S309" s="4">
        <f>IFERROR(__xludf.DUMMYFUNCTION("""COMPUTED_VALUE"""),21.0)</f>
        <v>21</v>
      </c>
      <c r="T309" s="4"/>
      <c r="U309" s="4" t="str">
        <f>IFERROR(__xludf.DUMMYFUNCTION("""COMPUTED_VALUE"""),"BAIK")</f>
        <v>BAIK</v>
      </c>
      <c r="V309" s="4" t="str">
        <f>IFERROR(__xludf.DUMMYFUNCTION("""COMPUTED_VALUE"""),"Tidak Ada")</f>
        <v>Tidak Ada</v>
      </c>
      <c r="W309" s="4"/>
      <c r="X309" s="4"/>
      <c r="Y309" s="4"/>
      <c r="Z309" s="4"/>
      <c r="AA309" s="4"/>
      <c r="AB309" s="4"/>
      <c r="AC309" s="4" t="str">
        <f>IFERROR(__xludf.DUMMYFUNCTION("""COMPUTED_VALUE"""),"INSPEKSI SUTM - T2_Images/bab7a773.FOTO.144745.jpg")</f>
        <v>INSPEKSI SUTM - T2_Images/bab7a773.FOTO.144745.jpg</v>
      </c>
      <c r="AD309" s="4"/>
      <c r="AE309" s="4"/>
      <c r="AF309" s="4" t="str">
        <f>IFERROR(__xludf.DUMMYFUNCTION("""COMPUTED_VALUE"""),"BELUM")</f>
        <v>BELUM</v>
      </c>
      <c r="AG309" s="6">
        <f>IFERROR(__xludf.DUMMYFUNCTION("""COMPUTED_VALUE"""),46063.0)</f>
        <v>46063</v>
      </c>
      <c r="AH309" s="4"/>
      <c r="AI309" s="4"/>
    </row>
    <row r="310" ht="15.75" customHeight="1">
      <c r="A310" s="4" t="str">
        <f>IFERROR(__xludf.DUMMYFUNCTION("""COMPUTED_VALUE"""),"ece14535")</f>
        <v>ece14535</v>
      </c>
      <c r="B310" s="5">
        <f>IFERROR(__xludf.DUMMYFUNCTION("""COMPUTED_VALUE"""),46063.90857638889)</f>
        <v>46063.90858</v>
      </c>
      <c r="C310" s="4" t="str">
        <f>IFERROR(__xludf.DUMMYFUNCTION("""COMPUTED_VALUE"""),"-6.990767, 107.679304")</f>
        <v>-6.990767, 107.679304</v>
      </c>
      <c r="D310" s="4" t="str">
        <f>IFERROR(__xludf.DUMMYFUNCTION("""COMPUTED_VALUE"""),"JIHAN KIKI")</f>
        <v>JIHAN KIKI</v>
      </c>
      <c r="E310" s="4" t="str">
        <f>IFERROR(__xludf.DUMMYFUNCTION("""COMPUTED_VALUE"""),"BANDUNG")</f>
        <v>BANDUNG</v>
      </c>
      <c r="F310" s="4" t="str">
        <f>IFERROR(__xludf.DUMMYFUNCTION("""COMPUTED_VALUE"""),"CIJAWURA")</f>
        <v>CIJAWURA</v>
      </c>
      <c r="G310" s="4" t="str">
        <f>IFERROR(__xludf.DUMMYFUNCTION("""COMPUTED_VALUE"""),"GIS SUMMARECON")</f>
        <v>GIS SUMMARECON</v>
      </c>
      <c r="H310" s="4" t="str">
        <f>IFERROR(__xludf.DUMMYFUNCTION("""COMPUTED_VALUE"""),"MRDN")</f>
        <v>MRDN</v>
      </c>
      <c r="I310" s="4" t="str">
        <f>IFERROR(__xludf.DUMMYFUNCTION("""COMPUTED_VALUE"""),"LBS TLR - UJUNG")</f>
        <v>LBS TLR - UJUNG</v>
      </c>
      <c r="J310" s="4" t="str">
        <f>IFERROR(__xludf.DUMMYFUNCTION("""COMPUTED_VALUE"""),"ZONA 3")</f>
        <v>ZONA 3</v>
      </c>
      <c r="K310" s="4" t="str">
        <f>IFERROR(__xludf.DUMMYFUNCTION("""COMPUTED_VALUE"""),"076L20")</f>
        <v>076L20</v>
      </c>
      <c r="L310" s="4" t="str">
        <f>IFERROR(__xludf.DUMMYFUNCTION("""COMPUTED_VALUE"""),"TM - 7B/H (Afspan 90 Derajat)")</f>
        <v>TM - 7B/H (Afspan 90 Derajat)</v>
      </c>
      <c r="M310" s="4" t="str">
        <f>IFERROR(__xludf.DUMMYFUNCTION("""COMPUTED_VALUE"""),"Tidak Ada")</f>
        <v>Tidak Ada</v>
      </c>
      <c r="N310" s="4"/>
      <c r="O310" s="4" t="str">
        <f>IFERROR(__xludf.DUMMYFUNCTION("""COMPUTED_VALUE"""),"PEMBANDING SEJENIS")</f>
        <v>PEMBANDING SEJENIS</v>
      </c>
      <c r="P310" s="4" t="str">
        <f>IFERROR(__xludf.DUMMYFUNCTION("""COMPUTED_VALUE"""),"KONEKTOR/JUMPER")</f>
        <v>KONEKTOR/JUMPER</v>
      </c>
      <c r="Q310" s="4">
        <f>IFERROR(__xludf.DUMMYFUNCTION("""COMPUTED_VALUE"""),21.0)</f>
        <v>21</v>
      </c>
      <c r="R310" s="4">
        <f>IFERROR(__xludf.DUMMYFUNCTION("""COMPUTED_VALUE"""),21.0)</f>
        <v>21</v>
      </c>
      <c r="S310" s="4">
        <f>IFERROR(__xludf.DUMMYFUNCTION("""COMPUTED_VALUE"""),21.0)</f>
        <v>21</v>
      </c>
      <c r="T310" s="4"/>
      <c r="U310" s="4" t="str">
        <f>IFERROR(__xludf.DUMMYFUNCTION("""COMPUTED_VALUE"""),"BAIK")</f>
        <v>BAIK</v>
      </c>
      <c r="V310" s="4" t="str">
        <f>IFERROR(__xludf.DUMMYFUNCTION("""COMPUTED_VALUE"""),"Tidak Ada")</f>
        <v>Tidak Ada</v>
      </c>
      <c r="W310" s="4"/>
      <c r="X310" s="4"/>
      <c r="Y310" s="4"/>
      <c r="Z310" s="4"/>
      <c r="AA310" s="4"/>
      <c r="AB310" s="4"/>
      <c r="AC310" s="4" t="str">
        <f>IFERROR(__xludf.DUMMYFUNCTION("""COMPUTED_VALUE"""),"INSPEKSI SUTM - T2_Images/ece14535.FOTO.144910.jpg")</f>
        <v>INSPEKSI SUTM - T2_Images/ece14535.FOTO.144910.jpg</v>
      </c>
      <c r="AD310" s="4"/>
      <c r="AE310" s="4"/>
      <c r="AF310" s="4" t="str">
        <f>IFERROR(__xludf.DUMMYFUNCTION("""COMPUTED_VALUE"""),"BELUM")</f>
        <v>BELUM</v>
      </c>
      <c r="AG310" s="6">
        <f>IFERROR(__xludf.DUMMYFUNCTION("""COMPUTED_VALUE"""),46063.0)</f>
        <v>46063</v>
      </c>
      <c r="AH310" s="4"/>
      <c r="AI310" s="4"/>
    </row>
    <row r="311" ht="15.75" customHeight="1">
      <c r="A311" s="4" t="str">
        <f>IFERROR(__xludf.DUMMYFUNCTION("""COMPUTED_VALUE"""),"cc779f76")</f>
        <v>cc779f76</v>
      </c>
      <c r="B311" s="5">
        <f>IFERROR(__xludf.DUMMYFUNCTION("""COMPUTED_VALUE"""),46063.909363425926)</f>
        <v>46063.90936</v>
      </c>
      <c r="C311" s="4" t="str">
        <f>IFERROR(__xludf.DUMMYFUNCTION("""COMPUTED_VALUE"""),"-6.990495, 107.679455")</f>
        <v>-6.990495, 107.679455</v>
      </c>
      <c r="D311" s="4" t="str">
        <f>IFERROR(__xludf.DUMMYFUNCTION("""COMPUTED_VALUE"""),"JIHAN KIKI")</f>
        <v>JIHAN KIKI</v>
      </c>
      <c r="E311" s="4" t="str">
        <f>IFERROR(__xludf.DUMMYFUNCTION("""COMPUTED_VALUE"""),"BANDUNG")</f>
        <v>BANDUNG</v>
      </c>
      <c r="F311" s="4" t="str">
        <f>IFERROR(__xludf.DUMMYFUNCTION("""COMPUTED_VALUE"""),"CIJAWURA")</f>
        <v>CIJAWURA</v>
      </c>
      <c r="G311" s="4" t="str">
        <f>IFERROR(__xludf.DUMMYFUNCTION("""COMPUTED_VALUE"""),"GIS SUMMARECON")</f>
        <v>GIS SUMMARECON</v>
      </c>
      <c r="H311" s="4" t="str">
        <f>IFERROR(__xludf.DUMMYFUNCTION("""COMPUTED_VALUE"""),"MRDN")</f>
        <v>MRDN</v>
      </c>
      <c r="I311" s="4" t="str">
        <f>IFERROR(__xludf.DUMMYFUNCTION("""COMPUTED_VALUE"""),"LBS TLR - UJUNG")</f>
        <v>LBS TLR - UJUNG</v>
      </c>
      <c r="J311" s="4" t="str">
        <f>IFERROR(__xludf.DUMMYFUNCTION("""COMPUTED_VALUE"""),"ZONA 3")</f>
        <v>ZONA 3</v>
      </c>
      <c r="K311" s="4" t="str">
        <f>IFERROR(__xludf.DUMMYFUNCTION("""COMPUTED_VALUE"""),"076L21")</f>
        <v>076L21</v>
      </c>
      <c r="L311" s="4" t="str">
        <f>IFERROR(__xludf.DUMMYFUNCTION("""COMPUTED_VALUE"""),"TM - 7B/H (Afspan 90 Derajat)")</f>
        <v>TM - 7B/H (Afspan 90 Derajat)</v>
      </c>
      <c r="M311" s="4" t="str">
        <f>IFERROR(__xludf.DUMMYFUNCTION("""COMPUTED_VALUE"""),"Tidak Ada")</f>
        <v>Tidak Ada</v>
      </c>
      <c r="N311" s="4"/>
      <c r="O311" s="4" t="str">
        <f>IFERROR(__xludf.DUMMYFUNCTION("""COMPUTED_VALUE"""),"PEMBANDING SEJENIS")</f>
        <v>PEMBANDING SEJENIS</v>
      </c>
      <c r="P311" s="4" t="str">
        <f>IFERROR(__xludf.DUMMYFUNCTION("""COMPUTED_VALUE"""),"KONEKTOR/JUMPER")</f>
        <v>KONEKTOR/JUMPER</v>
      </c>
      <c r="Q311" s="4">
        <f>IFERROR(__xludf.DUMMYFUNCTION("""COMPUTED_VALUE"""),21.0)</f>
        <v>21</v>
      </c>
      <c r="R311" s="4">
        <f>IFERROR(__xludf.DUMMYFUNCTION("""COMPUTED_VALUE"""),22.0)</f>
        <v>22</v>
      </c>
      <c r="S311" s="4">
        <f>IFERROR(__xludf.DUMMYFUNCTION("""COMPUTED_VALUE"""),21.0)</f>
        <v>21</v>
      </c>
      <c r="T311" s="4"/>
      <c r="U311" s="4" t="str">
        <f>IFERROR(__xludf.DUMMYFUNCTION("""COMPUTED_VALUE"""),"BAIK")</f>
        <v>BAIK</v>
      </c>
      <c r="V311" s="4" t="str">
        <f>IFERROR(__xludf.DUMMYFUNCTION("""COMPUTED_VALUE"""),"Tidak Ada")</f>
        <v>Tidak Ada</v>
      </c>
      <c r="W311" s="4"/>
      <c r="X311" s="4"/>
      <c r="Y311" s="4"/>
      <c r="Z311" s="4"/>
      <c r="AA311" s="4"/>
      <c r="AB311" s="4"/>
      <c r="AC311" s="4" t="str">
        <f>IFERROR(__xludf.DUMMYFUNCTION("""COMPUTED_VALUE"""),"INSPEKSI SUTM - T2_Images/cc779f76.FOTO.145020.jpg")</f>
        <v>INSPEKSI SUTM - T2_Images/cc779f76.FOTO.145020.jpg</v>
      </c>
      <c r="AD311" s="4"/>
      <c r="AE311" s="4"/>
      <c r="AF311" s="4" t="str">
        <f>IFERROR(__xludf.DUMMYFUNCTION("""COMPUTED_VALUE"""),"BELUM")</f>
        <v>BELUM</v>
      </c>
      <c r="AG311" s="6">
        <f>IFERROR(__xludf.DUMMYFUNCTION("""COMPUTED_VALUE"""),46063.0)</f>
        <v>46063</v>
      </c>
      <c r="AH311" s="4"/>
      <c r="AI311" s="4"/>
    </row>
    <row r="312" ht="15.75" customHeight="1">
      <c r="A312" s="4" t="str">
        <f>IFERROR(__xludf.DUMMYFUNCTION("""COMPUTED_VALUE"""),"840a88fd")</f>
        <v>840a88fd</v>
      </c>
      <c r="B312" s="5">
        <f>IFERROR(__xludf.DUMMYFUNCTION("""COMPUTED_VALUE"""),46063.91028935185)</f>
        <v>46063.91029</v>
      </c>
      <c r="C312" s="4" t="str">
        <f>IFERROR(__xludf.DUMMYFUNCTION("""COMPUTED_VALUE"""),"-6.990595, 107.679917")</f>
        <v>-6.990595, 107.679917</v>
      </c>
      <c r="D312" s="4" t="str">
        <f>IFERROR(__xludf.DUMMYFUNCTION("""COMPUTED_VALUE"""),"JIHAN KIKI")</f>
        <v>JIHAN KIKI</v>
      </c>
      <c r="E312" s="4" t="str">
        <f>IFERROR(__xludf.DUMMYFUNCTION("""COMPUTED_VALUE"""),"BANDUNG")</f>
        <v>BANDUNG</v>
      </c>
      <c r="F312" s="4" t="str">
        <f>IFERROR(__xludf.DUMMYFUNCTION("""COMPUTED_VALUE"""),"CIJAWURA")</f>
        <v>CIJAWURA</v>
      </c>
      <c r="G312" s="4" t="str">
        <f>IFERROR(__xludf.DUMMYFUNCTION("""COMPUTED_VALUE"""),"GIS SUMMARECON")</f>
        <v>GIS SUMMARECON</v>
      </c>
      <c r="H312" s="4" t="str">
        <f>IFERROR(__xludf.DUMMYFUNCTION("""COMPUTED_VALUE"""),"MRDN")</f>
        <v>MRDN</v>
      </c>
      <c r="I312" s="4" t="str">
        <f>IFERROR(__xludf.DUMMYFUNCTION("""COMPUTED_VALUE"""),"LBS GBHG - UJUNG")</f>
        <v>LBS GBHG - UJUNG</v>
      </c>
      <c r="J312" s="4" t="str">
        <f>IFERROR(__xludf.DUMMYFUNCTION("""COMPUTED_VALUE"""),"ZONA 3")</f>
        <v>ZONA 3</v>
      </c>
      <c r="K312" s="4" t="str">
        <f>IFERROR(__xludf.DUMMYFUNCTION("""COMPUTED_VALUE"""),"076L23")</f>
        <v>076L23</v>
      </c>
      <c r="L312" s="4" t="str">
        <f>IFERROR(__xludf.DUMMYFUNCTION("""COMPUTED_VALUE"""),"TM - 7B/H (Afspan 90 Derajat)")</f>
        <v>TM - 7B/H (Afspan 90 Derajat)</v>
      </c>
      <c r="M312" s="4" t="str">
        <f>IFERROR(__xludf.DUMMYFUNCTION("""COMPUTED_VALUE"""),"Tidak Ada")</f>
        <v>Tidak Ada</v>
      </c>
      <c r="N312" s="4"/>
      <c r="O312" s="4" t="str">
        <f>IFERROR(__xludf.DUMMYFUNCTION("""COMPUTED_VALUE"""),"PEMBANDING SEJENIS")</f>
        <v>PEMBANDING SEJENIS</v>
      </c>
      <c r="P312" s="4" t="str">
        <f>IFERROR(__xludf.DUMMYFUNCTION("""COMPUTED_VALUE"""),"KONEKTOR/JUMPER")</f>
        <v>KONEKTOR/JUMPER</v>
      </c>
      <c r="Q312" s="4">
        <f>IFERROR(__xludf.DUMMYFUNCTION("""COMPUTED_VALUE"""),21.0)</f>
        <v>21</v>
      </c>
      <c r="R312" s="4">
        <f>IFERROR(__xludf.DUMMYFUNCTION("""COMPUTED_VALUE"""),22.0)</f>
        <v>22</v>
      </c>
      <c r="S312" s="4">
        <f>IFERROR(__xludf.DUMMYFUNCTION("""COMPUTED_VALUE"""),22.0)</f>
        <v>22</v>
      </c>
      <c r="T312" s="4"/>
      <c r="U312" s="4" t="str">
        <f>IFERROR(__xludf.DUMMYFUNCTION("""COMPUTED_VALUE"""),"BAIK")</f>
        <v>BAIK</v>
      </c>
      <c r="V312" s="4" t="str">
        <f>IFERROR(__xludf.DUMMYFUNCTION("""COMPUTED_VALUE"""),"Tidak Ada")</f>
        <v>Tidak Ada</v>
      </c>
      <c r="W312" s="4"/>
      <c r="X312" s="4"/>
      <c r="Y312" s="4"/>
      <c r="Z312" s="4"/>
      <c r="AA312" s="4"/>
      <c r="AB312" s="4"/>
      <c r="AC312" s="4" t="str">
        <f>IFERROR(__xludf.DUMMYFUNCTION("""COMPUTED_VALUE"""),"INSPEKSI SUTM - T2_Images/840a88fd.FOTO.145156.jpg")</f>
        <v>INSPEKSI SUTM - T2_Images/840a88fd.FOTO.145156.jpg</v>
      </c>
      <c r="AD312" s="4"/>
      <c r="AE312" s="4"/>
      <c r="AF312" s="4" t="str">
        <f>IFERROR(__xludf.DUMMYFUNCTION("""COMPUTED_VALUE"""),"BELUM")</f>
        <v>BELUM</v>
      </c>
      <c r="AG312" s="6">
        <f>IFERROR(__xludf.DUMMYFUNCTION("""COMPUTED_VALUE"""),46063.0)</f>
        <v>46063</v>
      </c>
      <c r="AH312" s="4"/>
      <c r="AI312" s="4"/>
    </row>
    <row r="313" ht="15.75" customHeight="1">
      <c r="A313" s="4" t="str">
        <f>IFERROR(__xludf.DUMMYFUNCTION("""COMPUTED_VALUE"""),"4af1938a")</f>
        <v>4af1938a</v>
      </c>
      <c r="B313" s="5">
        <f>IFERROR(__xludf.DUMMYFUNCTION("""COMPUTED_VALUE"""),46063.91201388889)</f>
        <v>46063.91201</v>
      </c>
      <c r="C313" s="4" t="str">
        <f>IFERROR(__xludf.DUMMYFUNCTION("""COMPUTED_VALUE"""),"-6.990583, 107.679914")</f>
        <v>-6.990583, 107.679914</v>
      </c>
      <c r="D313" s="4" t="str">
        <f>IFERROR(__xludf.DUMMYFUNCTION("""COMPUTED_VALUE"""),"JIHAN KIKI")</f>
        <v>JIHAN KIKI</v>
      </c>
      <c r="E313" s="4" t="str">
        <f>IFERROR(__xludf.DUMMYFUNCTION("""COMPUTED_VALUE"""),"BANDUNG")</f>
        <v>BANDUNG</v>
      </c>
      <c r="F313" s="4" t="str">
        <f>IFERROR(__xludf.DUMMYFUNCTION("""COMPUTED_VALUE"""),"CIJAWURA")</f>
        <v>CIJAWURA</v>
      </c>
      <c r="G313" s="4" t="str">
        <f>IFERROR(__xludf.DUMMYFUNCTION("""COMPUTED_VALUE"""),"GIS SUMMARECON")</f>
        <v>GIS SUMMARECON</v>
      </c>
      <c r="H313" s="4" t="str">
        <f>IFERROR(__xludf.DUMMYFUNCTION("""COMPUTED_VALUE"""),"MRDN")</f>
        <v>MRDN</v>
      </c>
      <c r="I313" s="4" t="str">
        <f>IFERROR(__xludf.DUMMYFUNCTION("""COMPUTED_VALUE"""),"LBS TLR - UJUNG")</f>
        <v>LBS TLR - UJUNG</v>
      </c>
      <c r="J313" s="4" t="str">
        <f>IFERROR(__xludf.DUMMYFUNCTION("""COMPUTED_VALUE"""),"ZONA 3")</f>
        <v>ZONA 3</v>
      </c>
      <c r="K313" s="4" t="str">
        <f>IFERROR(__xludf.DUMMYFUNCTION("""COMPUTED_VALUE"""),"076L23")</f>
        <v>076L23</v>
      </c>
      <c r="L313" s="4" t="str">
        <f>IFERROR(__xludf.DUMMYFUNCTION("""COMPUTED_VALUE"""),"TM - 7B/H (Afspan 90 Derajat)")</f>
        <v>TM - 7B/H (Afspan 90 Derajat)</v>
      </c>
      <c r="M313" s="4" t="str">
        <f>IFERROR(__xludf.DUMMYFUNCTION("""COMPUTED_VALUE"""),"Tidak Ada")</f>
        <v>Tidak Ada</v>
      </c>
      <c r="N313" s="4"/>
      <c r="O313" s="4" t="str">
        <f>IFERROR(__xludf.DUMMYFUNCTION("""COMPUTED_VALUE"""),"PEMBANDING SEJENIS")</f>
        <v>PEMBANDING SEJENIS</v>
      </c>
      <c r="P313" s="4" t="str">
        <f>IFERROR(__xludf.DUMMYFUNCTION("""COMPUTED_VALUE"""),"KONEKTOR/JUMPER")</f>
        <v>KONEKTOR/JUMPER</v>
      </c>
      <c r="Q313" s="4">
        <f>IFERROR(__xludf.DUMMYFUNCTION("""COMPUTED_VALUE"""),22.0)</f>
        <v>22</v>
      </c>
      <c r="R313" s="4">
        <f>IFERROR(__xludf.DUMMYFUNCTION("""COMPUTED_VALUE"""),23.0)</f>
        <v>23</v>
      </c>
      <c r="S313" s="4">
        <f>IFERROR(__xludf.DUMMYFUNCTION("""COMPUTED_VALUE"""),22.0)</f>
        <v>22</v>
      </c>
      <c r="T313" s="4"/>
      <c r="U313" s="4" t="str">
        <f>IFERROR(__xludf.DUMMYFUNCTION("""COMPUTED_VALUE"""),"BAIK")</f>
        <v>BAIK</v>
      </c>
      <c r="V313" s="4" t="str">
        <f>IFERROR(__xludf.DUMMYFUNCTION("""COMPUTED_VALUE"""),"Tidak Ada")</f>
        <v>Tidak Ada</v>
      </c>
      <c r="W313" s="4"/>
      <c r="X313" s="4"/>
      <c r="Y313" s="4"/>
      <c r="Z313" s="4"/>
      <c r="AA313" s="4"/>
      <c r="AB313" s="4"/>
      <c r="AC313" s="4" t="str">
        <f>IFERROR(__xludf.DUMMYFUNCTION("""COMPUTED_VALUE"""),"INSPEKSI SUTM - T2_Images/4af1938a.FOTO.145502.jpg")</f>
        <v>INSPEKSI SUTM - T2_Images/4af1938a.FOTO.145502.jpg</v>
      </c>
      <c r="AD313" s="4"/>
      <c r="AE313" s="4"/>
      <c r="AF313" s="4" t="str">
        <f>IFERROR(__xludf.DUMMYFUNCTION("""COMPUTED_VALUE"""),"BELUM")</f>
        <v>BELUM</v>
      </c>
      <c r="AG313" s="6">
        <f>IFERROR(__xludf.DUMMYFUNCTION("""COMPUTED_VALUE"""),46063.0)</f>
        <v>46063</v>
      </c>
      <c r="AH313" s="4"/>
      <c r="AI313" s="4"/>
    </row>
    <row r="314" ht="15.75" customHeight="1">
      <c r="A314" s="4" t="str">
        <f>IFERROR(__xludf.DUMMYFUNCTION("""COMPUTED_VALUE"""),"33dd30e2")</f>
        <v>33dd30e2</v>
      </c>
      <c r="B314" s="5">
        <f>IFERROR(__xludf.DUMMYFUNCTION("""COMPUTED_VALUE"""),46063.91339120371)</f>
        <v>46063.91339</v>
      </c>
      <c r="C314" s="4" t="str">
        <f>IFERROR(__xludf.DUMMYFUNCTION("""COMPUTED_VALUE"""),"-6.989562, 107.680098")</f>
        <v>-6.989562, 107.680098</v>
      </c>
      <c r="D314" s="4" t="str">
        <f>IFERROR(__xludf.DUMMYFUNCTION("""COMPUTED_VALUE"""),"JIHAN KIKI")</f>
        <v>JIHAN KIKI</v>
      </c>
      <c r="E314" s="4" t="str">
        <f>IFERROR(__xludf.DUMMYFUNCTION("""COMPUTED_VALUE"""),"BANDUNG")</f>
        <v>BANDUNG</v>
      </c>
      <c r="F314" s="4" t="str">
        <f>IFERROR(__xludf.DUMMYFUNCTION("""COMPUTED_VALUE"""),"CIJAWURA")</f>
        <v>CIJAWURA</v>
      </c>
      <c r="G314" s="4" t="str">
        <f>IFERROR(__xludf.DUMMYFUNCTION("""COMPUTED_VALUE"""),"GIS SUMMARECON")</f>
        <v>GIS SUMMARECON</v>
      </c>
      <c r="H314" s="4" t="str">
        <f>IFERROR(__xludf.DUMMYFUNCTION("""COMPUTED_VALUE"""),"MRDN")</f>
        <v>MRDN</v>
      </c>
      <c r="I314" s="4" t="str">
        <f>IFERROR(__xludf.DUMMYFUNCTION("""COMPUTED_VALUE"""),"LBS TLR - UJUNG")</f>
        <v>LBS TLR - UJUNG</v>
      </c>
      <c r="J314" s="4" t="str">
        <f>IFERROR(__xludf.DUMMYFUNCTION("""COMPUTED_VALUE"""),"ZONA 3")</f>
        <v>ZONA 3</v>
      </c>
      <c r="K314" s="4" t="str">
        <f>IFERROR(__xludf.DUMMYFUNCTION("""COMPUTED_VALUE"""),"076L27")</f>
        <v>076L27</v>
      </c>
      <c r="L314" s="4" t="str">
        <f>IFERROR(__xludf.DUMMYFUNCTION("""COMPUTED_VALUE"""),"TM - 7B/H (Afspan 90 Derajat)")</f>
        <v>TM - 7B/H (Afspan 90 Derajat)</v>
      </c>
      <c r="M314" s="4" t="str">
        <f>IFERROR(__xludf.DUMMYFUNCTION("""COMPUTED_VALUE"""),"Tidak Ada")</f>
        <v>Tidak Ada</v>
      </c>
      <c r="N314" s="4"/>
      <c r="O314" s="4" t="str">
        <f>IFERROR(__xludf.DUMMYFUNCTION("""COMPUTED_VALUE"""),"PEMBANDING SEJENIS")</f>
        <v>PEMBANDING SEJENIS</v>
      </c>
      <c r="P314" s="4" t="str">
        <f>IFERROR(__xludf.DUMMYFUNCTION("""COMPUTED_VALUE"""),"KONEKTOR/JUMPER")</f>
        <v>KONEKTOR/JUMPER</v>
      </c>
      <c r="Q314" s="4">
        <f>IFERROR(__xludf.DUMMYFUNCTION("""COMPUTED_VALUE"""),22.0)</f>
        <v>22</v>
      </c>
      <c r="R314" s="4">
        <f>IFERROR(__xludf.DUMMYFUNCTION("""COMPUTED_VALUE"""),22.0)</f>
        <v>22</v>
      </c>
      <c r="S314" s="4">
        <f>IFERROR(__xludf.DUMMYFUNCTION("""COMPUTED_VALUE"""),22.0)</f>
        <v>22</v>
      </c>
      <c r="T314" s="4"/>
      <c r="U314" s="4" t="str">
        <f>IFERROR(__xludf.DUMMYFUNCTION("""COMPUTED_VALUE"""),"BAIK")</f>
        <v>BAIK</v>
      </c>
      <c r="V314" s="4" t="str">
        <f>IFERROR(__xludf.DUMMYFUNCTION("""COMPUTED_VALUE"""),"Tidak Ada")</f>
        <v>Tidak Ada</v>
      </c>
      <c r="W314" s="4"/>
      <c r="X314" s="4"/>
      <c r="Y314" s="4"/>
      <c r="Z314" s="4"/>
      <c r="AA314" s="4"/>
      <c r="AB314" s="4"/>
      <c r="AC314" s="4" t="str">
        <f>IFERROR(__xludf.DUMMYFUNCTION("""COMPUTED_VALUE"""),"INSPEKSI SUTM - T2_Images/33dd30e2.FOTO.145618.jpg")</f>
        <v>INSPEKSI SUTM - T2_Images/33dd30e2.FOTO.145618.jpg</v>
      </c>
      <c r="AD314" s="4"/>
      <c r="AE314" s="4"/>
      <c r="AF314" s="4" t="str">
        <f>IFERROR(__xludf.DUMMYFUNCTION("""COMPUTED_VALUE"""),"BELUM")</f>
        <v>BELUM</v>
      </c>
      <c r="AG314" s="6">
        <f>IFERROR(__xludf.DUMMYFUNCTION("""COMPUTED_VALUE"""),46063.0)</f>
        <v>46063</v>
      </c>
      <c r="AH314" s="4"/>
      <c r="AI314" s="4"/>
    </row>
    <row r="315" ht="15.75" customHeight="1">
      <c r="A315" s="4" t="str">
        <f>IFERROR(__xludf.DUMMYFUNCTION("""COMPUTED_VALUE"""),"6d52e542")</f>
        <v>6d52e542</v>
      </c>
      <c r="B315" s="5">
        <f>IFERROR(__xludf.DUMMYFUNCTION("""COMPUTED_VALUE"""),46063.91431712963)</f>
        <v>46063.91432</v>
      </c>
      <c r="C315" s="4" t="str">
        <f>IFERROR(__xludf.DUMMYFUNCTION("""COMPUTED_VALUE"""),"-6.989635, 107.681493")</f>
        <v>-6.989635, 107.681493</v>
      </c>
      <c r="D315" s="4" t="str">
        <f>IFERROR(__xludf.DUMMYFUNCTION("""COMPUTED_VALUE"""),"Jihan kiki")</f>
        <v>Jihan kiki</v>
      </c>
      <c r="E315" s="4" t="str">
        <f>IFERROR(__xludf.DUMMYFUNCTION("""COMPUTED_VALUE"""),"BANDUNG")</f>
        <v>BANDUNG</v>
      </c>
      <c r="F315" s="4" t="str">
        <f>IFERROR(__xludf.DUMMYFUNCTION("""COMPUTED_VALUE"""),"CIJAWURA")</f>
        <v>CIJAWURA</v>
      </c>
      <c r="G315" s="4" t="str">
        <f>IFERROR(__xludf.DUMMYFUNCTION("""COMPUTED_VALUE"""),"GIS SUMMARECON")</f>
        <v>GIS SUMMARECON</v>
      </c>
      <c r="H315" s="4" t="str">
        <f>IFERROR(__xludf.DUMMYFUNCTION("""COMPUTED_VALUE"""),"MRDN")</f>
        <v>MRDN</v>
      </c>
      <c r="I315" s="4" t="str">
        <f>IFERROR(__xludf.DUMMYFUNCTION("""COMPUTED_VALUE"""),"LBS TLR - UJUNG")</f>
        <v>LBS TLR - UJUNG</v>
      </c>
      <c r="J315" s="4" t="str">
        <f>IFERROR(__xludf.DUMMYFUNCTION("""COMPUTED_VALUE"""),"ZONA 3")</f>
        <v>ZONA 3</v>
      </c>
      <c r="K315" s="4" t="str">
        <f>IFERROR(__xludf.DUMMYFUNCTION("""COMPUTED_VALUE"""),"076L32")</f>
        <v>076L32</v>
      </c>
      <c r="L315" s="4" t="str">
        <f>IFERROR(__xludf.DUMMYFUNCTION("""COMPUTED_VALUE"""),"TM - 7B/H (Afspan 90 Derajat)")</f>
        <v>TM - 7B/H (Afspan 90 Derajat)</v>
      </c>
      <c r="M315" s="4" t="str">
        <f>IFERROR(__xludf.DUMMYFUNCTION("""COMPUTED_VALUE"""),"Tidak Ada")</f>
        <v>Tidak Ada</v>
      </c>
      <c r="N315" s="4"/>
      <c r="O315" s="4" t="str">
        <f>IFERROR(__xludf.DUMMYFUNCTION("""COMPUTED_VALUE"""),"PEMBANDING SEJENIS")</f>
        <v>PEMBANDING SEJENIS</v>
      </c>
      <c r="P315" s="4" t="str">
        <f>IFERROR(__xludf.DUMMYFUNCTION("""COMPUTED_VALUE"""),"KONEKTOR/JUMPER")</f>
        <v>KONEKTOR/JUMPER</v>
      </c>
      <c r="Q315" s="4">
        <f>IFERROR(__xludf.DUMMYFUNCTION("""COMPUTED_VALUE"""),22.0)</f>
        <v>22</v>
      </c>
      <c r="R315" s="4">
        <f>IFERROR(__xludf.DUMMYFUNCTION("""COMPUTED_VALUE"""),22.0)</f>
        <v>22</v>
      </c>
      <c r="S315" s="4">
        <f>IFERROR(__xludf.DUMMYFUNCTION("""COMPUTED_VALUE"""),22.0)</f>
        <v>22</v>
      </c>
      <c r="T315" s="4"/>
      <c r="U315" s="4" t="str">
        <f>IFERROR(__xludf.DUMMYFUNCTION("""COMPUTED_VALUE"""),"BAIK")</f>
        <v>BAIK</v>
      </c>
      <c r="V315" s="4" t="str">
        <f>IFERROR(__xludf.DUMMYFUNCTION("""COMPUTED_VALUE"""),"Tidak Ada")</f>
        <v>Tidak Ada</v>
      </c>
      <c r="W315" s="4"/>
      <c r="X315" s="4"/>
      <c r="Y315" s="4"/>
      <c r="Z315" s="4"/>
      <c r="AA315" s="4"/>
      <c r="AB315" s="4"/>
      <c r="AC315" s="4" t="str">
        <f>IFERROR(__xludf.DUMMYFUNCTION("""COMPUTED_VALUE"""),"INSPEKSI SUTM - T2_Images/6d52e542.FOTO.145733.jpg")</f>
        <v>INSPEKSI SUTM - T2_Images/6d52e542.FOTO.145733.jpg</v>
      </c>
      <c r="AD315" s="4"/>
      <c r="AE315" s="4"/>
      <c r="AF315" s="4" t="str">
        <f>IFERROR(__xludf.DUMMYFUNCTION("""COMPUTED_VALUE"""),"BELUM")</f>
        <v>BELUM</v>
      </c>
      <c r="AG315" s="6">
        <f>IFERROR(__xludf.DUMMYFUNCTION("""COMPUTED_VALUE"""),46063.0)</f>
        <v>46063</v>
      </c>
      <c r="AH315" s="4"/>
      <c r="AI315" s="4"/>
    </row>
    <row r="316" ht="15.75" customHeight="1">
      <c r="A316" s="4" t="str">
        <f>IFERROR(__xludf.DUMMYFUNCTION("""COMPUTED_VALUE"""),"27e7ef0d")</f>
        <v>27e7ef0d</v>
      </c>
      <c r="B316" s="5">
        <f>IFERROR(__xludf.DUMMYFUNCTION("""COMPUTED_VALUE"""),46063.91519675926)</f>
        <v>46063.9152</v>
      </c>
      <c r="C316" s="4" t="str">
        <f>IFERROR(__xludf.DUMMYFUNCTION("""COMPUTED_VALUE"""),"-6.988703, 107.681492")</f>
        <v>-6.988703, 107.681492</v>
      </c>
      <c r="D316" s="4" t="str">
        <f>IFERROR(__xludf.DUMMYFUNCTION("""COMPUTED_VALUE"""),"Jihan kiki")</f>
        <v>Jihan kiki</v>
      </c>
      <c r="E316" s="4" t="str">
        <f>IFERROR(__xludf.DUMMYFUNCTION("""COMPUTED_VALUE"""),"BANDUNG")</f>
        <v>BANDUNG</v>
      </c>
      <c r="F316" s="4" t="str">
        <f>IFERROR(__xludf.DUMMYFUNCTION("""COMPUTED_VALUE"""),"CIJAWURA")</f>
        <v>CIJAWURA</v>
      </c>
      <c r="G316" s="4" t="str">
        <f>IFERROR(__xludf.DUMMYFUNCTION("""COMPUTED_VALUE"""),"GIS SUMMARECON")</f>
        <v>GIS SUMMARECON</v>
      </c>
      <c r="H316" s="4" t="str">
        <f>IFERROR(__xludf.DUMMYFUNCTION("""COMPUTED_VALUE"""),"MRDN")</f>
        <v>MRDN</v>
      </c>
      <c r="I316" s="4" t="str">
        <f>IFERROR(__xludf.DUMMYFUNCTION("""COMPUTED_VALUE"""),"LBS TLR - UJUNG")</f>
        <v>LBS TLR - UJUNG</v>
      </c>
      <c r="J316" s="4" t="str">
        <f>IFERROR(__xludf.DUMMYFUNCTION("""COMPUTED_VALUE"""),"ZONA 3")</f>
        <v>ZONA 3</v>
      </c>
      <c r="K316" s="4" t="str">
        <f>IFERROR(__xludf.DUMMYFUNCTION("""COMPUTED_VALUE"""),"076L35")</f>
        <v>076L35</v>
      </c>
      <c r="L316" s="4" t="str">
        <f>IFERROR(__xludf.DUMMYFUNCTION("""COMPUTED_VALUE"""),"TM - 7B/H (Afspan 90 Derajat)")</f>
        <v>TM - 7B/H (Afspan 90 Derajat)</v>
      </c>
      <c r="M316" s="4" t="str">
        <f>IFERROR(__xludf.DUMMYFUNCTION("""COMPUTED_VALUE"""),"Tidak Ada")</f>
        <v>Tidak Ada</v>
      </c>
      <c r="N316" s="4"/>
      <c r="O316" s="4" t="str">
        <f>IFERROR(__xludf.DUMMYFUNCTION("""COMPUTED_VALUE"""),"PEMBANDING SEJENIS")</f>
        <v>PEMBANDING SEJENIS</v>
      </c>
      <c r="P316" s="4" t="str">
        <f>IFERROR(__xludf.DUMMYFUNCTION("""COMPUTED_VALUE"""),"KONEKTOR/JUMPER")</f>
        <v>KONEKTOR/JUMPER</v>
      </c>
      <c r="Q316" s="4">
        <f>IFERROR(__xludf.DUMMYFUNCTION("""COMPUTED_VALUE"""),20.0)</f>
        <v>20</v>
      </c>
      <c r="R316" s="4">
        <f>IFERROR(__xludf.DUMMYFUNCTION("""COMPUTED_VALUE"""),20.0)</f>
        <v>20</v>
      </c>
      <c r="S316" s="4">
        <f>IFERROR(__xludf.DUMMYFUNCTION("""COMPUTED_VALUE"""),20.0)</f>
        <v>20</v>
      </c>
      <c r="T316" s="4"/>
      <c r="U316" s="4" t="str">
        <f>IFERROR(__xludf.DUMMYFUNCTION("""COMPUTED_VALUE"""),"BAIK")</f>
        <v>BAIK</v>
      </c>
      <c r="V316" s="4" t="str">
        <f>IFERROR(__xludf.DUMMYFUNCTION("""COMPUTED_VALUE"""),"Tidak Ada")</f>
        <v>Tidak Ada</v>
      </c>
      <c r="W316" s="4"/>
      <c r="X316" s="4"/>
      <c r="Y316" s="4"/>
      <c r="Z316" s="4"/>
      <c r="AA316" s="4"/>
      <c r="AB316" s="4"/>
      <c r="AC316" s="4" t="str">
        <f>IFERROR(__xludf.DUMMYFUNCTION("""COMPUTED_VALUE"""),"INSPEKSI SUTM - T2_Images/27e7ef0d.FOTO.145909.jpg")</f>
        <v>INSPEKSI SUTM - T2_Images/27e7ef0d.FOTO.145909.jpg</v>
      </c>
      <c r="AD316" s="4"/>
      <c r="AE316" s="4"/>
      <c r="AF316" s="4" t="str">
        <f>IFERROR(__xludf.DUMMYFUNCTION("""COMPUTED_VALUE"""),"BELUM")</f>
        <v>BELUM</v>
      </c>
      <c r="AG316" s="6">
        <f>IFERROR(__xludf.DUMMYFUNCTION("""COMPUTED_VALUE"""),46063.0)</f>
        <v>46063</v>
      </c>
      <c r="AH316" s="4"/>
      <c r="AI316" s="4"/>
    </row>
    <row r="317" ht="15.75" customHeight="1">
      <c r="A317" s="4" t="str">
        <f>IFERROR(__xludf.DUMMYFUNCTION("""COMPUTED_VALUE"""),"6b905d44")</f>
        <v>6b905d44</v>
      </c>
      <c r="B317" s="5">
        <f>IFERROR(__xludf.DUMMYFUNCTION("""COMPUTED_VALUE"""),46063.916296296295)</f>
        <v>46063.9163</v>
      </c>
      <c r="C317" s="4" t="str">
        <f>IFERROR(__xludf.DUMMYFUNCTION("""COMPUTED_VALUE"""),"-6.988602, 107.681726")</f>
        <v>-6.988602, 107.681726</v>
      </c>
      <c r="D317" s="4" t="str">
        <f>IFERROR(__xludf.DUMMYFUNCTION("""COMPUTED_VALUE"""),"Kiki jihan")</f>
        <v>Kiki jihan</v>
      </c>
      <c r="E317" s="4" t="str">
        <f>IFERROR(__xludf.DUMMYFUNCTION("""COMPUTED_VALUE"""),"BANDUNG")</f>
        <v>BANDUNG</v>
      </c>
      <c r="F317" s="4" t="str">
        <f>IFERROR(__xludf.DUMMYFUNCTION("""COMPUTED_VALUE"""),"CIJAWURA")</f>
        <v>CIJAWURA</v>
      </c>
      <c r="G317" s="4" t="str">
        <f>IFERROR(__xludf.DUMMYFUNCTION("""COMPUTED_VALUE"""),"GIS SUMMARECON")</f>
        <v>GIS SUMMARECON</v>
      </c>
      <c r="H317" s="4" t="str">
        <f>IFERROR(__xludf.DUMMYFUNCTION("""COMPUTED_VALUE"""),"MRDN")</f>
        <v>MRDN</v>
      </c>
      <c r="I317" s="4" t="str">
        <f>IFERROR(__xludf.DUMMYFUNCTION("""COMPUTED_VALUE"""),"LBS TLR - UJUNG")</f>
        <v>LBS TLR - UJUNG</v>
      </c>
      <c r="J317" s="4" t="str">
        <f>IFERROR(__xludf.DUMMYFUNCTION("""COMPUTED_VALUE"""),"ZONA 3")</f>
        <v>ZONA 3</v>
      </c>
      <c r="K317" s="4" t="str">
        <f>IFERROR(__xludf.DUMMYFUNCTION("""COMPUTED_VALUE"""),"076L36")</f>
        <v>076L36</v>
      </c>
      <c r="L317" s="4" t="str">
        <f>IFERROR(__xludf.DUMMYFUNCTION("""COMPUTED_VALUE"""),"TM - 4B/H (Afspan)")</f>
        <v>TM - 4B/H (Afspan)</v>
      </c>
      <c r="M317" s="4" t="str">
        <f>IFERROR(__xludf.DUMMYFUNCTION("""COMPUTED_VALUE"""),"Tidak Ada")</f>
        <v>Tidak Ada</v>
      </c>
      <c r="N317" s="4"/>
      <c r="O317" s="4" t="str">
        <f>IFERROR(__xludf.DUMMYFUNCTION("""COMPUTED_VALUE"""),"PEMBANDING SEJENIS")</f>
        <v>PEMBANDING SEJENIS</v>
      </c>
      <c r="P317" s="4" t="str">
        <f>IFERROR(__xludf.DUMMYFUNCTION("""COMPUTED_VALUE"""),"KONEKTOR/JUMPER")</f>
        <v>KONEKTOR/JUMPER</v>
      </c>
      <c r="Q317" s="4">
        <f>IFERROR(__xludf.DUMMYFUNCTION("""COMPUTED_VALUE"""),22.0)</f>
        <v>22</v>
      </c>
      <c r="R317" s="4">
        <f>IFERROR(__xludf.DUMMYFUNCTION("""COMPUTED_VALUE"""),22.0)</f>
        <v>22</v>
      </c>
      <c r="S317" s="4">
        <f>IFERROR(__xludf.DUMMYFUNCTION("""COMPUTED_VALUE"""),22.0)</f>
        <v>22</v>
      </c>
      <c r="T317" s="4"/>
      <c r="U317" s="4" t="str">
        <f>IFERROR(__xludf.DUMMYFUNCTION("""COMPUTED_VALUE"""),"BAIK")</f>
        <v>BAIK</v>
      </c>
      <c r="V317" s="4" t="str">
        <f>IFERROR(__xludf.DUMMYFUNCTION("""COMPUTED_VALUE"""),"Tidak Ada")</f>
        <v>Tidak Ada</v>
      </c>
      <c r="W317" s="4"/>
      <c r="X317" s="4"/>
      <c r="Y317" s="4"/>
      <c r="Z317" s="4"/>
      <c r="AA317" s="4"/>
      <c r="AB317" s="4"/>
      <c r="AC317" s="4" t="str">
        <f>IFERROR(__xludf.DUMMYFUNCTION("""COMPUTED_VALUE"""),"INSPEKSI SUTM - T2_Images/6b905d44.FOTO.150050.jpg")</f>
        <v>INSPEKSI SUTM - T2_Images/6b905d44.FOTO.150050.jpg</v>
      </c>
      <c r="AD317" s="4"/>
      <c r="AE317" s="4"/>
      <c r="AF317" s="4" t="str">
        <f>IFERROR(__xludf.DUMMYFUNCTION("""COMPUTED_VALUE"""),"BELUM")</f>
        <v>BELUM</v>
      </c>
      <c r="AG317" s="6">
        <f>IFERROR(__xludf.DUMMYFUNCTION("""COMPUTED_VALUE"""),46063.0)</f>
        <v>46063</v>
      </c>
      <c r="AH317" s="4"/>
      <c r="AI317" s="4"/>
    </row>
    <row r="318" ht="15.75" customHeight="1">
      <c r="A318" s="4" t="str">
        <f>IFERROR(__xludf.DUMMYFUNCTION("""COMPUTED_VALUE"""),"0e03327f")</f>
        <v>0e03327f</v>
      </c>
      <c r="B318" s="5">
        <f>IFERROR(__xludf.DUMMYFUNCTION("""COMPUTED_VALUE"""),46063.917604166665)</f>
        <v>46063.9176</v>
      </c>
      <c r="C318" s="4" t="str">
        <f>IFERROR(__xludf.DUMMYFUNCTION("""COMPUTED_VALUE"""),"-6.988428, 107.682040")</f>
        <v>-6.988428, 107.682040</v>
      </c>
      <c r="D318" s="4" t="str">
        <f>IFERROR(__xludf.DUMMYFUNCTION("""COMPUTED_VALUE"""),"Jihan kiki")</f>
        <v>Jihan kiki</v>
      </c>
      <c r="E318" s="4" t="str">
        <f>IFERROR(__xludf.DUMMYFUNCTION("""COMPUTED_VALUE"""),"BANDUNG")</f>
        <v>BANDUNG</v>
      </c>
      <c r="F318" s="4" t="str">
        <f>IFERROR(__xludf.DUMMYFUNCTION("""COMPUTED_VALUE"""),"CIJAWURA")</f>
        <v>CIJAWURA</v>
      </c>
      <c r="G318" s="4" t="str">
        <f>IFERROR(__xludf.DUMMYFUNCTION("""COMPUTED_VALUE"""),"GIS SUMMARECON")</f>
        <v>GIS SUMMARECON</v>
      </c>
      <c r="H318" s="4" t="str">
        <f>IFERROR(__xludf.DUMMYFUNCTION("""COMPUTED_VALUE"""),"MRDN")</f>
        <v>MRDN</v>
      </c>
      <c r="I318" s="4" t="str">
        <f>IFERROR(__xludf.DUMMYFUNCTION("""COMPUTED_VALUE"""),"LBS TLR - UJUNG")</f>
        <v>LBS TLR - UJUNG</v>
      </c>
      <c r="J318" s="4" t="str">
        <f>IFERROR(__xludf.DUMMYFUNCTION("""COMPUTED_VALUE"""),"ZONA 3")</f>
        <v>ZONA 3</v>
      </c>
      <c r="K318" s="4" t="str">
        <f>IFERROR(__xludf.DUMMYFUNCTION("""COMPUTED_VALUE"""),"076L37")</f>
        <v>076L37</v>
      </c>
      <c r="L318" s="4" t="str">
        <f>IFERROR(__xludf.DUMMYFUNCTION("""COMPUTED_VALUE"""),"TM - 4B/H (Afspan)")</f>
        <v>TM - 4B/H (Afspan)</v>
      </c>
      <c r="M318" s="4" t="str">
        <f>IFERROR(__xludf.DUMMYFUNCTION("""COMPUTED_VALUE"""),"Tidak Ada")</f>
        <v>Tidak Ada</v>
      </c>
      <c r="N318" s="4"/>
      <c r="O318" s="4" t="str">
        <f>IFERROR(__xludf.DUMMYFUNCTION("""COMPUTED_VALUE"""),"PEMBANDING SEJENIS")</f>
        <v>PEMBANDING SEJENIS</v>
      </c>
      <c r="P318" s="4" t="str">
        <f>IFERROR(__xludf.DUMMYFUNCTION("""COMPUTED_VALUE"""),"KONEKTOR/JUMPER")</f>
        <v>KONEKTOR/JUMPER</v>
      </c>
      <c r="Q318" s="4">
        <f>IFERROR(__xludf.DUMMYFUNCTION("""COMPUTED_VALUE"""),22.0)</f>
        <v>22</v>
      </c>
      <c r="R318" s="4">
        <f>IFERROR(__xludf.DUMMYFUNCTION("""COMPUTED_VALUE"""),22.0)</f>
        <v>22</v>
      </c>
      <c r="S318" s="4">
        <f>IFERROR(__xludf.DUMMYFUNCTION("""COMPUTED_VALUE"""),22.0)</f>
        <v>22</v>
      </c>
      <c r="T318" s="4"/>
      <c r="U318" s="4" t="str">
        <f>IFERROR(__xludf.DUMMYFUNCTION("""COMPUTED_VALUE"""),"BAIK")</f>
        <v>BAIK</v>
      </c>
      <c r="V318" s="4" t="str">
        <f>IFERROR(__xludf.DUMMYFUNCTION("""COMPUTED_VALUE"""),"Tidak Ada")</f>
        <v>Tidak Ada</v>
      </c>
      <c r="W318" s="4"/>
      <c r="X318" s="4"/>
      <c r="Y318" s="4"/>
      <c r="Z318" s="4"/>
      <c r="AA318" s="4"/>
      <c r="AB318" s="4"/>
      <c r="AC318" s="4" t="str">
        <f>IFERROR(__xludf.DUMMYFUNCTION("""COMPUTED_VALUE"""),"INSPEKSI SUTM - T2_Images/0e03327f.FOTO.150318.jpg")</f>
        <v>INSPEKSI SUTM - T2_Images/0e03327f.FOTO.150318.jpg</v>
      </c>
      <c r="AD318" s="4"/>
      <c r="AE318" s="4"/>
      <c r="AF318" s="4" t="str">
        <f>IFERROR(__xludf.DUMMYFUNCTION("""COMPUTED_VALUE"""),"BELUM")</f>
        <v>BELUM</v>
      </c>
      <c r="AG318" s="6">
        <f>IFERROR(__xludf.DUMMYFUNCTION("""COMPUTED_VALUE"""),46063.0)</f>
        <v>46063</v>
      </c>
      <c r="AH318" s="4"/>
      <c r="AI318" s="4"/>
    </row>
    <row r="319" ht="15.75" customHeight="1">
      <c r="A319" s="4" t="str">
        <f>IFERROR(__xludf.DUMMYFUNCTION("""COMPUTED_VALUE"""),"1144dc06")</f>
        <v>1144dc06</v>
      </c>
      <c r="B319" s="5">
        <f>IFERROR(__xludf.DUMMYFUNCTION("""COMPUTED_VALUE"""),46063.91984953704)</f>
        <v>46063.91985</v>
      </c>
      <c r="C319" s="4" t="str">
        <f>IFERROR(__xludf.DUMMYFUNCTION("""COMPUTED_VALUE"""),"-6.986530, 107.683040")</f>
        <v>-6.986530, 107.683040</v>
      </c>
      <c r="D319" s="4" t="str">
        <f>IFERROR(__xludf.DUMMYFUNCTION("""COMPUTED_VALUE"""),"Jihan kiki")</f>
        <v>Jihan kiki</v>
      </c>
      <c r="E319" s="4" t="str">
        <f>IFERROR(__xludf.DUMMYFUNCTION("""COMPUTED_VALUE"""),"BANDUNG")</f>
        <v>BANDUNG</v>
      </c>
      <c r="F319" s="4" t="str">
        <f>IFERROR(__xludf.DUMMYFUNCTION("""COMPUTED_VALUE"""),"CIJAWURA")</f>
        <v>CIJAWURA</v>
      </c>
      <c r="G319" s="4" t="str">
        <f>IFERROR(__xludf.DUMMYFUNCTION("""COMPUTED_VALUE"""),"GIS SUMMARECON")</f>
        <v>GIS SUMMARECON</v>
      </c>
      <c r="H319" s="4" t="str">
        <f>IFERROR(__xludf.DUMMYFUNCTION("""COMPUTED_VALUE"""),"MRDN")</f>
        <v>MRDN</v>
      </c>
      <c r="I319" s="4" t="str">
        <f>IFERROR(__xludf.DUMMYFUNCTION("""COMPUTED_VALUE"""),"LBS TLR - UJUNG")</f>
        <v>LBS TLR - UJUNG</v>
      </c>
      <c r="J319" s="4" t="str">
        <f>IFERROR(__xludf.DUMMYFUNCTION("""COMPUTED_VALUE"""),"ZONA 3")</f>
        <v>ZONA 3</v>
      </c>
      <c r="K319" s="4" t="str">
        <f>IFERROR(__xludf.DUMMYFUNCTION("""COMPUTED_VALUE"""),"076L44")</f>
        <v>076L44</v>
      </c>
      <c r="L319" s="4" t="str">
        <f>IFERROR(__xludf.DUMMYFUNCTION("""COMPUTED_VALUE"""),"TM - 7B/H (Afspan 90 Derajat)")</f>
        <v>TM - 7B/H (Afspan 90 Derajat)</v>
      </c>
      <c r="M319" s="4" t="str">
        <f>IFERROR(__xludf.DUMMYFUNCTION("""COMPUTED_VALUE"""),"Tidak Ada")</f>
        <v>Tidak Ada</v>
      </c>
      <c r="N319" s="4"/>
      <c r="O319" s="4" t="str">
        <f>IFERROR(__xludf.DUMMYFUNCTION("""COMPUTED_VALUE"""),"PEMBANDING SEJENIS")</f>
        <v>PEMBANDING SEJENIS</v>
      </c>
      <c r="P319" s="4" t="str">
        <f>IFERROR(__xludf.DUMMYFUNCTION("""COMPUTED_VALUE"""),"KONEKTOR/JUMPER")</f>
        <v>KONEKTOR/JUMPER</v>
      </c>
      <c r="Q319" s="4">
        <f>IFERROR(__xludf.DUMMYFUNCTION("""COMPUTED_VALUE"""),21.0)</f>
        <v>21</v>
      </c>
      <c r="R319" s="4">
        <f>IFERROR(__xludf.DUMMYFUNCTION("""COMPUTED_VALUE"""),21.0)</f>
        <v>21</v>
      </c>
      <c r="S319" s="4">
        <f>IFERROR(__xludf.DUMMYFUNCTION("""COMPUTED_VALUE"""),21.0)</f>
        <v>21</v>
      </c>
      <c r="T319" s="4"/>
      <c r="U319" s="4" t="str">
        <f>IFERROR(__xludf.DUMMYFUNCTION("""COMPUTED_VALUE"""),"BAIK")</f>
        <v>BAIK</v>
      </c>
      <c r="V319" s="4" t="str">
        <f>IFERROR(__xludf.DUMMYFUNCTION("""COMPUTED_VALUE"""),"Tidak Ada")</f>
        <v>Tidak Ada</v>
      </c>
      <c r="W319" s="4"/>
      <c r="X319" s="4"/>
      <c r="Y319" s="4"/>
      <c r="Z319" s="4"/>
      <c r="AA319" s="4"/>
      <c r="AB319" s="4"/>
      <c r="AC319" s="4" t="str">
        <f>IFERROR(__xludf.DUMMYFUNCTION("""COMPUTED_VALUE"""),"INSPEKSI SUTM - T2_Images/1144dc06.FOTO.150537.jpg")</f>
        <v>INSPEKSI SUTM - T2_Images/1144dc06.FOTO.150537.jpg</v>
      </c>
      <c r="AD319" s="4"/>
      <c r="AE319" s="4"/>
      <c r="AF319" s="4" t="str">
        <f>IFERROR(__xludf.DUMMYFUNCTION("""COMPUTED_VALUE"""),"BELUM")</f>
        <v>BELUM</v>
      </c>
      <c r="AG319" s="6">
        <f>IFERROR(__xludf.DUMMYFUNCTION("""COMPUTED_VALUE"""),46063.0)</f>
        <v>46063</v>
      </c>
      <c r="AH319" s="4"/>
      <c r="AI319" s="4"/>
    </row>
    <row r="320" ht="15.75" customHeight="1">
      <c r="A320" s="4" t="str">
        <f>IFERROR(__xludf.DUMMYFUNCTION("""COMPUTED_VALUE"""),"21149de1")</f>
        <v>21149de1</v>
      </c>
      <c r="B320" s="5">
        <f>IFERROR(__xludf.DUMMYFUNCTION("""COMPUTED_VALUE"""),46063.92082175926)</f>
        <v>46063.92082</v>
      </c>
      <c r="C320" s="4" t="str">
        <f>IFERROR(__xludf.DUMMYFUNCTION("""COMPUTED_VALUE"""),"-6.988401, 107.682648")</f>
        <v>-6.988401, 107.682648</v>
      </c>
      <c r="D320" s="4" t="str">
        <f>IFERROR(__xludf.DUMMYFUNCTION("""COMPUTED_VALUE"""),"Jihan kiki")</f>
        <v>Jihan kiki</v>
      </c>
      <c r="E320" s="4" t="str">
        <f>IFERROR(__xludf.DUMMYFUNCTION("""COMPUTED_VALUE"""),"BANDUNG")</f>
        <v>BANDUNG</v>
      </c>
      <c r="F320" s="4" t="str">
        <f>IFERROR(__xludf.DUMMYFUNCTION("""COMPUTED_VALUE"""),"CIJAWURA")</f>
        <v>CIJAWURA</v>
      </c>
      <c r="G320" s="4" t="str">
        <f>IFERROR(__xludf.DUMMYFUNCTION("""COMPUTED_VALUE"""),"GIS SUMMARECON")</f>
        <v>GIS SUMMARECON</v>
      </c>
      <c r="H320" s="4" t="str">
        <f>IFERROR(__xludf.DUMMYFUNCTION("""COMPUTED_VALUE"""),"MRDN")</f>
        <v>MRDN</v>
      </c>
      <c r="I320" s="4" t="str">
        <f>IFERROR(__xludf.DUMMYFUNCTION("""COMPUTED_VALUE"""),"LBS TLR - UJUNG")</f>
        <v>LBS TLR - UJUNG</v>
      </c>
      <c r="J320" s="4" t="str">
        <f>IFERROR(__xludf.DUMMYFUNCTION("""COMPUTED_VALUE"""),"ZONA 3")</f>
        <v>ZONA 3</v>
      </c>
      <c r="K320" s="4" t="str">
        <f>IFERROR(__xludf.DUMMYFUNCTION("""COMPUTED_VALUE"""),"076L39")</f>
        <v>076L39</v>
      </c>
      <c r="L320" s="4" t="str">
        <f>IFERROR(__xludf.DUMMYFUNCTION("""COMPUTED_VALUE"""),"TM - 7B/H (Afspan 90 Derajat)")</f>
        <v>TM - 7B/H (Afspan 90 Derajat)</v>
      </c>
      <c r="M320" s="4" t="str">
        <f>IFERROR(__xludf.DUMMYFUNCTION("""COMPUTED_VALUE"""),"Tidak Ada")</f>
        <v>Tidak Ada</v>
      </c>
      <c r="N320" s="4"/>
      <c r="O320" s="4" t="str">
        <f>IFERROR(__xludf.DUMMYFUNCTION("""COMPUTED_VALUE"""),"PEMBANDING SEJENIS")</f>
        <v>PEMBANDING SEJENIS</v>
      </c>
      <c r="P320" s="4" t="str">
        <f>IFERROR(__xludf.DUMMYFUNCTION("""COMPUTED_VALUE"""),"KONEKTOR/JUMPER")</f>
        <v>KONEKTOR/JUMPER</v>
      </c>
      <c r="Q320" s="4">
        <f>IFERROR(__xludf.DUMMYFUNCTION("""COMPUTED_VALUE"""),20.0)</f>
        <v>20</v>
      </c>
      <c r="R320" s="4">
        <f>IFERROR(__xludf.DUMMYFUNCTION("""COMPUTED_VALUE"""),21.0)</f>
        <v>21</v>
      </c>
      <c r="S320" s="4">
        <f>IFERROR(__xludf.DUMMYFUNCTION("""COMPUTED_VALUE"""),21.0)</f>
        <v>21</v>
      </c>
      <c r="T320" s="4"/>
      <c r="U320" s="4" t="str">
        <f>IFERROR(__xludf.DUMMYFUNCTION("""COMPUTED_VALUE"""),"BAIK")</f>
        <v>BAIK</v>
      </c>
      <c r="V320" s="4" t="str">
        <f>IFERROR(__xludf.DUMMYFUNCTION("""COMPUTED_VALUE"""),"Tidak Ada")</f>
        <v>Tidak Ada</v>
      </c>
      <c r="W320" s="4"/>
      <c r="X320" s="4"/>
      <c r="Y320" s="4"/>
      <c r="Z320" s="4"/>
      <c r="AA320" s="4"/>
      <c r="AB320" s="4"/>
      <c r="AC320" s="4" t="str">
        <f>IFERROR(__xludf.DUMMYFUNCTION("""COMPUTED_VALUE"""),"INSPEKSI SUTM - T2_Images/21149de1.FOTO.150706.jpg")</f>
        <v>INSPEKSI SUTM - T2_Images/21149de1.FOTO.150706.jpg</v>
      </c>
      <c r="AD320" s="4"/>
      <c r="AE320" s="4"/>
      <c r="AF320" s="4" t="str">
        <f>IFERROR(__xludf.DUMMYFUNCTION("""COMPUTED_VALUE"""),"BELUM")</f>
        <v>BELUM</v>
      </c>
      <c r="AG320" s="6">
        <f>IFERROR(__xludf.DUMMYFUNCTION("""COMPUTED_VALUE"""),46063.0)</f>
        <v>46063</v>
      </c>
      <c r="AH320" s="4"/>
      <c r="AI320" s="4"/>
    </row>
    <row r="321" ht="15.75" customHeight="1">
      <c r="A321" s="4" t="str">
        <f>IFERROR(__xludf.DUMMYFUNCTION("""COMPUTED_VALUE"""),"f99112c6")</f>
        <v>f99112c6</v>
      </c>
      <c r="B321" s="5">
        <f>IFERROR(__xludf.DUMMYFUNCTION("""COMPUTED_VALUE"""),46065.91033564815)</f>
        <v>46065.91034</v>
      </c>
      <c r="C321" s="4" t="str">
        <f>IFERROR(__xludf.DUMMYFUNCTION("""COMPUTED_VALUE"""),"-6.911164, 107.684143")</f>
        <v>-6.911164, 107.684143</v>
      </c>
      <c r="D321" s="4" t="str">
        <f>IFERROR(__xludf.DUMMYFUNCTION("""COMPUTED_VALUE"""),"Canra hwri")</f>
        <v>Canra hwri</v>
      </c>
      <c r="E321" s="4" t="str">
        <f>IFERROR(__xludf.DUMMYFUNCTION("""COMPUTED_VALUE"""),"BANDUNG")</f>
        <v>BANDUNG</v>
      </c>
      <c r="F321" s="4" t="str">
        <f>IFERROR(__xludf.DUMMYFUNCTION("""COMPUTED_VALUE"""),"UJUNGBERUNG")</f>
        <v>UJUNGBERUNG</v>
      </c>
      <c r="G321" s="4" t="str">
        <f>IFERROR(__xludf.DUMMYFUNCTION("""COMPUTED_VALUE"""),"UJUNGBERUNG")</f>
        <v>UJUNGBERUNG</v>
      </c>
      <c r="H321" s="4" t="str">
        <f>IFERROR(__xludf.DUMMYFUNCTION("""COMPUTED_VALUE"""),"UZP")</f>
        <v>UZP</v>
      </c>
      <c r="I321" s="4" t="str">
        <f>IFERROR(__xludf.DUMMYFUNCTION("""COMPUTED_VALUE"""),"GH BNA - AMKC")</f>
        <v>GH BNA - AMKC</v>
      </c>
      <c r="J321" s="4" t="str">
        <f>IFERROR(__xludf.DUMMYFUNCTION("""COMPUTED_VALUE"""),"ZONA 2")</f>
        <v>ZONA 2</v>
      </c>
      <c r="K321" s="4" t="str">
        <f>IFERROR(__xludf.DUMMYFUNCTION("""COMPUTED_VALUE"""),"001")</f>
        <v>001</v>
      </c>
      <c r="L321" s="4" t="str">
        <f>IFERROR(__xludf.DUMMYFUNCTION("""COMPUTED_VALUE"""),"TM - 11B/H (Kabel Naik)")</f>
        <v>TM - 11B/H (Kabel Naik)</v>
      </c>
      <c r="M321" s="4" t="str">
        <f>IFERROR(__xludf.DUMMYFUNCTION("""COMPUTED_VALUE"""),"Tidak Ada")</f>
        <v>Tidak Ada</v>
      </c>
      <c r="N321" s="4"/>
      <c r="O321" s="4" t="str">
        <f>IFERROR(__xludf.DUMMYFUNCTION("""COMPUTED_VALUE"""),"PEMBANDING SEJENIS")</f>
        <v>PEMBANDING SEJENIS</v>
      </c>
      <c r="P321" s="4" t="str">
        <f>IFERROR(__xludf.DUMMYFUNCTION("""COMPUTED_VALUE"""),"KONEKTOR/JUMPER")</f>
        <v>KONEKTOR/JUMPER</v>
      </c>
      <c r="Q321" s="4">
        <f>IFERROR(__xludf.DUMMYFUNCTION("""COMPUTED_VALUE"""),23.0)</f>
        <v>23</v>
      </c>
      <c r="R321" s="4">
        <f>IFERROR(__xludf.DUMMYFUNCTION("""COMPUTED_VALUE"""),23.0)</f>
        <v>23</v>
      </c>
      <c r="S321" s="4">
        <f>IFERROR(__xludf.DUMMYFUNCTION("""COMPUTED_VALUE"""),22.0)</f>
        <v>22</v>
      </c>
      <c r="T321" s="4"/>
      <c r="U321" s="4" t="str">
        <f>IFERROR(__xludf.DUMMYFUNCTION("""COMPUTED_VALUE"""),"BAIK")</f>
        <v>BAIK</v>
      </c>
      <c r="V321" s="4" t="str">
        <f>IFERROR(__xludf.DUMMYFUNCTION("""COMPUTED_VALUE"""),"Tidak Ada")</f>
        <v>Tidak Ada</v>
      </c>
      <c r="W321" s="4"/>
      <c r="X321" s="4"/>
      <c r="Y321" s="4"/>
      <c r="Z321" s="4"/>
      <c r="AA321" s="4"/>
      <c r="AB321" s="4"/>
      <c r="AC321" s="4" t="str">
        <f>IFERROR(__xludf.DUMMYFUNCTION("""COMPUTED_VALUE"""),"INSPEKSI SUTM - T2_Images/f99112c6.FOTO.145214.jpg")</f>
        <v>INSPEKSI SUTM - T2_Images/f99112c6.FOTO.145214.jpg</v>
      </c>
      <c r="AD321" s="4"/>
      <c r="AE321" s="4"/>
      <c r="AF321" s="4" t="str">
        <f>IFERROR(__xludf.DUMMYFUNCTION("""COMPUTED_VALUE"""),"BELUM")</f>
        <v>BELUM</v>
      </c>
      <c r="AG321" s="6">
        <f>IFERROR(__xludf.DUMMYFUNCTION("""COMPUTED_VALUE"""),46065.0)</f>
        <v>46065</v>
      </c>
      <c r="AH321" s="4"/>
      <c r="AI321" s="4"/>
    </row>
    <row r="322" ht="15.75" customHeight="1">
      <c r="A322" s="4" t="str">
        <f>IFERROR(__xludf.DUMMYFUNCTION("""COMPUTED_VALUE"""),"5d4eda67")</f>
        <v>5d4eda67</v>
      </c>
      <c r="B322" s="5">
        <f>IFERROR(__xludf.DUMMYFUNCTION("""COMPUTED_VALUE"""),46065.911770833336)</f>
        <v>46065.91177</v>
      </c>
      <c r="C322" s="4" t="str">
        <f>IFERROR(__xludf.DUMMYFUNCTION("""COMPUTED_VALUE"""),"-6.910954, 107.683866")</f>
        <v>-6.910954, 107.683866</v>
      </c>
      <c r="D322" s="4" t="str">
        <f>IFERROR(__xludf.DUMMYFUNCTION("""COMPUTED_VALUE"""),"Canra heri")</f>
        <v>Canra heri</v>
      </c>
      <c r="E322" s="4" t="str">
        <f>IFERROR(__xludf.DUMMYFUNCTION("""COMPUTED_VALUE"""),"BANDUNG")</f>
        <v>BANDUNG</v>
      </c>
      <c r="F322" s="4" t="str">
        <f>IFERROR(__xludf.DUMMYFUNCTION("""COMPUTED_VALUE"""),"UJUNGBERUNG")</f>
        <v>UJUNGBERUNG</v>
      </c>
      <c r="G322" s="4" t="str">
        <f>IFERROR(__xludf.DUMMYFUNCTION("""COMPUTED_VALUE"""),"UJUNGBERUNG")</f>
        <v>UJUNGBERUNG</v>
      </c>
      <c r="H322" s="4" t="str">
        <f>IFERROR(__xludf.DUMMYFUNCTION("""COMPUTED_VALUE"""),"UZP")</f>
        <v>UZP</v>
      </c>
      <c r="I322" s="4" t="str">
        <f>IFERROR(__xludf.DUMMYFUNCTION("""COMPUTED_VALUE"""),"GH BNA - AMKC")</f>
        <v>GH BNA - AMKC</v>
      </c>
      <c r="J322" s="4" t="str">
        <f>IFERROR(__xludf.DUMMYFUNCTION("""COMPUTED_VALUE"""),"ZONA 2")</f>
        <v>ZONA 2</v>
      </c>
      <c r="K322" s="4" t="str">
        <f>IFERROR(__xludf.DUMMYFUNCTION("""COMPUTED_VALUE"""),"002")</f>
        <v>002</v>
      </c>
      <c r="L322" s="4" t="str">
        <f>IFERROR(__xludf.DUMMYFUNCTION("""COMPUTED_VALUE"""),"TM - 7B/H (Afspan 90 Derajat)")</f>
        <v>TM - 7B/H (Afspan 90 Derajat)</v>
      </c>
      <c r="M322" s="4" t="str">
        <f>IFERROR(__xludf.DUMMYFUNCTION("""COMPUTED_VALUE"""),"Tidak Ada")</f>
        <v>Tidak Ada</v>
      </c>
      <c r="N322" s="4"/>
      <c r="O322" s="4" t="str">
        <f>IFERROR(__xludf.DUMMYFUNCTION("""COMPUTED_VALUE"""),"PEMBANDING SEJENIS")</f>
        <v>PEMBANDING SEJENIS</v>
      </c>
      <c r="P322" s="4" t="str">
        <f>IFERROR(__xludf.DUMMYFUNCTION("""COMPUTED_VALUE"""),"KONEKTOR/JUMPER")</f>
        <v>KONEKTOR/JUMPER</v>
      </c>
      <c r="Q322" s="4">
        <f>IFERROR(__xludf.DUMMYFUNCTION("""COMPUTED_VALUE"""),23.0)</f>
        <v>23</v>
      </c>
      <c r="R322" s="4">
        <f>IFERROR(__xludf.DUMMYFUNCTION("""COMPUTED_VALUE"""),24.0)</f>
        <v>24</v>
      </c>
      <c r="S322" s="4">
        <f>IFERROR(__xludf.DUMMYFUNCTION("""COMPUTED_VALUE"""),24.0)</f>
        <v>24</v>
      </c>
      <c r="T322" s="4"/>
      <c r="U322" s="4" t="str">
        <f>IFERROR(__xludf.DUMMYFUNCTION("""COMPUTED_VALUE"""),"BAIK")</f>
        <v>BAIK</v>
      </c>
      <c r="V322" s="4" t="str">
        <f>IFERROR(__xludf.DUMMYFUNCTION("""COMPUTED_VALUE"""),"Tidak Ada")</f>
        <v>Tidak Ada</v>
      </c>
      <c r="W322" s="4"/>
      <c r="X322" s="4"/>
      <c r="Y322" s="4"/>
      <c r="Z322" s="4"/>
      <c r="AA322" s="4"/>
      <c r="AB322" s="4"/>
      <c r="AC322" s="4" t="str">
        <f>IFERROR(__xludf.DUMMYFUNCTION("""COMPUTED_VALUE"""),"INSPEKSI SUTM - T2_Images/5d4eda67.FOTO.145410.jpg")</f>
        <v>INSPEKSI SUTM - T2_Images/5d4eda67.FOTO.145410.jpg</v>
      </c>
      <c r="AD322" s="4"/>
      <c r="AE322" s="4"/>
      <c r="AF322" s="4" t="str">
        <f>IFERROR(__xludf.DUMMYFUNCTION("""COMPUTED_VALUE"""),"BELUM")</f>
        <v>BELUM</v>
      </c>
      <c r="AG322" s="6">
        <f>IFERROR(__xludf.DUMMYFUNCTION("""COMPUTED_VALUE"""),46065.0)</f>
        <v>46065</v>
      </c>
      <c r="AH322" s="4"/>
      <c r="AI322" s="4"/>
    </row>
    <row r="323" ht="15.75" customHeight="1">
      <c r="A323" s="4" t="str">
        <f>IFERROR(__xludf.DUMMYFUNCTION("""COMPUTED_VALUE"""),"6eae1cd8")</f>
        <v>6eae1cd8</v>
      </c>
      <c r="B323" s="5">
        <f>IFERROR(__xludf.DUMMYFUNCTION("""COMPUTED_VALUE"""),46065.913252314815)</f>
        <v>46065.91325</v>
      </c>
      <c r="C323" s="4" t="str">
        <f>IFERROR(__xludf.DUMMYFUNCTION("""COMPUTED_VALUE"""),"-6.910226, 107.684104")</f>
        <v>-6.910226, 107.684104</v>
      </c>
      <c r="D323" s="4" t="str">
        <f>IFERROR(__xludf.DUMMYFUNCTION("""COMPUTED_VALUE"""),"Canra heei")</f>
        <v>Canra heei</v>
      </c>
      <c r="E323" s="4" t="str">
        <f>IFERROR(__xludf.DUMMYFUNCTION("""COMPUTED_VALUE"""),"BANDUNG")</f>
        <v>BANDUNG</v>
      </c>
      <c r="F323" s="4" t="str">
        <f>IFERROR(__xludf.DUMMYFUNCTION("""COMPUTED_VALUE"""),"UJUNGBERUNG")</f>
        <v>UJUNGBERUNG</v>
      </c>
      <c r="G323" s="4" t="str">
        <f>IFERROR(__xludf.DUMMYFUNCTION("""COMPUTED_VALUE"""),"UJUNGBERUNG")</f>
        <v>UJUNGBERUNG</v>
      </c>
      <c r="H323" s="4" t="str">
        <f>IFERROR(__xludf.DUMMYFUNCTION("""COMPUTED_VALUE"""),"UZP")</f>
        <v>UZP</v>
      </c>
      <c r="I323" s="4" t="str">
        <f>IFERROR(__xludf.DUMMYFUNCTION("""COMPUTED_VALUE"""),"GH BNA - AMKC")</f>
        <v>GH BNA - AMKC</v>
      </c>
      <c r="J323" s="4" t="str">
        <f>IFERROR(__xludf.DUMMYFUNCTION("""COMPUTED_VALUE"""),"ZONA 2")</f>
        <v>ZONA 2</v>
      </c>
      <c r="K323" s="4" t="str">
        <f>IFERROR(__xludf.DUMMYFUNCTION("""COMPUTED_VALUE"""),"005")</f>
        <v>005</v>
      </c>
      <c r="L323" s="4" t="str">
        <f>IFERROR(__xludf.DUMMYFUNCTION("""COMPUTED_VALUE"""),"TM - 1B/H (Tumpu)")</f>
        <v>TM - 1B/H (Tumpu)</v>
      </c>
      <c r="M323" s="4" t="str">
        <f>IFERROR(__xludf.DUMMYFUNCTION("""COMPUTED_VALUE"""),"Tidak Ada")</f>
        <v>Tidak Ada</v>
      </c>
      <c r="N323" s="4"/>
      <c r="O323" s="4" t="str">
        <f>IFERROR(__xludf.DUMMYFUNCTION("""COMPUTED_VALUE"""),"PEMBANDING SEJENIS")</f>
        <v>PEMBANDING SEJENIS</v>
      </c>
      <c r="P323" s="4" t="str">
        <f>IFERROR(__xludf.DUMMYFUNCTION("""COMPUTED_VALUE"""),"ARRESTER")</f>
        <v>ARRESTER</v>
      </c>
      <c r="Q323" s="4">
        <f>IFERROR(__xludf.DUMMYFUNCTION("""COMPUTED_VALUE"""),25.0)</f>
        <v>25</v>
      </c>
      <c r="R323" s="4">
        <f>IFERROR(__xludf.DUMMYFUNCTION("""COMPUTED_VALUE"""),25.0)</f>
        <v>25</v>
      </c>
      <c r="S323" s="4">
        <f>IFERROR(__xludf.DUMMYFUNCTION("""COMPUTED_VALUE"""),25.0)</f>
        <v>25</v>
      </c>
      <c r="T323" s="4"/>
      <c r="U323" s="4" t="str">
        <f>IFERROR(__xludf.DUMMYFUNCTION("""COMPUTED_VALUE"""),"BAIK")</f>
        <v>BAIK</v>
      </c>
      <c r="V323" s="4" t="str">
        <f>IFERROR(__xludf.DUMMYFUNCTION("""COMPUTED_VALUE"""),"Tidak Ada")</f>
        <v>Tidak Ada</v>
      </c>
      <c r="W323" s="4"/>
      <c r="X323" s="4"/>
      <c r="Y323" s="4"/>
      <c r="Z323" s="4"/>
      <c r="AA323" s="4"/>
      <c r="AB323" s="4"/>
      <c r="AC323" s="4" t="str">
        <f>IFERROR(__xludf.DUMMYFUNCTION("""COMPUTED_VALUE"""),"INSPEKSI SUTM - T2_Images/6eae1cd8.FOTO.145612.jpg")</f>
        <v>INSPEKSI SUTM - T2_Images/6eae1cd8.FOTO.145612.jpg</v>
      </c>
      <c r="AD323" s="4"/>
      <c r="AE323" s="4"/>
      <c r="AF323" s="4" t="str">
        <f>IFERROR(__xludf.DUMMYFUNCTION("""COMPUTED_VALUE"""),"BELUM")</f>
        <v>BELUM</v>
      </c>
      <c r="AG323" s="6">
        <f>IFERROR(__xludf.DUMMYFUNCTION("""COMPUTED_VALUE"""),46065.0)</f>
        <v>46065</v>
      </c>
      <c r="AH323" s="4"/>
      <c r="AI323" s="4"/>
    </row>
    <row r="324" ht="15.75" customHeight="1">
      <c r="A324" s="4" t="str">
        <f>IFERROR(__xludf.DUMMYFUNCTION("""COMPUTED_VALUE"""),"512e0a48")</f>
        <v>512e0a48</v>
      </c>
      <c r="B324" s="5">
        <f>IFERROR(__xludf.DUMMYFUNCTION("""COMPUTED_VALUE"""),46065.91439814815)</f>
        <v>46065.9144</v>
      </c>
      <c r="C324" s="4" t="str">
        <f>IFERROR(__xludf.DUMMYFUNCTION("""COMPUTED_VALUE"""),"-6.909483, 107.684323")</f>
        <v>-6.909483, 107.684323</v>
      </c>
      <c r="D324" s="4" t="str">
        <f>IFERROR(__xludf.DUMMYFUNCTION("""COMPUTED_VALUE"""),"Canra heri")</f>
        <v>Canra heri</v>
      </c>
      <c r="E324" s="4" t="str">
        <f>IFERROR(__xludf.DUMMYFUNCTION("""COMPUTED_VALUE"""),"BANDUNG")</f>
        <v>BANDUNG</v>
      </c>
      <c r="F324" s="4" t="str">
        <f>IFERROR(__xludf.DUMMYFUNCTION("""COMPUTED_VALUE"""),"UJUNGBERUNG")</f>
        <v>UJUNGBERUNG</v>
      </c>
      <c r="G324" s="4" t="str">
        <f>IFERROR(__xludf.DUMMYFUNCTION("""COMPUTED_VALUE"""),"UJUNGBERUNG")</f>
        <v>UJUNGBERUNG</v>
      </c>
      <c r="H324" s="4" t="str">
        <f>IFERROR(__xludf.DUMMYFUNCTION("""COMPUTED_VALUE"""),"UZP")</f>
        <v>UZP</v>
      </c>
      <c r="I324" s="4" t="str">
        <f>IFERROR(__xludf.DUMMYFUNCTION("""COMPUTED_VALUE"""),"GH BNA - AMKC")</f>
        <v>GH BNA - AMKC</v>
      </c>
      <c r="J324" s="4" t="str">
        <f>IFERROR(__xludf.DUMMYFUNCTION("""COMPUTED_VALUE"""),"ZONA 2")</f>
        <v>ZONA 2</v>
      </c>
      <c r="K324" s="4" t="str">
        <f>IFERROR(__xludf.DUMMYFUNCTION("""COMPUTED_VALUE"""),"007")</f>
        <v>007</v>
      </c>
      <c r="L324" s="4" t="str">
        <f>IFERROR(__xludf.DUMMYFUNCTION("""COMPUTED_VALUE"""),"TM - 1B/H (Tumpu)")</f>
        <v>TM - 1B/H (Tumpu)</v>
      </c>
      <c r="M324" s="4" t="str">
        <f>IFERROR(__xludf.DUMMYFUNCTION("""COMPUTED_VALUE"""),"Tidak Ada")</f>
        <v>Tidak Ada</v>
      </c>
      <c r="N324" s="4"/>
      <c r="O324" s="4" t="str">
        <f>IFERROR(__xludf.DUMMYFUNCTION("""COMPUTED_VALUE"""),"PEMBANDING SEJENIS")</f>
        <v>PEMBANDING SEJENIS</v>
      </c>
      <c r="P324" s="4" t="str">
        <f>IFERROR(__xludf.DUMMYFUNCTION("""COMPUTED_VALUE"""),"ARRESTER")</f>
        <v>ARRESTER</v>
      </c>
      <c r="Q324" s="4">
        <f>IFERROR(__xludf.DUMMYFUNCTION("""COMPUTED_VALUE"""),27.0)</f>
        <v>27</v>
      </c>
      <c r="R324" s="4">
        <f>IFERROR(__xludf.DUMMYFUNCTION("""COMPUTED_VALUE"""),27.0)</f>
        <v>27</v>
      </c>
      <c r="S324" s="4">
        <f>IFERROR(__xludf.DUMMYFUNCTION("""COMPUTED_VALUE"""),27.0)</f>
        <v>27</v>
      </c>
      <c r="T324" s="4"/>
      <c r="U324" s="4" t="str">
        <f>IFERROR(__xludf.DUMMYFUNCTION("""COMPUTED_VALUE"""),"BAIK")</f>
        <v>BAIK</v>
      </c>
      <c r="V324" s="4" t="str">
        <f>IFERROR(__xludf.DUMMYFUNCTION("""COMPUTED_VALUE"""),"Tidak Ada")</f>
        <v>Tidak Ada</v>
      </c>
      <c r="W324" s="4"/>
      <c r="X324" s="4"/>
      <c r="Y324" s="4"/>
      <c r="Z324" s="4"/>
      <c r="AA324" s="4"/>
      <c r="AB324" s="4"/>
      <c r="AC324" s="4" t="str">
        <f>IFERROR(__xludf.DUMMYFUNCTION("""COMPUTED_VALUE"""),"INSPEKSI SUTM - T2_Images/512e0a48.FOTO.145755.jpg")</f>
        <v>INSPEKSI SUTM - T2_Images/512e0a48.FOTO.145755.jpg</v>
      </c>
      <c r="AD324" s="4"/>
      <c r="AE324" s="4"/>
      <c r="AF324" s="4" t="str">
        <f>IFERROR(__xludf.DUMMYFUNCTION("""COMPUTED_VALUE"""),"BELUM")</f>
        <v>BELUM</v>
      </c>
      <c r="AG324" s="6">
        <f>IFERROR(__xludf.DUMMYFUNCTION("""COMPUTED_VALUE"""),46065.0)</f>
        <v>46065</v>
      </c>
      <c r="AH324" s="4"/>
      <c r="AI324" s="4"/>
    </row>
    <row r="325" ht="15.75" customHeight="1">
      <c r="A325" s="4" t="str">
        <f>IFERROR(__xludf.DUMMYFUNCTION("""COMPUTED_VALUE"""),"41d9365d")</f>
        <v>41d9365d</v>
      </c>
      <c r="B325" s="5">
        <f>IFERROR(__xludf.DUMMYFUNCTION("""COMPUTED_VALUE"""),46065.9197337963)</f>
        <v>46065.91973</v>
      </c>
      <c r="C325" s="4" t="str">
        <f>IFERROR(__xludf.DUMMYFUNCTION("""COMPUTED_VALUE"""),"-6.908559, 107.684697")</f>
        <v>-6.908559, 107.684697</v>
      </c>
      <c r="D325" s="4" t="str">
        <f>IFERROR(__xludf.DUMMYFUNCTION("""COMPUTED_VALUE"""),"Canracheri")</f>
        <v>Canracheri</v>
      </c>
      <c r="E325" s="4" t="str">
        <f>IFERROR(__xludf.DUMMYFUNCTION("""COMPUTED_VALUE"""),"BANDUNG")</f>
        <v>BANDUNG</v>
      </c>
      <c r="F325" s="4" t="str">
        <f>IFERROR(__xludf.DUMMYFUNCTION("""COMPUTED_VALUE"""),"UJUNGBERUNG")</f>
        <v>UJUNGBERUNG</v>
      </c>
      <c r="G325" s="4" t="str">
        <f>IFERROR(__xludf.DUMMYFUNCTION("""COMPUTED_VALUE"""),"UJUNGBERUNG")</f>
        <v>UJUNGBERUNG</v>
      </c>
      <c r="H325" s="4" t="str">
        <f>IFERROR(__xludf.DUMMYFUNCTION("""COMPUTED_VALUE"""),"UZP")</f>
        <v>UZP</v>
      </c>
      <c r="I325" s="4" t="str">
        <f>IFERROR(__xludf.DUMMYFUNCTION("""COMPUTED_VALUE"""),"GH BNA - AMKC")</f>
        <v>GH BNA - AMKC</v>
      </c>
      <c r="J325" s="4" t="str">
        <f>IFERROR(__xludf.DUMMYFUNCTION("""COMPUTED_VALUE"""),"ZONA 2")</f>
        <v>ZONA 2</v>
      </c>
      <c r="K325" s="4" t="str">
        <f>IFERROR(__xludf.DUMMYFUNCTION("""COMPUTED_VALUE"""),"010")</f>
        <v>010</v>
      </c>
      <c r="L325" s="4" t="str">
        <f>IFERROR(__xludf.DUMMYFUNCTION("""COMPUTED_VALUE"""),"TM - 4B/H (Afspan)")</f>
        <v>TM - 4B/H (Afspan)</v>
      </c>
      <c r="M325" s="4" t="str">
        <f>IFERROR(__xludf.DUMMYFUNCTION("""COMPUTED_VALUE"""),"Tidak Ada")</f>
        <v>Tidak Ada</v>
      </c>
      <c r="N325" s="4"/>
      <c r="O325" s="4" t="str">
        <f>IFERROR(__xludf.DUMMYFUNCTION("""COMPUTED_VALUE"""),"PEMBANDING SEJENIS")</f>
        <v>PEMBANDING SEJENIS</v>
      </c>
      <c r="P325" s="4" t="str">
        <f>IFERROR(__xludf.DUMMYFUNCTION("""COMPUTED_VALUE"""),"KONEKTOR/JUMPER")</f>
        <v>KONEKTOR/JUMPER</v>
      </c>
      <c r="Q325" s="4">
        <f>IFERROR(__xludf.DUMMYFUNCTION("""COMPUTED_VALUE"""),28.0)</f>
        <v>28</v>
      </c>
      <c r="R325" s="4">
        <f>IFERROR(__xludf.DUMMYFUNCTION("""COMPUTED_VALUE"""),28.0)</f>
        <v>28</v>
      </c>
      <c r="S325" s="4">
        <f>IFERROR(__xludf.DUMMYFUNCTION("""COMPUTED_VALUE"""),28.0)</f>
        <v>28</v>
      </c>
      <c r="T325" s="4"/>
      <c r="U325" s="4" t="str">
        <f>IFERROR(__xludf.DUMMYFUNCTION("""COMPUTED_VALUE"""),"BAIK")</f>
        <v>BAIK</v>
      </c>
      <c r="V325" s="4" t="str">
        <f>IFERROR(__xludf.DUMMYFUNCTION("""COMPUTED_VALUE"""),"Tidak Ada")</f>
        <v>Tidak Ada</v>
      </c>
      <c r="W325" s="4"/>
      <c r="X325" s="4"/>
      <c r="Y325" s="4"/>
      <c r="Z325" s="4"/>
      <c r="AA325" s="4"/>
      <c r="AB325" s="4"/>
      <c r="AC325" s="4" t="str">
        <f>IFERROR(__xludf.DUMMYFUNCTION("""COMPUTED_VALUE"""),"INSPEKSI SUTM - T2_Images/41d9365d.FOTO.150528.jpg")</f>
        <v>INSPEKSI SUTM - T2_Images/41d9365d.FOTO.150528.jpg</v>
      </c>
      <c r="AD325" s="4"/>
      <c r="AE325" s="4"/>
      <c r="AF325" s="4" t="str">
        <f>IFERROR(__xludf.DUMMYFUNCTION("""COMPUTED_VALUE"""),"BELUM")</f>
        <v>BELUM</v>
      </c>
      <c r="AG325" s="6">
        <f>IFERROR(__xludf.DUMMYFUNCTION("""COMPUTED_VALUE"""),46065.0)</f>
        <v>46065</v>
      </c>
      <c r="AH325" s="4"/>
      <c r="AI325" s="4"/>
    </row>
    <row r="326" ht="15.75" customHeight="1">
      <c r="A326" s="4" t="str">
        <f>IFERROR(__xludf.DUMMYFUNCTION("""COMPUTED_VALUE"""),"0f01da20")</f>
        <v>0f01da20</v>
      </c>
      <c r="B326" s="5">
        <f>IFERROR(__xludf.DUMMYFUNCTION("""COMPUTED_VALUE"""),46065.92297453704)</f>
        <v>46065.92297</v>
      </c>
      <c r="C326" s="4" t="str">
        <f>IFERROR(__xludf.DUMMYFUNCTION("""COMPUTED_VALUE"""),"-6.907960, 107.684917")</f>
        <v>-6.907960, 107.684917</v>
      </c>
      <c r="D326" s="4" t="str">
        <f>IFERROR(__xludf.DUMMYFUNCTION("""COMPUTED_VALUE"""),"Canra heri")</f>
        <v>Canra heri</v>
      </c>
      <c r="E326" s="4" t="str">
        <f>IFERROR(__xludf.DUMMYFUNCTION("""COMPUTED_VALUE"""),"BANDUNG")</f>
        <v>BANDUNG</v>
      </c>
      <c r="F326" s="4" t="str">
        <f>IFERROR(__xludf.DUMMYFUNCTION("""COMPUTED_VALUE"""),"UJUNGBERUNG")</f>
        <v>UJUNGBERUNG</v>
      </c>
      <c r="G326" s="4" t="str">
        <f>IFERROR(__xludf.DUMMYFUNCTION("""COMPUTED_VALUE"""),"UJUNGBERUNG")</f>
        <v>UJUNGBERUNG</v>
      </c>
      <c r="H326" s="4" t="str">
        <f>IFERROR(__xludf.DUMMYFUNCTION("""COMPUTED_VALUE"""),"UZP")</f>
        <v>UZP</v>
      </c>
      <c r="I326" s="4" t="str">
        <f>IFERROR(__xludf.DUMMYFUNCTION("""COMPUTED_VALUE"""),"GH BNA - AMKC")</f>
        <v>GH BNA - AMKC</v>
      </c>
      <c r="J326" s="4" t="str">
        <f>IFERROR(__xludf.DUMMYFUNCTION("""COMPUTED_VALUE"""),"ZONA 2")</f>
        <v>ZONA 2</v>
      </c>
      <c r="K326" s="4" t="str">
        <f>IFERROR(__xludf.DUMMYFUNCTION("""COMPUTED_VALUE"""),"014")</f>
        <v>014</v>
      </c>
      <c r="L326" s="4" t="str">
        <f>IFERROR(__xludf.DUMMYFUNCTION("""COMPUTED_VALUE"""),"TM - 4B/H (Afspan)")</f>
        <v>TM - 4B/H (Afspan)</v>
      </c>
      <c r="M326" s="4" t="str">
        <f>IFERROR(__xludf.DUMMYFUNCTION("""COMPUTED_VALUE"""),"Tidak Ada")</f>
        <v>Tidak Ada</v>
      </c>
      <c r="N326" s="4"/>
      <c r="O326" s="4" t="str">
        <f>IFERROR(__xludf.DUMMYFUNCTION("""COMPUTED_VALUE"""),"PEMBANDING SEJENIS")</f>
        <v>PEMBANDING SEJENIS</v>
      </c>
      <c r="P326" s="4" t="str">
        <f>IFERROR(__xludf.DUMMYFUNCTION("""COMPUTED_VALUE"""),"KONEKTOR/JUMPER")</f>
        <v>KONEKTOR/JUMPER</v>
      </c>
      <c r="Q326" s="4">
        <f>IFERROR(__xludf.DUMMYFUNCTION("""COMPUTED_VALUE"""),26.0)</f>
        <v>26</v>
      </c>
      <c r="R326" s="4">
        <f>IFERROR(__xludf.DUMMYFUNCTION("""COMPUTED_VALUE"""),26.0)</f>
        <v>26</v>
      </c>
      <c r="S326" s="4">
        <f>IFERROR(__xludf.DUMMYFUNCTION("""COMPUTED_VALUE"""),25.0)</f>
        <v>25</v>
      </c>
      <c r="T326" s="4"/>
      <c r="U326" s="4" t="str">
        <f>IFERROR(__xludf.DUMMYFUNCTION("""COMPUTED_VALUE"""),"BAIK")</f>
        <v>BAIK</v>
      </c>
      <c r="V326" s="4" t="str">
        <f>IFERROR(__xludf.DUMMYFUNCTION("""COMPUTED_VALUE"""),"Tidak Ada")</f>
        <v>Tidak Ada</v>
      </c>
      <c r="W326" s="4"/>
      <c r="X326" s="4"/>
      <c r="Y326" s="4"/>
      <c r="Z326" s="4"/>
      <c r="AA326" s="4"/>
      <c r="AB326" s="4"/>
      <c r="AC326" s="4" t="str">
        <f>IFERROR(__xludf.DUMMYFUNCTION("""COMPUTED_VALUE"""),"INSPEKSI SUTM - T2_Images/0f01da20.FOTO.151006.jpg")</f>
        <v>INSPEKSI SUTM - T2_Images/0f01da20.FOTO.151006.jpg</v>
      </c>
      <c r="AD326" s="4"/>
      <c r="AE326" s="4"/>
      <c r="AF326" s="4" t="str">
        <f>IFERROR(__xludf.DUMMYFUNCTION("""COMPUTED_VALUE"""),"BELUM")</f>
        <v>BELUM</v>
      </c>
      <c r="AG326" s="6">
        <f>IFERROR(__xludf.DUMMYFUNCTION("""COMPUTED_VALUE"""),46065.0)</f>
        <v>46065</v>
      </c>
      <c r="AH326" s="4"/>
      <c r="AI326" s="4"/>
    </row>
    <row r="327" ht="15.75" customHeight="1">
      <c r="A327" s="4" t="str">
        <f>IFERROR(__xludf.DUMMYFUNCTION("""COMPUTED_VALUE"""),"88932214")</f>
        <v>88932214</v>
      </c>
      <c r="B327" s="5">
        <f>IFERROR(__xludf.DUMMYFUNCTION("""COMPUTED_VALUE"""),46065.92403935185)</f>
        <v>46065.92404</v>
      </c>
      <c r="C327" s="4" t="str">
        <f>IFERROR(__xludf.DUMMYFUNCTION("""COMPUTED_VALUE"""),"-6.906915, 107.685367")</f>
        <v>-6.906915, 107.685367</v>
      </c>
      <c r="D327" s="4" t="str">
        <f>IFERROR(__xludf.DUMMYFUNCTION("""COMPUTED_VALUE"""),"Canra heri")</f>
        <v>Canra heri</v>
      </c>
      <c r="E327" s="4" t="str">
        <f>IFERROR(__xludf.DUMMYFUNCTION("""COMPUTED_VALUE"""),"BANDUNG")</f>
        <v>BANDUNG</v>
      </c>
      <c r="F327" s="4" t="str">
        <f>IFERROR(__xludf.DUMMYFUNCTION("""COMPUTED_VALUE"""),"UJUNGBERUNG")</f>
        <v>UJUNGBERUNG</v>
      </c>
      <c r="G327" s="4" t="str">
        <f>IFERROR(__xludf.DUMMYFUNCTION("""COMPUTED_VALUE"""),"UJUNGBERUNG")</f>
        <v>UJUNGBERUNG</v>
      </c>
      <c r="H327" s="4" t="str">
        <f>IFERROR(__xludf.DUMMYFUNCTION("""COMPUTED_VALUE"""),"UZP")</f>
        <v>UZP</v>
      </c>
      <c r="I327" s="4" t="str">
        <f>IFERROR(__xludf.DUMMYFUNCTION("""COMPUTED_VALUE"""),"GH BNA - AMKC")</f>
        <v>GH BNA - AMKC</v>
      </c>
      <c r="J327" s="4" t="str">
        <f>IFERROR(__xludf.DUMMYFUNCTION("""COMPUTED_VALUE"""),"ZONA 2")</f>
        <v>ZONA 2</v>
      </c>
      <c r="K327" s="4" t="str">
        <f>IFERROR(__xludf.DUMMYFUNCTION("""COMPUTED_VALUE"""),"017")</f>
        <v>017</v>
      </c>
      <c r="L327" s="4" t="str">
        <f>IFERROR(__xludf.DUMMYFUNCTION("""COMPUTED_VALUE"""),"TM - 7B/H (Afspan 90 Derajat)")</f>
        <v>TM - 7B/H (Afspan 90 Derajat)</v>
      </c>
      <c r="M327" s="4" t="str">
        <f>IFERROR(__xludf.DUMMYFUNCTION("""COMPUTED_VALUE"""),"Tidak Ada")</f>
        <v>Tidak Ada</v>
      </c>
      <c r="N327" s="4"/>
      <c r="O327" s="4" t="str">
        <f>IFERROR(__xludf.DUMMYFUNCTION("""COMPUTED_VALUE"""),"PEMBANDING SEJENIS")</f>
        <v>PEMBANDING SEJENIS</v>
      </c>
      <c r="P327" s="4" t="str">
        <f>IFERROR(__xludf.DUMMYFUNCTION("""COMPUTED_VALUE"""),"KONEKTOR/JUMPER")</f>
        <v>KONEKTOR/JUMPER</v>
      </c>
      <c r="Q327" s="4">
        <f>IFERROR(__xludf.DUMMYFUNCTION("""COMPUTED_VALUE"""),26.0)</f>
        <v>26</v>
      </c>
      <c r="R327" s="4">
        <f>IFERROR(__xludf.DUMMYFUNCTION("""COMPUTED_VALUE"""),26.0)</f>
        <v>26</v>
      </c>
      <c r="S327" s="4">
        <f>IFERROR(__xludf.DUMMYFUNCTION("""COMPUTED_VALUE"""),26.0)</f>
        <v>26</v>
      </c>
      <c r="T327" s="4"/>
      <c r="U327" s="4" t="str">
        <f>IFERROR(__xludf.DUMMYFUNCTION("""COMPUTED_VALUE"""),"BAIK")</f>
        <v>BAIK</v>
      </c>
      <c r="V327" s="4" t="str">
        <f>IFERROR(__xludf.DUMMYFUNCTION("""COMPUTED_VALUE"""),"Tidak Ada")</f>
        <v>Tidak Ada</v>
      </c>
      <c r="W327" s="4"/>
      <c r="X327" s="4"/>
      <c r="Y327" s="4"/>
      <c r="Z327" s="4"/>
      <c r="AA327" s="4"/>
      <c r="AB327" s="4"/>
      <c r="AC327" s="4" t="str">
        <f>IFERROR(__xludf.DUMMYFUNCTION("""COMPUTED_VALUE"""),"INSPEKSI SUTM - T2_Images/88932214.FOTO.151129.jpg")</f>
        <v>INSPEKSI SUTM - T2_Images/88932214.FOTO.151129.jpg</v>
      </c>
      <c r="AD327" s="4"/>
      <c r="AE327" s="4"/>
      <c r="AF327" s="4" t="str">
        <f>IFERROR(__xludf.DUMMYFUNCTION("""COMPUTED_VALUE"""),"BELUM")</f>
        <v>BELUM</v>
      </c>
      <c r="AG327" s="6">
        <f>IFERROR(__xludf.DUMMYFUNCTION("""COMPUTED_VALUE"""),46065.0)</f>
        <v>46065</v>
      </c>
      <c r="AH327" s="4"/>
      <c r="AI327" s="4"/>
    </row>
    <row r="328" ht="15.75" customHeight="1">
      <c r="A328" s="4" t="str">
        <f>IFERROR(__xludf.DUMMYFUNCTION("""COMPUTED_VALUE"""),"e0ccca19")</f>
        <v>e0ccca19</v>
      </c>
      <c r="B328" s="5">
        <f>IFERROR(__xludf.DUMMYFUNCTION("""COMPUTED_VALUE"""),46065.92587962963)</f>
        <v>46065.92588</v>
      </c>
      <c r="C328" s="4" t="str">
        <f>IFERROR(__xludf.DUMMYFUNCTION("""COMPUTED_VALUE"""),"-6.906415, 107.684144")</f>
        <v>-6.906415, 107.684144</v>
      </c>
      <c r="D328" s="4" t="str">
        <f>IFERROR(__xludf.DUMMYFUNCTION("""COMPUTED_VALUE"""),"Canra heri")</f>
        <v>Canra heri</v>
      </c>
      <c r="E328" s="4" t="str">
        <f>IFERROR(__xludf.DUMMYFUNCTION("""COMPUTED_VALUE"""),"BANDUNG")</f>
        <v>BANDUNG</v>
      </c>
      <c r="F328" s="4" t="str">
        <f>IFERROR(__xludf.DUMMYFUNCTION("""COMPUTED_VALUE"""),"UJUNGBERUNG")</f>
        <v>UJUNGBERUNG</v>
      </c>
      <c r="G328" s="4" t="str">
        <f>IFERROR(__xludf.DUMMYFUNCTION("""COMPUTED_VALUE"""),"UJUNGBERUNG")</f>
        <v>UJUNGBERUNG</v>
      </c>
      <c r="H328" s="4" t="str">
        <f>IFERROR(__xludf.DUMMYFUNCTION("""COMPUTED_VALUE"""),"UZP")</f>
        <v>UZP</v>
      </c>
      <c r="I328" s="4" t="str">
        <f>IFERROR(__xludf.DUMMYFUNCTION("""COMPUTED_VALUE"""),"GH BNA - AMKC")</f>
        <v>GH BNA - AMKC</v>
      </c>
      <c r="J328" s="4" t="str">
        <f>IFERROR(__xludf.DUMMYFUNCTION("""COMPUTED_VALUE"""),"ZONA 2")</f>
        <v>ZONA 2</v>
      </c>
      <c r="K328" s="4" t="str">
        <f>IFERROR(__xludf.DUMMYFUNCTION("""COMPUTED_VALUE"""),"021")</f>
        <v>021</v>
      </c>
      <c r="L328" s="4" t="str">
        <f>IFERROR(__xludf.DUMMYFUNCTION("""COMPUTED_VALUE"""),"TM - 13B/H (Kabel Naik Pada Tiang Tumpu)")</f>
        <v>TM - 13B/H (Kabel Naik Pada Tiang Tumpu)</v>
      </c>
      <c r="M328" s="4" t="str">
        <f>IFERROR(__xludf.DUMMYFUNCTION("""COMPUTED_VALUE"""),"Tidak Ada")</f>
        <v>Tidak Ada</v>
      </c>
      <c r="N328" s="4"/>
      <c r="O328" s="4" t="str">
        <f>IFERROR(__xludf.DUMMYFUNCTION("""COMPUTED_VALUE"""),"PEMBANDING SEJENIS")</f>
        <v>PEMBANDING SEJENIS</v>
      </c>
      <c r="P328" s="4" t="str">
        <f>IFERROR(__xludf.DUMMYFUNCTION("""COMPUTED_VALUE"""),"KONEKTOR/JUMPER")</f>
        <v>KONEKTOR/JUMPER</v>
      </c>
      <c r="Q328" s="4">
        <f>IFERROR(__xludf.DUMMYFUNCTION("""COMPUTED_VALUE"""),26.0)</f>
        <v>26</v>
      </c>
      <c r="R328" s="4">
        <f>IFERROR(__xludf.DUMMYFUNCTION("""COMPUTED_VALUE"""),26.0)</f>
        <v>26</v>
      </c>
      <c r="S328" s="4">
        <f>IFERROR(__xludf.DUMMYFUNCTION("""COMPUTED_VALUE"""),26.0)</f>
        <v>26</v>
      </c>
      <c r="T328" s="4"/>
      <c r="U328" s="4" t="str">
        <f>IFERROR(__xludf.DUMMYFUNCTION("""COMPUTED_VALUE"""),"BAIK")</f>
        <v>BAIK</v>
      </c>
      <c r="V328" s="4" t="str">
        <f>IFERROR(__xludf.DUMMYFUNCTION("""COMPUTED_VALUE"""),"Tidak Ada")</f>
        <v>Tidak Ada</v>
      </c>
      <c r="W328" s="4"/>
      <c r="X328" s="4"/>
      <c r="Y328" s="4"/>
      <c r="Z328" s="4"/>
      <c r="AA328" s="4"/>
      <c r="AB328" s="4"/>
      <c r="AC328" s="4" t="str">
        <f>IFERROR(__xludf.DUMMYFUNCTION("""COMPUTED_VALUE"""),"INSPEKSI SUTM - T2_Images/e0ccca19.FOTO.151424.jpg")</f>
        <v>INSPEKSI SUTM - T2_Images/e0ccca19.FOTO.151424.jpg</v>
      </c>
      <c r="AD328" s="4"/>
      <c r="AE328" s="4"/>
      <c r="AF328" s="4" t="str">
        <f>IFERROR(__xludf.DUMMYFUNCTION("""COMPUTED_VALUE"""),"BELUM")</f>
        <v>BELUM</v>
      </c>
      <c r="AG328" s="6">
        <f>IFERROR(__xludf.DUMMYFUNCTION("""COMPUTED_VALUE"""),46065.0)</f>
        <v>46065</v>
      </c>
      <c r="AH328" s="4"/>
      <c r="AI328" s="4"/>
    </row>
    <row r="329" ht="15.75" customHeight="1">
      <c r="A329" s="4" t="str">
        <f>IFERROR(__xludf.DUMMYFUNCTION("""COMPUTED_VALUE"""),"073e046a")</f>
        <v>073e046a</v>
      </c>
      <c r="B329" s="5">
        <f>IFERROR(__xludf.DUMMYFUNCTION("""COMPUTED_VALUE"""),46065.92716435185)</f>
        <v>46065.92716</v>
      </c>
      <c r="C329" s="4" t="str">
        <f>IFERROR(__xludf.DUMMYFUNCTION("""COMPUTED_VALUE"""),"-6.906280, 107.683814")</f>
        <v>-6.906280, 107.683814</v>
      </c>
      <c r="D329" s="4" t="str">
        <f>IFERROR(__xludf.DUMMYFUNCTION("""COMPUTED_VALUE"""),"Canra hwei")</f>
        <v>Canra hwei</v>
      </c>
      <c r="E329" s="4" t="str">
        <f>IFERROR(__xludf.DUMMYFUNCTION("""COMPUTED_VALUE"""),"BANDUNG")</f>
        <v>BANDUNG</v>
      </c>
      <c r="F329" s="4" t="str">
        <f>IFERROR(__xludf.DUMMYFUNCTION("""COMPUTED_VALUE"""),"UJUNGBERUNG")</f>
        <v>UJUNGBERUNG</v>
      </c>
      <c r="G329" s="4" t="str">
        <f>IFERROR(__xludf.DUMMYFUNCTION("""COMPUTED_VALUE"""),"UJUNGBERUNG")</f>
        <v>UJUNGBERUNG</v>
      </c>
      <c r="H329" s="4" t="str">
        <f>IFERROR(__xludf.DUMMYFUNCTION("""COMPUTED_VALUE"""),"UZP")</f>
        <v>UZP</v>
      </c>
      <c r="I329" s="4" t="str">
        <f>IFERROR(__xludf.DUMMYFUNCTION("""COMPUTED_VALUE"""),"GH BNA - AMKC")</f>
        <v>GH BNA - AMKC</v>
      </c>
      <c r="J329" s="4" t="str">
        <f>IFERROR(__xludf.DUMMYFUNCTION("""COMPUTED_VALUE"""),"ZONA 2")</f>
        <v>ZONA 2</v>
      </c>
      <c r="K329" s="4" t="str">
        <f>IFERROR(__xludf.DUMMYFUNCTION("""COMPUTED_VALUE"""),"022")</f>
        <v>022</v>
      </c>
      <c r="L329" s="4" t="str">
        <f>IFERROR(__xludf.DUMMYFUNCTION("""COMPUTED_VALUE"""),"TM - 7B/H (Afspan 90 Derajat)")</f>
        <v>TM - 7B/H (Afspan 90 Derajat)</v>
      </c>
      <c r="M329" s="4" t="str">
        <f>IFERROR(__xludf.DUMMYFUNCTION("""COMPUTED_VALUE"""),"Tidak Ada")</f>
        <v>Tidak Ada</v>
      </c>
      <c r="N329" s="4"/>
      <c r="O329" s="4" t="str">
        <f>IFERROR(__xludf.DUMMYFUNCTION("""COMPUTED_VALUE"""),"PEMBANDING SEJENIS")</f>
        <v>PEMBANDING SEJENIS</v>
      </c>
      <c r="P329" s="4" t="str">
        <f>IFERROR(__xludf.DUMMYFUNCTION("""COMPUTED_VALUE"""),"KONEKTOR/JUMPER")</f>
        <v>KONEKTOR/JUMPER</v>
      </c>
      <c r="Q329" s="4">
        <f>IFERROR(__xludf.DUMMYFUNCTION("""COMPUTED_VALUE"""),24.0)</f>
        <v>24</v>
      </c>
      <c r="R329" s="4">
        <f>IFERROR(__xludf.DUMMYFUNCTION("""COMPUTED_VALUE"""),22.0)</f>
        <v>22</v>
      </c>
      <c r="S329" s="4">
        <f>IFERROR(__xludf.DUMMYFUNCTION("""COMPUTED_VALUE"""),25.0)</f>
        <v>25</v>
      </c>
      <c r="T329" s="4"/>
      <c r="U329" s="4" t="str">
        <f>IFERROR(__xludf.DUMMYFUNCTION("""COMPUTED_VALUE"""),"CUKUP")</f>
        <v>CUKUP</v>
      </c>
      <c r="V329" s="4" t="str">
        <f>IFERROR(__xludf.DUMMYFUNCTION("""COMPUTED_VALUE"""),"Tidak Ada")</f>
        <v>Tidak Ada</v>
      </c>
      <c r="W329" s="4"/>
      <c r="X329" s="4"/>
      <c r="Y329" s="4"/>
      <c r="Z329" s="4"/>
      <c r="AA329" s="4"/>
      <c r="AB329" s="4"/>
      <c r="AC329" s="4" t="str">
        <f>IFERROR(__xludf.DUMMYFUNCTION("""COMPUTED_VALUE"""),"INSPEKSI SUTM - T2_Images/073e046a.FOTO.151611.jpg")</f>
        <v>INSPEKSI SUTM - T2_Images/073e046a.FOTO.151611.jpg</v>
      </c>
      <c r="AD329" s="4"/>
      <c r="AE329" s="4"/>
      <c r="AF329" s="4" t="str">
        <f>IFERROR(__xludf.DUMMYFUNCTION("""COMPUTED_VALUE"""),"BELUM")</f>
        <v>BELUM</v>
      </c>
      <c r="AG329" s="6">
        <f>IFERROR(__xludf.DUMMYFUNCTION("""COMPUTED_VALUE"""),46065.0)</f>
        <v>46065</v>
      </c>
      <c r="AH329" s="4"/>
      <c r="AI329" s="4"/>
    </row>
    <row r="330" ht="15.75" customHeight="1">
      <c r="A330" s="4" t="str">
        <f>IFERROR(__xludf.DUMMYFUNCTION("""COMPUTED_VALUE"""),"514a42a2")</f>
        <v>514a42a2</v>
      </c>
      <c r="B330" s="5">
        <f>IFERROR(__xludf.DUMMYFUNCTION("""COMPUTED_VALUE"""),46065.92885416667)</f>
        <v>46065.92885</v>
      </c>
      <c r="C330" s="4" t="str">
        <f>IFERROR(__xludf.DUMMYFUNCTION("""COMPUTED_VALUE"""),"-6.905193, 107.681048")</f>
        <v>-6.905193, 107.681048</v>
      </c>
      <c r="D330" s="4" t="str">
        <f>IFERROR(__xludf.DUMMYFUNCTION("""COMPUTED_VALUE"""),"Canra heei")</f>
        <v>Canra heei</v>
      </c>
      <c r="E330" s="4" t="str">
        <f>IFERROR(__xludf.DUMMYFUNCTION("""COMPUTED_VALUE"""),"BANDUNG")</f>
        <v>BANDUNG</v>
      </c>
      <c r="F330" s="4" t="str">
        <f>IFERROR(__xludf.DUMMYFUNCTION("""COMPUTED_VALUE"""),"UJUNGBERUNG")</f>
        <v>UJUNGBERUNG</v>
      </c>
      <c r="G330" s="4" t="str">
        <f>IFERROR(__xludf.DUMMYFUNCTION("""COMPUTED_VALUE"""),"UJUNGBERUNG")</f>
        <v>UJUNGBERUNG</v>
      </c>
      <c r="H330" s="4" t="str">
        <f>IFERROR(__xludf.DUMMYFUNCTION("""COMPUTED_VALUE"""),"UZP")</f>
        <v>UZP</v>
      </c>
      <c r="I330" s="4" t="str">
        <f>IFERROR(__xludf.DUMMYFUNCTION("""COMPUTED_VALUE"""),"GH BNA - AMKC")</f>
        <v>GH BNA - AMKC</v>
      </c>
      <c r="J330" s="4" t="str">
        <f>IFERROR(__xludf.DUMMYFUNCTION("""COMPUTED_VALUE"""),"ZONA 2")</f>
        <v>ZONA 2</v>
      </c>
      <c r="K330" s="4" t="str">
        <f>IFERROR(__xludf.DUMMYFUNCTION("""COMPUTED_VALUE"""),"032")</f>
        <v>032</v>
      </c>
      <c r="L330" s="4" t="str">
        <f>IFERROR(__xludf.DUMMYFUNCTION("""COMPUTED_VALUE"""),"TM - 1B/H (Tumpu)")</f>
        <v>TM - 1B/H (Tumpu)</v>
      </c>
      <c r="M330" s="4" t="str">
        <f>IFERROR(__xludf.DUMMYFUNCTION("""COMPUTED_VALUE"""),"Tidak Ada")</f>
        <v>Tidak Ada</v>
      </c>
      <c r="N330" s="4"/>
      <c r="O330" s="4" t="str">
        <f>IFERROR(__xludf.DUMMYFUNCTION("""COMPUTED_VALUE"""),"PEMBANDING SEJENIS")</f>
        <v>PEMBANDING SEJENIS</v>
      </c>
      <c r="P330" s="4" t="str">
        <f>IFERROR(__xludf.DUMMYFUNCTION("""COMPUTED_VALUE"""),"ARRESTER")</f>
        <v>ARRESTER</v>
      </c>
      <c r="Q330" s="4">
        <f>IFERROR(__xludf.DUMMYFUNCTION("""COMPUTED_VALUE"""),27.0)</f>
        <v>27</v>
      </c>
      <c r="R330" s="4">
        <f>IFERROR(__xludf.DUMMYFUNCTION("""COMPUTED_VALUE"""),27.0)</f>
        <v>27</v>
      </c>
      <c r="S330" s="4">
        <f>IFERROR(__xludf.DUMMYFUNCTION("""COMPUTED_VALUE"""),27.0)</f>
        <v>27</v>
      </c>
      <c r="T330" s="4"/>
      <c r="U330" s="4" t="str">
        <f>IFERROR(__xludf.DUMMYFUNCTION("""COMPUTED_VALUE"""),"BAIK")</f>
        <v>BAIK</v>
      </c>
      <c r="V330" s="4" t="str">
        <f>IFERROR(__xludf.DUMMYFUNCTION("""COMPUTED_VALUE"""),"Tidak Ada")</f>
        <v>Tidak Ada</v>
      </c>
      <c r="W330" s="4"/>
      <c r="X330" s="4"/>
      <c r="Y330" s="4"/>
      <c r="Z330" s="4"/>
      <c r="AA330" s="4"/>
      <c r="AB330" s="4"/>
      <c r="AC330" s="4" t="str">
        <f>IFERROR(__xludf.DUMMYFUNCTION("""COMPUTED_VALUE"""),"INSPEKSI SUTM - T2_Images/514a42a2.FOTO.151829.jpg")</f>
        <v>INSPEKSI SUTM - T2_Images/514a42a2.FOTO.151829.jpg</v>
      </c>
      <c r="AD330" s="4"/>
      <c r="AE330" s="4"/>
      <c r="AF330" s="4" t="str">
        <f>IFERROR(__xludf.DUMMYFUNCTION("""COMPUTED_VALUE"""),"BELUM")</f>
        <v>BELUM</v>
      </c>
      <c r="AG330" s="6">
        <f>IFERROR(__xludf.DUMMYFUNCTION("""COMPUTED_VALUE"""),46065.0)</f>
        <v>46065</v>
      </c>
      <c r="AH330" s="4"/>
      <c r="AI330" s="4"/>
    </row>
    <row r="331" ht="15.75" customHeight="1">
      <c r="A331" s="4" t="str">
        <f>IFERROR(__xludf.DUMMYFUNCTION("""COMPUTED_VALUE"""),"f3963b99")</f>
        <v>f3963b99</v>
      </c>
      <c r="B331" s="5">
        <f>IFERROR(__xludf.DUMMYFUNCTION("""COMPUTED_VALUE"""),46065.92979166667)</f>
        <v>46065.92979</v>
      </c>
      <c r="C331" s="4" t="str">
        <f>IFERROR(__xludf.DUMMYFUNCTION("""COMPUTED_VALUE"""),"-6.905092, 107.680206")</f>
        <v>-6.905092, 107.680206</v>
      </c>
      <c r="D331" s="4" t="str">
        <f>IFERROR(__xludf.DUMMYFUNCTION("""COMPUTED_VALUE"""),"Canravheei")</f>
        <v>Canravheei</v>
      </c>
      <c r="E331" s="4" t="str">
        <f>IFERROR(__xludf.DUMMYFUNCTION("""COMPUTED_VALUE"""),"BANDUNG")</f>
        <v>BANDUNG</v>
      </c>
      <c r="F331" s="4" t="str">
        <f>IFERROR(__xludf.DUMMYFUNCTION("""COMPUTED_VALUE"""),"UJUNGBERUNG")</f>
        <v>UJUNGBERUNG</v>
      </c>
      <c r="G331" s="4" t="str">
        <f>IFERROR(__xludf.DUMMYFUNCTION("""COMPUTED_VALUE"""),"UJUNGBERUNG")</f>
        <v>UJUNGBERUNG</v>
      </c>
      <c r="H331" s="4" t="str">
        <f>IFERROR(__xludf.DUMMYFUNCTION("""COMPUTED_VALUE"""),"UZP")</f>
        <v>UZP</v>
      </c>
      <c r="I331" s="4" t="str">
        <f>IFERROR(__xludf.DUMMYFUNCTION("""COMPUTED_VALUE"""),"GH BNA - AMKC")</f>
        <v>GH BNA - AMKC</v>
      </c>
      <c r="J331" s="4" t="str">
        <f>IFERROR(__xludf.DUMMYFUNCTION("""COMPUTED_VALUE"""),"ZONA 2")</f>
        <v>ZONA 2</v>
      </c>
      <c r="K331" s="4" t="str">
        <f>IFERROR(__xludf.DUMMYFUNCTION("""COMPUTED_VALUE"""),"034")</f>
        <v>034</v>
      </c>
      <c r="L331" s="4" t="str">
        <f>IFERROR(__xludf.DUMMYFUNCTION("""COMPUTED_VALUE"""),"TM - 7B/H (Afspan 90 Derajat)")</f>
        <v>TM - 7B/H (Afspan 90 Derajat)</v>
      </c>
      <c r="M331" s="4" t="str">
        <f>IFERROR(__xludf.DUMMYFUNCTION("""COMPUTED_VALUE"""),"Tidak Ada")</f>
        <v>Tidak Ada</v>
      </c>
      <c r="N331" s="4"/>
      <c r="O331" s="4" t="str">
        <f>IFERROR(__xludf.DUMMYFUNCTION("""COMPUTED_VALUE"""),"PEMBANDING SEJENIS")</f>
        <v>PEMBANDING SEJENIS</v>
      </c>
      <c r="P331" s="4" t="str">
        <f>IFERROR(__xludf.DUMMYFUNCTION("""COMPUTED_VALUE"""),"KONEKTOR/JUMPER")</f>
        <v>KONEKTOR/JUMPER</v>
      </c>
      <c r="Q331" s="4">
        <f>IFERROR(__xludf.DUMMYFUNCTION("""COMPUTED_VALUE"""),22.0)</f>
        <v>22</v>
      </c>
      <c r="R331" s="4">
        <f>IFERROR(__xludf.DUMMYFUNCTION("""COMPUTED_VALUE"""),23.0)</f>
        <v>23</v>
      </c>
      <c r="S331" s="4">
        <f>IFERROR(__xludf.DUMMYFUNCTION("""COMPUTED_VALUE"""),22.0)</f>
        <v>22</v>
      </c>
      <c r="T331" s="4"/>
      <c r="U331" s="4" t="str">
        <f>IFERROR(__xludf.DUMMYFUNCTION("""COMPUTED_VALUE"""),"BAIK")</f>
        <v>BAIK</v>
      </c>
      <c r="V331" s="4" t="str">
        <f>IFERROR(__xludf.DUMMYFUNCTION("""COMPUTED_VALUE"""),"Tidak Ada")</f>
        <v>Tidak Ada</v>
      </c>
      <c r="W331" s="4"/>
      <c r="X331" s="4"/>
      <c r="Y331" s="4"/>
      <c r="Z331" s="4"/>
      <c r="AA331" s="4"/>
      <c r="AB331" s="4"/>
      <c r="AC331" s="4" t="str">
        <f>IFERROR(__xludf.DUMMYFUNCTION("""COMPUTED_VALUE"""),"INSPEKSI SUTM - T2_Images/f3963b99.FOTO.151956.jpg")</f>
        <v>INSPEKSI SUTM - T2_Images/f3963b99.FOTO.151956.jpg</v>
      </c>
      <c r="AD331" s="4"/>
      <c r="AE331" s="4"/>
      <c r="AF331" s="4" t="str">
        <f>IFERROR(__xludf.DUMMYFUNCTION("""COMPUTED_VALUE"""),"BELUM")</f>
        <v>BELUM</v>
      </c>
      <c r="AG331" s="6">
        <f>IFERROR(__xludf.DUMMYFUNCTION("""COMPUTED_VALUE"""),46065.0)</f>
        <v>46065</v>
      </c>
      <c r="AH331" s="4"/>
      <c r="AI331" s="4"/>
    </row>
    <row r="332" ht="15.75" customHeight="1">
      <c r="A332" s="4" t="str">
        <f>IFERROR(__xludf.DUMMYFUNCTION("""COMPUTED_VALUE"""),"6390ba22")</f>
        <v>6390ba22</v>
      </c>
      <c r="B332" s="5">
        <f>IFERROR(__xludf.DUMMYFUNCTION("""COMPUTED_VALUE"""),46065.93114583333)</f>
        <v>46065.93115</v>
      </c>
      <c r="C332" s="4" t="str">
        <f>IFERROR(__xludf.DUMMYFUNCTION("""COMPUTED_VALUE"""),"-6.899986, 107.680908")</f>
        <v>-6.899986, 107.680908</v>
      </c>
      <c r="D332" s="4" t="str">
        <f>IFERROR(__xludf.DUMMYFUNCTION("""COMPUTED_VALUE"""),"Canra heei")</f>
        <v>Canra heei</v>
      </c>
      <c r="E332" s="4" t="str">
        <f>IFERROR(__xludf.DUMMYFUNCTION("""COMPUTED_VALUE"""),"BANDUNG")</f>
        <v>BANDUNG</v>
      </c>
      <c r="F332" s="4" t="str">
        <f>IFERROR(__xludf.DUMMYFUNCTION("""COMPUTED_VALUE"""),"UJUNGBERUNG")</f>
        <v>UJUNGBERUNG</v>
      </c>
      <c r="G332" s="4" t="str">
        <f>IFERROR(__xludf.DUMMYFUNCTION("""COMPUTED_VALUE"""),"UJUNGBERUNG")</f>
        <v>UJUNGBERUNG</v>
      </c>
      <c r="H332" s="4" t="str">
        <f>IFERROR(__xludf.DUMMYFUNCTION("""COMPUTED_VALUE"""),"UZP")</f>
        <v>UZP</v>
      </c>
      <c r="I332" s="4" t="str">
        <f>IFERROR(__xludf.DUMMYFUNCTION("""COMPUTED_VALUE"""),"GH BNA - AMKC")</f>
        <v>GH BNA - AMKC</v>
      </c>
      <c r="J332" s="4" t="str">
        <f>IFERROR(__xludf.DUMMYFUNCTION("""COMPUTED_VALUE"""),"ZONA 2")</f>
        <v>ZONA 2</v>
      </c>
      <c r="K332" s="4" t="str">
        <f>IFERROR(__xludf.DUMMYFUNCTION("""COMPUTED_VALUE"""),"049")</f>
        <v>049</v>
      </c>
      <c r="L332" s="4" t="str">
        <f>IFERROR(__xludf.DUMMYFUNCTION("""COMPUTED_VALUE"""),"TM - 8B/H (Percabangan)")</f>
        <v>TM - 8B/H (Percabangan)</v>
      </c>
      <c r="M332" s="4" t="str">
        <f>IFERROR(__xludf.DUMMYFUNCTION("""COMPUTED_VALUE"""),"Tidak Ada")</f>
        <v>Tidak Ada</v>
      </c>
      <c r="N332" s="4"/>
      <c r="O332" s="4" t="str">
        <f>IFERROR(__xludf.DUMMYFUNCTION("""COMPUTED_VALUE"""),"PEMBANDING SEJENIS")</f>
        <v>PEMBANDING SEJENIS</v>
      </c>
      <c r="P332" s="4" t="str">
        <f>IFERROR(__xludf.DUMMYFUNCTION("""COMPUTED_VALUE"""),"KONEKTOR/JUMPER")</f>
        <v>KONEKTOR/JUMPER</v>
      </c>
      <c r="Q332" s="4">
        <f>IFERROR(__xludf.DUMMYFUNCTION("""COMPUTED_VALUE"""),25.0)</f>
        <v>25</v>
      </c>
      <c r="R332" s="4">
        <f>IFERROR(__xludf.DUMMYFUNCTION("""COMPUTED_VALUE"""),25.0)</f>
        <v>25</v>
      </c>
      <c r="S332" s="4">
        <f>IFERROR(__xludf.DUMMYFUNCTION("""COMPUTED_VALUE"""),25.0)</f>
        <v>25</v>
      </c>
      <c r="T332" s="4"/>
      <c r="U332" s="4" t="str">
        <f>IFERROR(__xludf.DUMMYFUNCTION("""COMPUTED_VALUE"""),"BAIK")</f>
        <v>BAIK</v>
      </c>
      <c r="V332" s="4" t="str">
        <f>IFERROR(__xludf.DUMMYFUNCTION("""COMPUTED_VALUE"""),"Tidak Ada")</f>
        <v>Tidak Ada</v>
      </c>
      <c r="W332" s="4"/>
      <c r="X332" s="4"/>
      <c r="Y332" s="4"/>
      <c r="Z332" s="4"/>
      <c r="AA332" s="4"/>
      <c r="AB332" s="4"/>
      <c r="AC332" s="4" t="str">
        <f>IFERROR(__xludf.DUMMYFUNCTION("""COMPUTED_VALUE"""),"INSPEKSI SUTM - T2_Images/6390ba22.FOTO.152145.jpg")</f>
        <v>INSPEKSI SUTM - T2_Images/6390ba22.FOTO.152145.jpg</v>
      </c>
      <c r="AD332" s="4"/>
      <c r="AE332" s="4"/>
      <c r="AF332" s="4" t="str">
        <f>IFERROR(__xludf.DUMMYFUNCTION("""COMPUTED_VALUE"""),"BELUM")</f>
        <v>BELUM</v>
      </c>
      <c r="AG332" s="6">
        <f>IFERROR(__xludf.DUMMYFUNCTION("""COMPUTED_VALUE"""),46065.0)</f>
        <v>46065</v>
      </c>
      <c r="AH332" s="4"/>
      <c r="AI332" s="4"/>
    </row>
    <row r="333" ht="15.75" customHeight="1">
      <c r="A333" s="4" t="str">
        <f>IFERROR(__xludf.DUMMYFUNCTION("""COMPUTED_VALUE"""),"41686fba")</f>
        <v>41686fba</v>
      </c>
      <c r="B333" s="5">
        <f>IFERROR(__xludf.DUMMYFUNCTION("""COMPUTED_VALUE"""),46065.93219907407)</f>
        <v>46065.9322</v>
      </c>
      <c r="C333" s="4" t="str">
        <f>IFERROR(__xludf.DUMMYFUNCTION("""COMPUTED_VALUE"""),"-6.899855, 107.680846")</f>
        <v>-6.899855, 107.680846</v>
      </c>
      <c r="D333" s="4" t="str">
        <f>IFERROR(__xludf.DUMMYFUNCTION("""COMPUTED_VALUE"""),"Canra heei")</f>
        <v>Canra heei</v>
      </c>
      <c r="E333" s="4" t="str">
        <f>IFERROR(__xludf.DUMMYFUNCTION("""COMPUTED_VALUE"""),"BANDUNG")</f>
        <v>BANDUNG</v>
      </c>
      <c r="F333" s="4" t="str">
        <f>IFERROR(__xludf.DUMMYFUNCTION("""COMPUTED_VALUE"""),"UJUNGBERUNG")</f>
        <v>UJUNGBERUNG</v>
      </c>
      <c r="G333" s="4" t="str">
        <f>IFERROR(__xludf.DUMMYFUNCTION("""COMPUTED_VALUE"""),"UJUNGBERUNG")</f>
        <v>UJUNGBERUNG</v>
      </c>
      <c r="H333" s="4" t="str">
        <f>IFERROR(__xludf.DUMMYFUNCTION("""COMPUTED_VALUE"""),"UZP")</f>
        <v>UZP</v>
      </c>
      <c r="I333" s="4" t="str">
        <f>IFERROR(__xludf.DUMMYFUNCTION("""COMPUTED_VALUE"""),"GH BNA - AMKC")</f>
        <v>GH BNA - AMKC</v>
      </c>
      <c r="J333" s="4" t="str">
        <f>IFERROR(__xludf.DUMMYFUNCTION("""COMPUTED_VALUE"""),"ZONA 2")</f>
        <v>ZONA 2</v>
      </c>
      <c r="K333" s="4" t="str">
        <f>IFERROR(__xludf.DUMMYFUNCTION("""COMPUTED_VALUE"""),"049L01")</f>
        <v>049L01</v>
      </c>
      <c r="L333" s="4" t="str">
        <f>IFERROR(__xludf.DUMMYFUNCTION("""COMPUTED_VALUE"""),"TM - 7B/H (Afspan 90 Derajat)")</f>
        <v>TM - 7B/H (Afspan 90 Derajat)</v>
      </c>
      <c r="M333" s="4" t="str">
        <f>IFERROR(__xludf.DUMMYFUNCTION("""COMPUTED_VALUE"""),"Tidak Ada")</f>
        <v>Tidak Ada</v>
      </c>
      <c r="N333" s="4"/>
      <c r="O333" s="4" t="str">
        <f>IFERROR(__xludf.DUMMYFUNCTION("""COMPUTED_VALUE"""),"PEMBANDING SEJENIS")</f>
        <v>PEMBANDING SEJENIS</v>
      </c>
      <c r="P333" s="4" t="str">
        <f>IFERROR(__xludf.DUMMYFUNCTION("""COMPUTED_VALUE"""),"KONEKTOR/JUMPER")</f>
        <v>KONEKTOR/JUMPER</v>
      </c>
      <c r="Q333" s="4">
        <f>IFERROR(__xludf.DUMMYFUNCTION("""COMPUTED_VALUE"""),27.0)</f>
        <v>27</v>
      </c>
      <c r="R333" s="4">
        <f>IFERROR(__xludf.DUMMYFUNCTION("""COMPUTED_VALUE"""),26.0)</f>
        <v>26</v>
      </c>
      <c r="S333" s="4">
        <f>IFERROR(__xludf.DUMMYFUNCTION("""COMPUTED_VALUE"""),26.0)</f>
        <v>26</v>
      </c>
      <c r="T333" s="4"/>
      <c r="U333" s="4" t="str">
        <f>IFERROR(__xludf.DUMMYFUNCTION("""COMPUTED_VALUE"""),"BAIK")</f>
        <v>BAIK</v>
      </c>
      <c r="V333" s="4" t="str">
        <f>IFERROR(__xludf.DUMMYFUNCTION("""COMPUTED_VALUE"""),"Tidak Ada")</f>
        <v>Tidak Ada</v>
      </c>
      <c r="W333" s="4"/>
      <c r="X333" s="4"/>
      <c r="Y333" s="4"/>
      <c r="Z333" s="4"/>
      <c r="AA333" s="4"/>
      <c r="AB333" s="4"/>
      <c r="AC333" s="4" t="str">
        <f>IFERROR(__xludf.DUMMYFUNCTION("""COMPUTED_VALUE"""),"INSPEKSI SUTM - T2_Images/41686fba.FOTO.152332.jpg")</f>
        <v>INSPEKSI SUTM - T2_Images/41686fba.FOTO.152332.jpg</v>
      </c>
      <c r="AD333" s="4"/>
      <c r="AE333" s="4"/>
      <c r="AF333" s="4" t="str">
        <f>IFERROR(__xludf.DUMMYFUNCTION("""COMPUTED_VALUE"""),"BELUM")</f>
        <v>BELUM</v>
      </c>
      <c r="AG333" s="6">
        <f>IFERROR(__xludf.DUMMYFUNCTION("""COMPUTED_VALUE"""),46065.0)</f>
        <v>46065</v>
      </c>
      <c r="AH333" s="4"/>
      <c r="AI333" s="4"/>
    </row>
    <row r="334" ht="15.75" customHeight="1">
      <c r="A334" s="4" t="str">
        <f>IFERROR(__xludf.DUMMYFUNCTION("""COMPUTED_VALUE"""),"7f0a65df")</f>
        <v>7f0a65df</v>
      </c>
      <c r="B334" s="5">
        <f>IFERROR(__xludf.DUMMYFUNCTION("""COMPUTED_VALUE"""),46065.933587962965)</f>
        <v>46065.93359</v>
      </c>
      <c r="C334" s="4" t="str">
        <f>IFERROR(__xludf.DUMMYFUNCTION("""COMPUTED_VALUE"""),"-6.899617, 107.679583")</f>
        <v>-6.899617, 107.679583</v>
      </c>
      <c r="D334" s="4" t="str">
        <f>IFERROR(__xludf.DUMMYFUNCTION("""COMPUTED_VALUE"""),"Canra heri")</f>
        <v>Canra heri</v>
      </c>
      <c r="E334" s="4" t="str">
        <f>IFERROR(__xludf.DUMMYFUNCTION("""COMPUTED_VALUE"""),"BANDUNG")</f>
        <v>BANDUNG</v>
      </c>
      <c r="F334" s="4" t="str">
        <f>IFERROR(__xludf.DUMMYFUNCTION("""COMPUTED_VALUE"""),"UJUNGBERUNG")</f>
        <v>UJUNGBERUNG</v>
      </c>
      <c r="G334" s="4" t="str">
        <f>IFERROR(__xludf.DUMMYFUNCTION("""COMPUTED_VALUE"""),"UJUNGBERUNG")</f>
        <v>UJUNGBERUNG</v>
      </c>
      <c r="H334" s="4" t="str">
        <f>IFERROR(__xludf.DUMMYFUNCTION("""COMPUTED_VALUE"""),"UZP")</f>
        <v>UZP</v>
      </c>
      <c r="I334" s="4" t="str">
        <f>IFERROR(__xludf.DUMMYFUNCTION("""COMPUTED_VALUE"""),"GH BNA - AMKC")</f>
        <v>GH BNA - AMKC</v>
      </c>
      <c r="J334" s="4" t="str">
        <f>IFERROR(__xludf.DUMMYFUNCTION("""COMPUTED_VALUE"""),"ZONA 2")</f>
        <v>ZONA 2</v>
      </c>
      <c r="K334" s="4" t="str">
        <f>IFERROR(__xludf.DUMMYFUNCTION("""COMPUTED_VALUE"""),"049L05")</f>
        <v>049L05</v>
      </c>
      <c r="L334" s="4" t="str">
        <f>IFERROR(__xludf.DUMMYFUNCTION("""COMPUTED_VALUE"""),"TM - 14B/H (Akhir)")</f>
        <v>TM - 14B/H (Akhir)</v>
      </c>
      <c r="M334" s="4" t="str">
        <f>IFERROR(__xludf.DUMMYFUNCTION("""COMPUTED_VALUE"""),"Tidak Ada")</f>
        <v>Tidak Ada</v>
      </c>
      <c r="N334" s="4"/>
      <c r="O334" s="4" t="str">
        <f>IFERROR(__xludf.DUMMYFUNCTION("""COMPUTED_VALUE"""),"PEMBANDING SEJENIS")</f>
        <v>PEMBANDING SEJENIS</v>
      </c>
      <c r="P334" s="4" t="str">
        <f>IFERROR(__xludf.DUMMYFUNCTION("""COMPUTED_VALUE"""),"KONEKTOR/JUMPER")</f>
        <v>KONEKTOR/JUMPER</v>
      </c>
      <c r="Q334" s="4">
        <f>IFERROR(__xludf.DUMMYFUNCTION("""COMPUTED_VALUE"""),26.0)</f>
        <v>26</v>
      </c>
      <c r="R334" s="4">
        <f>IFERROR(__xludf.DUMMYFUNCTION("""COMPUTED_VALUE"""),30.0)</f>
        <v>30</v>
      </c>
      <c r="S334" s="4">
        <f>IFERROR(__xludf.DUMMYFUNCTION("""COMPUTED_VALUE"""),24.0)</f>
        <v>24</v>
      </c>
      <c r="T334" s="4"/>
      <c r="U334" s="4" t="str">
        <f>IFERROR(__xludf.DUMMYFUNCTION("""COMPUTED_VALUE"""),"CUKUP")</f>
        <v>CUKUP</v>
      </c>
      <c r="V334" s="4" t="str">
        <f>IFERROR(__xludf.DUMMYFUNCTION("""COMPUTED_VALUE"""),"Tidak Ada")</f>
        <v>Tidak Ada</v>
      </c>
      <c r="W334" s="4"/>
      <c r="X334" s="4"/>
      <c r="Y334" s="4"/>
      <c r="Z334" s="4"/>
      <c r="AA334" s="4"/>
      <c r="AB334" s="4"/>
      <c r="AC334" s="4" t="str">
        <f>IFERROR(__xludf.DUMMYFUNCTION("""COMPUTED_VALUE"""),"INSPEKSI SUTM - T2_Images/7f0a65df.FOTO.152526.jpg")</f>
        <v>INSPEKSI SUTM - T2_Images/7f0a65df.FOTO.152526.jpg</v>
      </c>
      <c r="AD334" s="4"/>
      <c r="AE334" s="4"/>
      <c r="AF334" s="4" t="str">
        <f>IFERROR(__xludf.DUMMYFUNCTION("""COMPUTED_VALUE"""),"BELUM")</f>
        <v>BELUM</v>
      </c>
      <c r="AG334" s="6">
        <f>IFERROR(__xludf.DUMMYFUNCTION("""COMPUTED_VALUE"""),46065.0)</f>
        <v>46065</v>
      </c>
      <c r="AH334" s="4"/>
      <c r="AI334" s="4"/>
    </row>
    <row r="335" ht="15.75" customHeight="1">
      <c r="A335" s="4" t="str">
        <f>IFERROR(__xludf.DUMMYFUNCTION("""COMPUTED_VALUE"""),"77db9486")</f>
        <v>77db9486</v>
      </c>
      <c r="B335" s="5">
        <f>IFERROR(__xludf.DUMMYFUNCTION("""COMPUTED_VALUE"""),46065.93487268518)</f>
        <v>46065.93487</v>
      </c>
      <c r="C335" s="4" t="str">
        <f>IFERROR(__xludf.DUMMYFUNCTION("""COMPUTED_VALUE"""),"-6.896850, 107.681977")</f>
        <v>-6.896850, 107.681977</v>
      </c>
      <c r="D335" s="4" t="str">
        <f>IFERROR(__xludf.DUMMYFUNCTION("""COMPUTED_VALUE"""),"Vanra heri")</f>
        <v>Vanra heri</v>
      </c>
      <c r="E335" s="4" t="str">
        <f>IFERROR(__xludf.DUMMYFUNCTION("""COMPUTED_VALUE"""),"BANDUNG")</f>
        <v>BANDUNG</v>
      </c>
      <c r="F335" s="4" t="str">
        <f>IFERROR(__xludf.DUMMYFUNCTION("""COMPUTED_VALUE"""),"UJUNGBERUNG")</f>
        <v>UJUNGBERUNG</v>
      </c>
      <c r="G335" s="4" t="str">
        <f>IFERROR(__xludf.DUMMYFUNCTION("""COMPUTED_VALUE"""),"UJUNGBERUNG")</f>
        <v>UJUNGBERUNG</v>
      </c>
      <c r="H335" s="4" t="str">
        <f>IFERROR(__xludf.DUMMYFUNCTION("""COMPUTED_VALUE"""),"UZP")</f>
        <v>UZP</v>
      </c>
      <c r="I335" s="4" t="str">
        <f>IFERROR(__xludf.DUMMYFUNCTION("""COMPUTED_VALUE"""),"GH BNA - AMKC")</f>
        <v>GH BNA - AMKC</v>
      </c>
      <c r="J335" s="4" t="str">
        <f>IFERROR(__xludf.DUMMYFUNCTION("""COMPUTED_VALUE"""),"ZONA 2")</f>
        <v>ZONA 2</v>
      </c>
      <c r="K335" s="4" t="str">
        <f>IFERROR(__xludf.DUMMYFUNCTION("""COMPUTED_VALUE"""),"057")</f>
        <v>057</v>
      </c>
      <c r="L335" s="4" t="str">
        <f>IFERROR(__xludf.DUMMYFUNCTION("""COMPUTED_VALUE"""),"TM - 13B/H (Kabel Naik Pada Tiang Tumpu)")</f>
        <v>TM - 13B/H (Kabel Naik Pada Tiang Tumpu)</v>
      </c>
      <c r="M335" s="4" t="str">
        <f>IFERROR(__xludf.DUMMYFUNCTION("""COMPUTED_VALUE"""),"Tidak Ada")</f>
        <v>Tidak Ada</v>
      </c>
      <c r="N335" s="4"/>
      <c r="O335" s="4" t="str">
        <f>IFERROR(__xludf.DUMMYFUNCTION("""COMPUTED_VALUE"""),"PEMBANDING SEJENIS")</f>
        <v>PEMBANDING SEJENIS</v>
      </c>
      <c r="P335" s="4" t="str">
        <f>IFERROR(__xludf.DUMMYFUNCTION("""COMPUTED_VALUE"""),"KONEKTOR/JUMPER")</f>
        <v>KONEKTOR/JUMPER</v>
      </c>
      <c r="Q335" s="4">
        <f>IFERROR(__xludf.DUMMYFUNCTION("""COMPUTED_VALUE"""),25.0)</f>
        <v>25</v>
      </c>
      <c r="R335" s="4">
        <f>IFERROR(__xludf.DUMMYFUNCTION("""COMPUTED_VALUE"""),24.0)</f>
        <v>24</v>
      </c>
      <c r="S335" s="4">
        <f>IFERROR(__xludf.DUMMYFUNCTION("""COMPUTED_VALUE"""),24.0)</f>
        <v>24</v>
      </c>
      <c r="T335" s="4"/>
      <c r="U335" s="4" t="str">
        <f>IFERROR(__xludf.DUMMYFUNCTION("""COMPUTED_VALUE"""),"BAIK")</f>
        <v>BAIK</v>
      </c>
      <c r="V335" s="4" t="str">
        <f>IFERROR(__xludf.DUMMYFUNCTION("""COMPUTED_VALUE"""),"Tidak Ada")</f>
        <v>Tidak Ada</v>
      </c>
      <c r="W335" s="4"/>
      <c r="X335" s="4"/>
      <c r="Y335" s="4"/>
      <c r="Z335" s="4"/>
      <c r="AA335" s="4"/>
      <c r="AB335" s="4"/>
      <c r="AC335" s="4" t="str">
        <f>IFERROR(__xludf.DUMMYFUNCTION("""COMPUTED_VALUE"""),"INSPEKSI SUTM - T2_Images/77db9486.FOTO.152714.jpg")</f>
        <v>INSPEKSI SUTM - T2_Images/77db9486.FOTO.152714.jpg</v>
      </c>
      <c r="AD335" s="4"/>
      <c r="AE335" s="4"/>
      <c r="AF335" s="4" t="str">
        <f>IFERROR(__xludf.DUMMYFUNCTION("""COMPUTED_VALUE"""),"BELUM")</f>
        <v>BELUM</v>
      </c>
      <c r="AG335" s="6">
        <f>IFERROR(__xludf.DUMMYFUNCTION("""COMPUTED_VALUE"""),46065.0)</f>
        <v>46065</v>
      </c>
      <c r="AH335" s="4"/>
      <c r="AI335" s="4"/>
    </row>
    <row r="336" ht="15.75" customHeight="1">
      <c r="A336" s="4" t="str">
        <f>IFERROR(__xludf.DUMMYFUNCTION("""COMPUTED_VALUE"""),"887a31e4")</f>
        <v>887a31e4</v>
      </c>
      <c r="B336" s="5">
        <f>IFERROR(__xludf.DUMMYFUNCTION("""COMPUTED_VALUE"""),46065.93604166667)</f>
        <v>46065.93604</v>
      </c>
      <c r="C336" s="4" t="str">
        <f>IFERROR(__xludf.DUMMYFUNCTION("""COMPUTED_VALUE"""),"-6.896727, 107.681737")</f>
        <v>-6.896727, 107.681737</v>
      </c>
      <c r="D336" s="4" t="str">
        <f>IFERROR(__xludf.DUMMYFUNCTION("""COMPUTED_VALUE"""),"Canravheri")</f>
        <v>Canravheri</v>
      </c>
      <c r="E336" s="4" t="str">
        <f>IFERROR(__xludf.DUMMYFUNCTION("""COMPUTED_VALUE"""),"BANDUNG")</f>
        <v>BANDUNG</v>
      </c>
      <c r="F336" s="4" t="str">
        <f>IFERROR(__xludf.DUMMYFUNCTION("""COMPUTED_VALUE"""),"UJUNGBERUNG")</f>
        <v>UJUNGBERUNG</v>
      </c>
      <c r="G336" s="4" t="str">
        <f>IFERROR(__xludf.DUMMYFUNCTION("""COMPUTED_VALUE"""),"UJUNGBERUNG")</f>
        <v>UJUNGBERUNG</v>
      </c>
      <c r="H336" s="4" t="str">
        <f>IFERROR(__xludf.DUMMYFUNCTION("""COMPUTED_VALUE"""),"UZP")</f>
        <v>UZP</v>
      </c>
      <c r="I336" s="4" t="str">
        <f>IFERROR(__xludf.DUMMYFUNCTION("""COMPUTED_VALUE"""),"GH BNA - AMKC")</f>
        <v>GH BNA - AMKC</v>
      </c>
      <c r="J336" s="4" t="str">
        <f>IFERROR(__xludf.DUMMYFUNCTION("""COMPUTED_VALUE"""),"ZONA 2")</f>
        <v>ZONA 2</v>
      </c>
      <c r="K336" s="4" t="str">
        <f>IFERROR(__xludf.DUMMYFUNCTION("""COMPUTED_VALUE"""),"057L01")</f>
        <v>057L01</v>
      </c>
      <c r="L336" s="4" t="str">
        <f>IFERROR(__xludf.DUMMYFUNCTION("""COMPUTED_VALUE"""),"TM - 11B/H (Kabel Naik)")</f>
        <v>TM - 11B/H (Kabel Naik)</v>
      </c>
      <c r="M336" s="4" t="str">
        <f>IFERROR(__xludf.DUMMYFUNCTION("""COMPUTED_VALUE"""),"Tidak Ada")</f>
        <v>Tidak Ada</v>
      </c>
      <c r="N336" s="4"/>
      <c r="O336" s="4" t="str">
        <f>IFERROR(__xludf.DUMMYFUNCTION("""COMPUTED_VALUE"""),"PEMBANDING SEJENIS")</f>
        <v>PEMBANDING SEJENIS</v>
      </c>
      <c r="P336" s="4" t="str">
        <f>IFERROR(__xludf.DUMMYFUNCTION("""COMPUTED_VALUE"""),"KONEKTOR/JUMPER")</f>
        <v>KONEKTOR/JUMPER</v>
      </c>
      <c r="Q336" s="4">
        <f>IFERROR(__xludf.DUMMYFUNCTION("""COMPUTED_VALUE"""),23.0)</f>
        <v>23</v>
      </c>
      <c r="R336" s="4">
        <f>IFERROR(__xludf.DUMMYFUNCTION("""COMPUTED_VALUE"""),23.0)</f>
        <v>23</v>
      </c>
      <c r="S336" s="4">
        <f>IFERROR(__xludf.DUMMYFUNCTION("""COMPUTED_VALUE"""),23.0)</f>
        <v>23</v>
      </c>
      <c r="T336" s="4"/>
      <c r="U336" s="4" t="str">
        <f>IFERROR(__xludf.DUMMYFUNCTION("""COMPUTED_VALUE"""),"BAIK")</f>
        <v>BAIK</v>
      </c>
      <c r="V336" s="4" t="str">
        <f>IFERROR(__xludf.DUMMYFUNCTION("""COMPUTED_VALUE"""),"Tidak Ada")</f>
        <v>Tidak Ada</v>
      </c>
      <c r="W336" s="4"/>
      <c r="X336" s="4"/>
      <c r="Y336" s="4"/>
      <c r="Z336" s="4"/>
      <c r="AA336" s="4"/>
      <c r="AB336" s="4"/>
      <c r="AC336" s="4" t="str">
        <f>IFERROR(__xludf.DUMMYFUNCTION("""COMPUTED_VALUE"""),"INSPEKSI SUTM - T2_Images/887a31e4.FOTO.152845.jpg")</f>
        <v>INSPEKSI SUTM - T2_Images/887a31e4.FOTO.152845.jpg</v>
      </c>
      <c r="AD336" s="4"/>
      <c r="AE336" s="4"/>
      <c r="AF336" s="4" t="str">
        <f>IFERROR(__xludf.DUMMYFUNCTION("""COMPUTED_VALUE"""),"BELUM")</f>
        <v>BELUM</v>
      </c>
      <c r="AG336" s="6">
        <f>IFERROR(__xludf.DUMMYFUNCTION("""COMPUTED_VALUE"""),46065.0)</f>
        <v>46065</v>
      </c>
      <c r="AH336" s="4"/>
      <c r="AI336" s="4"/>
    </row>
    <row r="337" ht="15.75" customHeight="1">
      <c r="A337" s="4" t="str">
        <f>IFERROR(__xludf.DUMMYFUNCTION("""COMPUTED_VALUE"""),"ffb3e3b4")</f>
        <v>ffb3e3b4</v>
      </c>
      <c r="B337" s="5">
        <f>IFERROR(__xludf.DUMMYFUNCTION("""COMPUTED_VALUE"""),46065.93699074074)</f>
        <v>46065.93699</v>
      </c>
      <c r="C337" s="4" t="str">
        <f>IFERROR(__xludf.DUMMYFUNCTION("""COMPUTED_VALUE"""),"-6.896472, 107.681077")</f>
        <v>-6.896472, 107.681077</v>
      </c>
      <c r="D337" s="4" t="str">
        <f>IFERROR(__xludf.DUMMYFUNCTION("""COMPUTED_VALUE"""),"Canra heri")</f>
        <v>Canra heri</v>
      </c>
      <c r="E337" s="4" t="str">
        <f>IFERROR(__xludf.DUMMYFUNCTION("""COMPUTED_VALUE"""),"BANDUNG")</f>
        <v>BANDUNG</v>
      </c>
      <c r="F337" s="4" t="str">
        <f>IFERROR(__xludf.DUMMYFUNCTION("""COMPUTED_VALUE"""),"UJUNGBERUNG")</f>
        <v>UJUNGBERUNG</v>
      </c>
      <c r="G337" s="4" t="str">
        <f>IFERROR(__xludf.DUMMYFUNCTION("""COMPUTED_VALUE"""),"UJUNGBERUNG")</f>
        <v>UJUNGBERUNG</v>
      </c>
      <c r="H337" s="4" t="str">
        <f>IFERROR(__xludf.DUMMYFUNCTION("""COMPUTED_VALUE"""),"UZP")</f>
        <v>UZP</v>
      </c>
      <c r="I337" s="4" t="str">
        <f>IFERROR(__xludf.DUMMYFUNCTION("""COMPUTED_VALUE"""),"GH BNA - AMKC")</f>
        <v>GH BNA - AMKC</v>
      </c>
      <c r="J337" s="4" t="str">
        <f>IFERROR(__xludf.DUMMYFUNCTION("""COMPUTED_VALUE"""),"ZONA 2")</f>
        <v>ZONA 2</v>
      </c>
      <c r="K337" s="4" t="str">
        <f>IFERROR(__xludf.DUMMYFUNCTION("""COMPUTED_VALUE"""),"057L03")</f>
        <v>057L03</v>
      </c>
      <c r="L337" s="4" t="str">
        <f>IFERROR(__xludf.DUMMYFUNCTION("""COMPUTED_VALUE"""),"TM - 7B/H (Afspan 90 Derajat)")</f>
        <v>TM - 7B/H (Afspan 90 Derajat)</v>
      </c>
      <c r="M337" s="4" t="str">
        <f>IFERROR(__xludf.DUMMYFUNCTION("""COMPUTED_VALUE"""),"Tidak Ada")</f>
        <v>Tidak Ada</v>
      </c>
      <c r="N337" s="4"/>
      <c r="O337" s="4" t="str">
        <f>IFERROR(__xludf.DUMMYFUNCTION("""COMPUTED_VALUE"""),"PEMBANDING SEJENIS")</f>
        <v>PEMBANDING SEJENIS</v>
      </c>
      <c r="P337" s="4" t="str">
        <f>IFERROR(__xludf.DUMMYFUNCTION("""COMPUTED_VALUE"""),"KONEKTOR/JUMPER")</f>
        <v>KONEKTOR/JUMPER</v>
      </c>
      <c r="Q337" s="4">
        <f>IFERROR(__xludf.DUMMYFUNCTION("""COMPUTED_VALUE"""),23.0)</f>
        <v>23</v>
      </c>
      <c r="R337" s="4">
        <f>IFERROR(__xludf.DUMMYFUNCTION("""COMPUTED_VALUE"""),23.0)</f>
        <v>23</v>
      </c>
      <c r="S337" s="4">
        <f>IFERROR(__xludf.DUMMYFUNCTION("""COMPUTED_VALUE"""),23.0)</f>
        <v>23</v>
      </c>
      <c r="T337" s="4"/>
      <c r="U337" s="4" t="str">
        <f>IFERROR(__xludf.DUMMYFUNCTION("""COMPUTED_VALUE"""),"BAIK")</f>
        <v>BAIK</v>
      </c>
      <c r="V337" s="4" t="str">
        <f>IFERROR(__xludf.DUMMYFUNCTION("""COMPUTED_VALUE"""),"Tidak Ada")</f>
        <v>Tidak Ada</v>
      </c>
      <c r="W337" s="4"/>
      <c r="X337" s="4"/>
      <c r="Y337" s="4"/>
      <c r="Z337" s="4"/>
      <c r="AA337" s="4"/>
      <c r="AB337" s="4"/>
      <c r="AC337" s="4" t="str">
        <f>IFERROR(__xludf.DUMMYFUNCTION("""COMPUTED_VALUE"""),"INSPEKSI SUTM - T2_Images/ffb3e3b4.FOTO.153007.jpg")</f>
        <v>INSPEKSI SUTM - T2_Images/ffb3e3b4.FOTO.153007.jpg</v>
      </c>
      <c r="AD337" s="4"/>
      <c r="AE337" s="4"/>
      <c r="AF337" s="4" t="str">
        <f>IFERROR(__xludf.DUMMYFUNCTION("""COMPUTED_VALUE"""),"BELUM")</f>
        <v>BELUM</v>
      </c>
      <c r="AG337" s="6">
        <f>IFERROR(__xludf.DUMMYFUNCTION("""COMPUTED_VALUE"""),46065.0)</f>
        <v>46065</v>
      </c>
      <c r="AH337" s="4"/>
      <c r="AI337" s="4"/>
    </row>
    <row r="338" ht="15.75" customHeight="1">
      <c r="A338" s="4" t="str">
        <f>IFERROR(__xludf.DUMMYFUNCTION("""COMPUTED_VALUE"""),"69f411c8")</f>
        <v>69f411c8</v>
      </c>
      <c r="B338" s="5">
        <f>IFERROR(__xludf.DUMMYFUNCTION("""COMPUTED_VALUE"""),46065.93798611111)</f>
        <v>46065.93799</v>
      </c>
      <c r="C338" s="4" t="str">
        <f>IFERROR(__xludf.DUMMYFUNCTION("""COMPUTED_VALUE"""),"-6.895897, 107.681319")</f>
        <v>-6.895897, 107.681319</v>
      </c>
      <c r="D338" s="4" t="str">
        <f>IFERROR(__xludf.DUMMYFUNCTION("""COMPUTED_VALUE"""),"Canra heei")</f>
        <v>Canra heei</v>
      </c>
      <c r="E338" s="4" t="str">
        <f>IFERROR(__xludf.DUMMYFUNCTION("""COMPUTED_VALUE"""),"BANDUNG")</f>
        <v>BANDUNG</v>
      </c>
      <c r="F338" s="4" t="str">
        <f>IFERROR(__xludf.DUMMYFUNCTION("""COMPUTED_VALUE"""),"UJUNGBERUNG")</f>
        <v>UJUNGBERUNG</v>
      </c>
      <c r="G338" s="4" t="str">
        <f>IFERROR(__xludf.DUMMYFUNCTION("""COMPUTED_VALUE"""),"UJUNGBERUNG")</f>
        <v>UJUNGBERUNG</v>
      </c>
      <c r="H338" s="4" t="str">
        <f>IFERROR(__xludf.DUMMYFUNCTION("""COMPUTED_VALUE"""),"UZP")</f>
        <v>UZP</v>
      </c>
      <c r="I338" s="4" t="str">
        <f>IFERROR(__xludf.DUMMYFUNCTION("""COMPUTED_VALUE"""),"GH BNA - AMKC")</f>
        <v>GH BNA - AMKC</v>
      </c>
      <c r="J338" s="4" t="str">
        <f>IFERROR(__xludf.DUMMYFUNCTION("""COMPUTED_VALUE"""),"ZONA 2")</f>
        <v>ZONA 2</v>
      </c>
      <c r="K338" s="4" t="str">
        <f>IFERROR(__xludf.DUMMYFUNCTION("""COMPUTED_VALUE"""),"057L05")</f>
        <v>057L05</v>
      </c>
      <c r="L338" s="4" t="str">
        <f>IFERROR(__xludf.DUMMYFUNCTION("""COMPUTED_VALUE"""),"TM - 7B/H (Afspan 90 Derajat)")</f>
        <v>TM - 7B/H (Afspan 90 Derajat)</v>
      </c>
      <c r="M338" s="4" t="str">
        <f>IFERROR(__xludf.DUMMYFUNCTION("""COMPUTED_VALUE"""),"Tidak Ada")</f>
        <v>Tidak Ada</v>
      </c>
      <c r="N338" s="4"/>
      <c r="O338" s="4" t="str">
        <f>IFERROR(__xludf.DUMMYFUNCTION("""COMPUTED_VALUE"""),"PEMBANDING SEJENIS")</f>
        <v>PEMBANDING SEJENIS</v>
      </c>
      <c r="P338" s="4" t="str">
        <f>IFERROR(__xludf.DUMMYFUNCTION("""COMPUTED_VALUE"""),"KONEKTOR/JUMPER")</f>
        <v>KONEKTOR/JUMPER</v>
      </c>
      <c r="Q338" s="4">
        <f>IFERROR(__xludf.DUMMYFUNCTION("""COMPUTED_VALUE"""),23.0)</f>
        <v>23</v>
      </c>
      <c r="R338" s="4">
        <f>IFERROR(__xludf.DUMMYFUNCTION("""COMPUTED_VALUE"""),23.0)</f>
        <v>23</v>
      </c>
      <c r="S338" s="4">
        <f>IFERROR(__xludf.DUMMYFUNCTION("""COMPUTED_VALUE"""),23.0)</f>
        <v>23</v>
      </c>
      <c r="T338" s="4"/>
      <c r="U338" s="4" t="str">
        <f>IFERROR(__xludf.DUMMYFUNCTION("""COMPUTED_VALUE"""),"BAIK")</f>
        <v>BAIK</v>
      </c>
      <c r="V338" s="4" t="str">
        <f>IFERROR(__xludf.DUMMYFUNCTION("""COMPUTED_VALUE"""),"Tidak Ada")</f>
        <v>Tidak Ada</v>
      </c>
      <c r="W338" s="4"/>
      <c r="X338" s="4"/>
      <c r="Y338" s="4"/>
      <c r="Z338" s="4"/>
      <c r="AA338" s="4"/>
      <c r="AB338" s="4"/>
      <c r="AC338" s="4" t="str">
        <f>IFERROR(__xludf.DUMMYFUNCTION("""COMPUTED_VALUE"""),"INSPEKSI SUTM - T2_Images/69f411c8.FOTO.153132.jpg")</f>
        <v>INSPEKSI SUTM - T2_Images/69f411c8.FOTO.153132.jpg</v>
      </c>
      <c r="AD338" s="4"/>
      <c r="AE338" s="4"/>
      <c r="AF338" s="4" t="str">
        <f>IFERROR(__xludf.DUMMYFUNCTION("""COMPUTED_VALUE"""),"BELUM")</f>
        <v>BELUM</v>
      </c>
      <c r="AG338" s="6">
        <f>IFERROR(__xludf.DUMMYFUNCTION("""COMPUTED_VALUE"""),46065.0)</f>
        <v>46065</v>
      </c>
      <c r="AH338" s="4"/>
      <c r="AI338" s="4"/>
    </row>
    <row r="339" ht="15.75" customHeight="1">
      <c r="A339" s="4" t="str">
        <f>IFERROR(__xludf.DUMMYFUNCTION("""COMPUTED_VALUE"""),"af2c4be6")</f>
        <v>af2c4be6</v>
      </c>
      <c r="B339" s="5">
        <f>IFERROR(__xludf.DUMMYFUNCTION("""COMPUTED_VALUE"""),46065.93918981482)</f>
        <v>46065.93919</v>
      </c>
      <c r="C339" s="4" t="str">
        <f>IFERROR(__xludf.DUMMYFUNCTION("""COMPUTED_VALUE"""),"-6.896556, 107.682080")</f>
        <v>-6.896556, 107.682080</v>
      </c>
      <c r="D339" s="4" t="str">
        <f>IFERROR(__xludf.DUMMYFUNCTION("""COMPUTED_VALUE"""),"Canra heri")</f>
        <v>Canra heri</v>
      </c>
      <c r="E339" s="4" t="str">
        <f>IFERROR(__xludf.DUMMYFUNCTION("""COMPUTED_VALUE"""),"BANDUNG")</f>
        <v>BANDUNG</v>
      </c>
      <c r="F339" s="4" t="str">
        <f>IFERROR(__xludf.DUMMYFUNCTION("""COMPUTED_VALUE"""),"UJUNGBERUNG")</f>
        <v>UJUNGBERUNG</v>
      </c>
      <c r="G339" s="4" t="str">
        <f>IFERROR(__xludf.DUMMYFUNCTION("""COMPUTED_VALUE"""),"UJUNGBERUNG")</f>
        <v>UJUNGBERUNG</v>
      </c>
      <c r="H339" s="4" t="str">
        <f>IFERROR(__xludf.DUMMYFUNCTION("""COMPUTED_VALUE"""),"UZP")</f>
        <v>UZP</v>
      </c>
      <c r="I339" s="4" t="str">
        <f>IFERROR(__xludf.DUMMYFUNCTION("""COMPUTED_VALUE"""),"GH BNA - AMKC")</f>
        <v>GH BNA - AMKC</v>
      </c>
      <c r="J339" s="4" t="str">
        <f>IFERROR(__xludf.DUMMYFUNCTION("""COMPUTED_VALUE"""),"ZONA 2")</f>
        <v>ZONA 2</v>
      </c>
      <c r="K339" s="4" t="str">
        <f>IFERROR(__xludf.DUMMYFUNCTION("""COMPUTED_VALUE"""),"058")</f>
        <v>058</v>
      </c>
      <c r="L339" s="4" t="str">
        <f>IFERROR(__xludf.DUMMYFUNCTION("""COMPUTED_VALUE"""),"TM - 14B/H (Akhir)")</f>
        <v>TM - 14B/H (Akhir)</v>
      </c>
      <c r="M339" s="4" t="str">
        <f>IFERROR(__xludf.DUMMYFUNCTION("""COMPUTED_VALUE"""),"Tidak Ada")</f>
        <v>Tidak Ada</v>
      </c>
      <c r="N339" s="4"/>
      <c r="O339" s="4" t="str">
        <f>IFERROR(__xludf.DUMMYFUNCTION("""COMPUTED_VALUE"""),"PEMBANDING SEJENIS")</f>
        <v>PEMBANDING SEJENIS</v>
      </c>
      <c r="P339" s="4" t="str">
        <f>IFERROR(__xludf.DUMMYFUNCTION("""COMPUTED_VALUE"""),"KONEKTOR/JUMPER")</f>
        <v>KONEKTOR/JUMPER</v>
      </c>
      <c r="Q339" s="4">
        <f>IFERROR(__xludf.DUMMYFUNCTION("""COMPUTED_VALUE"""),24.0)</f>
        <v>24</v>
      </c>
      <c r="R339" s="4">
        <f>IFERROR(__xludf.DUMMYFUNCTION("""COMPUTED_VALUE"""),23.0)</f>
        <v>23</v>
      </c>
      <c r="S339" s="4">
        <f>IFERROR(__xludf.DUMMYFUNCTION("""COMPUTED_VALUE"""),24.0)</f>
        <v>24</v>
      </c>
      <c r="T339" s="4"/>
      <c r="U339" s="4" t="str">
        <f>IFERROR(__xludf.DUMMYFUNCTION("""COMPUTED_VALUE"""),"BAIK")</f>
        <v>BAIK</v>
      </c>
      <c r="V339" s="4" t="str">
        <f>IFERROR(__xludf.DUMMYFUNCTION("""COMPUTED_VALUE"""),"Tidak Ada")</f>
        <v>Tidak Ada</v>
      </c>
      <c r="W339" s="4"/>
      <c r="X339" s="4"/>
      <c r="Y339" s="4"/>
      <c r="Z339" s="4"/>
      <c r="AA339" s="4"/>
      <c r="AB339" s="4"/>
      <c r="AC339" s="4" t="str">
        <f>IFERROR(__xludf.DUMMYFUNCTION("""COMPUTED_VALUE"""),"INSPEKSI SUTM - T2_Images/af2c4be6.FOTO.153314.jpg")</f>
        <v>INSPEKSI SUTM - T2_Images/af2c4be6.FOTO.153314.jpg</v>
      </c>
      <c r="AD339" s="4"/>
      <c r="AE339" s="4"/>
      <c r="AF339" s="4" t="str">
        <f>IFERROR(__xludf.DUMMYFUNCTION("""COMPUTED_VALUE"""),"BELUM")</f>
        <v>BELUM</v>
      </c>
      <c r="AG339" s="6">
        <f>IFERROR(__xludf.DUMMYFUNCTION("""COMPUTED_VALUE"""),46065.0)</f>
        <v>46065</v>
      </c>
      <c r="AH339" s="4"/>
      <c r="AI339" s="4"/>
    </row>
    <row r="340" ht="15.75" customHeight="1">
      <c r="A340" s="4" t="str">
        <f>IFERROR(__xludf.DUMMYFUNCTION("""COMPUTED_VALUE"""),"b9440fd6")</f>
        <v>b9440fd6</v>
      </c>
      <c r="B340" s="5">
        <f>IFERROR(__xludf.DUMMYFUNCTION("""COMPUTED_VALUE"""),46066.89686342593)</f>
        <v>46066.89686</v>
      </c>
      <c r="C340" s="4" t="str">
        <f>IFERROR(__xludf.DUMMYFUNCTION("""COMPUTED_VALUE"""),"-6.884955, 107.631566")</f>
        <v>-6.884955, 107.631566</v>
      </c>
      <c r="D340" s="4" t="str">
        <f>IFERROR(__xludf.DUMMYFUNCTION("""COMPUTED_VALUE"""),"Angga sandi")</f>
        <v>Angga sandi</v>
      </c>
      <c r="E340" s="4" t="str">
        <f>IFERROR(__xludf.DUMMYFUNCTION("""COMPUTED_VALUE"""),"BANDUNG")</f>
        <v>BANDUNG</v>
      </c>
      <c r="F340" s="4" t="str">
        <f>IFERROR(__xludf.DUMMYFUNCTION("""COMPUTED_VALUE"""),"BANDUNG TIMUR")</f>
        <v>BANDUNG TIMUR</v>
      </c>
      <c r="G340" s="4" t="str">
        <f>IFERROR(__xludf.DUMMYFUNCTION("""COMPUTED_VALUE"""),"KIARACONDONG")</f>
        <v>KIARACONDONG</v>
      </c>
      <c r="H340" s="4" t="str">
        <f>IFERROR(__xludf.DUMMYFUNCTION("""COMPUTED_VALUE"""),"KPO")</f>
        <v>KPO</v>
      </c>
      <c r="I340" s="4" t="str">
        <f>IFERROR(__xludf.DUMMYFUNCTION("""COMPUTED_VALUE"""),"REC. BKRB-BGC")</f>
        <v>REC. BKRB-BGC</v>
      </c>
      <c r="J340" s="4" t="str">
        <f>IFERROR(__xludf.DUMMYFUNCTION("""COMPUTED_VALUE"""),"ZONA 2")</f>
        <v>ZONA 2</v>
      </c>
      <c r="K340" s="4" t="str">
        <f>IFERROR(__xludf.DUMMYFUNCTION("""COMPUTED_VALUE"""),"131")</f>
        <v>131</v>
      </c>
      <c r="L340" s="4" t="str">
        <f>IFERROR(__xludf.DUMMYFUNCTION("""COMPUTED_VALUE"""),"TM - 16B/H (REC/SSO/LBS)")</f>
        <v>TM - 16B/H (REC/SSO/LBS)</v>
      </c>
      <c r="M340" s="4" t="str">
        <f>IFERROR(__xludf.DUMMYFUNCTION("""COMPUTED_VALUE"""),"LBS")</f>
        <v>LBS</v>
      </c>
      <c r="N340" s="4" t="str">
        <f>IFERROR(__xludf.DUMMYFUNCTION("""COMPUTED_VALUE"""),"BKRC")</f>
        <v>BKRC</v>
      </c>
      <c r="O340" s="4" t="str">
        <f>IFERROR(__xludf.DUMMYFUNCTION("""COMPUTED_VALUE"""),"PEMBANDING SEJENIS")</f>
        <v>PEMBANDING SEJENIS</v>
      </c>
      <c r="P340" s="4" t="str">
        <f>IFERROR(__xludf.DUMMYFUNCTION("""COMPUTED_VALUE"""),"KONEKTOR/JUMPER")</f>
        <v>KONEKTOR/JUMPER</v>
      </c>
      <c r="Q340" s="4">
        <f>IFERROR(__xludf.DUMMYFUNCTION("""COMPUTED_VALUE"""),24.0)</f>
        <v>24</v>
      </c>
      <c r="R340" s="4">
        <f>IFERROR(__xludf.DUMMYFUNCTION("""COMPUTED_VALUE"""),25.0)</f>
        <v>25</v>
      </c>
      <c r="S340" s="4">
        <f>IFERROR(__xludf.DUMMYFUNCTION("""COMPUTED_VALUE"""),22.0)</f>
        <v>22</v>
      </c>
      <c r="T340" s="4"/>
      <c r="U340" s="4" t="str">
        <f>IFERROR(__xludf.DUMMYFUNCTION("""COMPUTED_VALUE"""),"CUKUP")</f>
        <v>CUKUP</v>
      </c>
      <c r="V340" s="4" t="str">
        <f>IFERROR(__xludf.DUMMYFUNCTION("""COMPUTED_VALUE"""),"Tidak Ada")</f>
        <v>Tidak Ada</v>
      </c>
      <c r="W340" s="4"/>
      <c r="X340" s="4"/>
      <c r="Y340" s="4"/>
      <c r="Z340" s="4"/>
      <c r="AA340" s="4"/>
      <c r="AB340" s="4"/>
      <c r="AC340" s="4" t="str">
        <f>IFERROR(__xludf.DUMMYFUNCTION("""COMPUTED_VALUE"""),"INSPEKSI SUTM - T2_Images/b9440fd6.FOTO.143245.jpg")</f>
        <v>INSPEKSI SUTM - T2_Images/b9440fd6.FOTO.143245.jpg</v>
      </c>
      <c r="AD340" s="4"/>
      <c r="AE340" s="4"/>
      <c r="AF340" s="4" t="str">
        <f>IFERROR(__xludf.DUMMYFUNCTION("""COMPUTED_VALUE"""),"BELUM")</f>
        <v>BELUM</v>
      </c>
      <c r="AG340" s="6">
        <f>IFERROR(__xludf.DUMMYFUNCTION("""COMPUTED_VALUE"""),46066.0)</f>
        <v>46066</v>
      </c>
      <c r="AH340" s="4"/>
      <c r="AI340" s="4"/>
    </row>
    <row r="341" ht="15.75" customHeight="1">
      <c r="A341" s="4" t="str">
        <f>IFERROR(__xludf.DUMMYFUNCTION("""COMPUTED_VALUE"""),"1be5f044")</f>
        <v>1be5f044</v>
      </c>
      <c r="B341" s="5">
        <f>IFERROR(__xludf.DUMMYFUNCTION("""COMPUTED_VALUE"""),46066.897997685184)</f>
        <v>46066.898</v>
      </c>
      <c r="C341" s="4" t="str">
        <f>IFERROR(__xludf.DUMMYFUNCTION("""COMPUTED_VALUE"""),"-6.884739, 107.631821")</f>
        <v>-6.884739, 107.631821</v>
      </c>
      <c r="D341" s="4" t="str">
        <f>IFERROR(__xludf.DUMMYFUNCTION("""COMPUTED_VALUE"""),"Angga sandi")</f>
        <v>Angga sandi</v>
      </c>
      <c r="E341" s="4" t="str">
        <f>IFERROR(__xludf.DUMMYFUNCTION("""COMPUTED_VALUE"""),"BANDUNG")</f>
        <v>BANDUNG</v>
      </c>
      <c r="F341" s="4" t="str">
        <f>IFERROR(__xludf.DUMMYFUNCTION("""COMPUTED_VALUE"""),"BANDUNG TIMUR")</f>
        <v>BANDUNG TIMUR</v>
      </c>
      <c r="G341" s="4" t="str">
        <f>IFERROR(__xludf.DUMMYFUNCTION("""COMPUTED_VALUE"""),"KIARACONDONG")</f>
        <v>KIARACONDONG</v>
      </c>
      <c r="H341" s="4" t="str">
        <f>IFERROR(__xludf.DUMMYFUNCTION("""COMPUTED_VALUE"""),"KPO")</f>
        <v>KPO</v>
      </c>
      <c r="I341" s="4" t="str">
        <f>IFERROR(__xludf.DUMMYFUNCTION("""COMPUTED_VALUE"""),"REC. BKRB-BGC")</f>
        <v>REC. BKRB-BGC</v>
      </c>
      <c r="J341" s="4" t="str">
        <f>IFERROR(__xludf.DUMMYFUNCTION("""COMPUTED_VALUE"""),"ZONA 2")</f>
        <v>ZONA 2</v>
      </c>
      <c r="K341" s="4" t="str">
        <f>IFERROR(__xludf.DUMMYFUNCTION("""COMPUTED_VALUE"""),"130")</f>
        <v>130</v>
      </c>
      <c r="L341" s="4" t="str">
        <f>IFERROR(__xludf.DUMMYFUNCTION("""COMPUTED_VALUE"""),"TM - 13B/H (Kabel Naik Pada Tiang Tumpu)")</f>
        <v>TM - 13B/H (Kabel Naik Pada Tiang Tumpu)</v>
      </c>
      <c r="M341" s="4" t="str">
        <f>IFERROR(__xludf.DUMMYFUNCTION("""COMPUTED_VALUE"""),"Tidak Ada")</f>
        <v>Tidak Ada</v>
      </c>
      <c r="N341" s="4"/>
      <c r="O341" s="4" t="str">
        <f>IFERROR(__xludf.DUMMYFUNCTION("""COMPUTED_VALUE"""),"PEMBANDING SEJENIS")</f>
        <v>PEMBANDING SEJENIS</v>
      </c>
      <c r="P341" s="4" t="str">
        <f>IFERROR(__xludf.DUMMYFUNCTION("""COMPUTED_VALUE"""),"TERMINASI")</f>
        <v>TERMINASI</v>
      </c>
      <c r="Q341" s="4">
        <f>IFERROR(__xludf.DUMMYFUNCTION("""COMPUTED_VALUE"""),19.0)</f>
        <v>19</v>
      </c>
      <c r="R341" s="4">
        <f>IFERROR(__xludf.DUMMYFUNCTION("""COMPUTED_VALUE"""),21.0)</f>
        <v>21</v>
      </c>
      <c r="S341" s="4">
        <f>IFERROR(__xludf.DUMMYFUNCTION("""COMPUTED_VALUE"""),21.0)</f>
        <v>21</v>
      </c>
      <c r="T341" s="4"/>
      <c r="U341" s="4" t="str">
        <f>IFERROR(__xludf.DUMMYFUNCTION("""COMPUTED_VALUE"""),"BAIK")</f>
        <v>BAIK</v>
      </c>
      <c r="V341" s="4" t="str">
        <f>IFERROR(__xludf.DUMMYFUNCTION("""COMPUTED_VALUE"""),"Tidak Ada")</f>
        <v>Tidak Ada</v>
      </c>
      <c r="W341" s="4"/>
      <c r="X341" s="4"/>
      <c r="Y341" s="4"/>
      <c r="Z341" s="4"/>
      <c r="AA341" s="4"/>
      <c r="AB341" s="4"/>
      <c r="AC341" s="4" t="str">
        <f>IFERROR(__xludf.DUMMYFUNCTION("""COMPUTED_VALUE"""),"INSPEKSI SUTM - T2_Images/1be5f044.FOTO.143400.jpg")</f>
        <v>INSPEKSI SUTM - T2_Images/1be5f044.FOTO.143400.jpg</v>
      </c>
      <c r="AD341" s="4"/>
      <c r="AE341" s="4"/>
      <c r="AF341" s="4" t="str">
        <f>IFERROR(__xludf.DUMMYFUNCTION("""COMPUTED_VALUE"""),"BELUM")</f>
        <v>BELUM</v>
      </c>
      <c r="AG341" s="6">
        <f>IFERROR(__xludf.DUMMYFUNCTION("""COMPUTED_VALUE"""),46066.0)</f>
        <v>46066</v>
      </c>
      <c r="AH341" s="4"/>
      <c r="AI341" s="4"/>
    </row>
    <row r="342" ht="15.75" customHeight="1">
      <c r="A342" s="4" t="str">
        <f>IFERROR(__xludf.DUMMYFUNCTION("""COMPUTED_VALUE"""),"fb7d99c0")</f>
        <v>fb7d99c0</v>
      </c>
      <c r="B342" s="5">
        <f>IFERROR(__xludf.DUMMYFUNCTION("""COMPUTED_VALUE"""),46066.89922453704)</f>
        <v>46066.89922</v>
      </c>
      <c r="C342" s="4" t="str">
        <f>IFERROR(__xludf.DUMMYFUNCTION("""COMPUTED_VALUE"""),"-6.884156, 107.632521")</f>
        <v>-6.884156, 107.632521</v>
      </c>
      <c r="D342" s="4" t="str">
        <f>IFERROR(__xludf.DUMMYFUNCTION("""COMPUTED_VALUE"""),"Angga sandi")</f>
        <v>Angga sandi</v>
      </c>
      <c r="E342" s="4" t="str">
        <f>IFERROR(__xludf.DUMMYFUNCTION("""COMPUTED_VALUE"""),"BANDUNG")</f>
        <v>BANDUNG</v>
      </c>
      <c r="F342" s="4" t="str">
        <f>IFERROR(__xludf.DUMMYFUNCTION("""COMPUTED_VALUE"""),"BANDUNG TIMUR")</f>
        <v>BANDUNG TIMUR</v>
      </c>
      <c r="G342" s="4" t="str">
        <f>IFERROR(__xludf.DUMMYFUNCTION("""COMPUTED_VALUE"""),"KIARACONDONG")</f>
        <v>KIARACONDONG</v>
      </c>
      <c r="H342" s="4" t="str">
        <f>IFERROR(__xludf.DUMMYFUNCTION("""COMPUTED_VALUE"""),"KPO")</f>
        <v>KPO</v>
      </c>
      <c r="I342" s="4" t="str">
        <f>IFERROR(__xludf.DUMMYFUNCTION("""COMPUTED_VALUE"""),"REC. BKRB-BGC")</f>
        <v>REC. BKRB-BGC</v>
      </c>
      <c r="J342" s="4" t="str">
        <f>IFERROR(__xludf.DUMMYFUNCTION("""COMPUTED_VALUE"""),"ZONA 2")</f>
        <v>ZONA 2</v>
      </c>
      <c r="K342" s="4" t="str">
        <f>IFERROR(__xludf.DUMMYFUNCTION("""COMPUTED_VALUE"""),"126")</f>
        <v>126</v>
      </c>
      <c r="L342" s="4" t="str">
        <f>IFERROR(__xludf.DUMMYFUNCTION("""COMPUTED_VALUE"""),"TM - 11B/H (Kabel Naik)")</f>
        <v>TM - 11B/H (Kabel Naik)</v>
      </c>
      <c r="M342" s="4" t="str">
        <f>IFERROR(__xludf.DUMMYFUNCTION("""COMPUTED_VALUE"""),"Tidak Ada")</f>
        <v>Tidak Ada</v>
      </c>
      <c r="N342" s="4"/>
      <c r="O342" s="4" t="str">
        <f>IFERROR(__xludf.DUMMYFUNCTION("""COMPUTED_VALUE"""),"PEMBANDING SEJENIS")</f>
        <v>PEMBANDING SEJENIS</v>
      </c>
      <c r="P342" s="4" t="str">
        <f>IFERROR(__xludf.DUMMYFUNCTION("""COMPUTED_VALUE"""),"TERMINASI")</f>
        <v>TERMINASI</v>
      </c>
      <c r="Q342" s="4">
        <f>IFERROR(__xludf.DUMMYFUNCTION("""COMPUTED_VALUE"""),30.0)</f>
        <v>30</v>
      </c>
      <c r="R342" s="4">
        <f>IFERROR(__xludf.DUMMYFUNCTION("""COMPUTED_VALUE"""),23.0)</f>
        <v>23</v>
      </c>
      <c r="S342" s="4">
        <f>IFERROR(__xludf.DUMMYFUNCTION("""COMPUTED_VALUE"""),23.0)</f>
        <v>23</v>
      </c>
      <c r="T342" s="4"/>
      <c r="U342" s="4" t="str">
        <f>IFERROR(__xludf.DUMMYFUNCTION("""COMPUTED_VALUE"""),"CUKUP")</f>
        <v>CUKUP</v>
      </c>
      <c r="V342" s="4" t="str">
        <f>IFERROR(__xludf.DUMMYFUNCTION("""COMPUTED_VALUE"""),"Tidak Ada")</f>
        <v>Tidak Ada</v>
      </c>
      <c r="W342" s="4"/>
      <c r="X342" s="4"/>
      <c r="Y342" s="4"/>
      <c r="Z342" s="4"/>
      <c r="AA342" s="4"/>
      <c r="AB342" s="4"/>
      <c r="AC342" s="4" t="str">
        <f>IFERROR(__xludf.DUMMYFUNCTION("""COMPUTED_VALUE"""),"INSPEKSI SUTM - T2_Images/fb7d99c0.FOTO.143544.jpg")</f>
        <v>INSPEKSI SUTM - T2_Images/fb7d99c0.FOTO.143544.jpg</v>
      </c>
      <c r="AD342" s="4"/>
      <c r="AE342" s="4"/>
      <c r="AF342" s="4" t="str">
        <f>IFERROR(__xludf.DUMMYFUNCTION("""COMPUTED_VALUE"""),"BELUM")</f>
        <v>BELUM</v>
      </c>
      <c r="AG342" s="6">
        <f>IFERROR(__xludf.DUMMYFUNCTION("""COMPUTED_VALUE"""),46066.0)</f>
        <v>46066</v>
      </c>
      <c r="AH342" s="4"/>
      <c r="AI342" s="4"/>
    </row>
    <row r="343" ht="15.75" customHeight="1">
      <c r="A343" s="4" t="str">
        <f>IFERROR(__xludf.DUMMYFUNCTION("""COMPUTED_VALUE"""),"9c306ae1")</f>
        <v>9c306ae1</v>
      </c>
      <c r="B343" s="5">
        <f>IFERROR(__xludf.DUMMYFUNCTION("""COMPUTED_VALUE"""),46066.90047453704)</f>
        <v>46066.90047</v>
      </c>
      <c r="C343" s="4" t="str">
        <f>IFERROR(__xludf.DUMMYFUNCTION("""COMPUTED_VALUE"""),"-6.878388, 107.634110")</f>
        <v>-6.878388, 107.634110</v>
      </c>
      <c r="D343" s="4" t="str">
        <f>IFERROR(__xludf.DUMMYFUNCTION("""COMPUTED_VALUE"""),"Angga sandi")</f>
        <v>Angga sandi</v>
      </c>
      <c r="E343" s="4" t="str">
        <f>IFERROR(__xludf.DUMMYFUNCTION("""COMPUTED_VALUE"""),"BANDUNG")</f>
        <v>BANDUNG</v>
      </c>
      <c r="F343" s="4" t="str">
        <f>IFERROR(__xludf.DUMMYFUNCTION("""COMPUTED_VALUE"""),"BANDUNG TIMUR")</f>
        <v>BANDUNG TIMUR</v>
      </c>
      <c r="G343" s="4" t="str">
        <f>IFERROR(__xludf.DUMMYFUNCTION("""COMPUTED_VALUE"""),"KIARACONDONG")</f>
        <v>KIARACONDONG</v>
      </c>
      <c r="H343" s="4" t="str">
        <f>IFERROR(__xludf.DUMMYFUNCTION("""COMPUTED_VALUE"""),"KPO")</f>
        <v>KPO</v>
      </c>
      <c r="I343" s="4" t="str">
        <f>IFERROR(__xludf.DUMMYFUNCTION("""COMPUTED_VALUE"""),"REC. BKRB-BGC")</f>
        <v>REC. BKRB-BGC</v>
      </c>
      <c r="J343" s="4" t="str">
        <f>IFERROR(__xludf.DUMMYFUNCTION("""COMPUTED_VALUE"""),"ZONA 2")</f>
        <v>ZONA 2</v>
      </c>
      <c r="K343" s="4" t="str">
        <f>IFERROR(__xludf.DUMMYFUNCTION("""COMPUTED_VALUE"""),"123")</f>
        <v>123</v>
      </c>
      <c r="L343" s="4" t="str">
        <f>IFERROR(__xludf.DUMMYFUNCTION("""COMPUTED_VALUE"""),"TM - 14B/H (Akhir)")</f>
        <v>TM - 14B/H (Akhir)</v>
      </c>
      <c r="M343" s="4" t="str">
        <f>IFERROR(__xludf.DUMMYFUNCTION("""COMPUTED_VALUE"""),"Tidak Ada")</f>
        <v>Tidak Ada</v>
      </c>
      <c r="N343" s="4"/>
      <c r="O343" s="4" t="str">
        <f>IFERROR(__xludf.DUMMYFUNCTION("""COMPUTED_VALUE"""),"PEMBANDING SEJENIS")</f>
        <v>PEMBANDING SEJENIS</v>
      </c>
      <c r="P343" s="4" t="str">
        <f>IFERROR(__xludf.DUMMYFUNCTION("""COMPUTED_VALUE"""),"TERMINASI")</f>
        <v>TERMINASI</v>
      </c>
      <c r="Q343" s="4">
        <f>IFERROR(__xludf.DUMMYFUNCTION("""COMPUTED_VALUE"""),21.0)</f>
        <v>21</v>
      </c>
      <c r="R343" s="4">
        <f>IFERROR(__xludf.DUMMYFUNCTION("""COMPUTED_VALUE"""),21.0)</f>
        <v>21</v>
      </c>
      <c r="S343" s="4">
        <f>IFERROR(__xludf.DUMMYFUNCTION("""COMPUTED_VALUE"""),21.0)</f>
        <v>21</v>
      </c>
      <c r="T343" s="4"/>
      <c r="U343" s="4" t="str">
        <f>IFERROR(__xludf.DUMMYFUNCTION("""COMPUTED_VALUE"""),"BAIK")</f>
        <v>BAIK</v>
      </c>
      <c r="V343" s="4" t="str">
        <f>IFERROR(__xludf.DUMMYFUNCTION("""COMPUTED_VALUE"""),"Tidak Ada")</f>
        <v>Tidak Ada</v>
      </c>
      <c r="W343" s="4"/>
      <c r="X343" s="4"/>
      <c r="Y343" s="4"/>
      <c r="Z343" s="4"/>
      <c r="AA343" s="4"/>
      <c r="AB343" s="4"/>
      <c r="AC343" s="4" t="str">
        <f>IFERROR(__xludf.DUMMYFUNCTION("""COMPUTED_VALUE"""),"INSPEKSI SUTM - T2_Images/9c306ae1.FOTO.143743.jpg")</f>
        <v>INSPEKSI SUTM - T2_Images/9c306ae1.FOTO.143743.jpg</v>
      </c>
      <c r="AD343" s="4"/>
      <c r="AE343" s="4"/>
      <c r="AF343" s="4" t="str">
        <f>IFERROR(__xludf.DUMMYFUNCTION("""COMPUTED_VALUE"""),"BELUM")</f>
        <v>BELUM</v>
      </c>
      <c r="AG343" s="6">
        <f>IFERROR(__xludf.DUMMYFUNCTION("""COMPUTED_VALUE"""),46066.0)</f>
        <v>46066</v>
      </c>
      <c r="AH343" s="4"/>
      <c r="AI343" s="4"/>
    </row>
    <row r="344" ht="15.75" customHeight="1">
      <c r="A344" s="4" t="str">
        <f>IFERROR(__xludf.DUMMYFUNCTION("""COMPUTED_VALUE"""),"523e4ab0")</f>
        <v>523e4ab0</v>
      </c>
      <c r="B344" s="5">
        <f>IFERROR(__xludf.DUMMYFUNCTION("""COMPUTED_VALUE"""),46066.901770833334)</f>
        <v>46066.90177</v>
      </c>
      <c r="C344" s="4" t="str">
        <f>IFERROR(__xludf.DUMMYFUNCTION("""COMPUTED_VALUE"""),"-6.876650, 107.635621")</f>
        <v>-6.876650, 107.635621</v>
      </c>
      <c r="D344" s="4" t="str">
        <f>IFERROR(__xludf.DUMMYFUNCTION("""COMPUTED_VALUE"""),"Angga sansi")</f>
        <v>Angga sansi</v>
      </c>
      <c r="E344" s="4" t="str">
        <f>IFERROR(__xludf.DUMMYFUNCTION("""COMPUTED_VALUE"""),"BANDUNG")</f>
        <v>BANDUNG</v>
      </c>
      <c r="F344" s="4" t="str">
        <f>IFERROR(__xludf.DUMMYFUNCTION("""COMPUTED_VALUE"""),"BANDUNG TIMUR")</f>
        <v>BANDUNG TIMUR</v>
      </c>
      <c r="G344" s="4" t="str">
        <f>IFERROR(__xludf.DUMMYFUNCTION("""COMPUTED_VALUE"""),"KIARACONDONG")</f>
        <v>KIARACONDONG</v>
      </c>
      <c r="H344" s="4" t="str">
        <f>IFERROR(__xludf.DUMMYFUNCTION("""COMPUTED_VALUE"""),"KPO")</f>
        <v>KPO</v>
      </c>
      <c r="I344" s="4" t="str">
        <f>IFERROR(__xludf.DUMMYFUNCTION("""COMPUTED_VALUE"""),"REC. BKRB-BGC")</f>
        <v>REC. BKRB-BGC</v>
      </c>
      <c r="J344" s="4" t="str">
        <f>IFERROR(__xludf.DUMMYFUNCTION("""COMPUTED_VALUE"""),"ZONA 2")</f>
        <v>ZONA 2</v>
      </c>
      <c r="K344" s="4" t="str">
        <f>IFERROR(__xludf.DUMMYFUNCTION("""COMPUTED_VALUE"""),"117")</f>
        <v>117</v>
      </c>
      <c r="L344" s="4" t="str">
        <f>IFERROR(__xludf.DUMMYFUNCTION("""COMPUTED_VALUE"""),"TM - 1B/H (Tumpu)")</f>
        <v>TM - 1B/H (Tumpu)</v>
      </c>
      <c r="M344" s="4" t="str">
        <f>IFERROR(__xludf.DUMMYFUNCTION("""COMPUTED_VALUE"""),"Tidak Ada")</f>
        <v>Tidak Ada</v>
      </c>
      <c r="N344" s="4"/>
      <c r="O344" s="4" t="str">
        <f>IFERROR(__xludf.DUMMYFUNCTION("""COMPUTED_VALUE"""),"PEMBANDING SEJENIS")</f>
        <v>PEMBANDING SEJENIS</v>
      </c>
      <c r="P344" s="4" t="str">
        <f>IFERROR(__xludf.DUMMYFUNCTION("""COMPUTED_VALUE"""),"ARRESTER")</f>
        <v>ARRESTER</v>
      </c>
      <c r="Q344" s="4">
        <f>IFERROR(__xludf.DUMMYFUNCTION("""COMPUTED_VALUE"""),22.0)</f>
        <v>22</v>
      </c>
      <c r="R344" s="4">
        <f>IFERROR(__xludf.DUMMYFUNCTION("""COMPUTED_VALUE"""),22.0)</f>
        <v>22</v>
      </c>
      <c r="S344" s="4">
        <f>IFERROR(__xludf.DUMMYFUNCTION("""COMPUTED_VALUE"""),22.0)</f>
        <v>22</v>
      </c>
      <c r="T344" s="4"/>
      <c r="U344" s="4" t="str">
        <f>IFERROR(__xludf.DUMMYFUNCTION("""COMPUTED_VALUE"""),"BAIK")</f>
        <v>BAIK</v>
      </c>
      <c r="V344" s="4" t="str">
        <f>IFERROR(__xludf.DUMMYFUNCTION("""COMPUTED_VALUE"""),"Tidak Ada")</f>
        <v>Tidak Ada</v>
      </c>
      <c r="W344" s="4"/>
      <c r="X344" s="4"/>
      <c r="Y344" s="4"/>
      <c r="Z344" s="4"/>
      <c r="AA344" s="4"/>
      <c r="AB344" s="4"/>
      <c r="AC344" s="4" t="str">
        <f>IFERROR(__xludf.DUMMYFUNCTION("""COMPUTED_VALUE"""),"INSPEKSI SUTM - T2_Images/523e4ab0.FOTO.143913.jpg")</f>
        <v>INSPEKSI SUTM - T2_Images/523e4ab0.FOTO.143913.jpg</v>
      </c>
      <c r="AD344" s="4"/>
      <c r="AE344" s="4"/>
      <c r="AF344" s="4" t="str">
        <f>IFERROR(__xludf.DUMMYFUNCTION("""COMPUTED_VALUE"""),"BELUM")</f>
        <v>BELUM</v>
      </c>
      <c r="AG344" s="6">
        <f>IFERROR(__xludf.DUMMYFUNCTION("""COMPUTED_VALUE"""),46066.0)</f>
        <v>46066</v>
      </c>
      <c r="AH344" s="4"/>
      <c r="AI344" s="4"/>
    </row>
    <row r="345" ht="15.75" customHeight="1">
      <c r="A345" s="4" t="str">
        <f>IFERROR(__xludf.DUMMYFUNCTION("""COMPUTED_VALUE"""),"292baae2")</f>
        <v>292baae2</v>
      </c>
      <c r="B345" s="5">
        <f>IFERROR(__xludf.DUMMYFUNCTION("""COMPUTED_VALUE"""),46066.90256944444)</f>
        <v>46066.90257</v>
      </c>
      <c r="C345" s="4" t="str">
        <f>IFERROR(__xludf.DUMMYFUNCTION("""COMPUTED_VALUE"""),"-6.875510, 107.636070")</f>
        <v>-6.875510, 107.636070</v>
      </c>
      <c r="D345" s="4" t="str">
        <f>IFERROR(__xludf.DUMMYFUNCTION("""COMPUTED_VALUE"""),"Angga sansi")</f>
        <v>Angga sansi</v>
      </c>
      <c r="E345" s="4" t="str">
        <f>IFERROR(__xludf.DUMMYFUNCTION("""COMPUTED_VALUE"""),"BANDUNG")</f>
        <v>BANDUNG</v>
      </c>
      <c r="F345" s="4" t="str">
        <f>IFERROR(__xludf.DUMMYFUNCTION("""COMPUTED_VALUE"""),"BANDUNG TIMUR")</f>
        <v>BANDUNG TIMUR</v>
      </c>
      <c r="G345" s="4" t="str">
        <f>IFERROR(__xludf.DUMMYFUNCTION("""COMPUTED_VALUE"""),"KIARACONDONG")</f>
        <v>KIARACONDONG</v>
      </c>
      <c r="H345" s="4" t="str">
        <f>IFERROR(__xludf.DUMMYFUNCTION("""COMPUTED_VALUE"""),"KPO")</f>
        <v>KPO</v>
      </c>
      <c r="I345" s="4" t="str">
        <f>IFERROR(__xludf.DUMMYFUNCTION("""COMPUTED_VALUE"""),"REC. BKRB-BGC")</f>
        <v>REC. BKRB-BGC</v>
      </c>
      <c r="J345" s="4" t="str">
        <f>IFERROR(__xludf.DUMMYFUNCTION("""COMPUTED_VALUE"""),"ZONA 2")</f>
        <v>ZONA 2</v>
      </c>
      <c r="K345" s="4" t="str">
        <f>IFERROR(__xludf.DUMMYFUNCTION("""COMPUTED_VALUE"""),"112")</f>
        <v>112</v>
      </c>
      <c r="L345" s="4" t="str">
        <f>IFERROR(__xludf.DUMMYFUNCTION("""COMPUTED_VALUE"""),"TM - 7B/H (Afspan 90 Derajat)")</f>
        <v>TM - 7B/H (Afspan 90 Derajat)</v>
      </c>
      <c r="M345" s="4" t="str">
        <f>IFERROR(__xludf.DUMMYFUNCTION("""COMPUTED_VALUE"""),"Tidak Ada")</f>
        <v>Tidak Ada</v>
      </c>
      <c r="N345" s="4"/>
      <c r="O345" s="4" t="str">
        <f>IFERROR(__xludf.DUMMYFUNCTION("""COMPUTED_VALUE"""),"PEMBANDING SEJENIS")</f>
        <v>PEMBANDING SEJENIS</v>
      </c>
      <c r="P345" s="4" t="str">
        <f>IFERROR(__xludf.DUMMYFUNCTION("""COMPUTED_VALUE"""),"KONEKTOR/JUMPER")</f>
        <v>KONEKTOR/JUMPER</v>
      </c>
      <c r="Q345" s="4">
        <f>IFERROR(__xludf.DUMMYFUNCTION("""COMPUTED_VALUE"""),21.0)</f>
        <v>21</v>
      </c>
      <c r="R345" s="4">
        <f>IFERROR(__xludf.DUMMYFUNCTION("""COMPUTED_VALUE"""),21.0)</f>
        <v>21</v>
      </c>
      <c r="S345" s="4">
        <f>IFERROR(__xludf.DUMMYFUNCTION("""COMPUTED_VALUE"""),21.0)</f>
        <v>21</v>
      </c>
      <c r="T345" s="4"/>
      <c r="U345" s="4" t="str">
        <f>IFERROR(__xludf.DUMMYFUNCTION("""COMPUTED_VALUE"""),"BAIK")</f>
        <v>BAIK</v>
      </c>
      <c r="V345" s="4" t="str">
        <f>IFERROR(__xludf.DUMMYFUNCTION("""COMPUTED_VALUE"""),"Tidak Ada")</f>
        <v>Tidak Ada</v>
      </c>
      <c r="W345" s="4"/>
      <c r="X345" s="4"/>
      <c r="Y345" s="4"/>
      <c r="Z345" s="4"/>
      <c r="AA345" s="4"/>
      <c r="AB345" s="4"/>
      <c r="AC345" s="4" t="str">
        <f>IFERROR(__xludf.DUMMYFUNCTION("""COMPUTED_VALUE"""),"INSPEKSI SUTM - T2_Images/292baae2.FOTO.144019.jpg")</f>
        <v>INSPEKSI SUTM - T2_Images/292baae2.FOTO.144019.jpg</v>
      </c>
      <c r="AD345" s="4"/>
      <c r="AE345" s="4"/>
      <c r="AF345" s="4" t="str">
        <f>IFERROR(__xludf.DUMMYFUNCTION("""COMPUTED_VALUE"""),"BELUM")</f>
        <v>BELUM</v>
      </c>
      <c r="AG345" s="6">
        <f>IFERROR(__xludf.DUMMYFUNCTION("""COMPUTED_VALUE"""),46066.0)</f>
        <v>46066</v>
      </c>
      <c r="AH345" s="4"/>
      <c r="AI345" s="4"/>
    </row>
    <row r="346" ht="15.75" customHeight="1">
      <c r="A346" s="4" t="str">
        <f>IFERROR(__xludf.DUMMYFUNCTION("""COMPUTED_VALUE"""),"21077284")</f>
        <v>21077284</v>
      </c>
      <c r="B346" s="5">
        <f>IFERROR(__xludf.DUMMYFUNCTION("""COMPUTED_VALUE"""),46066.90335648148)</f>
        <v>46066.90336</v>
      </c>
      <c r="C346" s="4" t="str">
        <f>IFERROR(__xludf.DUMMYFUNCTION("""COMPUTED_VALUE"""),"-6.875398, 107.636733")</f>
        <v>-6.875398, 107.636733</v>
      </c>
      <c r="D346" s="4" t="str">
        <f>IFERROR(__xludf.DUMMYFUNCTION("""COMPUTED_VALUE"""),"Angga sandi")</f>
        <v>Angga sandi</v>
      </c>
      <c r="E346" s="4" t="str">
        <f>IFERROR(__xludf.DUMMYFUNCTION("""COMPUTED_VALUE"""),"BANDUNG")</f>
        <v>BANDUNG</v>
      </c>
      <c r="F346" s="4" t="str">
        <f>IFERROR(__xludf.DUMMYFUNCTION("""COMPUTED_VALUE"""),"BANDUNG TIMUR")</f>
        <v>BANDUNG TIMUR</v>
      </c>
      <c r="G346" s="4" t="str">
        <f>IFERROR(__xludf.DUMMYFUNCTION("""COMPUTED_VALUE"""),"KIARACONDONG")</f>
        <v>KIARACONDONG</v>
      </c>
      <c r="H346" s="4" t="str">
        <f>IFERROR(__xludf.DUMMYFUNCTION("""COMPUTED_VALUE"""),"KPO")</f>
        <v>KPO</v>
      </c>
      <c r="I346" s="4" t="str">
        <f>IFERROR(__xludf.DUMMYFUNCTION("""COMPUTED_VALUE"""),"REC. BKRB-BGC")</f>
        <v>REC. BKRB-BGC</v>
      </c>
      <c r="J346" s="4" t="str">
        <f>IFERROR(__xludf.DUMMYFUNCTION("""COMPUTED_VALUE"""),"ZONA 2")</f>
        <v>ZONA 2</v>
      </c>
      <c r="K346" s="4" t="str">
        <f>IFERROR(__xludf.DUMMYFUNCTION("""COMPUTED_VALUE"""),"110")</f>
        <v>110</v>
      </c>
      <c r="L346" s="4" t="str">
        <f>IFERROR(__xludf.DUMMYFUNCTION("""COMPUTED_VALUE"""),"TM - 1B/H (Tumpu)")</f>
        <v>TM - 1B/H (Tumpu)</v>
      </c>
      <c r="M346" s="4" t="str">
        <f>IFERROR(__xludf.DUMMYFUNCTION("""COMPUTED_VALUE"""),"Tidak Ada")</f>
        <v>Tidak Ada</v>
      </c>
      <c r="N346" s="4"/>
      <c r="O346" s="4" t="str">
        <f>IFERROR(__xludf.DUMMYFUNCTION("""COMPUTED_VALUE"""),"PEMBANDING SEJENIS")</f>
        <v>PEMBANDING SEJENIS</v>
      </c>
      <c r="P346" s="4" t="str">
        <f>IFERROR(__xludf.DUMMYFUNCTION("""COMPUTED_VALUE"""),"ARRESTER")</f>
        <v>ARRESTER</v>
      </c>
      <c r="Q346" s="4">
        <f>IFERROR(__xludf.DUMMYFUNCTION("""COMPUTED_VALUE"""),20.0)</f>
        <v>20</v>
      </c>
      <c r="R346" s="4">
        <f>IFERROR(__xludf.DUMMYFUNCTION("""COMPUTED_VALUE"""),20.0)</f>
        <v>20</v>
      </c>
      <c r="S346" s="4">
        <f>IFERROR(__xludf.DUMMYFUNCTION("""COMPUTED_VALUE"""),20.0)</f>
        <v>20</v>
      </c>
      <c r="T346" s="4"/>
      <c r="U346" s="4" t="str">
        <f>IFERROR(__xludf.DUMMYFUNCTION("""COMPUTED_VALUE"""),"BAIK")</f>
        <v>BAIK</v>
      </c>
      <c r="V346" s="4" t="str">
        <f>IFERROR(__xludf.DUMMYFUNCTION("""COMPUTED_VALUE"""),"Tidak Ada")</f>
        <v>Tidak Ada</v>
      </c>
      <c r="W346" s="4"/>
      <c r="X346" s="4"/>
      <c r="Y346" s="4"/>
      <c r="Z346" s="4"/>
      <c r="AA346" s="4"/>
      <c r="AB346" s="4"/>
      <c r="AC346" s="4" t="str">
        <f>IFERROR(__xludf.DUMMYFUNCTION("""COMPUTED_VALUE"""),"INSPEKSI SUTM - T2_Images/21077284.FOTO.144126.jpg")</f>
        <v>INSPEKSI SUTM - T2_Images/21077284.FOTO.144126.jpg</v>
      </c>
      <c r="AD346" s="4"/>
      <c r="AE346" s="4"/>
      <c r="AF346" s="4" t="str">
        <f>IFERROR(__xludf.DUMMYFUNCTION("""COMPUTED_VALUE"""),"BELUM")</f>
        <v>BELUM</v>
      </c>
      <c r="AG346" s="6">
        <f>IFERROR(__xludf.DUMMYFUNCTION("""COMPUTED_VALUE"""),46066.0)</f>
        <v>46066</v>
      </c>
      <c r="AH346" s="4"/>
      <c r="AI346" s="4"/>
    </row>
    <row r="347" ht="15.75" customHeight="1">
      <c r="A347" s="4" t="str">
        <f>IFERROR(__xludf.DUMMYFUNCTION("""COMPUTED_VALUE"""),"b851d3da")</f>
        <v>b851d3da</v>
      </c>
      <c r="B347" s="5">
        <f>IFERROR(__xludf.DUMMYFUNCTION("""COMPUTED_VALUE"""),46066.90571759259)</f>
        <v>46066.90572</v>
      </c>
      <c r="C347" s="4" t="str">
        <f>IFERROR(__xludf.DUMMYFUNCTION("""COMPUTED_VALUE"""),"-6.913572, 107.645334")</f>
        <v>-6.913572, 107.645334</v>
      </c>
      <c r="D347" s="4" t="str">
        <f>IFERROR(__xludf.DUMMYFUNCTION("""COMPUTED_VALUE"""),"Angga sandi")</f>
        <v>Angga sandi</v>
      </c>
      <c r="E347" s="4" t="str">
        <f>IFERROR(__xludf.DUMMYFUNCTION("""COMPUTED_VALUE"""),"BANDUNG")</f>
        <v>BANDUNG</v>
      </c>
      <c r="F347" s="4" t="str">
        <f>IFERROR(__xludf.DUMMYFUNCTION("""COMPUTED_VALUE"""),"BANDUNG TIMUR")</f>
        <v>BANDUNG TIMUR</v>
      </c>
      <c r="G347" s="4" t="str">
        <f>IFERROR(__xludf.DUMMYFUNCTION("""COMPUTED_VALUE"""),"KIARACONDONG")</f>
        <v>KIARACONDONG</v>
      </c>
      <c r="H347" s="4" t="str">
        <f>IFERROR(__xludf.DUMMYFUNCTION("""COMPUTED_VALUE"""),"KKH")</f>
        <v>KKH</v>
      </c>
      <c r="I347" s="4" t="str">
        <f>IFERROR(__xludf.DUMMYFUNCTION("""COMPUTED_VALUE"""),"LKS-ATPY")</f>
        <v>LKS-ATPY</v>
      </c>
      <c r="J347" s="4" t="str">
        <f>IFERROR(__xludf.DUMMYFUNCTION("""COMPUTED_VALUE"""),"ZONA 2")</f>
        <v>ZONA 2</v>
      </c>
      <c r="K347" s="4" t="str">
        <f>IFERROR(__xludf.DUMMYFUNCTION("""COMPUTED_VALUE"""),"001")</f>
        <v>001</v>
      </c>
      <c r="L347" s="4" t="str">
        <f>IFERROR(__xludf.DUMMYFUNCTION("""COMPUTED_VALUE"""),"TM - 11B/H (Kabel Naik)")</f>
        <v>TM - 11B/H (Kabel Naik)</v>
      </c>
      <c r="M347" s="4" t="str">
        <f>IFERROR(__xludf.DUMMYFUNCTION("""COMPUTED_VALUE"""),"Tidak Ada")</f>
        <v>Tidak Ada</v>
      </c>
      <c r="N347" s="4"/>
      <c r="O347" s="4" t="str">
        <f>IFERROR(__xludf.DUMMYFUNCTION("""COMPUTED_VALUE"""),"PEMBANDING SEJENIS")</f>
        <v>PEMBANDING SEJENIS</v>
      </c>
      <c r="P347" s="4" t="str">
        <f>IFERROR(__xludf.DUMMYFUNCTION("""COMPUTED_VALUE"""),"ARRESTER")</f>
        <v>ARRESTER</v>
      </c>
      <c r="Q347" s="4">
        <f>IFERROR(__xludf.DUMMYFUNCTION("""COMPUTED_VALUE"""),23.0)</f>
        <v>23</v>
      </c>
      <c r="R347" s="4">
        <f>IFERROR(__xludf.DUMMYFUNCTION("""COMPUTED_VALUE"""),35.0)</f>
        <v>35</v>
      </c>
      <c r="S347" s="4">
        <f>IFERROR(__xludf.DUMMYFUNCTION("""COMPUTED_VALUE"""),25.0)</f>
        <v>25</v>
      </c>
      <c r="T347" s="4"/>
      <c r="U347" s="4" t="str">
        <f>IFERROR(__xludf.DUMMYFUNCTION("""COMPUTED_VALUE"""),"KURANG")</f>
        <v>KURANG</v>
      </c>
      <c r="V347" s="4" t="str">
        <f>IFERROR(__xludf.DUMMYFUNCTION("""COMPUTED_VALUE"""),"Tidak Ada")</f>
        <v>Tidak Ada</v>
      </c>
      <c r="W347" s="4"/>
      <c r="X347" s="4"/>
      <c r="Y347" s="4"/>
      <c r="Z347" s="4"/>
      <c r="AA347" s="4"/>
      <c r="AB347" s="4"/>
      <c r="AC347" s="4" t="str">
        <f>IFERROR(__xludf.DUMMYFUNCTION("""COMPUTED_VALUE"""),"INSPEKSI SUTM - T2_Images/b851d3da.FOTO.144513.jpg")</f>
        <v>INSPEKSI SUTM - T2_Images/b851d3da.FOTO.144513.jpg</v>
      </c>
      <c r="AD347" s="4"/>
      <c r="AE347" s="4"/>
      <c r="AF347" s="4" t="str">
        <f>IFERROR(__xludf.DUMMYFUNCTION("""COMPUTED_VALUE"""),"BELUM")</f>
        <v>BELUM</v>
      </c>
      <c r="AG347" s="6">
        <f>IFERROR(__xludf.DUMMYFUNCTION("""COMPUTED_VALUE"""),46066.0)</f>
        <v>46066</v>
      </c>
      <c r="AH347" s="4"/>
      <c r="AI347" s="4"/>
    </row>
    <row r="348" ht="15.75" customHeight="1">
      <c r="A348" s="4" t="str">
        <f>IFERROR(__xludf.DUMMYFUNCTION("""COMPUTED_VALUE"""),"28107eb1")</f>
        <v>28107eb1</v>
      </c>
      <c r="B348" s="5">
        <f>IFERROR(__xludf.DUMMYFUNCTION("""COMPUTED_VALUE"""),46066.907060185185)</f>
        <v>46066.90706</v>
      </c>
      <c r="C348" s="4" t="str">
        <f>IFERROR(__xludf.DUMMYFUNCTION("""COMPUTED_VALUE"""),"-6.913517, 107.645797")</f>
        <v>-6.913517, 107.645797</v>
      </c>
      <c r="D348" s="4" t="str">
        <f>IFERROR(__xludf.DUMMYFUNCTION("""COMPUTED_VALUE"""),"Angga sandi")</f>
        <v>Angga sandi</v>
      </c>
      <c r="E348" s="4" t="str">
        <f>IFERROR(__xludf.DUMMYFUNCTION("""COMPUTED_VALUE"""),"BANDUNG")</f>
        <v>BANDUNG</v>
      </c>
      <c r="F348" s="4" t="str">
        <f>IFERROR(__xludf.DUMMYFUNCTION("""COMPUTED_VALUE"""),"BANDUNG TIMUR")</f>
        <v>BANDUNG TIMUR</v>
      </c>
      <c r="G348" s="4" t="str">
        <f>IFERROR(__xludf.DUMMYFUNCTION("""COMPUTED_VALUE"""),"KIARACONDONG")</f>
        <v>KIARACONDONG</v>
      </c>
      <c r="H348" s="4" t="str">
        <f>IFERROR(__xludf.DUMMYFUNCTION("""COMPUTED_VALUE"""),"KKH")</f>
        <v>KKH</v>
      </c>
      <c r="I348" s="4" t="str">
        <f>IFERROR(__xludf.DUMMYFUNCTION("""COMPUTED_VALUE"""),"LKS-ATPY")</f>
        <v>LKS-ATPY</v>
      </c>
      <c r="J348" s="4" t="str">
        <f>IFERROR(__xludf.DUMMYFUNCTION("""COMPUTED_VALUE"""),"ZONA 2")</f>
        <v>ZONA 2</v>
      </c>
      <c r="K348" s="4" t="str">
        <f>IFERROR(__xludf.DUMMYFUNCTION("""COMPUTED_VALUE"""),"002")</f>
        <v>002</v>
      </c>
      <c r="L348" s="4" t="str">
        <f>IFERROR(__xludf.DUMMYFUNCTION("""COMPUTED_VALUE"""),"TM - 1B/H (Tumpu)")</f>
        <v>TM - 1B/H (Tumpu)</v>
      </c>
      <c r="M348" s="4" t="str">
        <f>IFERROR(__xludf.DUMMYFUNCTION("""COMPUTED_VALUE"""),"Tidak Ada")</f>
        <v>Tidak Ada</v>
      </c>
      <c r="N348" s="4"/>
      <c r="O348" s="4" t="str">
        <f>IFERROR(__xludf.DUMMYFUNCTION("""COMPUTED_VALUE"""),"PEMBANDING SEJENIS")</f>
        <v>PEMBANDING SEJENIS</v>
      </c>
      <c r="P348" s="4" t="str">
        <f>IFERROR(__xludf.DUMMYFUNCTION("""COMPUTED_VALUE"""),"ARRESTER")</f>
        <v>ARRESTER</v>
      </c>
      <c r="Q348" s="4">
        <f>IFERROR(__xludf.DUMMYFUNCTION("""COMPUTED_VALUE"""),23.0)</f>
        <v>23</v>
      </c>
      <c r="R348" s="4">
        <f>IFERROR(__xludf.DUMMYFUNCTION("""COMPUTED_VALUE"""),23.0)</f>
        <v>23</v>
      </c>
      <c r="S348" s="4">
        <f>IFERROR(__xludf.DUMMYFUNCTION("""COMPUTED_VALUE"""),23.0)</f>
        <v>23</v>
      </c>
      <c r="T348" s="4"/>
      <c r="U348" s="4" t="str">
        <f>IFERROR(__xludf.DUMMYFUNCTION("""COMPUTED_VALUE"""),"BAIK")</f>
        <v>BAIK</v>
      </c>
      <c r="V348" s="4" t="str">
        <f>IFERROR(__xludf.DUMMYFUNCTION("""COMPUTED_VALUE"""),"Tidak Ada")</f>
        <v>Tidak Ada</v>
      </c>
      <c r="W348" s="4"/>
      <c r="X348" s="4"/>
      <c r="Y348" s="4"/>
      <c r="Z348" s="4"/>
      <c r="AA348" s="4"/>
      <c r="AB348" s="4"/>
      <c r="AC348" s="4" t="str">
        <f>IFERROR(__xludf.DUMMYFUNCTION("""COMPUTED_VALUE"""),"INSPEKSI SUTM - T2_Images/28107eb1.FOTO.144642.jpg")</f>
        <v>INSPEKSI SUTM - T2_Images/28107eb1.FOTO.144642.jpg</v>
      </c>
      <c r="AD348" s="4"/>
      <c r="AE348" s="4"/>
      <c r="AF348" s="4" t="str">
        <f>IFERROR(__xludf.DUMMYFUNCTION("""COMPUTED_VALUE"""),"BELUM")</f>
        <v>BELUM</v>
      </c>
      <c r="AG348" s="6">
        <f>IFERROR(__xludf.DUMMYFUNCTION("""COMPUTED_VALUE"""),46066.0)</f>
        <v>46066</v>
      </c>
      <c r="AH348" s="4"/>
      <c r="AI348" s="4"/>
    </row>
    <row r="349" ht="15.75" customHeight="1">
      <c r="A349" s="4" t="str">
        <f>IFERROR(__xludf.DUMMYFUNCTION("""COMPUTED_VALUE"""),"1830a7a7")</f>
        <v>1830a7a7</v>
      </c>
      <c r="B349" s="5">
        <f>IFERROR(__xludf.DUMMYFUNCTION("""COMPUTED_VALUE"""),46066.91092592593)</f>
        <v>46066.91093</v>
      </c>
      <c r="C349" s="4" t="str">
        <f>IFERROR(__xludf.DUMMYFUNCTION("""COMPUTED_VALUE"""),"-6.913391, 107.646368")</f>
        <v>-6.913391, 107.646368</v>
      </c>
      <c r="D349" s="4" t="str">
        <f>IFERROR(__xludf.DUMMYFUNCTION("""COMPUTED_VALUE"""),"Angga sandi")</f>
        <v>Angga sandi</v>
      </c>
      <c r="E349" s="4" t="str">
        <f>IFERROR(__xludf.DUMMYFUNCTION("""COMPUTED_VALUE"""),"BANDUNG")</f>
        <v>BANDUNG</v>
      </c>
      <c r="F349" s="4" t="str">
        <f>IFERROR(__xludf.DUMMYFUNCTION("""COMPUTED_VALUE"""),"BANDUNG TIMUR")</f>
        <v>BANDUNG TIMUR</v>
      </c>
      <c r="G349" s="4" t="str">
        <f>IFERROR(__xludf.DUMMYFUNCTION("""COMPUTED_VALUE"""),"KIARACONDONG")</f>
        <v>KIARACONDONG</v>
      </c>
      <c r="H349" s="4" t="str">
        <f>IFERROR(__xludf.DUMMYFUNCTION("""COMPUTED_VALUE"""),"KKH")</f>
        <v>KKH</v>
      </c>
      <c r="I349" s="4" t="str">
        <f>IFERROR(__xludf.DUMMYFUNCTION("""COMPUTED_VALUE"""),"LKS-ATPY")</f>
        <v>LKS-ATPY</v>
      </c>
      <c r="J349" s="4" t="str">
        <f>IFERROR(__xludf.DUMMYFUNCTION("""COMPUTED_VALUE"""),"ZONA 2")</f>
        <v>ZONA 2</v>
      </c>
      <c r="K349" s="4" t="str">
        <f>IFERROR(__xludf.DUMMYFUNCTION("""COMPUTED_VALUE"""),"004")</f>
        <v>004</v>
      </c>
      <c r="L349" s="4" t="str">
        <f>IFERROR(__xludf.DUMMYFUNCTION("""COMPUTED_VALUE"""),"TM - 1B/H (Tumpu)")</f>
        <v>TM - 1B/H (Tumpu)</v>
      </c>
      <c r="M349" s="4" t="str">
        <f>IFERROR(__xludf.DUMMYFUNCTION("""COMPUTED_VALUE"""),"Tidak Ada")</f>
        <v>Tidak Ada</v>
      </c>
      <c r="N349" s="4"/>
      <c r="O349" s="4" t="str">
        <f>IFERROR(__xludf.DUMMYFUNCTION("""COMPUTED_VALUE"""),"PEMBANDING SEJENIS")</f>
        <v>PEMBANDING SEJENIS</v>
      </c>
      <c r="P349" s="4" t="str">
        <f>IFERROR(__xludf.DUMMYFUNCTION("""COMPUTED_VALUE"""),"KONEKTOR/JUMPER")</f>
        <v>KONEKTOR/JUMPER</v>
      </c>
      <c r="Q349" s="4">
        <f>IFERROR(__xludf.DUMMYFUNCTION("""COMPUTED_VALUE"""),23.0)</f>
        <v>23</v>
      </c>
      <c r="R349" s="4">
        <f>IFERROR(__xludf.DUMMYFUNCTION("""COMPUTED_VALUE"""),23.0)</f>
        <v>23</v>
      </c>
      <c r="S349" s="4">
        <f>IFERROR(__xludf.DUMMYFUNCTION("""COMPUTED_VALUE"""),23.0)</f>
        <v>23</v>
      </c>
      <c r="T349" s="4"/>
      <c r="U349" s="4" t="str">
        <f>IFERROR(__xludf.DUMMYFUNCTION("""COMPUTED_VALUE"""),"BAIK")</f>
        <v>BAIK</v>
      </c>
      <c r="V349" s="4" t="str">
        <f>IFERROR(__xludf.DUMMYFUNCTION("""COMPUTED_VALUE"""),"Tidak Ada")</f>
        <v>Tidak Ada</v>
      </c>
      <c r="W349" s="4"/>
      <c r="X349" s="4"/>
      <c r="Y349" s="4"/>
      <c r="Z349" s="4"/>
      <c r="AA349" s="4"/>
      <c r="AB349" s="4"/>
      <c r="AC349" s="4" t="str">
        <f>IFERROR(__xludf.DUMMYFUNCTION("""COMPUTED_VALUE"""),"INSPEKSI SUTM - T2_Images/1830a7a7.FOTO.145229.jpg")</f>
        <v>INSPEKSI SUTM - T2_Images/1830a7a7.FOTO.145229.jpg</v>
      </c>
      <c r="AD349" s="4"/>
      <c r="AE349" s="4"/>
      <c r="AF349" s="4" t="str">
        <f>IFERROR(__xludf.DUMMYFUNCTION("""COMPUTED_VALUE"""),"BELUM")</f>
        <v>BELUM</v>
      </c>
      <c r="AG349" s="6">
        <f>IFERROR(__xludf.DUMMYFUNCTION("""COMPUTED_VALUE"""),46066.0)</f>
        <v>46066</v>
      </c>
      <c r="AH349" s="4"/>
      <c r="AI349" s="4"/>
    </row>
    <row r="350" ht="15.75" customHeight="1">
      <c r="A350" s="4" t="str">
        <f>IFERROR(__xludf.DUMMYFUNCTION("""COMPUTED_VALUE"""),"81810bb5")</f>
        <v>81810bb5</v>
      </c>
      <c r="B350" s="5">
        <f>IFERROR(__xludf.DUMMYFUNCTION("""COMPUTED_VALUE"""),46066.91737268519)</f>
        <v>46066.91737</v>
      </c>
      <c r="C350" s="4" t="str">
        <f>IFERROR(__xludf.DUMMYFUNCTION("""COMPUTED_VALUE"""),"-6.913263, 107.647607")</f>
        <v>-6.913263, 107.647607</v>
      </c>
      <c r="D350" s="4" t="str">
        <f>IFERROR(__xludf.DUMMYFUNCTION("""COMPUTED_VALUE"""),"Angga sandi")</f>
        <v>Angga sandi</v>
      </c>
      <c r="E350" s="4" t="str">
        <f>IFERROR(__xludf.DUMMYFUNCTION("""COMPUTED_VALUE"""),"BANDUNG")</f>
        <v>BANDUNG</v>
      </c>
      <c r="F350" s="4" t="str">
        <f>IFERROR(__xludf.DUMMYFUNCTION("""COMPUTED_VALUE"""),"BANDUNG TIMUR")</f>
        <v>BANDUNG TIMUR</v>
      </c>
      <c r="G350" s="4" t="str">
        <f>IFERROR(__xludf.DUMMYFUNCTION("""COMPUTED_VALUE"""),"KIARACONDONG")</f>
        <v>KIARACONDONG</v>
      </c>
      <c r="H350" s="4" t="str">
        <f>IFERROR(__xludf.DUMMYFUNCTION("""COMPUTED_VALUE"""),"KKH")</f>
        <v>KKH</v>
      </c>
      <c r="I350" s="4" t="str">
        <f>IFERROR(__xludf.DUMMYFUNCTION("""COMPUTED_VALUE"""),"LKS-ATPY")</f>
        <v>LKS-ATPY</v>
      </c>
      <c r="J350" s="4" t="str">
        <f>IFERROR(__xludf.DUMMYFUNCTION("""COMPUTED_VALUE"""),"ZONA 2")</f>
        <v>ZONA 2</v>
      </c>
      <c r="K350" s="4" t="str">
        <f>IFERROR(__xludf.DUMMYFUNCTION("""COMPUTED_VALUE"""),"006")</f>
        <v>006</v>
      </c>
      <c r="L350" s="4" t="str">
        <f>IFERROR(__xludf.DUMMYFUNCTION("""COMPUTED_VALUE"""),"TM - 8BC/HC (Percabangan dengan CO)")</f>
        <v>TM - 8BC/HC (Percabangan dengan CO)</v>
      </c>
      <c r="M350" s="4" t="str">
        <f>IFERROR(__xludf.DUMMYFUNCTION("""COMPUTED_VALUE"""),"FCO")</f>
        <v>FCO</v>
      </c>
      <c r="N350" s="4" t="str">
        <f>IFERROR(__xludf.DUMMYFUNCTION("""COMPUTED_VALUE"""),"Fco")</f>
        <v>Fco</v>
      </c>
      <c r="O350" s="4" t="str">
        <f>IFERROR(__xludf.DUMMYFUNCTION("""COMPUTED_VALUE"""),"PEMBANDING SEJENIS")</f>
        <v>PEMBANDING SEJENIS</v>
      </c>
      <c r="P350" s="4" t="str">
        <f>IFERROR(__xludf.DUMMYFUNCTION("""COMPUTED_VALUE"""),"FCO")</f>
        <v>FCO</v>
      </c>
      <c r="Q350" s="4">
        <f>IFERROR(__xludf.DUMMYFUNCTION("""COMPUTED_VALUE"""),23.0)</f>
        <v>23</v>
      </c>
      <c r="R350" s="4">
        <f>IFERROR(__xludf.DUMMYFUNCTION("""COMPUTED_VALUE"""),23.0)</f>
        <v>23</v>
      </c>
      <c r="S350" s="4">
        <f>IFERROR(__xludf.DUMMYFUNCTION("""COMPUTED_VALUE"""),20.0)</f>
        <v>20</v>
      </c>
      <c r="T350" s="4"/>
      <c r="U350" s="4" t="str">
        <f>IFERROR(__xludf.DUMMYFUNCTION("""COMPUTED_VALUE"""),"CUKUP")</f>
        <v>CUKUP</v>
      </c>
      <c r="V350" s="4" t="str">
        <f>IFERROR(__xludf.DUMMYFUNCTION("""COMPUTED_VALUE"""),"Tidak Ada")</f>
        <v>Tidak Ada</v>
      </c>
      <c r="W350" s="4"/>
      <c r="X350" s="4"/>
      <c r="Y350" s="4"/>
      <c r="Z350" s="4"/>
      <c r="AA350" s="4"/>
      <c r="AB350" s="4"/>
      <c r="AC350" s="4" t="str">
        <f>IFERROR(__xludf.DUMMYFUNCTION("""COMPUTED_VALUE"""),"INSPEKSI SUTM - T2_Images/81810bb5.FOTO.150201.jpg")</f>
        <v>INSPEKSI SUTM - T2_Images/81810bb5.FOTO.150201.jpg</v>
      </c>
      <c r="AD350" s="4"/>
      <c r="AE350" s="4"/>
      <c r="AF350" s="4" t="str">
        <f>IFERROR(__xludf.DUMMYFUNCTION("""COMPUTED_VALUE"""),"BELUM")</f>
        <v>BELUM</v>
      </c>
      <c r="AG350" s="6">
        <f>IFERROR(__xludf.DUMMYFUNCTION("""COMPUTED_VALUE"""),46066.0)</f>
        <v>46066</v>
      </c>
      <c r="AH350" s="4"/>
      <c r="AI350" s="4"/>
    </row>
    <row r="351" ht="15.75" customHeight="1">
      <c r="A351" s="4" t="str">
        <f>IFERROR(__xludf.DUMMYFUNCTION("""COMPUTED_VALUE"""),"771cfbd1")</f>
        <v>771cfbd1</v>
      </c>
      <c r="B351" s="5">
        <f>IFERROR(__xludf.DUMMYFUNCTION("""COMPUTED_VALUE"""),46066.91952546296)</f>
        <v>46066.91953</v>
      </c>
      <c r="C351" s="4" t="str">
        <f>IFERROR(__xludf.DUMMYFUNCTION("""COMPUTED_VALUE"""),"-6.913028, 107.649339")</f>
        <v>-6.913028, 107.649339</v>
      </c>
      <c r="D351" s="4" t="str">
        <f>IFERROR(__xludf.DUMMYFUNCTION("""COMPUTED_VALUE"""),"Angga sandi")</f>
        <v>Angga sandi</v>
      </c>
      <c r="E351" s="4" t="str">
        <f>IFERROR(__xludf.DUMMYFUNCTION("""COMPUTED_VALUE"""),"BANDUNG")</f>
        <v>BANDUNG</v>
      </c>
      <c r="F351" s="4" t="str">
        <f>IFERROR(__xludf.DUMMYFUNCTION("""COMPUTED_VALUE"""),"BANDUNG TIMUR")</f>
        <v>BANDUNG TIMUR</v>
      </c>
      <c r="G351" s="4" t="str">
        <f>IFERROR(__xludf.DUMMYFUNCTION("""COMPUTED_VALUE"""),"KIARACONDONG")</f>
        <v>KIARACONDONG</v>
      </c>
      <c r="H351" s="4" t="str">
        <f>IFERROR(__xludf.DUMMYFUNCTION("""COMPUTED_VALUE"""),"KKH")</f>
        <v>KKH</v>
      </c>
      <c r="I351" s="4" t="str">
        <f>IFERROR(__xludf.DUMMYFUNCTION("""COMPUTED_VALUE"""),"LKS-ATPY")</f>
        <v>LKS-ATPY</v>
      </c>
      <c r="J351" s="4" t="str">
        <f>IFERROR(__xludf.DUMMYFUNCTION("""COMPUTED_VALUE"""),"ZONA 2")</f>
        <v>ZONA 2</v>
      </c>
      <c r="K351" s="4" t="str">
        <f>IFERROR(__xludf.DUMMYFUNCTION("""COMPUTED_VALUE"""),"010")</f>
        <v>010</v>
      </c>
      <c r="L351" s="4" t="str">
        <f>IFERROR(__xludf.DUMMYFUNCTION("""COMPUTED_VALUE"""),"TM - 4B/H (Afspan)")</f>
        <v>TM - 4B/H (Afspan)</v>
      </c>
      <c r="M351" s="4" t="str">
        <f>IFERROR(__xludf.DUMMYFUNCTION("""COMPUTED_VALUE"""),"Tidak Ada")</f>
        <v>Tidak Ada</v>
      </c>
      <c r="N351" s="4"/>
      <c r="O351" s="4" t="str">
        <f>IFERROR(__xludf.DUMMYFUNCTION("""COMPUTED_VALUE"""),"PEMBANDING SEJENIS")</f>
        <v>PEMBANDING SEJENIS</v>
      </c>
      <c r="P351" s="4" t="str">
        <f>IFERROR(__xludf.DUMMYFUNCTION("""COMPUTED_VALUE"""),"KONEKTOR/JUMPER")</f>
        <v>KONEKTOR/JUMPER</v>
      </c>
      <c r="Q351" s="4">
        <f>IFERROR(__xludf.DUMMYFUNCTION("""COMPUTED_VALUE"""),24.0)</f>
        <v>24</v>
      </c>
      <c r="R351" s="4">
        <f>IFERROR(__xludf.DUMMYFUNCTION("""COMPUTED_VALUE"""),23.0)</f>
        <v>23</v>
      </c>
      <c r="S351" s="4">
        <f>IFERROR(__xludf.DUMMYFUNCTION("""COMPUTED_VALUE"""),23.0)</f>
        <v>23</v>
      </c>
      <c r="T351" s="4"/>
      <c r="U351" s="4" t="str">
        <f>IFERROR(__xludf.DUMMYFUNCTION("""COMPUTED_VALUE"""),"BAIK")</f>
        <v>BAIK</v>
      </c>
      <c r="V351" s="4" t="str">
        <f>IFERROR(__xludf.DUMMYFUNCTION("""COMPUTED_VALUE"""),"Tidak Ada")</f>
        <v>Tidak Ada</v>
      </c>
      <c r="W351" s="4"/>
      <c r="X351" s="4"/>
      <c r="Y351" s="4"/>
      <c r="Z351" s="4"/>
      <c r="AA351" s="4"/>
      <c r="AB351" s="4"/>
      <c r="AC351" s="4" t="str">
        <f>IFERROR(__xludf.DUMMYFUNCTION("""COMPUTED_VALUE"""),"INSPEKSI SUTM - T2_Images/771cfbd1.FOTO.150445.jpg")</f>
        <v>INSPEKSI SUTM - T2_Images/771cfbd1.FOTO.150445.jpg</v>
      </c>
      <c r="AD351" s="4"/>
      <c r="AE351" s="4"/>
      <c r="AF351" s="4" t="str">
        <f>IFERROR(__xludf.DUMMYFUNCTION("""COMPUTED_VALUE"""),"BELUM")</f>
        <v>BELUM</v>
      </c>
      <c r="AG351" s="6">
        <f>IFERROR(__xludf.DUMMYFUNCTION("""COMPUTED_VALUE"""),46066.0)</f>
        <v>46066</v>
      </c>
      <c r="AH351" s="4"/>
      <c r="AI351" s="4"/>
    </row>
    <row r="352" ht="15.75" customHeight="1">
      <c r="A352" s="4" t="str">
        <f>IFERROR(__xludf.DUMMYFUNCTION("""COMPUTED_VALUE"""),"0d76359e")</f>
        <v>0d76359e</v>
      </c>
      <c r="B352" s="5">
        <f>IFERROR(__xludf.DUMMYFUNCTION("""COMPUTED_VALUE"""),46066.92025462963)</f>
        <v>46066.92025</v>
      </c>
      <c r="C352" s="4" t="str">
        <f>IFERROR(__xludf.DUMMYFUNCTION("""COMPUTED_VALUE"""),"-6.912979, 107.649745")</f>
        <v>-6.912979, 107.649745</v>
      </c>
      <c r="D352" s="4" t="str">
        <f>IFERROR(__xludf.DUMMYFUNCTION("""COMPUTED_VALUE"""),"Angga sandi")</f>
        <v>Angga sandi</v>
      </c>
      <c r="E352" s="4" t="str">
        <f>IFERROR(__xludf.DUMMYFUNCTION("""COMPUTED_VALUE"""),"BANDUNG")</f>
        <v>BANDUNG</v>
      </c>
      <c r="F352" s="4" t="str">
        <f>IFERROR(__xludf.DUMMYFUNCTION("""COMPUTED_VALUE"""),"BANDUNG TIMUR")</f>
        <v>BANDUNG TIMUR</v>
      </c>
      <c r="G352" s="4" t="str">
        <f>IFERROR(__xludf.DUMMYFUNCTION("""COMPUTED_VALUE"""),"KIARACONDONG")</f>
        <v>KIARACONDONG</v>
      </c>
      <c r="H352" s="4" t="str">
        <f>IFERROR(__xludf.DUMMYFUNCTION("""COMPUTED_VALUE"""),"KKH")</f>
        <v>KKH</v>
      </c>
      <c r="I352" s="4" t="str">
        <f>IFERROR(__xludf.DUMMYFUNCTION("""COMPUTED_VALUE"""),"LKS-ATPY")</f>
        <v>LKS-ATPY</v>
      </c>
      <c r="J352" s="4" t="str">
        <f>IFERROR(__xludf.DUMMYFUNCTION("""COMPUTED_VALUE"""),"ZONA 2")</f>
        <v>ZONA 2</v>
      </c>
      <c r="K352" s="4" t="str">
        <f>IFERROR(__xludf.DUMMYFUNCTION("""COMPUTED_VALUE"""),"011")</f>
        <v>011</v>
      </c>
      <c r="L352" s="4" t="str">
        <f>IFERROR(__xludf.DUMMYFUNCTION("""COMPUTED_VALUE"""),"TM - 8BC/HC (Percabangan dengan CO)")</f>
        <v>TM - 8BC/HC (Percabangan dengan CO)</v>
      </c>
      <c r="M352" s="4" t="str">
        <f>IFERROR(__xludf.DUMMYFUNCTION("""COMPUTED_VALUE"""),"FCO")</f>
        <v>FCO</v>
      </c>
      <c r="N352" s="4" t="str">
        <f>IFERROR(__xludf.DUMMYFUNCTION("""COMPUTED_VALUE"""),"FCO")</f>
        <v>FCO</v>
      </c>
      <c r="O352" s="4" t="str">
        <f>IFERROR(__xludf.DUMMYFUNCTION("""COMPUTED_VALUE"""),"PEMBANDING SEJENIS")</f>
        <v>PEMBANDING SEJENIS</v>
      </c>
      <c r="P352" s="4" t="str">
        <f>IFERROR(__xludf.DUMMYFUNCTION("""COMPUTED_VALUE"""),"FCO")</f>
        <v>FCO</v>
      </c>
      <c r="Q352" s="4">
        <f>IFERROR(__xludf.DUMMYFUNCTION("""COMPUTED_VALUE"""),22.0)</f>
        <v>22</v>
      </c>
      <c r="R352" s="4">
        <f>IFERROR(__xludf.DUMMYFUNCTION("""COMPUTED_VALUE"""),20.0)</f>
        <v>20</v>
      </c>
      <c r="S352" s="4">
        <f>IFERROR(__xludf.DUMMYFUNCTION("""COMPUTED_VALUE"""),21.0)</f>
        <v>21</v>
      </c>
      <c r="T352" s="4"/>
      <c r="U352" s="4" t="str">
        <f>IFERROR(__xludf.DUMMYFUNCTION("""COMPUTED_VALUE"""),"BAIK")</f>
        <v>BAIK</v>
      </c>
      <c r="V352" s="4" t="str">
        <f>IFERROR(__xludf.DUMMYFUNCTION("""COMPUTED_VALUE"""),"Tidak Ada")</f>
        <v>Tidak Ada</v>
      </c>
      <c r="W352" s="4"/>
      <c r="X352" s="4"/>
      <c r="Y352" s="4"/>
      <c r="Z352" s="4"/>
      <c r="AA352" s="4"/>
      <c r="AB352" s="4"/>
      <c r="AC352" s="4" t="str">
        <f>IFERROR(__xludf.DUMMYFUNCTION("""COMPUTED_VALUE"""),"INSPEKSI SUTM - T2_Images/0d76359e.FOTO.150555.jpg")</f>
        <v>INSPEKSI SUTM - T2_Images/0d76359e.FOTO.150555.jpg</v>
      </c>
      <c r="AD352" s="4"/>
      <c r="AE352" s="4"/>
      <c r="AF352" s="4" t="str">
        <f>IFERROR(__xludf.DUMMYFUNCTION("""COMPUTED_VALUE"""),"BELUM")</f>
        <v>BELUM</v>
      </c>
      <c r="AG352" s="6">
        <f>IFERROR(__xludf.DUMMYFUNCTION("""COMPUTED_VALUE"""),46066.0)</f>
        <v>46066</v>
      </c>
      <c r="AH352" s="4"/>
      <c r="AI352" s="4"/>
    </row>
    <row r="353" ht="15.75" customHeight="1">
      <c r="A353" s="4" t="str">
        <f>IFERROR(__xludf.DUMMYFUNCTION("""COMPUTED_VALUE"""),"8b105407")</f>
        <v>8b105407</v>
      </c>
      <c r="B353" s="5">
        <f>IFERROR(__xludf.DUMMYFUNCTION("""COMPUTED_VALUE"""),46066.92122685185)</f>
        <v>46066.92123</v>
      </c>
      <c r="C353" s="4" t="str">
        <f>IFERROR(__xludf.DUMMYFUNCTION("""COMPUTED_VALUE"""),"-6.912816, 107.651194")</f>
        <v>-6.912816, 107.651194</v>
      </c>
      <c r="D353" s="4" t="str">
        <f>IFERROR(__xludf.DUMMYFUNCTION("""COMPUTED_VALUE"""),"Angga sandi")</f>
        <v>Angga sandi</v>
      </c>
      <c r="E353" s="4" t="str">
        <f>IFERROR(__xludf.DUMMYFUNCTION("""COMPUTED_VALUE"""),"BANDUNG")</f>
        <v>BANDUNG</v>
      </c>
      <c r="F353" s="4" t="str">
        <f>IFERROR(__xludf.DUMMYFUNCTION("""COMPUTED_VALUE"""),"BANDUNG TIMUR")</f>
        <v>BANDUNG TIMUR</v>
      </c>
      <c r="G353" s="4" t="str">
        <f>IFERROR(__xludf.DUMMYFUNCTION("""COMPUTED_VALUE"""),"KIARACONDONG")</f>
        <v>KIARACONDONG</v>
      </c>
      <c r="H353" s="4" t="str">
        <f>IFERROR(__xludf.DUMMYFUNCTION("""COMPUTED_VALUE"""),"KKH")</f>
        <v>KKH</v>
      </c>
      <c r="I353" s="4" t="str">
        <f>IFERROR(__xludf.DUMMYFUNCTION("""COMPUTED_VALUE"""),"LKS-ATPY")</f>
        <v>LKS-ATPY</v>
      </c>
      <c r="J353" s="4" t="str">
        <f>IFERROR(__xludf.DUMMYFUNCTION("""COMPUTED_VALUE"""),"ZONA 2")</f>
        <v>ZONA 2</v>
      </c>
      <c r="K353" s="4" t="str">
        <f>IFERROR(__xludf.DUMMYFUNCTION("""COMPUTED_VALUE"""),"014")</f>
        <v>014</v>
      </c>
      <c r="L353" s="4" t="str">
        <f>IFERROR(__xludf.DUMMYFUNCTION("""COMPUTED_VALUE"""),"TM - 13B/H (Kabel Naik Pada Tiang Tumpu)")</f>
        <v>TM - 13B/H (Kabel Naik Pada Tiang Tumpu)</v>
      </c>
      <c r="M353" s="4" t="str">
        <f>IFERROR(__xludf.DUMMYFUNCTION("""COMPUTED_VALUE"""),"Tidak Ada")</f>
        <v>Tidak Ada</v>
      </c>
      <c r="N353" s="4"/>
      <c r="O353" s="4" t="str">
        <f>IFERROR(__xludf.DUMMYFUNCTION("""COMPUTED_VALUE"""),"PEMBANDING SEJENIS")</f>
        <v>PEMBANDING SEJENIS</v>
      </c>
      <c r="P353" s="4" t="str">
        <f>IFERROR(__xludf.DUMMYFUNCTION("""COMPUTED_VALUE"""),"TERMINASI")</f>
        <v>TERMINASI</v>
      </c>
      <c r="Q353" s="4">
        <f>IFERROR(__xludf.DUMMYFUNCTION("""COMPUTED_VALUE"""),23.0)</f>
        <v>23</v>
      </c>
      <c r="R353" s="4">
        <f>IFERROR(__xludf.DUMMYFUNCTION("""COMPUTED_VALUE"""),23.0)</f>
        <v>23</v>
      </c>
      <c r="S353" s="4">
        <f>IFERROR(__xludf.DUMMYFUNCTION("""COMPUTED_VALUE"""),22.0)</f>
        <v>22</v>
      </c>
      <c r="T353" s="4"/>
      <c r="U353" s="4" t="str">
        <f>IFERROR(__xludf.DUMMYFUNCTION("""COMPUTED_VALUE"""),"BAIK")</f>
        <v>BAIK</v>
      </c>
      <c r="V353" s="4" t="str">
        <f>IFERROR(__xludf.DUMMYFUNCTION("""COMPUTED_VALUE"""),"Tidak Ada")</f>
        <v>Tidak Ada</v>
      </c>
      <c r="W353" s="4"/>
      <c r="X353" s="4"/>
      <c r="Y353" s="4"/>
      <c r="Z353" s="4"/>
      <c r="AA353" s="4"/>
      <c r="AB353" s="4"/>
      <c r="AC353" s="4" t="str">
        <f>IFERROR(__xludf.DUMMYFUNCTION("""COMPUTED_VALUE"""),"INSPEKSI SUTM - T2_Images/8b105407.FOTO.150723.jpg")</f>
        <v>INSPEKSI SUTM - T2_Images/8b105407.FOTO.150723.jpg</v>
      </c>
      <c r="AD353" s="4"/>
      <c r="AE353" s="4"/>
      <c r="AF353" s="4" t="str">
        <f>IFERROR(__xludf.DUMMYFUNCTION("""COMPUTED_VALUE"""),"BELUM")</f>
        <v>BELUM</v>
      </c>
      <c r="AG353" s="6">
        <f>IFERROR(__xludf.DUMMYFUNCTION("""COMPUTED_VALUE"""),46066.0)</f>
        <v>46066</v>
      </c>
      <c r="AH353" s="4"/>
      <c r="AI353" s="4"/>
    </row>
    <row r="354" ht="15.75" customHeight="1">
      <c r="A354" s="4" t="str">
        <f>IFERROR(__xludf.DUMMYFUNCTION("""COMPUTED_VALUE"""),"70d9434e")</f>
        <v>70d9434e</v>
      </c>
      <c r="B354" s="5">
        <f>IFERROR(__xludf.DUMMYFUNCTION("""COMPUTED_VALUE"""),46066.922488425924)</f>
        <v>46066.92249</v>
      </c>
      <c r="C354" s="4" t="str">
        <f>IFERROR(__xludf.DUMMYFUNCTION("""COMPUTED_VALUE"""),"-6.912729, 107.651860")</f>
        <v>-6.912729, 107.651860</v>
      </c>
      <c r="D354" s="4" t="str">
        <f>IFERROR(__xludf.DUMMYFUNCTION("""COMPUTED_VALUE"""),"Angga sansi")</f>
        <v>Angga sansi</v>
      </c>
      <c r="E354" s="4" t="str">
        <f>IFERROR(__xludf.DUMMYFUNCTION("""COMPUTED_VALUE"""),"BANDUNG")</f>
        <v>BANDUNG</v>
      </c>
      <c r="F354" s="4" t="str">
        <f>IFERROR(__xludf.DUMMYFUNCTION("""COMPUTED_VALUE"""),"BANDUNG TIMUR")</f>
        <v>BANDUNG TIMUR</v>
      </c>
      <c r="G354" s="4" t="str">
        <f>IFERROR(__xludf.DUMMYFUNCTION("""COMPUTED_VALUE"""),"KIARACONDONG")</f>
        <v>KIARACONDONG</v>
      </c>
      <c r="H354" s="4" t="str">
        <f>IFERROR(__xludf.DUMMYFUNCTION("""COMPUTED_VALUE"""),"KKH")</f>
        <v>KKH</v>
      </c>
      <c r="I354" s="4" t="str">
        <f>IFERROR(__xludf.DUMMYFUNCTION("""COMPUTED_VALUE"""),"LKS-ATPY")</f>
        <v>LKS-ATPY</v>
      </c>
      <c r="J354" s="4" t="str">
        <f>IFERROR(__xludf.DUMMYFUNCTION("""COMPUTED_VALUE"""),"ZONA 2")</f>
        <v>ZONA 2</v>
      </c>
      <c r="K354" s="4" t="str">
        <f>IFERROR(__xludf.DUMMYFUNCTION("""COMPUTED_VALUE"""),"016")</f>
        <v>016</v>
      </c>
      <c r="L354" s="4" t="str">
        <f>IFERROR(__xludf.DUMMYFUNCTION("""COMPUTED_VALUE"""),"TM - 8BC/HC (Percabangan dengan CO)")</f>
        <v>TM - 8BC/HC (Percabangan dengan CO)</v>
      </c>
      <c r="M354" s="4" t="str">
        <f>IFERROR(__xludf.DUMMYFUNCTION("""COMPUTED_VALUE"""),"Tidak Ada")</f>
        <v>Tidak Ada</v>
      </c>
      <c r="N354" s="4"/>
      <c r="O354" s="4" t="str">
        <f>IFERROR(__xludf.DUMMYFUNCTION("""COMPUTED_VALUE"""),"PEMBANDING SEJENIS")</f>
        <v>PEMBANDING SEJENIS</v>
      </c>
      <c r="P354" s="4" t="str">
        <f>IFERROR(__xludf.DUMMYFUNCTION("""COMPUTED_VALUE"""),"FCO")</f>
        <v>FCO</v>
      </c>
      <c r="Q354" s="4">
        <f>IFERROR(__xludf.DUMMYFUNCTION("""COMPUTED_VALUE"""),20.0)</f>
        <v>20</v>
      </c>
      <c r="R354" s="4">
        <f>IFERROR(__xludf.DUMMYFUNCTION("""COMPUTED_VALUE"""),22.0)</f>
        <v>22</v>
      </c>
      <c r="S354" s="4">
        <f>IFERROR(__xludf.DUMMYFUNCTION("""COMPUTED_VALUE"""),22.0)</f>
        <v>22</v>
      </c>
      <c r="T354" s="4"/>
      <c r="U354" s="4" t="str">
        <f>IFERROR(__xludf.DUMMYFUNCTION("""COMPUTED_VALUE"""),"BAIK")</f>
        <v>BAIK</v>
      </c>
      <c r="V354" s="4" t="str">
        <f>IFERROR(__xludf.DUMMYFUNCTION("""COMPUTED_VALUE"""),"Tidak Ada")</f>
        <v>Tidak Ada</v>
      </c>
      <c r="W354" s="4"/>
      <c r="X354" s="4"/>
      <c r="Y354" s="4"/>
      <c r="Z354" s="4"/>
      <c r="AA354" s="4"/>
      <c r="AB354" s="4"/>
      <c r="AC354" s="4" t="str">
        <f>IFERROR(__xludf.DUMMYFUNCTION("""COMPUTED_VALUE"""),"INSPEKSI SUTM - T2_Images/70d9434e.FOTO.150904.jpg")</f>
        <v>INSPEKSI SUTM - T2_Images/70d9434e.FOTO.150904.jpg</v>
      </c>
      <c r="AD354" s="4"/>
      <c r="AE354" s="4"/>
      <c r="AF354" s="4" t="str">
        <f>IFERROR(__xludf.DUMMYFUNCTION("""COMPUTED_VALUE"""),"BELUM")</f>
        <v>BELUM</v>
      </c>
      <c r="AG354" s="6">
        <f>IFERROR(__xludf.DUMMYFUNCTION("""COMPUTED_VALUE"""),46066.0)</f>
        <v>46066</v>
      </c>
      <c r="AH354" s="4"/>
      <c r="AI354" s="4"/>
    </row>
    <row r="355" ht="15.75" customHeight="1">
      <c r="A355" s="4" t="str">
        <f>IFERROR(__xludf.DUMMYFUNCTION("""COMPUTED_VALUE"""),"d839b7d6")</f>
        <v>d839b7d6</v>
      </c>
      <c r="B355" s="5">
        <f>IFERROR(__xludf.DUMMYFUNCTION("""COMPUTED_VALUE"""),46066.92400462963)</f>
        <v>46066.924</v>
      </c>
      <c r="C355" s="4" t="str">
        <f>IFERROR(__xludf.DUMMYFUNCTION("""COMPUTED_VALUE"""),"-6.912519, 107.653536")</f>
        <v>-6.912519, 107.653536</v>
      </c>
      <c r="D355" s="4" t="str">
        <f>IFERROR(__xludf.DUMMYFUNCTION("""COMPUTED_VALUE"""),"Angga sandi")</f>
        <v>Angga sandi</v>
      </c>
      <c r="E355" s="4" t="str">
        <f>IFERROR(__xludf.DUMMYFUNCTION("""COMPUTED_VALUE"""),"BANDUNG")</f>
        <v>BANDUNG</v>
      </c>
      <c r="F355" s="4" t="str">
        <f>IFERROR(__xludf.DUMMYFUNCTION("""COMPUTED_VALUE"""),"BANDUNG TIMUR")</f>
        <v>BANDUNG TIMUR</v>
      </c>
      <c r="G355" s="4" t="str">
        <f>IFERROR(__xludf.DUMMYFUNCTION("""COMPUTED_VALUE"""),"KIARACONDONG")</f>
        <v>KIARACONDONG</v>
      </c>
      <c r="H355" s="4" t="str">
        <f>IFERROR(__xludf.DUMMYFUNCTION("""COMPUTED_VALUE"""),"KKH")</f>
        <v>KKH</v>
      </c>
      <c r="I355" s="4" t="str">
        <f>IFERROR(__xludf.DUMMYFUNCTION("""COMPUTED_VALUE"""),"LKS-ATPY")</f>
        <v>LKS-ATPY</v>
      </c>
      <c r="J355" s="4" t="str">
        <f>IFERROR(__xludf.DUMMYFUNCTION("""COMPUTED_VALUE"""),"ZONA 2")</f>
        <v>ZONA 2</v>
      </c>
      <c r="K355" s="4" t="str">
        <f>IFERROR(__xludf.DUMMYFUNCTION("""COMPUTED_VALUE"""),"021")</f>
        <v>021</v>
      </c>
      <c r="L355" s="4" t="str">
        <f>IFERROR(__xludf.DUMMYFUNCTION("""COMPUTED_VALUE"""),"TM - 4B/H (Afspan)")</f>
        <v>TM - 4B/H (Afspan)</v>
      </c>
      <c r="M355" s="4" t="str">
        <f>IFERROR(__xludf.DUMMYFUNCTION("""COMPUTED_VALUE"""),"Tidak Ada")</f>
        <v>Tidak Ada</v>
      </c>
      <c r="N355" s="4"/>
      <c r="O355" s="4" t="str">
        <f>IFERROR(__xludf.DUMMYFUNCTION("""COMPUTED_VALUE"""),"PEMBANDING SEJENIS")</f>
        <v>PEMBANDING SEJENIS</v>
      </c>
      <c r="P355" s="4" t="str">
        <f>IFERROR(__xludf.DUMMYFUNCTION("""COMPUTED_VALUE"""),"ARRESTER")</f>
        <v>ARRESTER</v>
      </c>
      <c r="Q355" s="4">
        <f>IFERROR(__xludf.DUMMYFUNCTION("""COMPUTED_VALUE"""),23.0)</f>
        <v>23</v>
      </c>
      <c r="R355" s="4">
        <f>IFERROR(__xludf.DUMMYFUNCTION("""COMPUTED_VALUE"""),22.0)</f>
        <v>22</v>
      </c>
      <c r="S355" s="4">
        <f>IFERROR(__xludf.DUMMYFUNCTION("""COMPUTED_VALUE"""),23.0)</f>
        <v>23</v>
      </c>
      <c r="T355" s="4"/>
      <c r="U355" s="4" t="str">
        <f>IFERROR(__xludf.DUMMYFUNCTION("""COMPUTED_VALUE"""),"BAIK")</f>
        <v>BAIK</v>
      </c>
      <c r="V355" s="4" t="str">
        <f>IFERROR(__xludf.DUMMYFUNCTION("""COMPUTED_VALUE"""),"Tidak Ada")</f>
        <v>Tidak Ada</v>
      </c>
      <c r="W355" s="4"/>
      <c r="X355" s="4"/>
      <c r="Y355" s="4"/>
      <c r="Z355" s="4"/>
      <c r="AA355" s="4"/>
      <c r="AB355" s="4"/>
      <c r="AC355" s="4" t="str">
        <f>IFERROR(__xludf.DUMMYFUNCTION("""COMPUTED_VALUE"""),"INSPEKSI SUTM - T2_Images/d839b7d6.FOTO.151122.jpg")</f>
        <v>INSPEKSI SUTM - T2_Images/d839b7d6.FOTO.151122.jpg</v>
      </c>
      <c r="AD355" s="4"/>
      <c r="AE355" s="4"/>
      <c r="AF355" s="4" t="str">
        <f>IFERROR(__xludf.DUMMYFUNCTION("""COMPUTED_VALUE"""),"BELUM")</f>
        <v>BELUM</v>
      </c>
      <c r="AG355" s="6">
        <f>IFERROR(__xludf.DUMMYFUNCTION("""COMPUTED_VALUE"""),46066.0)</f>
        <v>46066</v>
      </c>
      <c r="AH355" s="4"/>
      <c r="AI355" s="4"/>
    </row>
    <row r="356" ht="15.75" customHeight="1">
      <c r="A356" s="4" t="str">
        <f>IFERROR(__xludf.DUMMYFUNCTION("""COMPUTED_VALUE"""),"08325d5a")</f>
        <v>08325d5a</v>
      </c>
      <c r="B356" s="5">
        <f>IFERROR(__xludf.DUMMYFUNCTION("""COMPUTED_VALUE"""),46066.95179398148)</f>
        <v>46066.95179</v>
      </c>
      <c r="C356" s="4" t="str">
        <f>IFERROR(__xludf.DUMMYFUNCTION("""COMPUTED_VALUE"""),"-6.912559, 107.655129")</f>
        <v>-6.912559, 107.655129</v>
      </c>
      <c r="D356" s="4" t="str">
        <f>IFERROR(__xludf.DUMMYFUNCTION("""COMPUTED_VALUE"""),"Angga sansi")</f>
        <v>Angga sansi</v>
      </c>
      <c r="E356" s="4" t="str">
        <f>IFERROR(__xludf.DUMMYFUNCTION("""COMPUTED_VALUE"""),"BANDUNG")</f>
        <v>BANDUNG</v>
      </c>
      <c r="F356" s="4" t="str">
        <f>IFERROR(__xludf.DUMMYFUNCTION("""COMPUTED_VALUE"""),"BANDUNG TIMUR")</f>
        <v>BANDUNG TIMUR</v>
      </c>
      <c r="G356" s="4" t="str">
        <f>IFERROR(__xludf.DUMMYFUNCTION("""COMPUTED_VALUE"""),"KIARACONDONG")</f>
        <v>KIARACONDONG</v>
      </c>
      <c r="H356" s="4" t="str">
        <f>IFERROR(__xludf.DUMMYFUNCTION("""COMPUTED_VALUE"""),"KKH")</f>
        <v>KKH</v>
      </c>
      <c r="I356" s="4" t="str">
        <f>IFERROR(__xludf.DUMMYFUNCTION("""COMPUTED_VALUE"""),"LKS-ATPY")</f>
        <v>LKS-ATPY</v>
      </c>
      <c r="J356" s="4" t="str">
        <f>IFERROR(__xludf.DUMMYFUNCTION("""COMPUTED_VALUE"""),"ZONA 2")</f>
        <v>ZONA 2</v>
      </c>
      <c r="K356" s="4" t="str">
        <f>IFERROR(__xludf.DUMMYFUNCTION("""COMPUTED_VALUE"""),"026")</f>
        <v>026</v>
      </c>
      <c r="L356" s="4" t="str">
        <f>IFERROR(__xludf.DUMMYFUNCTION("""COMPUTED_VALUE"""),"TM - 8B/H (Percabangan)")</f>
        <v>TM - 8B/H (Percabangan)</v>
      </c>
      <c r="M356" s="4" t="str">
        <f>IFERROR(__xludf.DUMMYFUNCTION("""COMPUTED_VALUE"""),"Tidak Ada")</f>
        <v>Tidak Ada</v>
      </c>
      <c r="N356" s="4"/>
      <c r="O356" s="4" t="str">
        <f>IFERROR(__xludf.DUMMYFUNCTION("""COMPUTED_VALUE"""),"PEMBANDING SEJENIS")</f>
        <v>PEMBANDING SEJENIS</v>
      </c>
      <c r="P356" s="4" t="str">
        <f>IFERROR(__xludf.DUMMYFUNCTION("""COMPUTED_VALUE"""),"KONEKTOR/JUMPER")</f>
        <v>KONEKTOR/JUMPER</v>
      </c>
      <c r="Q356" s="4">
        <f>IFERROR(__xludf.DUMMYFUNCTION("""COMPUTED_VALUE"""),24.0)</f>
        <v>24</v>
      </c>
      <c r="R356" s="4">
        <f>IFERROR(__xludf.DUMMYFUNCTION("""COMPUTED_VALUE"""),40.0)</f>
        <v>40</v>
      </c>
      <c r="S356" s="4">
        <f>IFERROR(__xludf.DUMMYFUNCTION("""COMPUTED_VALUE"""),24.0)</f>
        <v>24</v>
      </c>
      <c r="T356" s="4"/>
      <c r="U356" s="4" t="str">
        <f>IFERROR(__xludf.DUMMYFUNCTION("""COMPUTED_VALUE"""),"BURUK")</f>
        <v>BURUK</v>
      </c>
      <c r="V356" s="4" t="str">
        <f>IFERROR(__xludf.DUMMYFUNCTION("""COMPUTED_VALUE"""),"Tidak Ada")</f>
        <v>Tidak Ada</v>
      </c>
      <c r="W356" s="4"/>
      <c r="X356" s="4"/>
      <c r="Y356" s="4"/>
      <c r="Z356" s="4"/>
      <c r="AA356" s="4"/>
      <c r="AB356" s="4"/>
      <c r="AC356" s="4" t="str">
        <f>IFERROR(__xludf.DUMMYFUNCTION("""COMPUTED_VALUE"""),"INSPEKSI SUTM - T2_Images/08325d5a.FOTO.155126.jpg")</f>
        <v>INSPEKSI SUTM - T2_Images/08325d5a.FOTO.155126.jpg</v>
      </c>
      <c r="AD356" s="4"/>
      <c r="AE356" s="4"/>
      <c r="AF356" s="4" t="str">
        <f>IFERROR(__xludf.DUMMYFUNCTION("""COMPUTED_VALUE"""),"BELUM")</f>
        <v>BELUM</v>
      </c>
      <c r="AG356" s="6">
        <f>IFERROR(__xludf.DUMMYFUNCTION("""COMPUTED_VALUE"""),46066.0)</f>
        <v>46066</v>
      </c>
      <c r="AH356" s="4"/>
      <c r="AI356" s="4"/>
    </row>
    <row r="357" ht="15.75" customHeight="1">
      <c r="A357" s="4" t="str">
        <f>IFERROR(__xludf.DUMMYFUNCTION("""COMPUTED_VALUE"""),"446af4b1")</f>
        <v>446af4b1</v>
      </c>
      <c r="B357" s="5">
        <f>IFERROR(__xludf.DUMMYFUNCTION("""COMPUTED_VALUE"""),46066.95290509259)</f>
        <v>46066.95291</v>
      </c>
      <c r="C357" s="4" t="str">
        <f>IFERROR(__xludf.DUMMYFUNCTION("""COMPUTED_VALUE"""),"-6.913802, 107.655032")</f>
        <v>-6.913802, 107.655032</v>
      </c>
      <c r="D357" s="4" t="str">
        <f>IFERROR(__xludf.DUMMYFUNCTION("""COMPUTED_VALUE"""),"Angga sansi")</f>
        <v>Angga sansi</v>
      </c>
      <c r="E357" s="4" t="str">
        <f>IFERROR(__xludf.DUMMYFUNCTION("""COMPUTED_VALUE"""),"BANDUNG")</f>
        <v>BANDUNG</v>
      </c>
      <c r="F357" s="4" t="str">
        <f>IFERROR(__xludf.DUMMYFUNCTION("""COMPUTED_VALUE"""),"BANDUNG TIMUR")</f>
        <v>BANDUNG TIMUR</v>
      </c>
      <c r="G357" s="4" t="str">
        <f>IFERROR(__xludf.DUMMYFUNCTION("""COMPUTED_VALUE"""),"KIARACONDONG")</f>
        <v>KIARACONDONG</v>
      </c>
      <c r="H357" s="4" t="str">
        <f>IFERROR(__xludf.DUMMYFUNCTION("""COMPUTED_VALUE"""),"KKH")</f>
        <v>KKH</v>
      </c>
      <c r="I357" s="4" t="str">
        <f>IFERROR(__xludf.DUMMYFUNCTION("""COMPUTED_VALUE"""),"LKS-ATPY")</f>
        <v>LKS-ATPY</v>
      </c>
      <c r="J357" s="4" t="str">
        <f>IFERROR(__xludf.DUMMYFUNCTION("""COMPUTED_VALUE"""),"ZONA 2")</f>
        <v>ZONA 2</v>
      </c>
      <c r="K357" s="4" t="str">
        <f>IFERROR(__xludf.DUMMYFUNCTION("""COMPUTED_VALUE"""),"029")</f>
        <v>029</v>
      </c>
      <c r="L357" s="4" t="str">
        <f>IFERROR(__xludf.DUMMYFUNCTION("""COMPUTED_VALUE"""),"TM - 16B/H (REC/SSO/LBS)")</f>
        <v>TM - 16B/H (REC/SSO/LBS)</v>
      </c>
      <c r="M357" s="4" t="str">
        <f>IFERROR(__xludf.DUMMYFUNCTION("""COMPUTED_VALUE"""),"LBS")</f>
        <v>LBS</v>
      </c>
      <c r="N357" s="4" t="str">
        <f>IFERROR(__xludf.DUMMYFUNCTION("""COMPUTED_VALUE"""),"ATPY")</f>
        <v>ATPY</v>
      </c>
      <c r="O357" s="4" t="str">
        <f>IFERROR(__xludf.DUMMYFUNCTION("""COMPUTED_VALUE"""),"PEMBANDING SEJENIS")</f>
        <v>PEMBANDING SEJENIS</v>
      </c>
      <c r="P357" s="4" t="str">
        <f>IFERROR(__xludf.DUMMYFUNCTION("""COMPUTED_VALUE"""),"KONEKTOR/JUMPER")</f>
        <v>KONEKTOR/JUMPER</v>
      </c>
      <c r="Q357" s="4">
        <f>IFERROR(__xludf.DUMMYFUNCTION("""COMPUTED_VALUE"""),21.0)</f>
        <v>21</v>
      </c>
      <c r="R357" s="4">
        <f>IFERROR(__xludf.DUMMYFUNCTION("""COMPUTED_VALUE"""),18.0)</f>
        <v>18</v>
      </c>
      <c r="S357" s="4">
        <f>IFERROR(__xludf.DUMMYFUNCTION("""COMPUTED_VALUE"""),18.0)</f>
        <v>18</v>
      </c>
      <c r="T357" s="4"/>
      <c r="U357" s="4" t="str">
        <f>IFERROR(__xludf.DUMMYFUNCTION("""COMPUTED_VALUE"""),"CUKUP")</f>
        <v>CUKUP</v>
      </c>
      <c r="V357" s="4" t="str">
        <f>IFERROR(__xludf.DUMMYFUNCTION("""COMPUTED_VALUE"""),"Tidak Ada")</f>
        <v>Tidak Ada</v>
      </c>
      <c r="W357" s="4"/>
      <c r="X357" s="4"/>
      <c r="Y357" s="4"/>
      <c r="Z357" s="4"/>
      <c r="AA357" s="4"/>
      <c r="AB357" s="4"/>
      <c r="AC357" s="4" t="str">
        <f>IFERROR(__xludf.DUMMYFUNCTION("""COMPUTED_VALUE"""),"INSPEKSI SUTM - T2_Images/446af4b1.FOTO.155305.jpg")</f>
        <v>INSPEKSI SUTM - T2_Images/446af4b1.FOTO.155305.jpg</v>
      </c>
      <c r="AD357" s="4"/>
      <c r="AE357" s="4"/>
      <c r="AF357" s="4" t="str">
        <f>IFERROR(__xludf.DUMMYFUNCTION("""COMPUTED_VALUE"""),"BELUM")</f>
        <v>BELUM</v>
      </c>
      <c r="AG357" s="6">
        <f>IFERROR(__xludf.DUMMYFUNCTION("""COMPUTED_VALUE"""),46066.0)</f>
        <v>46066</v>
      </c>
      <c r="AH357" s="4"/>
      <c r="AI357" s="4"/>
    </row>
    <row r="358" ht="15.75" customHeight="1">
      <c r="A358" s="4" t="str">
        <f>IFERROR(__xludf.DUMMYFUNCTION("""COMPUTED_VALUE"""),"654ea173")</f>
        <v>654ea173</v>
      </c>
      <c r="B358" s="5">
        <f>IFERROR(__xludf.DUMMYFUNCTION("""COMPUTED_VALUE"""),46069.12386574074)</f>
        <v>46069.12387</v>
      </c>
      <c r="C358" s="4" t="str">
        <f>IFERROR(__xludf.DUMMYFUNCTION("""COMPUTED_VALUE"""),"-7.049623, 107.778872")</f>
        <v>-7.049623, 107.778872</v>
      </c>
      <c r="D358" s="4" t="str">
        <f>IFERROR(__xludf.DUMMYFUNCTION("""COMPUTED_VALUE"""),"fuad nugi")</f>
        <v>fuad nugi</v>
      </c>
      <c r="E358" s="4" t="str">
        <f>IFERROR(__xludf.DUMMYFUNCTION("""COMPUTED_VALUE"""),"BANDUNG")</f>
        <v>BANDUNG</v>
      </c>
      <c r="F358" s="4" t="str">
        <f>IFERROR(__xludf.DUMMYFUNCTION("""COMPUTED_VALUE"""),"KOPO")</f>
        <v>KOPO</v>
      </c>
      <c r="G358" s="4" t="str">
        <f>IFERROR(__xludf.DUMMYFUNCTION("""COMPUTED_VALUE"""),"NEW CIBEUREUM")</f>
        <v>NEW CIBEUREUM</v>
      </c>
      <c r="H358" s="4" t="str">
        <f>IFERROR(__xludf.DUMMYFUNCTION("""COMPUTED_VALUE"""),"WTH")</f>
        <v>WTH</v>
      </c>
      <c r="I358" s="4" t="str">
        <f>IFERROR(__xludf.DUMMYFUNCTION("""COMPUTED_VALUE"""),"HIM - LBS AFN")</f>
        <v>HIM - LBS AFN</v>
      </c>
      <c r="J358" s="4" t="str">
        <f>IFERROR(__xludf.DUMMYFUNCTION("""COMPUTED_VALUE"""),"ZONA 2")</f>
        <v>ZONA 2</v>
      </c>
      <c r="K358" s="4" t="str">
        <f>IFERROR(__xludf.DUMMYFUNCTION("""COMPUTED_VALUE"""),"001")</f>
        <v>001</v>
      </c>
      <c r="L358" s="4" t="str">
        <f>IFERROR(__xludf.DUMMYFUNCTION("""COMPUTED_VALUE"""),"TM - 11B/H (Kabel Naik)")</f>
        <v>TM - 11B/H (Kabel Naik)</v>
      </c>
      <c r="M358" s="4" t="str">
        <f>IFERROR(__xludf.DUMMYFUNCTION("""COMPUTED_VALUE"""),"Tidak Ada")</f>
        <v>Tidak Ada</v>
      </c>
      <c r="N358" s="4"/>
      <c r="O358" s="4" t="str">
        <f>IFERROR(__xludf.DUMMYFUNCTION("""COMPUTED_VALUE"""),"PEMBANDING SEJENIS")</f>
        <v>PEMBANDING SEJENIS</v>
      </c>
      <c r="P358" s="4" t="str">
        <f>IFERROR(__xludf.DUMMYFUNCTION("""COMPUTED_VALUE"""),"KONEKTOR/JUMPER")</f>
        <v>KONEKTOR/JUMPER</v>
      </c>
      <c r="Q358" s="4">
        <f>IFERROR(__xludf.DUMMYFUNCTION("""COMPUTED_VALUE"""),21.0)</f>
        <v>21</v>
      </c>
      <c r="R358" s="4">
        <f>IFERROR(__xludf.DUMMYFUNCTION("""COMPUTED_VALUE"""),20.0)</f>
        <v>20</v>
      </c>
      <c r="S358" s="4">
        <f>IFERROR(__xludf.DUMMYFUNCTION("""COMPUTED_VALUE"""),20.0)</f>
        <v>20</v>
      </c>
      <c r="T358" s="4"/>
      <c r="U358" s="4" t="str">
        <f>IFERROR(__xludf.DUMMYFUNCTION("""COMPUTED_VALUE"""),"BAIK")</f>
        <v>BAIK</v>
      </c>
      <c r="V358" s="4" t="str">
        <f>IFERROR(__xludf.DUMMYFUNCTION("""COMPUTED_VALUE"""),"Tidak Ada")</f>
        <v>Tidak Ada</v>
      </c>
      <c r="W358" s="4"/>
      <c r="X358" s="4"/>
      <c r="Y358" s="4"/>
      <c r="Z358" s="4"/>
      <c r="AA358" s="4"/>
      <c r="AB358" s="4"/>
      <c r="AC358" s="4" t="str">
        <f>IFERROR(__xludf.DUMMYFUNCTION("""COMPUTED_VALUE"""),"INSPEKSI SUTM - T2_Images/654ea173.FOTO.201118.jpg")</f>
        <v>INSPEKSI SUTM - T2_Images/654ea173.FOTO.201118.jpg</v>
      </c>
      <c r="AD358" s="4"/>
      <c r="AE358" s="4"/>
      <c r="AF358" s="4" t="str">
        <f>IFERROR(__xludf.DUMMYFUNCTION("""COMPUTED_VALUE"""),"BELUM")</f>
        <v>BELUM</v>
      </c>
      <c r="AG358" s="6">
        <f>IFERROR(__xludf.DUMMYFUNCTION("""COMPUTED_VALUE"""),46069.0)</f>
        <v>46069</v>
      </c>
      <c r="AH358" s="4"/>
      <c r="AI358" s="4"/>
    </row>
    <row r="359" ht="15.75" customHeight="1">
      <c r="A359" s="4" t="str">
        <f>IFERROR(__xludf.DUMMYFUNCTION("""COMPUTED_VALUE"""),"f2e52bbb")</f>
        <v>f2e52bbb</v>
      </c>
      <c r="B359" s="5">
        <f>IFERROR(__xludf.DUMMYFUNCTION("""COMPUTED_VALUE"""),46069.12520833333)</f>
        <v>46069.12521</v>
      </c>
      <c r="C359" s="4" t="str">
        <f>IFERROR(__xludf.DUMMYFUNCTION("""COMPUTED_VALUE"""),"-7.049623, 107.778872")</f>
        <v>-7.049623, 107.778872</v>
      </c>
      <c r="D359" s="4" t="str">
        <f>IFERROR(__xludf.DUMMYFUNCTION("""COMPUTED_VALUE"""),"fuad nugi")</f>
        <v>fuad nugi</v>
      </c>
      <c r="E359" s="4" t="str">
        <f>IFERROR(__xludf.DUMMYFUNCTION("""COMPUTED_VALUE"""),"BANDUNG")</f>
        <v>BANDUNG</v>
      </c>
      <c r="F359" s="4" t="str">
        <f>IFERROR(__xludf.DUMMYFUNCTION("""COMPUTED_VALUE"""),"KOPO")</f>
        <v>KOPO</v>
      </c>
      <c r="G359" s="4" t="str">
        <f>IFERROR(__xludf.DUMMYFUNCTION("""COMPUTED_VALUE"""),"NEW CIBEUREUM")</f>
        <v>NEW CIBEUREUM</v>
      </c>
      <c r="H359" s="4" t="str">
        <f>IFERROR(__xludf.DUMMYFUNCTION("""COMPUTED_VALUE"""),"WTH")</f>
        <v>WTH</v>
      </c>
      <c r="I359" s="4" t="str">
        <f>IFERROR(__xludf.DUMMYFUNCTION("""COMPUTED_VALUE"""),"HIM - LBS AFN")</f>
        <v>HIM - LBS AFN</v>
      </c>
      <c r="J359" s="4" t="str">
        <f>IFERROR(__xludf.DUMMYFUNCTION("""COMPUTED_VALUE"""),"ZONA 2")</f>
        <v>ZONA 2</v>
      </c>
      <c r="K359" s="4" t="str">
        <f>IFERROR(__xludf.DUMMYFUNCTION("""COMPUTED_VALUE"""),"002")</f>
        <v>002</v>
      </c>
      <c r="L359" s="4" t="str">
        <f>IFERROR(__xludf.DUMMYFUNCTION("""COMPUTED_VALUE"""),"TM - 1B/H (Tumpu)")</f>
        <v>TM - 1B/H (Tumpu)</v>
      </c>
      <c r="M359" s="4" t="str">
        <f>IFERROR(__xludf.DUMMYFUNCTION("""COMPUTED_VALUE"""),"Tidak Ada")</f>
        <v>Tidak Ada</v>
      </c>
      <c r="N359" s="4"/>
      <c r="O359" s="4" t="str">
        <f>IFERROR(__xludf.DUMMYFUNCTION("""COMPUTED_VALUE"""),"PEMBANDING SEJENIS")</f>
        <v>PEMBANDING SEJENIS</v>
      </c>
      <c r="P359" s="4" t="str">
        <f>IFERROR(__xludf.DUMMYFUNCTION("""COMPUTED_VALUE"""),"ARRESTER")</f>
        <v>ARRESTER</v>
      </c>
      <c r="Q359" s="4">
        <f>IFERROR(__xludf.DUMMYFUNCTION("""COMPUTED_VALUE"""),20.0)</f>
        <v>20</v>
      </c>
      <c r="R359" s="4">
        <f>IFERROR(__xludf.DUMMYFUNCTION("""COMPUTED_VALUE"""),22.0)</f>
        <v>22</v>
      </c>
      <c r="S359" s="4">
        <f>IFERROR(__xludf.DUMMYFUNCTION("""COMPUTED_VALUE"""),21.0)</f>
        <v>21</v>
      </c>
      <c r="T359" s="4"/>
      <c r="U359" s="4" t="str">
        <f>IFERROR(__xludf.DUMMYFUNCTION("""COMPUTED_VALUE"""),"BAIK")</f>
        <v>BAIK</v>
      </c>
      <c r="V359" s="4" t="str">
        <f>IFERROR(__xludf.DUMMYFUNCTION("""COMPUTED_VALUE"""),"Tidak Ada")</f>
        <v>Tidak Ada</v>
      </c>
      <c r="W359" s="4"/>
      <c r="X359" s="4"/>
      <c r="Y359" s="4"/>
      <c r="Z359" s="4"/>
      <c r="AA359" s="4"/>
      <c r="AB359" s="4"/>
      <c r="AC359" s="4" t="str">
        <f>IFERROR(__xludf.DUMMYFUNCTION("""COMPUTED_VALUE"""),"INSPEKSI SUTM - T2_Images/f2e52bbb.FOTO.201126.jpg")</f>
        <v>INSPEKSI SUTM - T2_Images/f2e52bbb.FOTO.201126.jpg</v>
      </c>
      <c r="AD359" s="4"/>
      <c r="AE359" s="4"/>
      <c r="AF359" s="4" t="str">
        <f>IFERROR(__xludf.DUMMYFUNCTION("""COMPUTED_VALUE"""),"BELUM")</f>
        <v>BELUM</v>
      </c>
      <c r="AG359" s="6">
        <f>IFERROR(__xludf.DUMMYFUNCTION("""COMPUTED_VALUE"""),46069.0)</f>
        <v>46069</v>
      </c>
      <c r="AH359" s="4"/>
      <c r="AI359" s="4"/>
    </row>
    <row r="360" ht="15.75" customHeight="1">
      <c r="A360" s="4" t="str">
        <f>IFERROR(__xludf.DUMMYFUNCTION("""COMPUTED_VALUE"""),"fbc256fd")</f>
        <v>fbc256fd</v>
      </c>
      <c r="B360" s="5">
        <f>IFERROR(__xludf.DUMMYFUNCTION("""COMPUTED_VALUE"""),46069.12633101852)</f>
        <v>46069.12633</v>
      </c>
      <c r="C360" s="4" t="str">
        <f>IFERROR(__xludf.DUMMYFUNCTION("""COMPUTED_VALUE"""),"-7.049623, 107.778872")</f>
        <v>-7.049623, 107.778872</v>
      </c>
      <c r="D360" s="4" t="str">
        <f>IFERROR(__xludf.DUMMYFUNCTION("""COMPUTED_VALUE"""),"fuad nugi")</f>
        <v>fuad nugi</v>
      </c>
      <c r="E360" s="4" t="str">
        <f>IFERROR(__xludf.DUMMYFUNCTION("""COMPUTED_VALUE"""),"BANDUNG")</f>
        <v>BANDUNG</v>
      </c>
      <c r="F360" s="4" t="str">
        <f>IFERROR(__xludf.DUMMYFUNCTION("""COMPUTED_VALUE"""),"KOPO")</f>
        <v>KOPO</v>
      </c>
      <c r="G360" s="4" t="str">
        <f>IFERROR(__xludf.DUMMYFUNCTION("""COMPUTED_VALUE"""),"NEW CIBEUREUM")</f>
        <v>NEW CIBEUREUM</v>
      </c>
      <c r="H360" s="4" t="str">
        <f>IFERROR(__xludf.DUMMYFUNCTION("""COMPUTED_VALUE"""),"WTH")</f>
        <v>WTH</v>
      </c>
      <c r="I360" s="4" t="str">
        <f>IFERROR(__xludf.DUMMYFUNCTION("""COMPUTED_VALUE"""),"HIM - LBS AFN")</f>
        <v>HIM - LBS AFN</v>
      </c>
      <c r="J360" s="4" t="str">
        <f>IFERROR(__xludf.DUMMYFUNCTION("""COMPUTED_VALUE"""),"ZONA 2")</f>
        <v>ZONA 2</v>
      </c>
      <c r="K360" s="4" t="str">
        <f>IFERROR(__xludf.DUMMYFUNCTION("""COMPUTED_VALUE"""),"004")</f>
        <v>004</v>
      </c>
      <c r="L360" s="4" t="str">
        <f>IFERROR(__xludf.DUMMYFUNCTION("""COMPUTED_VALUE"""),"TM - 8B/H (Percabangan)")</f>
        <v>TM - 8B/H (Percabangan)</v>
      </c>
      <c r="M360" s="4" t="str">
        <f>IFERROR(__xludf.DUMMYFUNCTION("""COMPUTED_VALUE"""),"Tidak Ada")</f>
        <v>Tidak Ada</v>
      </c>
      <c r="N360" s="4"/>
      <c r="O360" s="4" t="str">
        <f>IFERROR(__xludf.DUMMYFUNCTION("""COMPUTED_VALUE"""),"PEMBANDING SEJENIS")</f>
        <v>PEMBANDING SEJENIS</v>
      </c>
      <c r="P360" s="4" t="str">
        <f>IFERROR(__xludf.DUMMYFUNCTION("""COMPUTED_VALUE"""),"KONEKTOR/JUMPER")</f>
        <v>KONEKTOR/JUMPER</v>
      </c>
      <c r="Q360" s="4">
        <f>IFERROR(__xludf.DUMMYFUNCTION("""COMPUTED_VALUE"""),22.0)</f>
        <v>22</v>
      </c>
      <c r="R360" s="4">
        <f>IFERROR(__xludf.DUMMYFUNCTION("""COMPUTED_VALUE"""),23.0)</f>
        <v>23</v>
      </c>
      <c r="S360" s="4">
        <f>IFERROR(__xludf.DUMMYFUNCTION("""COMPUTED_VALUE"""),22.0)</f>
        <v>22</v>
      </c>
      <c r="T360" s="4"/>
      <c r="U360" s="4" t="str">
        <f>IFERROR(__xludf.DUMMYFUNCTION("""COMPUTED_VALUE"""),"BAIK")</f>
        <v>BAIK</v>
      </c>
      <c r="V360" s="4" t="str">
        <f>IFERROR(__xludf.DUMMYFUNCTION("""COMPUTED_VALUE"""),"Tidak Ada")</f>
        <v>Tidak Ada</v>
      </c>
      <c r="W360" s="4"/>
      <c r="X360" s="4"/>
      <c r="Y360" s="4"/>
      <c r="Z360" s="4"/>
      <c r="AA360" s="4"/>
      <c r="AB360" s="4"/>
      <c r="AC360" s="4" t="str">
        <f>IFERROR(__xludf.DUMMYFUNCTION("""COMPUTED_VALUE"""),"INSPEKSI SUTM - T2_Images/fbc256fd.FOTO.201129.jpg")</f>
        <v>INSPEKSI SUTM - T2_Images/fbc256fd.FOTO.201129.jpg</v>
      </c>
      <c r="AD360" s="4"/>
      <c r="AE360" s="4"/>
      <c r="AF360" s="4" t="str">
        <f>IFERROR(__xludf.DUMMYFUNCTION("""COMPUTED_VALUE"""),"BELUM")</f>
        <v>BELUM</v>
      </c>
      <c r="AG360" s="6">
        <f>IFERROR(__xludf.DUMMYFUNCTION("""COMPUTED_VALUE"""),46069.0)</f>
        <v>46069</v>
      </c>
      <c r="AH360" s="4"/>
      <c r="AI360" s="4"/>
    </row>
    <row r="361" ht="15.75" customHeight="1">
      <c r="A361" s="4" t="str">
        <f>IFERROR(__xludf.DUMMYFUNCTION("""COMPUTED_VALUE"""),"0b63796c")</f>
        <v>0b63796c</v>
      </c>
      <c r="B361" s="5">
        <f>IFERROR(__xludf.DUMMYFUNCTION("""COMPUTED_VALUE"""),46069.12699074074)</f>
        <v>46069.12699</v>
      </c>
      <c r="C361" s="4" t="str">
        <f>IFERROR(__xludf.DUMMYFUNCTION("""COMPUTED_VALUE"""),"-7.049623, 107.778872")</f>
        <v>-7.049623, 107.778872</v>
      </c>
      <c r="D361" s="4" t="str">
        <f>IFERROR(__xludf.DUMMYFUNCTION("""COMPUTED_VALUE"""),"fuad nugi")</f>
        <v>fuad nugi</v>
      </c>
      <c r="E361" s="4" t="str">
        <f>IFERROR(__xludf.DUMMYFUNCTION("""COMPUTED_VALUE"""),"BANDUNG")</f>
        <v>BANDUNG</v>
      </c>
      <c r="F361" s="4" t="str">
        <f>IFERROR(__xludf.DUMMYFUNCTION("""COMPUTED_VALUE"""),"KOPO")</f>
        <v>KOPO</v>
      </c>
      <c r="G361" s="4" t="str">
        <f>IFERROR(__xludf.DUMMYFUNCTION("""COMPUTED_VALUE"""),"NEW CIBEUREUM")</f>
        <v>NEW CIBEUREUM</v>
      </c>
      <c r="H361" s="4" t="str">
        <f>IFERROR(__xludf.DUMMYFUNCTION("""COMPUTED_VALUE"""),"WTH")</f>
        <v>WTH</v>
      </c>
      <c r="I361" s="4" t="str">
        <f>IFERROR(__xludf.DUMMYFUNCTION("""COMPUTED_VALUE"""),"HIM - LBS AFN")</f>
        <v>HIM - LBS AFN</v>
      </c>
      <c r="J361" s="4" t="str">
        <f>IFERROR(__xludf.DUMMYFUNCTION("""COMPUTED_VALUE"""),"ZONA 2")</f>
        <v>ZONA 2</v>
      </c>
      <c r="K361" s="4" t="str">
        <f>IFERROR(__xludf.DUMMYFUNCTION("""COMPUTED_VALUE"""),"005")</f>
        <v>005</v>
      </c>
      <c r="L361" s="4" t="str">
        <f>IFERROR(__xludf.DUMMYFUNCTION("""COMPUTED_VALUE"""),"TM - 1B/H (Tumpu)")</f>
        <v>TM - 1B/H (Tumpu)</v>
      </c>
      <c r="M361" s="4" t="str">
        <f>IFERROR(__xludf.DUMMYFUNCTION("""COMPUTED_VALUE"""),"Tidak Ada")</f>
        <v>Tidak Ada</v>
      </c>
      <c r="N361" s="4"/>
      <c r="O361" s="4" t="str">
        <f>IFERROR(__xludf.DUMMYFUNCTION("""COMPUTED_VALUE"""),"PEMBANDING SEJENIS")</f>
        <v>PEMBANDING SEJENIS</v>
      </c>
      <c r="P361" s="4" t="str">
        <f>IFERROR(__xludf.DUMMYFUNCTION("""COMPUTED_VALUE"""),"ARRESTER")</f>
        <v>ARRESTER</v>
      </c>
      <c r="Q361" s="4">
        <f>IFERROR(__xludf.DUMMYFUNCTION("""COMPUTED_VALUE"""),23.0)</f>
        <v>23</v>
      </c>
      <c r="R361" s="4">
        <f>IFERROR(__xludf.DUMMYFUNCTION("""COMPUTED_VALUE"""),23.0)</f>
        <v>23</v>
      </c>
      <c r="S361" s="4">
        <f>IFERROR(__xludf.DUMMYFUNCTION("""COMPUTED_VALUE"""),23.0)</f>
        <v>23</v>
      </c>
      <c r="T361" s="4"/>
      <c r="U361" s="4" t="str">
        <f>IFERROR(__xludf.DUMMYFUNCTION("""COMPUTED_VALUE"""),"BAIK")</f>
        <v>BAIK</v>
      </c>
      <c r="V361" s="4" t="str">
        <f>IFERROR(__xludf.DUMMYFUNCTION("""COMPUTED_VALUE"""),"Tidak Ada")</f>
        <v>Tidak Ada</v>
      </c>
      <c r="W361" s="4"/>
      <c r="X361" s="4"/>
      <c r="Y361" s="4"/>
      <c r="Z361" s="4"/>
      <c r="AA361" s="4"/>
      <c r="AB361" s="4"/>
      <c r="AC361" s="4" t="str">
        <f>IFERROR(__xludf.DUMMYFUNCTION("""COMPUTED_VALUE"""),"INSPEKSI SUTM - T2_Images/0b63796c.FOTO.201132.jpg")</f>
        <v>INSPEKSI SUTM - T2_Images/0b63796c.FOTO.201132.jpg</v>
      </c>
      <c r="AD361" s="4"/>
      <c r="AE361" s="4"/>
      <c r="AF361" s="4" t="str">
        <f>IFERROR(__xludf.DUMMYFUNCTION("""COMPUTED_VALUE"""),"BELUM")</f>
        <v>BELUM</v>
      </c>
      <c r="AG361" s="6">
        <f>IFERROR(__xludf.DUMMYFUNCTION("""COMPUTED_VALUE"""),46069.0)</f>
        <v>46069</v>
      </c>
      <c r="AH361" s="4"/>
      <c r="AI361" s="4"/>
    </row>
    <row r="362" ht="15.75" customHeight="1">
      <c r="A362" s="4" t="str">
        <f>IFERROR(__xludf.DUMMYFUNCTION("""COMPUTED_VALUE"""),"71c7be80")</f>
        <v>71c7be80</v>
      </c>
      <c r="B362" s="5">
        <f>IFERROR(__xludf.DUMMYFUNCTION("""COMPUTED_VALUE"""),46069.12771990741)</f>
        <v>46069.12772</v>
      </c>
      <c r="C362" s="4" t="str">
        <f>IFERROR(__xludf.DUMMYFUNCTION("""COMPUTED_VALUE"""),"-7.049623, 107.778872")</f>
        <v>-7.049623, 107.778872</v>
      </c>
      <c r="D362" s="4" t="str">
        <f>IFERROR(__xludf.DUMMYFUNCTION("""COMPUTED_VALUE"""),"fuad nugi")</f>
        <v>fuad nugi</v>
      </c>
      <c r="E362" s="4" t="str">
        <f>IFERROR(__xludf.DUMMYFUNCTION("""COMPUTED_VALUE"""),"BANDUNG")</f>
        <v>BANDUNG</v>
      </c>
      <c r="F362" s="4" t="str">
        <f>IFERROR(__xludf.DUMMYFUNCTION("""COMPUTED_VALUE"""),"KOPO")</f>
        <v>KOPO</v>
      </c>
      <c r="G362" s="4" t="str">
        <f>IFERROR(__xludf.DUMMYFUNCTION("""COMPUTED_VALUE"""),"NEW CIBEUREUM")</f>
        <v>NEW CIBEUREUM</v>
      </c>
      <c r="H362" s="4" t="str">
        <f>IFERROR(__xludf.DUMMYFUNCTION("""COMPUTED_VALUE"""),"WTH")</f>
        <v>WTH</v>
      </c>
      <c r="I362" s="4" t="str">
        <f>IFERROR(__xludf.DUMMYFUNCTION("""COMPUTED_VALUE"""),"HIM - LBS AFN")</f>
        <v>HIM - LBS AFN</v>
      </c>
      <c r="J362" s="4" t="str">
        <f>IFERROR(__xludf.DUMMYFUNCTION("""COMPUTED_VALUE"""),"ZONA 2")</f>
        <v>ZONA 2</v>
      </c>
      <c r="K362" s="4" t="str">
        <f>IFERROR(__xludf.DUMMYFUNCTION("""COMPUTED_VALUE"""),"006")</f>
        <v>006</v>
      </c>
      <c r="L362" s="4" t="str">
        <f>IFERROR(__xludf.DUMMYFUNCTION("""COMPUTED_VALUE"""),"TM - 10B/H (Dua Percabangan)")</f>
        <v>TM - 10B/H (Dua Percabangan)</v>
      </c>
      <c r="M362" s="4" t="str">
        <f>IFERROR(__xludf.DUMMYFUNCTION("""COMPUTED_VALUE"""),"Tidak Ada")</f>
        <v>Tidak Ada</v>
      </c>
      <c r="N362" s="4"/>
      <c r="O362" s="4" t="str">
        <f>IFERROR(__xludf.DUMMYFUNCTION("""COMPUTED_VALUE"""),"PEMBANDING SEJENIS")</f>
        <v>PEMBANDING SEJENIS</v>
      </c>
      <c r="P362" s="4" t="str">
        <f>IFERROR(__xludf.DUMMYFUNCTION("""COMPUTED_VALUE"""),"KONEKTOR/JUMPER")</f>
        <v>KONEKTOR/JUMPER</v>
      </c>
      <c r="Q362" s="4">
        <f>IFERROR(__xludf.DUMMYFUNCTION("""COMPUTED_VALUE"""),22.0)</f>
        <v>22</v>
      </c>
      <c r="R362" s="4">
        <f>IFERROR(__xludf.DUMMYFUNCTION("""COMPUTED_VALUE"""),22.0)</f>
        <v>22</v>
      </c>
      <c r="S362" s="4">
        <f>IFERROR(__xludf.DUMMYFUNCTION("""COMPUTED_VALUE"""),21.0)</f>
        <v>21</v>
      </c>
      <c r="T362" s="4"/>
      <c r="U362" s="4" t="str">
        <f>IFERROR(__xludf.DUMMYFUNCTION("""COMPUTED_VALUE"""),"BAIK")</f>
        <v>BAIK</v>
      </c>
      <c r="V362" s="4" t="str">
        <f>IFERROR(__xludf.DUMMYFUNCTION("""COMPUTED_VALUE"""),"Tidak Ada")</f>
        <v>Tidak Ada</v>
      </c>
      <c r="W362" s="4"/>
      <c r="X362" s="4"/>
      <c r="Y362" s="4"/>
      <c r="Z362" s="4"/>
      <c r="AA362" s="4"/>
      <c r="AB362" s="4"/>
      <c r="AC362" s="4" t="str">
        <f>IFERROR(__xludf.DUMMYFUNCTION("""COMPUTED_VALUE"""),"INSPEKSI SUTM - T2_Images/71c7be80.FOTO.201136.jpg")</f>
        <v>INSPEKSI SUTM - T2_Images/71c7be80.FOTO.201136.jpg</v>
      </c>
      <c r="AD362" s="4"/>
      <c r="AE362" s="4"/>
      <c r="AF362" s="4" t="str">
        <f>IFERROR(__xludf.DUMMYFUNCTION("""COMPUTED_VALUE"""),"BELUM")</f>
        <v>BELUM</v>
      </c>
      <c r="AG362" s="6">
        <f>IFERROR(__xludf.DUMMYFUNCTION("""COMPUTED_VALUE"""),46069.0)</f>
        <v>46069</v>
      </c>
      <c r="AH362" s="4"/>
      <c r="AI362" s="4"/>
    </row>
    <row r="363" ht="15.75" customHeight="1">
      <c r="A363" s="4" t="str">
        <f>IFERROR(__xludf.DUMMYFUNCTION("""COMPUTED_VALUE"""),"dff7d9fa")</f>
        <v>dff7d9fa</v>
      </c>
      <c r="B363" s="5">
        <f>IFERROR(__xludf.DUMMYFUNCTION("""COMPUTED_VALUE"""),46069.12846064815)</f>
        <v>46069.12846</v>
      </c>
      <c r="C363" s="4" t="str">
        <f>IFERROR(__xludf.DUMMYFUNCTION("""COMPUTED_VALUE"""),"-7.049623, 107.778872")</f>
        <v>-7.049623, 107.778872</v>
      </c>
      <c r="D363" s="4" t="str">
        <f>IFERROR(__xludf.DUMMYFUNCTION("""COMPUTED_VALUE"""),"fuad nugi")</f>
        <v>fuad nugi</v>
      </c>
      <c r="E363" s="4" t="str">
        <f>IFERROR(__xludf.DUMMYFUNCTION("""COMPUTED_VALUE"""),"BANDUNG")</f>
        <v>BANDUNG</v>
      </c>
      <c r="F363" s="4" t="str">
        <f>IFERROR(__xludf.DUMMYFUNCTION("""COMPUTED_VALUE"""),"KOPO")</f>
        <v>KOPO</v>
      </c>
      <c r="G363" s="4" t="str">
        <f>IFERROR(__xludf.DUMMYFUNCTION("""COMPUTED_VALUE"""),"NEW CIBEUREUM")</f>
        <v>NEW CIBEUREUM</v>
      </c>
      <c r="H363" s="4" t="str">
        <f>IFERROR(__xludf.DUMMYFUNCTION("""COMPUTED_VALUE"""),"WTH")</f>
        <v>WTH</v>
      </c>
      <c r="I363" s="4" t="str">
        <f>IFERROR(__xludf.DUMMYFUNCTION("""COMPUTED_VALUE"""),"HIM - LBS AFN")</f>
        <v>HIM - LBS AFN</v>
      </c>
      <c r="J363" s="4" t="str">
        <f>IFERROR(__xludf.DUMMYFUNCTION("""COMPUTED_VALUE"""),"ZONA 2")</f>
        <v>ZONA 2</v>
      </c>
      <c r="K363" s="4" t="str">
        <f>IFERROR(__xludf.DUMMYFUNCTION("""COMPUTED_VALUE"""),"007")</f>
        <v>007</v>
      </c>
      <c r="L363" s="4" t="str">
        <f>IFERROR(__xludf.DUMMYFUNCTION("""COMPUTED_VALUE"""),"TM - 7B/H (Afspan 90 Derajat)")</f>
        <v>TM - 7B/H (Afspan 90 Derajat)</v>
      </c>
      <c r="M363" s="4" t="str">
        <f>IFERROR(__xludf.DUMMYFUNCTION("""COMPUTED_VALUE"""),"Tidak Ada")</f>
        <v>Tidak Ada</v>
      </c>
      <c r="N363" s="4"/>
      <c r="O363" s="4" t="str">
        <f>IFERROR(__xludf.DUMMYFUNCTION("""COMPUTED_VALUE"""),"PEMBANDING SEJENIS")</f>
        <v>PEMBANDING SEJENIS</v>
      </c>
      <c r="P363" s="4" t="str">
        <f>IFERROR(__xludf.DUMMYFUNCTION("""COMPUTED_VALUE"""),"KONEKTOR/JUMPER")</f>
        <v>KONEKTOR/JUMPER</v>
      </c>
      <c r="Q363" s="4">
        <f>IFERROR(__xludf.DUMMYFUNCTION("""COMPUTED_VALUE"""),25.0)</f>
        <v>25</v>
      </c>
      <c r="R363" s="4">
        <f>IFERROR(__xludf.DUMMYFUNCTION("""COMPUTED_VALUE"""),24.0)</f>
        <v>24</v>
      </c>
      <c r="S363" s="4">
        <f>IFERROR(__xludf.DUMMYFUNCTION("""COMPUTED_VALUE"""),24.0)</f>
        <v>24</v>
      </c>
      <c r="T363" s="4"/>
      <c r="U363" s="4" t="str">
        <f>IFERROR(__xludf.DUMMYFUNCTION("""COMPUTED_VALUE"""),"BAIK")</f>
        <v>BAIK</v>
      </c>
      <c r="V363" s="4" t="str">
        <f>IFERROR(__xludf.DUMMYFUNCTION("""COMPUTED_VALUE"""),"Tidak Ada")</f>
        <v>Tidak Ada</v>
      </c>
      <c r="W363" s="4"/>
      <c r="X363" s="4"/>
      <c r="Y363" s="4"/>
      <c r="Z363" s="4"/>
      <c r="AA363" s="4"/>
      <c r="AB363" s="4"/>
      <c r="AC363" s="4" t="str">
        <f>IFERROR(__xludf.DUMMYFUNCTION("""COMPUTED_VALUE"""),"INSPEKSI SUTM - T2_Images/dff7d9fa.FOTO.201141.jpg")</f>
        <v>INSPEKSI SUTM - T2_Images/dff7d9fa.FOTO.201141.jpg</v>
      </c>
      <c r="AD363" s="4"/>
      <c r="AE363" s="4"/>
      <c r="AF363" s="4" t="str">
        <f>IFERROR(__xludf.DUMMYFUNCTION("""COMPUTED_VALUE"""),"BELUM")</f>
        <v>BELUM</v>
      </c>
      <c r="AG363" s="6">
        <f>IFERROR(__xludf.DUMMYFUNCTION("""COMPUTED_VALUE"""),46069.0)</f>
        <v>46069</v>
      </c>
      <c r="AH363" s="4"/>
      <c r="AI363" s="4"/>
    </row>
    <row r="364" ht="15.75" customHeight="1">
      <c r="A364" s="4" t="str">
        <f>IFERROR(__xludf.DUMMYFUNCTION("""COMPUTED_VALUE"""),"f92bcc57")</f>
        <v>f92bcc57</v>
      </c>
      <c r="B364" s="5">
        <f>IFERROR(__xludf.DUMMYFUNCTION("""COMPUTED_VALUE"""),46069.129641203705)</f>
        <v>46069.12964</v>
      </c>
      <c r="C364" s="4" t="str">
        <f>IFERROR(__xludf.DUMMYFUNCTION("""COMPUTED_VALUE"""),"-7.049626, 107.778865")</f>
        <v>-7.049626, 107.778865</v>
      </c>
      <c r="D364" s="4" t="str">
        <f>IFERROR(__xludf.DUMMYFUNCTION("""COMPUTED_VALUE"""),"fuad nugi")</f>
        <v>fuad nugi</v>
      </c>
      <c r="E364" s="4" t="str">
        <f>IFERROR(__xludf.DUMMYFUNCTION("""COMPUTED_VALUE"""),"BANDUNG")</f>
        <v>BANDUNG</v>
      </c>
      <c r="F364" s="4" t="str">
        <f>IFERROR(__xludf.DUMMYFUNCTION("""COMPUTED_VALUE"""),"KOPO")</f>
        <v>KOPO</v>
      </c>
      <c r="G364" s="4" t="str">
        <f>IFERROR(__xludf.DUMMYFUNCTION("""COMPUTED_VALUE"""),"NEW CIBEUREUM")</f>
        <v>NEW CIBEUREUM</v>
      </c>
      <c r="H364" s="4" t="str">
        <f>IFERROR(__xludf.DUMMYFUNCTION("""COMPUTED_VALUE"""),"WTH")</f>
        <v>WTH</v>
      </c>
      <c r="I364" s="4" t="str">
        <f>IFERROR(__xludf.DUMMYFUNCTION("""COMPUTED_VALUE"""),"HIM - LBS AFN")</f>
        <v>HIM - LBS AFN</v>
      </c>
      <c r="J364" s="4" t="str">
        <f>IFERROR(__xludf.DUMMYFUNCTION("""COMPUTED_VALUE"""),"ZONA 2")</f>
        <v>ZONA 2</v>
      </c>
      <c r="K364" s="4" t="str">
        <f>IFERROR(__xludf.DUMMYFUNCTION("""COMPUTED_VALUE"""),"009")</f>
        <v>009</v>
      </c>
      <c r="L364" s="4" t="str">
        <f>IFERROR(__xludf.DUMMYFUNCTION("""COMPUTED_VALUE"""),"TM - 1B/H (Tumpu)")</f>
        <v>TM - 1B/H (Tumpu)</v>
      </c>
      <c r="M364" s="4" t="str">
        <f>IFERROR(__xludf.DUMMYFUNCTION("""COMPUTED_VALUE"""),"Gardu")</f>
        <v>Gardu</v>
      </c>
      <c r="N364" s="4" t="str">
        <f>IFERROR(__xludf.DUMMYFUNCTION("""COMPUTED_VALUE"""),"iws")</f>
        <v>iws</v>
      </c>
      <c r="O364" s="4" t="str">
        <f>IFERROR(__xludf.DUMMYFUNCTION("""COMPUTED_VALUE"""),"PEMBANDING SEJENIS")</f>
        <v>PEMBANDING SEJENIS</v>
      </c>
      <c r="P364" s="4" t="str">
        <f>IFERROR(__xludf.DUMMYFUNCTION("""COMPUTED_VALUE"""),"ARRESTER")</f>
        <v>ARRESTER</v>
      </c>
      <c r="Q364" s="4">
        <f>IFERROR(__xludf.DUMMYFUNCTION("""COMPUTED_VALUE"""),19.0)</f>
        <v>19</v>
      </c>
      <c r="R364" s="4">
        <f>IFERROR(__xludf.DUMMYFUNCTION("""COMPUTED_VALUE"""),20.0)</f>
        <v>20</v>
      </c>
      <c r="S364" s="4">
        <f>IFERROR(__xludf.DUMMYFUNCTION("""COMPUTED_VALUE"""),21.0)</f>
        <v>21</v>
      </c>
      <c r="T364" s="4"/>
      <c r="U364" s="4" t="str">
        <f>IFERROR(__xludf.DUMMYFUNCTION("""COMPUTED_VALUE"""),"BAIK")</f>
        <v>BAIK</v>
      </c>
      <c r="V364" s="4" t="str">
        <f>IFERROR(__xludf.DUMMYFUNCTION("""COMPUTED_VALUE"""),"Tidak Ada")</f>
        <v>Tidak Ada</v>
      </c>
      <c r="W364" s="4"/>
      <c r="X364" s="4"/>
      <c r="Y364" s="4"/>
      <c r="Z364" s="4"/>
      <c r="AA364" s="4"/>
      <c r="AB364" s="4"/>
      <c r="AC364" s="4" t="str">
        <f>IFERROR(__xludf.DUMMYFUNCTION("""COMPUTED_VALUE"""),"INSPEKSI SUTM - T2_Images/f92bcc57.FOTO.201144.jpg")</f>
        <v>INSPEKSI SUTM - T2_Images/f92bcc57.FOTO.201144.jpg</v>
      </c>
      <c r="AD364" s="4"/>
      <c r="AE364" s="4"/>
      <c r="AF364" s="4" t="str">
        <f>IFERROR(__xludf.DUMMYFUNCTION("""COMPUTED_VALUE"""),"BELUM")</f>
        <v>BELUM</v>
      </c>
      <c r="AG364" s="6">
        <f>IFERROR(__xludf.DUMMYFUNCTION("""COMPUTED_VALUE"""),46069.0)</f>
        <v>46069</v>
      </c>
      <c r="AH364" s="4"/>
      <c r="AI364" s="4"/>
    </row>
    <row r="365" ht="15.75" customHeight="1">
      <c r="A365" s="4" t="str">
        <f>IFERROR(__xludf.DUMMYFUNCTION("""COMPUTED_VALUE"""),"a64dff09")</f>
        <v>a64dff09</v>
      </c>
      <c r="B365" s="5">
        <f>IFERROR(__xludf.DUMMYFUNCTION("""COMPUTED_VALUE"""),46069.130208333336)</f>
        <v>46069.13021</v>
      </c>
      <c r="C365" s="4" t="str">
        <f>IFERROR(__xludf.DUMMYFUNCTION("""COMPUTED_VALUE"""),"-7.049626, 107.778865")</f>
        <v>-7.049626, 107.778865</v>
      </c>
      <c r="D365" s="4" t="str">
        <f>IFERROR(__xludf.DUMMYFUNCTION("""COMPUTED_VALUE"""),"fuad nugi")</f>
        <v>fuad nugi</v>
      </c>
      <c r="E365" s="4" t="str">
        <f>IFERROR(__xludf.DUMMYFUNCTION("""COMPUTED_VALUE"""),"BANDUNG")</f>
        <v>BANDUNG</v>
      </c>
      <c r="F365" s="4" t="str">
        <f>IFERROR(__xludf.DUMMYFUNCTION("""COMPUTED_VALUE"""),"KOPO")</f>
        <v>KOPO</v>
      </c>
      <c r="G365" s="4" t="str">
        <f>IFERROR(__xludf.DUMMYFUNCTION("""COMPUTED_VALUE"""),"NEW CIBEUREUM")</f>
        <v>NEW CIBEUREUM</v>
      </c>
      <c r="H365" s="4" t="str">
        <f>IFERROR(__xludf.DUMMYFUNCTION("""COMPUTED_VALUE"""),"WTH")</f>
        <v>WTH</v>
      </c>
      <c r="I365" s="4" t="str">
        <f>IFERROR(__xludf.DUMMYFUNCTION("""COMPUTED_VALUE"""),"HIM - LBS AFN")</f>
        <v>HIM - LBS AFN</v>
      </c>
      <c r="J365" s="4" t="str">
        <f>IFERROR(__xludf.DUMMYFUNCTION("""COMPUTED_VALUE"""),"ZONA 2")</f>
        <v>ZONA 2</v>
      </c>
      <c r="K365" s="4" t="str">
        <f>IFERROR(__xludf.DUMMYFUNCTION("""COMPUTED_VALUE"""),"011")</f>
        <v>011</v>
      </c>
      <c r="L365" s="4" t="str">
        <f>IFERROR(__xludf.DUMMYFUNCTION("""COMPUTED_VALUE"""),"TM - 1B/H (Tumpu)")</f>
        <v>TM - 1B/H (Tumpu)</v>
      </c>
      <c r="M365" s="4" t="str">
        <f>IFERROR(__xludf.DUMMYFUNCTION("""COMPUTED_VALUE"""),"Tidak Ada")</f>
        <v>Tidak Ada</v>
      </c>
      <c r="N365" s="4"/>
      <c r="O365" s="4" t="str">
        <f>IFERROR(__xludf.DUMMYFUNCTION("""COMPUTED_VALUE"""),"PEMBANDING SEJENIS")</f>
        <v>PEMBANDING SEJENIS</v>
      </c>
      <c r="P365" s="4" t="str">
        <f>IFERROR(__xludf.DUMMYFUNCTION("""COMPUTED_VALUE"""),"ARRESTER")</f>
        <v>ARRESTER</v>
      </c>
      <c r="Q365" s="4">
        <f>IFERROR(__xludf.DUMMYFUNCTION("""COMPUTED_VALUE"""),21.0)</f>
        <v>21</v>
      </c>
      <c r="R365" s="4">
        <f>IFERROR(__xludf.DUMMYFUNCTION("""COMPUTED_VALUE"""),21.0)</f>
        <v>21</v>
      </c>
      <c r="S365" s="4">
        <f>IFERROR(__xludf.DUMMYFUNCTION("""COMPUTED_VALUE"""),22.0)</f>
        <v>22</v>
      </c>
      <c r="T365" s="4"/>
      <c r="U365" s="4" t="str">
        <f>IFERROR(__xludf.DUMMYFUNCTION("""COMPUTED_VALUE"""),"BAIK")</f>
        <v>BAIK</v>
      </c>
      <c r="V365" s="4" t="str">
        <f>IFERROR(__xludf.DUMMYFUNCTION("""COMPUTED_VALUE"""),"Tidak Ada")</f>
        <v>Tidak Ada</v>
      </c>
      <c r="W365" s="4"/>
      <c r="X365" s="4"/>
      <c r="Y365" s="4"/>
      <c r="Z365" s="4"/>
      <c r="AA365" s="4"/>
      <c r="AB365" s="4"/>
      <c r="AC365" s="4" t="str">
        <f>IFERROR(__xludf.DUMMYFUNCTION("""COMPUTED_VALUE"""),"INSPEKSI SUTM - T2_Images/a64dff09.FOTO.201148.jpg")</f>
        <v>INSPEKSI SUTM - T2_Images/a64dff09.FOTO.201148.jpg</v>
      </c>
      <c r="AD365" s="4"/>
      <c r="AE365" s="4"/>
      <c r="AF365" s="4" t="str">
        <f>IFERROR(__xludf.DUMMYFUNCTION("""COMPUTED_VALUE"""),"BELUM")</f>
        <v>BELUM</v>
      </c>
      <c r="AG365" s="6">
        <f>IFERROR(__xludf.DUMMYFUNCTION("""COMPUTED_VALUE"""),46069.0)</f>
        <v>46069</v>
      </c>
      <c r="AH365" s="4"/>
      <c r="AI365" s="4"/>
    </row>
    <row r="366" ht="15.75" customHeight="1">
      <c r="A366" s="4" t="str">
        <f>IFERROR(__xludf.DUMMYFUNCTION("""COMPUTED_VALUE"""),"1683f52e")</f>
        <v>1683f52e</v>
      </c>
      <c r="B366" s="5">
        <f>IFERROR(__xludf.DUMMYFUNCTION("""COMPUTED_VALUE"""),46069.1309375)</f>
        <v>46069.13094</v>
      </c>
      <c r="C366" s="4" t="str">
        <f>IFERROR(__xludf.DUMMYFUNCTION("""COMPUTED_VALUE"""),"-7.049556, 107.778875")</f>
        <v>-7.049556, 107.778875</v>
      </c>
      <c r="D366" s="4" t="str">
        <f>IFERROR(__xludf.DUMMYFUNCTION("""COMPUTED_VALUE"""),"fuad nugi")</f>
        <v>fuad nugi</v>
      </c>
      <c r="E366" s="4" t="str">
        <f>IFERROR(__xludf.DUMMYFUNCTION("""COMPUTED_VALUE"""),"BANDUNG")</f>
        <v>BANDUNG</v>
      </c>
      <c r="F366" s="4" t="str">
        <f>IFERROR(__xludf.DUMMYFUNCTION("""COMPUTED_VALUE"""),"KOPO")</f>
        <v>KOPO</v>
      </c>
      <c r="G366" s="4" t="str">
        <f>IFERROR(__xludf.DUMMYFUNCTION("""COMPUTED_VALUE"""),"NEW CIBEUREUM")</f>
        <v>NEW CIBEUREUM</v>
      </c>
      <c r="H366" s="4" t="str">
        <f>IFERROR(__xludf.DUMMYFUNCTION("""COMPUTED_VALUE"""),"WTH")</f>
        <v>WTH</v>
      </c>
      <c r="I366" s="4" t="str">
        <f>IFERROR(__xludf.DUMMYFUNCTION("""COMPUTED_VALUE"""),"LBS AFN - UJUNG")</f>
        <v>LBS AFN - UJUNG</v>
      </c>
      <c r="J366" s="4" t="str">
        <f>IFERROR(__xludf.DUMMYFUNCTION("""COMPUTED_VALUE"""),"ZONA 2")</f>
        <v>ZONA 2</v>
      </c>
      <c r="K366" s="4" t="str">
        <f>IFERROR(__xludf.DUMMYFUNCTION("""COMPUTED_VALUE"""),"012")</f>
        <v>012</v>
      </c>
      <c r="L366" s="4" t="str">
        <f>IFERROR(__xludf.DUMMYFUNCTION("""COMPUTED_VALUE"""),"TM - 16B/H (REC/SSO/LBS)")</f>
        <v>TM - 16B/H (REC/SSO/LBS)</v>
      </c>
      <c r="M366" s="4" t="str">
        <f>IFERROR(__xludf.DUMMYFUNCTION("""COMPUTED_VALUE"""),"LBS")</f>
        <v>LBS</v>
      </c>
      <c r="N366" s="4" t="str">
        <f>IFERROR(__xludf.DUMMYFUNCTION("""COMPUTED_VALUE"""),"afn")</f>
        <v>afn</v>
      </c>
      <c r="O366" s="4" t="str">
        <f>IFERROR(__xludf.DUMMYFUNCTION("""COMPUTED_VALUE"""),"PEMBANDING SEJENIS")</f>
        <v>PEMBANDING SEJENIS</v>
      </c>
      <c r="P366" s="4" t="str">
        <f>IFERROR(__xludf.DUMMYFUNCTION("""COMPUTED_VALUE"""),"KONEKTOR/JUMPER")</f>
        <v>KONEKTOR/JUMPER</v>
      </c>
      <c r="Q366" s="4">
        <f>IFERROR(__xludf.DUMMYFUNCTION("""COMPUTED_VALUE"""),22.0)</f>
        <v>22</v>
      </c>
      <c r="R366" s="4">
        <f>IFERROR(__xludf.DUMMYFUNCTION("""COMPUTED_VALUE"""),22.0)</f>
        <v>22</v>
      </c>
      <c r="S366" s="4">
        <f>IFERROR(__xludf.DUMMYFUNCTION("""COMPUTED_VALUE"""),22.0)</f>
        <v>22</v>
      </c>
      <c r="T366" s="4"/>
      <c r="U366" s="4" t="str">
        <f>IFERROR(__xludf.DUMMYFUNCTION("""COMPUTED_VALUE"""),"BAIK")</f>
        <v>BAIK</v>
      </c>
      <c r="V366" s="4" t="str">
        <f>IFERROR(__xludf.DUMMYFUNCTION("""COMPUTED_VALUE"""),"Tidak Ada")</f>
        <v>Tidak Ada</v>
      </c>
      <c r="W366" s="4"/>
      <c r="X366" s="4"/>
      <c r="Y366" s="4"/>
      <c r="Z366" s="4"/>
      <c r="AA366" s="4"/>
      <c r="AB366" s="4"/>
      <c r="AC366" s="4" t="str">
        <f>IFERROR(__xludf.DUMMYFUNCTION("""COMPUTED_VALUE"""),"INSPEKSI SUTM - T2_Images/1683f52e.FOTO.201153.jpg")</f>
        <v>INSPEKSI SUTM - T2_Images/1683f52e.FOTO.201153.jpg</v>
      </c>
      <c r="AD366" s="4"/>
      <c r="AE366" s="4"/>
      <c r="AF366" s="4" t="str">
        <f>IFERROR(__xludf.DUMMYFUNCTION("""COMPUTED_VALUE"""),"BELUM")</f>
        <v>BELUM</v>
      </c>
      <c r="AG366" s="6">
        <f>IFERROR(__xludf.DUMMYFUNCTION("""COMPUTED_VALUE"""),46069.0)</f>
        <v>46069</v>
      </c>
      <c r="AH366" s="4"/>
      <c r="AI366" s="4"/>
    </row>
    <row r="367" ht="15.75" customHeight="1">
      <c r="A367" s="4" t="str">
        <f>IFERROR(__xludf.DUMMYFUNCTION("""COMPUTED_VALUE"""),"c05a9a96")</f>
        <v>c05a9a96</v>
      </c>
      <c r="B367" s="5">
        <f>IFERROR(__xludf.DUMMYFUNCTION("""COMPUTED_VALUE"""),46069.1315625)</f>
        <v>46069.13156</v>
      </c>
      <c r="C367" s="4" t="str">
        <f>IFERROR(__xludf.DUMMYFUNCTION("""COMPUTED_VALUE"""),"-7.049626, 107.778869")</f>
        <v>-7.049626, 107.778869</v>
      </c>
      <c r="D367" s="4" t="str">
        <f>IFERROR(__xludf.DUMMYFUNCTION("""COMPUTED_VALUE"""),"fuad nugi")</f>
        <v>fuad nugi</v>
      </c>
      <c r="E367" s="4" t="str">
        <f>IFERROR(__xludf.DUMMYFUNCTION("""COMPUTED_VALUE"""),"BANDUNG")</f>
        <v>BANDUNG</v>
      </c>
      <c r="F367" s="4" t="str">
        <f>IFERROR(__xludf.DUMMYFUNCTION("""COMPUTED_VALUE"""),"KOPO")</f>
        <v>KOPO</v>
      </c>
      <c r="G367" s="4" t="str">
        <f>IFERROR(__xludf.DUMMYFUNCTION("""COMPUTED_VALUE"""),"NEW CIBEUREUM")</f>
        <v>NEW CIBEUREUM</v>
      </c>
      <c r="H367" s="4" t="str">
        <f>IFERROR(__xludf.DUMMYFUNCTION("""COMPUTED_VALUE"""),"WTH")</f>
        <v>WTH</v>
      </c>
      <c r="I367" s="4" t="str">
        <f>IFERROR(__xludf.DUMMYFUNCTION("""COMPUTED_VALUE"""),"LBS AFN - UJUNG")</f>
        <v>LBS AFN - UJUNG</v>
      </c>
      <c r="J367" s="4" t="str">
        <f>IFERROR(__xludf.DUMMYFUNCTION("""COMPUTED_VALUE"""),"ZONA 2")</f>
        <v>ZONA 2</v>
      </c>
      <c r="K367" s="4" t="str">
        <f>IFERROR(__xludf.DUMMYFUNCTION("""COMPUTED_VALUE"""),"014")</f>
        <v>014</v>
      </c>
      <c r="L367" s="4" t="str">
        <f>IFERROR(__xludf.DUMMYFUNCTION("""COMPUTED_VALUE"""),"TM - 8B/H (Percabangan)")</f>
        <v>TM - 8B/H (Percabangan)</v>
      </c>
      <c r="M367" s="4" t="str">
        <f>IFERROR(__xludf.DUMMYFUNCTION("""COMPUTED_VALUE"""),"Tidak Ada")</f>
        <v>Tidak Ada</v>
      </c>
      <c r="N367" s="4"/>
      <c r="O367" s="4" t="str">
        <f>IFERROR(__xludf.DUMMYFUNCTION("""COMPUTED_VALUE"""),"PEMBANDING SEJENIS")</f>
        <v>PEMBANDING SEJENIS</v>
      </c>
      <c r="P367" s="4" t="str">
        <f>IFERROR(__xludf.DUMMYFUNCTION("""COMPUTED_VALUE"""),"KONEKTOR/JUMPER")</f>
        <v>KONEKTOR/JUMPER</v>
      </c>
      <c r="Q367" s="4">
        <f>IFERROR(__xludf.DUMMYFUNCTION("""COMPUTED_VALUE"""),22.0)</f>
        <v>22</v>
      </c>
      <c r="R367" s="4">
        <f>IFERROR(__xludf.DUMMYFUNCTION("""COMPUTED_VALUE"""),23.0)</f>
        <v>23</v>
      </c>
      <c r="S367" s="4">
        <f>IFERROR(__xludf.DUMMYFUNCTION("""COMPUTED_VALUE"""),22.0)</f>
        <v>22</v>
      </c>
      <c r="T367" s="4"/>
      <c r="U367" s="4" t="str">
        <f>IFERROR(__xludf.DUMMYFUNCTION("""COMPUTED_VALUE"""),"BAIK")</f>
        <v>BAIK</v>
      </c>
      <c r="V367" s="4" t="str">
        <f>IFERROR(__xludf.DUMMYFUNCTION("""COMPUTED_VALUE"""),"Tidak Ada")</f>
        <v>Tidak Ada</v>
      </c>
      <c r="W367" s="4"/>
      <c r="X367" s="4"/>
      <c r="Y367" s="4"/>
      <c r="Z367" s="4"/>
      <c r="AA367" s="4"/>
      <c r="AB367" s="4"/>
      <c r="AC367" s="4" t="str">
        <f>IFERROR(__xludf.DUMMYFUNCTION("""COMPUTED_VALUE"""),"INSPEKSI SUTM - T2_Images/c05a9a96.FOTO.201157.jpg")</f>
        <v>INSPEKSI SUTM - T2_Images/c05a9a96.FOTO.201157.jpg</v>
      </c>
      <c r="AD367" s="4"/>
      <c r="AE367" s="4"/>
      <c r="AF367" s="4" t="str">
        <f>IFERROR(__xludf.DUMMYFUNCTION("""COMPUTED_VALUE"""),"BELUM")</f>
        <v>BELUM</v>
      </c>
      <c r="AG367" s="6">
        <f>IFERROR(__xludf.DUMMYFUNCTION("""COMPUTED_VALUE"""),46069.0)</f>
        <v>46069</v>
      </c>
      <c r="AH367" s="4"/>
      <c r="AI367" s="4"/>
    </row>
    <row r="368" ht="15.75" customHeight="1">
      <c r="A368" s="4" t="str">
        <f>IFERROR(__xludf.DUMMYFUNCTION("""COMPUTED_VALUE"""),"d419d181")</f>
        <v>d419d181</v>
      </c>
      <c r="B368" s="5">
        <f>IFERROR(__xludf.DUMMYFUNCTION("""COMPUTED_VALUE"""),46069.13359953704)</f>
        <v>46069.1336</v>
      </c>
      <c r="C368" s="4" t="str">
        <f>IFERROR(__xludf.DUMMYFUNCTION("""COMPUTED_VALUE"""),"-7.049635, 107.778867")</f>
        <v>-7.049635, 107.778867</v>
      </c>
      <c r="D368" s="4" t="str">
        <f>IFERROR(__xludf.DUMMYFUNCTION("""COMPUTED_VALUE"""),"fuad nugi")</f>
        <v>fuad nugi</v>
      </c>
      <c r="E368" s="4" t="str">
        <f>IFERROR(__xludf.DUMMYFUNCTION("""COMPUTED_VALUE"""),"BANDUNG")</f>
        <v>BANDUNG</v>
      </c>
      <c r="F368" s="4" t="str">
        <f>IFERROR(__xludf.DUMMYFUNCTION("""COMPUTED_VALUE"""),"KOPO")</f>
        <v>KOPO</v>
      </c>
      <c r="G368" s="4" t="str">
        <f>IFERROR(__xludf.DUMMYFUNCTION("""COMPUTED_VALUE"""),"NEW CIBEUREUM")</f>
        <v>NEW CIBEUREUM</v>
      </c>
      <c r="H368" s="4" t="str">
        <f>IFERROR(__xludf.DUMMYFUNCTION("""COMPUTED_VALUE"""),"WTH")</f>
        <v>WTH</v>
      </c>
      <c r="I368" s="4" t="str">
        <f>IFERROR(__xludf.DUMMYFUNCTION("""COMPUTED_VALUE"""),"LBS AFN - UJUNG")</f>
        <v>LBS AFN - UJUNG</v>
      </c>
      <c r="J368" s="4" t="str">
        <f>IFERROR(__xludf.DUMMYFUNCTION("""COMPUTED_VALUE"""),"ZONA 2")</f>
        <v>ZONA 2</v>
      </c>
      <c r="K368" s="4" t="str">
        <f>IFERROR(__xludf.DUMMYFUNCTION("""COMPUTED_VALUE"""),"015")</f>
        <v>015</v>
      </c>
      <c r="L368" s="4" t="str">
        <f>IFERROR(__xludf.DUMMYFUNCTION("""COMPUTED_VALUE"""),"TM - 7B/H (Afspan 90 Derajat)")</f>
        <v>TM - 7B/H (Afspan 90 Derajat)</v>
      </c>
      <c r="M368" s="4" t="str">
        <f>IFERROR(__xludf.DUMMYFUNCTION("""COMPUTED_VALUE"""),"Tidak Ada")</f>
        <v>Tidak Ada</v>
      </c>
      <c r="N368" s="4"/>
      <c r="O368" s="4" t="str">
        <f>IFERROR(__xludf.DUMMYFUNCTION("""COMPUTED_VALUE"""),"PEMBANDING SEJENIS")</f>
        <v>PEMBANDING SEJENIS</v>
      </c>
      <c r="P368" s="4" t="str">
        <f>IFERROR(__xludf.DUMMYFUNCTION("""COMPUTED_VALUE"""),"KONEKTOR/JUMPER")</f>
        <v>KONEKTOR/JUMPER</v>
      </c>
      <c r="Q368" s="4">
        <f>IFERROR(__xludf.DUMMYFUNCTION("""COMPUTED_VALUE"""),22.0)</f>
        <v>22</v>
      </c>
      <c r="R368" s="4">
        <f>IFERROR(__xludf.DUMMYFUNCTION("""COMPUTED_VALUE"""),22.0)</f>
        <v>22</v>
      </c>
      <c r="S368" s="4">
        <f>IFERROR(__xludf.DUMMYFUNCTION("""COMPUTED_VALUE"""),19.0)</f>
        <v>19</v>
      </c>
      <c r="T368" s="4"/>
      <c r="U368" s="4" t="str">
        <f>IFERROR(__xludf.DUMMYFUNCTION("""COMPUTED_VALUE"""),"CUKUP")</f>
        <v>CUKUP</v>
      </c>
      <c r="V368" s="4" t="str">
        <f>IFERROR(__xludf.DUMMYFUNCTION("""COMPUTED_VALUE"""),"Tidak Ada")</f>
        <v>Tidak Ada</v>
      </c>
      <c r="W368" s="4"/>
      <c r="X368" s="4"/>
      <c r="Y368" s="4"/>
      <c r="Z368" s="4"/>
      <c r="AA368" s="4"/>
      <c r="AB368" s="4"/>
      <c r="AC368" s="4" t="str">
        <f>IFERROR(__xludf.DUMMYFUNCTION("""COMPUTED_VALUE"""),"INSPEKSI SUTM - T2_Images/d419d181.FOTO.201314.jpg")</f>
        <v>INSPEKSI SUTM - T2_Images/d419d181.FOTO.201314.jpg</v>
      </c>
      <c r="AD368" s="4"/>
      <c r="AE368" s="4"/>
      <c r="AF368" s="4" t="str">
        <f>IFERROR(__xludf.DUMMYFUNCTION("""COMPUTED_VALUE"""),"BELUM")</f>
        <v>BELUM</v>
      </c>
      <c r="AG368" s="6">
        <f>IFERROR(__xludf.DUMMYFUNCTION("""COMPUTED_VALUE"""),46069.0)</f>
        <v>46069</v>
      </c>
      <c r="AH368" s="4"/>
      <c r="AI368" s="4"/>
    </row>
    <row r="369" ht="15.75" customHeight="1">
      <c r="A369" s="4" t="str">
        <f>IFERROR(__xludf.DUMMYFUNCTION("""COMPUTED_VALUE"""),"7a06b348")</f>
        <v>7a06b348</v>
      </c>
      <c r="B369" s="5">
        <f>IFERROR(__xludf.DUMMYFUNCTION("""COMPUTED_VALUE"""),46069.13422453704)</f>
        <v>46069.13422</v>
      </c>
      <c r="C369" s="4" t="str">
        <f>IFERROR(__xludf.DUMMYFUNCTION("""COMPUTED_VALUE"""),"-7.049623, 107.778862")</f>
        <v>-7.049623, 107.778862</v>
      </c>
      <c r="D369" s="4" t="str">
        <f>IFERROR(__xludf.DUMMYFUNCTION("""COMPUTED_VALUE"""),"fuad nugi")</f>
        <v>fuad nugi</v>
      </c>
      <c r="E369" s="4" t="str">
        <f>IFERROR(__xludf.DUMMYFUNCTION("""COMPUTED_VALUE"""),"BANDUNG")</f>
        <v>BANDUNG</v>
      </c>
      <c r="F369" s="4" t="str">
        <f>IFERROR(__xludf.DUMMYFUNCTION("""COMPUTED_VALUE"""),"KOPO")</f>
        <v>KOPO</v>
      </c>
      <c r="G369" s="4" t="str">
        <f>IFERROR(__xludf.DUMMYFUNCTION("""COMPUTED_VALUE"""),"NEW CIBEUREUM")</f>
        <v>NEW CIBEUREUM</v>
      </c>
      <c r="H369" s="4" t="str">
        <f>IFERROR(__xludf.DUMMYFUNCTION("""COMPUTED_VALUE"""),"WTH")</f>
        <v>WTH</v>
      </c>
      <c r="I369" s="4" t="str">
        <f>IFERROR(__xludf.DUMMYFUNCTION("""COMPUTED_VALUE"""),"LBS AFN - UJUNG")</f>
        <v>LBS AFN - UJUNG</v>
      </c>
      <c r="J369" s="4" t="str">
        <f>IFERROR(__xludf.DUMMYFUNCTION("""COMPUTED_VALUE"""),"ZONA 2")</f>
        <v>ZONA 2</v>
      </c>
      <c r="K369" s="4" t="str">
        <f>IFERROR(__xludf.DUMMYFUNCTION("""COMPUTED_VALUE"""),"016")</f>
        <v>016</v>
      </c>
      <c r="L369" s="4" t="str">
        <f>IFERROR(__xludf.DUMMYFUNCTION("""COMPUTED_VALUE"""),"TM - 8B/H (Percabangan)")</f>
        <v>TM - 8B/H (Percabangan)</v>
      </c>
      <c r="M369" s="4" t="str">
        <f>IFERROR(__xludf.DUMMYFUNCTION("""COMPUTED_VALUE"""),"Tidak Ada")</f>
        <v>Tidak Ada</v>
      </c>
      <c r="N369" s="4"/>
      <c r="O369" s="4" t="str">
        <f>IFERROR(__xludf.DUMMYFUNCTION("""COMPUTED_VALUE"""),"PEMBANDING SEJENIS")</f>
        <v>PEMBANDING SEJENIS</v>
      </c>
      <c r="P369" s="4" t="str">
        <f>IFERROR(__xludf.DUMMYFUNCTION("""COMPUTED_VALUE"""),"KONEKTOR/JUMPER")</f>
        <v>KONEKTOR/JUMPER</v>
      </c>
      <c r="Q369" s="4">
        <f>IFERROR(__xludf.DUMMYFUNCTION("""COMPUTED_VALUE"""),23.0)</f>
        <v>23</v>
      </c>
      <c r="R369" s="4">
        <f>IFERROR(__xludf.DUMMYFUNCTION("""COMPUTED_VALUE"""),22.0)</f>
        <v>22</v>
      </c>
      <c r="S369" s="4">
        <f>IFERROR(__xludf.DUMMYFUNCTION("""COMPUTED_VALUE"""),22.0)</f>
        <v>22</v>
      </c>
      <c r="T369" s="4"/>
      <c r="U369" s="4" t="str">
        <f>IFERROR(__xludf.DUMMYFUNCTION("""COMPUTED_VALUE"""),"BAIK")</f>
        <v>BAIK</v>
      </c>
      <c r="V369" s="4" t="str">
        <f>IFERROR(__xludf.DUMMYFUNCTION("""COMPUTED_VALUE"""),"Tidak Ada")</f>
        <v>Tidak Ada</v>
      </c>
      <c r="W369" s="4"/>
      <c r="X369" s="4"/>
      <c r="Y369" s="4"/>
      <c r="Z369" s="4"/>
      <c r="AA369" s="4"/>
      <c r="AB369" s="4"/>
      <c r="AC369" s="4" t="str">
        <f>IFERROR(__xludf.DUMMYFUNCTION("""COMPUTED_VALUE"""),"INSPEKSI SUTM - T2_Images/7a06b348.FOTO.201401.jpg")</f>
        <v>INSPEKSI SUTM - T2_Images/7a06b348.FOTO.201401.jpg</v>
      </c>
      <c r="AD369" s="4"/>
      <c r="AE369" s="4"/>
      <c r="AF369" s="4" t="str">
        <f>IFERROR(__xludf.DUMMYFUNCTION("""COMPUTED_VALUE"""),"BELUM")</f>
        <v>BELUM</v>
      </c>
      <c r="AG369" s="6">
        <f>IFERROR(__xludf.DUMMYFUNCTION("""COMPUTED_VALUE"""),46069.0)</f>
        <v>46069</v>
      </c>
      <c r="AH369" s="4"/>
      <c r="AI369" s="4"/>
    </row>
    <row r="370" ht="15.75" customHeight="1">
      <c r="A370" s="4" t="str">
        <f>IFERROR(__xludf.DUMMYFUNCTION("""COMPUTED_VALUE"""),"a6f47447")</f>
        <v>a6f47447</v>
      </c>
      <c r="B370" s="5">
        <f>IFERROR(__xludf.DUMMYFUNCTION("""COMPUTED_VALUE"""),46069.134791666664)</f>
        <v>46069.13479</v>
      </c>
      <c r="C370" s="4" t="str">
        <f>IFERROR(__xludf.DUMMYFUNCTION("""COMPUTED_VALUE"""),"-7.049623, 107.778862")</f>
        <v>-7.049623, 107.778862</v>
      </c>
      <c r="D370" s="4" t="str">
        <f>IFERROR(__xludf.DUMMYFUNCTION("""COMPUTED_VALUE"""),"fuad nugi")</f>
        <v>fuad nugi</v>
      </c>
      <c r="E370" s="4" t="str">
        <f>IFERROR(__xludf.DUMMYFUNCTION("""COMPUTED_VALUE"""),"BANDUNG")</f>
        <v>BANDUNG</v>
      </c>
      <c r="F370" s="4" t="str">
        <f>IFERROR(__xludf.DUMMYFUNCTION("""COMPUTED_VALUE"""),"KOPO")</f>
        <v>KOPO</v>
      </c>
      <c r="G370" s="4" t="str">
        <f>IFERROR(__xludf.DUMMYFUNCTION("""COMPUTED_VALUE"""),"NEW CIBEUREUM")</f>
        <v>NEW CIBEUREUM</v>
      </c>
      <c r="H370" s="4" t="str">
        <f>IFERROR(__xludf.DUMMYFUNCTION("""COMPUTED_VALUE"""),"WTH")</f>
        <v>WTH</v>
      </c>
      <c r="I370" s="4" t="str">
        <f>IFERROR(__xludf.DUMMYFUNCTION("""COMPUTED_VALUE"""),"LBS AFN - UJUNG")</f>
        <v>LBS AFN - UJUNG</v>
      </c>
      <c r="J370" s="4" t="str">
        <f>IFERROR(__xludf.DUMMYFUNCTION("""COMPUTED_VALUE"""),"ZONA 2")</f>
        <v>ZONA 2</v>
      </c>
      <c r="K370" s="4" t="str">
        <f>IFERROR(__xludf.DUMMYFUNCTION("""COMPUTED_VALUE"""),"017")</f>
        <v>017</v>
      </c>
      <c r="L370" s="4" t="str">
        <f>IFERROR(__xludf.DUMMYFUNCTION("""COMPUTED_VALUE"""),"TM - 8B/H (Percabangan)")</f>
        <v>TM - 8B/H (Percabangan)</v>
      </c>
      <c r="M370" s="4" t="str">
        <f>IFERROR(__xludf.DUMMYFUNCTION("""COMPUTED_VALUE"""),"Tidak Ada")</f>
        <v>Tidak Ada</v>
      </c>
      <c r="N370" s="4"/>
      <c r="O370" s="4" t="str">
        <f>IFERROR(__xludf.DUMMYFUNCTION("""COMPUTED_VALUE"""),"PEMBANDING SEJENIS")</f>
        <v>PEMBANDING SEJENIS</v>
      </c>
      <c r="P370" s="4" t="str">
        <f>IFERROR(__xludf.DUMMYFUNCTION("""COMPUTED_VALUE"""),"KONEKTOR/JUMPER")</f>
        <v>KONEKTOR/JUMPER</v>
      </c>
      <c r="Q370" s="4">
        <f>IFERROR(__xludf.DUMMYFUNCTION("""COMPUTED_VALUE"""),22.0)</f>
        <v>22</v>
      </c>
      <c r="R370" s="4">
        <f>IFERROR(__xludf.DUMMYFUNCTION("""COMPUTED_VALUE"""),23.0)</f>
        <v>23</v>
      </c>
      <c r="S370" s="4">
        <f>IFERROR(__xludf.DUMMYFUNCTION("""COMPUTED_VALUE"""),24.0)</f>
        <v>24</v>
      </c>
      <c r="T370" s="4"/>
      <c r="U370" s="4" t="str">
        <f>IFERROR(__xludf.DUMMYFUNCTION("""COMPUTED_VALUE"""),"BAIK")</f>
        <v>BAIK</v>
      </c>
      <c r="V370" s="4" t="str">
        <f>IFERROR(__xludf.DUMMYFUNCTION("""COMPUTED_VALUE"""),"Tidak Ada")</f>
        <v>Tidak Ada</v>
      </c>
      <c r="W370" s="4"/>
      <c r="X370" s="4"/>
      <c r="Y370" s="4"/>
      <c r="Z370" s="4"/>
      <c r="AA370" s="4"/>
      <c r="AB370" s="4"/>
      <c r="AC370" s="4" t="str">
        <f>IFERROR(__xludf.DUMMYFUNCTION("""COMPUTED_VALUE"""),"INSPEKSI SUTM - T2_Images/a6f47447.FOTO.201514.jpg")</f>
        <v>INSPEKSI SUTM - T2_Images/a6f47447.FOTO.201514.jpg</v>
      </c>
      <c r="AD370" s="4"/>
      <c r="AE370" s="4"/>
      <c r="AF370" s="4" t="str">
        <f>IFERROR(__xludf.DUMMYFUNCTION("""COMPUTED_VALUE"""),"BELUM")</f>
        <v>BELUM</v>
      </c>
      <c r="AG370" s="6">
        <f>IFERROR(__xludf.DUMMYFUNCTION("""COMPUTED_VALUE"""),46069.0)</f>
        <v>46069</v>
      </c>
      <c r="AH370" s="4"/>
      <c r="AI370" s="4"/>
    </row>
    <row r="371" ht="15.75" customHeight="1">
      <c r="A371" s="4" t="str">
        <f>IFERROR(__xludf.DUMMYFUNCTION("""COMPUTED_VALUE"""),"a4422ff2")</f>
        <v>a4422ff2</v>
      </c>
      <c r="B371" s="5">
        <f>IFERROR(__xludf.DUMMYFUNCTION("""COMPUTED_VALUE"""),46069.13559027778)</f>
        <v>46069.13559</v>
      </c>
      <c r="C371" s="4" t="str">
        <f>IFERROR(__xludf.DUMMYFUNCTION("""COMPUTED_VALUE"""),"-7.049651, 107.778743")</f>
        <v>-7.049651, 107.778743</v>
      </c>
      <c r="D371" s="4" t="str">
        <f>IFERROR(__xludf.DUMMYFUNCTION("""COMPUTED_VALUE"""),"fuad nugi")</f>
        <v>fuad nugi</v>
      </c>
      <c r="E371" s="4" t="str">
        <f>IFERROR(__xludf.DUMMYFUNCTION("""COMPUTED_VALUE"""),"BANDUNG")</f>
        <v>BANDUNG</v>
      </c>
      <c r="F371" s="4" t="str">
        <f>IFERROR(__xludf.DUMMYFUNCTION("""COMPUTED_VALUE"""),"KOPO")</f>
        <v>KOPO</v>
      </c>
      <c r="G371" s="4" t="str">
        <f>IFERROR(__xludf.DUMMYFUNCTION("""COMPUTED_VALUE"""),"NEW CIBEUREUM")</f>
        <v>NEW CIBEUREUM</v>
      </c>
      <c r="H371" s="4" t="str">
        <f>IFERROR(__xludf.DUMMYFUNCTION("""COMPUTED_VALUE"""),"WTH")</f>
        <v>WTH</v>
      </c>
      <c r="I371" s="4" t="str">
        <f>IFERROR(__xludf.DUMMYFUNCTION("""COMPUTED_VALUE"""),"LBS AFN - UJUNG")</f>
        <v>LBS AFN - UJUNG</v>
      </c>
      <c r="J371" s="4" t="str">
        <f>IFERROR(__xludf.DUMMYFUNCTION("""COMPUTED_VALUE"""),"ZONA 2")</f>
        <v>ZONA 2</v>
      </c>
      <c r="K371" s="4" t="str">
        <f>IFERROR(__xludf.DUMMYFUNCTION("""COMPUTED_VALUE"""),"017L01")</f>
        <v>017L01</v>
      </c>
      <c r="L371" s="4" t="str">
        <f>IFERROR(__xludf.DUMMYFUNCTION("""COMPUTED_VALUE"""),"TM - 7B/H (Afspan 90 Derajat)")</f>
        <v>TM - 7B/H (Afspan 90 Derajat)</v>
      </c>
      <c r="M371" s="4" t="str">
        <f>IFERROR(__xludf.DUMMYFUNCTION("""COMPUTED_VALUE"""),"Tidak Ada")</f>
        <v>Tidak Ada</v>
      </c>
      <c r="N371" s="4"/>
      <c r="O371" s="4" t="str">
        <f>IFERROR(__xludf.DUMMYFUNCTION("""COMPUTED_VALUE"""),"PEMBANDING SEJENIS")</f>
        <v>PEMBANDING SEJENIS</v>
      </c>
      <c r="P371" s="4" t="str">
        <f>IFERROR(__xludf.DUMMYFUNCTION("""COMPUTED_VALUE"""),"KONEKTOR/JUMPER")</f>
        <v>KONEKTOR/JUMPER</v>
      </c>
      <c r="Q371" s="4">
        <f>IFERROR(__xludf.DUMMYFUNCTION("""COMPUTED_VALUE"""),23.0)</f>
        <v>23</v>
      </c>
      <c r="R371" s="4">
        <f>IFERROR(__xludf.DUMMYFUNCTION("""COMPUTED_VALUE"""),23.0)</f>
        <v>23</v>
      </c>
      <c r="S371" s="4">
        <f>IFERROR(__xludf.DUMMYFUNCTION("""COMPUTED_VALUE"""),23.0)</f>
        <v>23</v>
      </c>
      <c r="T371" s="4"/>
      <c r="U371" s="4" t="str">
        <f>IFERROR(__xludf.DUMMYFUNCTION("""COMPUTED_VALUE"""),"BAIK")</f>
        <v>BAIK</v>
      </c>
      <c r="V371" s="4" t="str">
        <f>IFERROR(__xludf.DUMMYFUNCTION("""COMPUTED_VALUE"""),"Tidak Ada")</f>
        <v>Tidak Ada</v>
      </c>
      <c r="W371" s="4"/>
      <c r="X371" s="4"/>
      <c r="Y371" s="4"/>
      <c r="Z371" s="4"/>
      <c r="AA371" s="4"/>
      <c r="AB371" s="4"/>
      <c r="AC371" s="4" t="str">
        <f>IFERROR(__xludf.DUMMYFUNCTION("""COMPUTED_VALUE"""),"INSPEKSI SUTM - T2_Images/a4422ff2.FOTO.201557.jpg")</f>
        <v>INSPEKSI SUTM - T2_Images/a4422ff2.FOTO.201557.jpg</v>
      </c>
      <c r="AD371" s="4"/>
      <c r="AE371" s="4"/>
      <c r="AF371" s="4" t="str">
        <f>IFERROR(__xludf.DUMMYFUNCTION("""COMPUTED_VALUE"""),"BELUM")</f>
        <v>BELUM</v>
      </c>
      <c r="AG371" s="6">
        <f>IFERROR(__xludf.DUMMYFUNCTION("""COMPUTED_VALUE"""),46069.0)</f>
        <v>46069</v>
      </c>
      <c r="AH371" s="4"/>
      <c r="AI371" s="4"/>
    </row>
    <row r="372" ht="15.75" customHeight="1">
      <c r="A372" s="4" t="str">
        <f>IFERROR(__xludf.DUMMYFUNCTION("""COMPUTED_VALUE"""),"d1cc7bc4")</f>
        <v>d1cc7bc4</v>
      </c>
      <c r="B372" s="5">
        <f>IFERROR(__xludf.DUMMYFUNCTION("""COMPUTED_VALUE"""),46069.13613425926)</f>
        <v>46069.13613</v>
      </c>
      <c r="C372" s="4" t="str">
        <f>IFERROR(__xludf.DUMMYFUNCTION("""COMPUTED_VALUE"""),"-7.049651, 107.778743")</f>
        <v>-7.049651, 107.778743</v>
      </c>
      <c r="D372" s="4" t="str">
        <f>IFERROR(__xludf.DUMMYFUNCTION("""COMPUTED_VALUE"""),"fuad nugi")</f>
        <v>fuad nugi</v>
      </c>
      <c r="E372" s="4" t="str">
        <f>IFERROR(__xludf.DUMMYFUNCTION("""COMPUTED_VALUE"""),"BANDUNG")</f>
        <v>BANDUNG</v>
      </c>
      <c r="F372" s="4" t="str">
        <f>IFERROR(__xludf.DUMMYFUNCTION("""COMPUTED_VALUE"""),"KOPO")</f>
        <v>KOPO</v>
      </c>
      <c r="G372" s="4" t="str">
        <f>IFERROR(__xludf.DUMMYFUNCTION("""COMPUTED_VALUE"""),"NEW CIBEUREUM")</f>
        <v>NEW CIBEUREUM</v>
      </c>
      <c r="H372" s="4" t="str">
        <f>IFERROR(__xludf.DUMMYFUNCTION("""COMPUTED_VALUE"""),"WTH")</f>
        <v>WTH</v>
      </c>
      <c r="I372" s="4" t="str">
        <f>IFERROR(__xludf.DUMMYFUNCTION("""COMPUTED_VALUE"""),"LBS AFN - UJUNG")</f>
        <v>LBS AFN - UJUNG</v>
      </c>
      <c r="J372" s="4" t="str">
        <f>IFERROR(__xludf.DUMMYFUNCTION("""COMPUTED_VALUE"""),"ZONA 2")</f>
        <v>ZONA 2</v>
      </c>
      <c r="K372" s="4" t="str">
        <f>IFERROR(__xludf.DUMMYFUNCTION("""COMPUTED_VALUE"""),"020")</f>
        <v>020</v>
      </c>
      <c r="L372" s="4" t="str">
        <f>IFERROR(__xludf.DUMMYFUNCTION("""COMPUTED_VALUE"""),"TM - 8B/H (Percabangan)")</f>
        <v>TM - 8B/H (Percabangan)</v>
      </c>
      <c r="M372" s="4" t="str">
        <f>IFERROR(__xludf.DUMMYFUNCTION("""COMPUTED_VALUE"""),"Tidak Ada")</f>
        <v>Tidak Ada</v>
      </c>
      <c r="N372" s="4"/>
      <c r="O372" s="4" t="str">
        <f>IFERROR(__xludf.DUMMYFUNCTION("""COMPUTED_VALUE"""),"PEMBANDING SEJENIS")</f>
        <v>PEMBANDING SEJENIS</v>
      </c>
      <c r="P372" s="4" t="str">
        <f>IFERROR(__xludf.DUMMYFUNCTION("""COMPUTED_VALUE"""),"KONEKTOR/JUMPER")</f>
        <v>KONEKTOR/JUMPER</v>
      </c>
      <c r="Q372" s="4">
        <f>IFERROR(__xludf.DUMMYFUNCTION("""COMPUTED_VALUE"""),20.0)</f>
        <v>20</v>
      </c>
      <c r="R372" s="4">
        <f>IFERROR(__xludf.DUMMYFUNCTION("""COMPUTED_VALUE"""),21.0)</f>
        <v>21</v>
      </c>
      <c r="S372" s="4">
        <f>IFERROR(__xludf.DUMMYFUNCTION("""COMPUTED_VALUE"""),23.0)</f>
        <v>23</v>
      </c>
      <c r="T372" s="4"/>
      <c r="U372" s="4" t="str">
        <f>IFERROR(__xludf.DUMMYFUNCTION("""COMPUTED_VALUE"""),"CUKUP")</f>
        <v>CUKUP</v>
      </c>
      <c r="V372" s="4" t="str">
        <f>IFERROR(__xludf.DUMMYFUNCTION("""COMPUTED_VALUE"""),"Tidak Ada")</f>
        <v>Tidak Ada</v>
      </c>
      <c r="W372" s="4"/>
      <c r="X372" s="4"/>
      <c r="Y372" s="4"/>
      <c r="Z372" s="4"/>
      <c r="AA372" s="4"/>
      <c r="AB372" s="4"/>
      <c r="AC372" s="4" t="str">
        <f>IFERROR(__xludf.DUMMYFUNCTION("""COMPUTED_VALUE"""),"INSPEKSI SUTM - T2_Images/d1cc7bc4.FOTO.201654.jpg")</f>
        <v>INSPEKSI SUTM - T2_Images/d1cc7bc4.FOTO.201654.jpg</v>
      </c>
      <c r="AD372" s="4"/>
      <c r="AE372" s="4"/>
      <c r="AF372" s="4" t="str">
        <f>IFERROR(__xludf.DUMMYFUNCTION("""COMPUTED_VALUE"""),"BELUM")</f>
        <v>BELUM</v>
      </c>
      <c r="AG372" s="6">
        <f>IFERROR(__xludf.DUMMYFUNCTION("""COMPUTED_VALUE"""),46069.0)</f>
        <v>46069</v>
      </c>
      <c r="AH372" s="4"/>
      <c r="AI372" s="4"/>
    </row>
    <row r="373" ht="15.75" customHeight="1">
      <c r="A373" s="4" t="str">
        <f>IFERROR(__xludf.DUMMYFUNCTION("""COMPUTED_VALUE"""),"f98730f6")</f>
        <v>f98730f6</v>
      </c>
      <c r="B373" s="5">
        <f>IFERROR(__xludf.DUMMYFUNCTION("""COMPUTED_VALUE"""),46069.13700231481)</f>
        <v>46069.137</v>
      </c>
      <c r="C373" s="4" t="str">
        <f>IFERROR(__xludf.DUMMYFUNCTION("""COMPUTED_VALUE"""),"-7.049623, 107.778872")</f>
        <v>-7.049623, 107.778872</v>
      </c>
      <c r="D373" s="4" t="str">
        <f>IFERROR(__xludf.DUMMYFUNCTION("""COMPUTED_VALUE"""),"fuad nugi")</f>
        <v>fuad nugi</v>
      </c>
      <c r="E373" s="4" t="str">
        <f>IFERROR(__xludf.DUMMYFUNCTION("""COMPUTED_VALUE"""),"BANDUNG")</f>
        <v>BANDUNG</v>
      </c>
      <c r="F373" s="4" t="str">
        <f>IFERROR(__xludf.DUMMYFUNCTION("""COMPUTED_VALUE"""),"KOPO")</f>
        <v>KOPO</v>
      </c>
      <c r="G373" s="4" t="str">
        <f>IFERROR(__xludf.DUMMYFUNCTION("""COMPUTED_VALUE"""),"NEW CIBEUREUM")</f>
        <v>NEW CIBEUREUM</v>
      </c>
      <c r="H373" s="4" t="str">
        <f>IFERROR(__xludf.DUMMYFUNCTION("""COMPUTED_VALUE"""),"WTH")</f>
        <v>WTH</v>
      </c>
      <c r="I373" s="4" t="str">
        <f>IFERROR(__xludf.DUMMYFUNCTION("""COMPUTED_VALUE"""),"LBS AFN - UJUNG")</f>
        <v>LBS AFN - UJUNG</v>
      </c>
      <c r="J373" s="4" t="str">
        <f>IFERROR(__xludf.DUMMYFUNCTION("""COMPUTED_VALUE"""),"ZONA 2")</f>
        <v>ZONA 2</v>
      </c>
      <c r="K373" s="4" t="str">
        <f>IFERROR(__xludf.DUMMYFUNCTION("""COMPUTED_VALUE"""),"027")</f>
        <v>027</v>
      </c>
      <c r="L373" s="4" t="str">
        <f>IFERROR(__xludf.DUMMYFUNCTION("""COMPUTED_VALUE"""),"TM - 1B/H (Tumpu)")</f>
        <v>TM - 1B/H (Tumpu)</v>
      </c>
      <c r="M373" s="4" t="str">
        <f>IFERROR(__xludf.DUMMYFUNCTION("""COMPUTED_VALUE"""),"Tidak Ada")</f>
        <v>Tidak Ada</v>
      </c>
      <c r="N373" s="4"/>
      <c r="O373" s="4" t="str">
        <f>IFERROR(__xludf.DUMMYFUNCTION("""COMPUTED_VALUE"""),"PEMBANDING SEJENIS")</f>
        <v>PEMBANDING SEJENIS</v>
      </c>
      <c r="P373" s="4" t="str">
        <f>IFERROR(__xludf.DUMMYFUNCTION("""COMPUTED_VALUE"""),"ARRESTER")</f>
        <v>ARRESTER</v>
      </c>
      <c r="Q373" s="4">
        <f>IFERROR(__xludf.DUMMYFUNCTION("""COMPUTED_VALUE"""),18.0)</f>
        <v>18</v>
      </c>
      <c r="R373" s="4">
        <f>IFERROR(__xludf.DUMMYFUNCTION("""COMPUTED_VALUE"""),19.0)</f>
        <v>19</v>
      </c>
      <c r="S373" s="4">
        <f>IFERROR(__xludf.DUMMYFUNCTION("""COMPUTED_VALUE"""),19.0)</f>
        <v>19</v>
      </c>
      <c r="T373" s="4"/>
      <c r="U373" s="4" t="str">
        <f>IFERROR(__xludf.DUMMYFUNCTION("""COMPUTED_VALUE"""),"BAIK")</f>
        <v>BAIK</v>
      </c>
      <c r="V373" s="4" t="str">
        <f>IFERROR(__xludf.DUMMYFUNCTION("""COMPUTED_VALUE"""),"Tidak Ada")</f>
        <v>Tidak Ada</v>
      </c>
      <c r="W373" s="4"/>
      <c r="X373" s="4"/>
      <c r="Y373" s="4"/>
      <c r="Z373" s="4"/>
      <c r="AA373" s="4"/>
      <c r="AB373" s="4"/>
      <c r="AC373" s="4" t="str">
        <f>IFERROR(__xludf.DUMMYFUNCTION("""COMPUTED_VALUE"""),"INSPEKSI SUTM - T2_Images/f98730f6.FOTO.201858.jpg")</f>
        <v>INSPEKSI SUTM - T2_Images/f98730f6.FOTO.201858.jpg</v>
      </c>
      <c r="AD373" s="4"/>
      <c r="AE373" s="4"/>
      <c r="AF373" s="4" t="str">
        <f>IFERROR(__xludf.DUMMYFUNCTION("""COMPUTED_VALUE"""),"BELUM")</f>
        <v>BELUM</v>
      </c>
      <c r="AG373" s="6">
        <f>IFERROR(__xludf.DUMMYFUNCTION("""COMPUTED_VALUE"""),46069.0)</f>
        <v>46069</v>
      </c>
      <c r="AH373" s="4"/>
      <c r="AI373" s="4"/>
    </row>
    <row r="374" ht="15.75" customHeight="1">
      <c r="A374" s="4" t="str">
        <f>IFERROR(__xludf.DUMMYFUNCTION("""COMPUTED_VALUE"""),"0f094034")</f>
        <v>0f094034</v>
      </c>
      <c r="B374" s="5">
        <f>IFERROR(__xludf.DUMMYFUNCTION("""COMPUTED_VALUE"""),46069.13820601852)</f>
        <v>46069.13821</v>
      </c>
      <c r="C374" s="4" t="str">
        <f>IFERROR(__xludf.DUMMYFUNCTION("""COMPUTED_VALUE"""),"-7.049623, 107.778872")</f>
        <v>-7.049623, 107.778872</v>
      </c>
      <c r="D374" s="4" t="str">
        <f>IFERROR(__xludf.DUMMYFUNCTION("""COMPUTED_VALUE"""),"fuad nugi")</f>
        <v>fuad nugi</v>
      </c>
      <c r="E374" s="4" t="str">
        <f>IFERROR(__xludf.DUMMYFUNCTION("""COMPUTED_VALUE"""),"BANDUNG")</f>
        <v>BANDUNG</v>
      </c>
      <c r="F374" s="4" t="str">
        <f>IFERROR(__xludf.DUMMYFUNCTION("""COMPUTED_VALUE"""),"KOPO")</f>
        <v>KOPO</v>
      </c>
      <c r="G374" s="4" t="str">
        <f>IFERROR(__xludf.DUMMYFUNCTION("""COMPUTED_VALUE"""),"NEW CIBEUREUM")</f>
        <v>NEW CIBEUREUM</v>
      </c>
      <c r="H374" s="4" t="str">
        <f>IFERROR(__xludf.DUMMYFUNCTION("""COMPUTED_VALUE"""),"WTH")</f>
        <v>WTH</v>
      </c>
      <c r="I374" s="4" t="str">
        <f>IFERROR(__xludf.DUMMYFUNCTION("""COMPUTED_VALUE"""),"LBS AFN - UJUNG")</f>
        <v>LBS AFN - UJUNG</v>
      </c>
      <c r="J374" s="4" t="str">
        <f>IFERROR(__xludf.DUMMYFUNCTION("""COMPUTED_VALUE"""),"ZONA 2")</f>
        <v>ZONA 2</v>
      </c>
      <c r="K374" s="4" t="str">
        <f>IFERROR(__xludf.DUMMYFUNCTION("""COMPUTED_VALUE"""),"028")</f>
        <v>028</v>
      </c>
      <c r="L374" s="4" t="str">
        <f>IFERROR(__xludf.DUMMYFUNCTION("""COMPUTED_VALUE"""),"TM - 13B/H (Kabel Naik Pada Tiang Tumpu)")</f>
        <v>TM - 13B/H (Kabel Naik Pada Tiang Tumpu)</v>
      </c>
      <c r="M374" s="4" t="str">
        <f>IFERROR(__xludf.DUMMYFUNCTION("""COMPUTED_VALUE"""),"Gardu")</f>
        <v>Gardu</v>
      </c>
      <c r="N374" s="4" t="str">
        <f>IFERROR(__xludf.DUMMYFUNCTION("""COMPUTED_VALUE"""),"hime")</f>
        <v>hime</v>
      </c>
      <c r="O374" s="4" t="str">
        <f>IFERROR(__xludf.DUMMYFUNCTION("""COMPUTED_VALUE"""),"PEMBANDING SEJENIS")</f>
        <v>PEMBANDING SEJENIS</v>
      </c>
      <c r="P374" s="4" t="str">
        <f>IFERROR(__xludf.DUMMYFUNCTION("""COMPUTED_VALUE"""),"TERMINASI")</f>
        <v>TERMINASI</v>
      </c>
      <c r="Q374" s="4">
        <f>IFERROR(__xludf.DUMMYFUNCTION("""COMPUTED_VALUE"""),20.0)</f>
        <v>20</v>
      </c>
      <c r="R374" s="4">
        <f>IFERROR(__xludf.DUMMYFUNCTION("""COMPUTED_VALUE"""),21.0)</f>
        <v>21</v>
      </c>
      <c r="S374" s="4">
        <f>IFERROR(__xludf.DUMMYFUNCTION("""COMPUTED_VALUE"""),21.0)</f>
        <v>21</v>
      </c>
      <c r="T374" s="4"/>
      <c r="U374" s="4" t="str">
        <f>IFERROR(__xludf.DUMMYFUNCTION("""COMPUTED_VALUE"""),"BAIK")</f>
        <v>BAIK</v>
      </c>
      <c r="V374" s="4" t="str">
        <f>IFERROR(__xludf.DUMMYFUNCTION("""COMPUTED_VALUE"""),"Tidak Ada")</f>
        <v>Tidak Ada</v>
      </c>
      <c r="W374" s="4"/>
      <c r="X374" s="4"/>
      <c r="Y374" s="4"/>
      <c r="Z374" s="4"/>
      <c r="AA374" s="4"/>
      <c r="AB374" s="4"/>
      <c r="AC374" s="4" t="str">
        <f>IFERROR(__xludf.DUMMYFUNCTION("""COMPUTED_VALUE"""),"INSPEKSI SUTM - T2_Images/0f094034.FOTO.202000.jpg")</f>
        <v>INSPEKSI SUTM - T2_Images/0f094034.FOTO.202000.jpg</v>
      </c>
      <c r="AD374" s="4"/>
      <c r="AE374" s="4"/>
      <c r="AF374" s="4" t="str">
        <f>IFERROR(__xludf.DUMMYFUNCTION("""COMPUTED_VALUE"""),"BELUM")</f>
        <v>BELUM</v>
      </c>
      <c r="AG374" s="6">
        <f>IFERROR(__xludf.DUMMYFUNCTION("""COMPUTED_VALUE"""),46069.0)</f>
        <v>46069</v>
      </c>
      <c r="AH374" s="4"/>
      <c r="AI374" s="4"/>
    </row>
    <row r="375" ht="15.75" customHeight="1">
      <c r="A375" s="4" t="str">
        <f>IFERROR(__xludf.DUMMYFUNCTION("""COMPUTED_VALUE"""),"c613021d")</f>
        <v>c613021d</v>
      </c>
      <c r="B375" s="5">
        <f>IFERROR(__xludf.DUMMYFUNCTION("""COMPUTED_VALUE"""),46069.13893518518)</f>
        <v>46069.13894</v>
      </c>
      <c r="C375" s="4" t="str">
        <f>IFERROR(__xludf.DUMMYFUNCTION("""COMPUTED_VALUE"""),"-7.049623, 107.778872")</f>
        <v>-7.049623, 107.778872</v>
      </c>
      <c r="D375" s="4" t="str">
        <f>IFERROR(__xludf.DUMMYFUNCTION("""COMPUTED_VALUE"""),"fuad nufi")</f>
        <v>fuad nufi</v>
      </c>
      <c r="E375" s="4" t="str">
        <f>IFERROR(__xludf.DUMMYFUNCTION("""COMPUTED_VALUE"""),"BANDUNG")</f>
        <v>BANDUNG</v>
      </c>
      <c r="F375" s="4" t="str">
        <f>IFERROR(__xludf.DUMMYFUNCTION("""COMPUTED_VALUE"""),"KOPO")</f>
        <v>KOPO</v>
      </c>
      <c r="G375" s="4" t="str">
        <f>IFERROR(__xludf.DUMMYFUNCTION("""COMPUTED_VALUE"""),"NEW CIBEUREUM")</f>
        <v>NEW CIBEUREUM</v>
      </c>
      <c r="H375" s="4" t="str">
        <f>IFERROR(__xludf.DUMMYFUNCTION("""COMPUTED_VALUE"""),"WTH")</f>
        <v>WTH</v>
      </c>
      <c r="I375" s="4" t="str">
        <f>IFERROR(__xludf.DUMMYFUNCTION("""COMPUTED_VALUE"""),"LBS AFN - UJUNG")</f>
        <v>LBS AFN - UJUNG</v>
      </c>
      <c r="J375" s="4" t="str">
        <f>IFERROR(__xludf.DUMMYFUNCTION("""COMPUTED_VALUE"""),"ZONA 2")</f>
        <v>ZONA 2</v>
      </c>
      <c r="K375" s="4" t="str">
        <f>IFERROR(__xludf.DUMMYFUNCTION("""COMPUTED_VALUE"""),"030")</f>
        <v>030</v>
      </c>
      <c r="L375" s="4" t="str">
        <f>IFERROR(__xludf.DUMMYFUNCTION("""COMPUTED_VALUE"""),"TM - 11B/H (Kabel Naik)")</f>
        <v>TM - 11B/H (Kabel Naik)</v>
      </c>
      <c r="M375" s="4" t="str">
        <f>IFERROR(__xludf.DUMMYFUNCTION("""COMPUTED_VALUE"""),"Tidak Ada")</f>
        <v>Tidak Ada</v>
      </c>
      <c r="N375" s="4"/>
      <c r="O375" s="4" t="str">
        <f>IFERROR(__xludf.DUMMYFUNCTION("""COMPUTED_VALUE"""),"PEMBANDING SEJENIS")</f>
        <v>PEMBANDING SEJENIS</v>
      </c>
      <c r="P375" s="4" t="str">
        <f>IFERROR(__xludf.DUMMYFUNCTION("""COMPUTED_VALUE"""),"TERMINASI")</f>
        <v>TERMINASI</v>
      </c>
      <c r="Q375" s="4">
        <f>IFERROR(__xludf.DUMMYFUNCTION("""COMPUTED_VALUE"""),22.0)</f>
        <v>22</v>
      </c>
      <c r="R375" s="4">
        <f>IFERROR(__xludf.DUMMYFUNCTION("""COMPUTED_VALUE"""),22.0)</f>
        <v>22</v>
      </c>
      <c r="S375" s="4">
        <f>IFERROR(__xludf.DUMMYFUNCTION("""COMPUTED_VALUE"""),19.0)</f>
        <v>19</v>
      </c>
      <c r="T375" s="4"/>
      <c r="U375" s="4" t="str">
        <f>IFERROR(__xludf.DUMMYFUNCTION("""COMPUTED_VALUE"""),"CUKUP")</f>
        <v>CUKUP</v>
      </c>
      <c r="V375" s="4" t="str">
        <f>IFERROR(__xludf.DUMMYFUNCTION("""COMPUTED_VALUE"""),"Tidak Ada")</f>
        <v>Tidak Ada</v>
      </c>
      <c r="W375" s="4"/>
      <c r="X375" s="4"/>
      <c r="Y375" s="4"/>
      <c r="Z375" s="4"/>
      <c r="AA375" s="4"/>
      <c r="AB375" s="4"/>
      <c r="AC375" s="4" t="str">
        <f>IFERROR(__xludf.DUMMYFUNCTION("""COMPUTED_VALUE"""),"INSPEKSI SUTM - T2_Images/c613021d.FOTO.202056.jpg")</f>
        <v>INSPEKSI SUTM - T2_Images/c613021d.FOTO.202056.jpg</v>
      </c>
      <c r="AD375" s="4"/>
      <c r="AE375" s="4"/>
      <c r="AF375" s="4" t="str">
        <f>IFERROR(__xludf.DUMMYFUNCTION("""COMPUTED_VALUE"""),"BELUM")</f>
        <v>BELUM</v>
      </c>
      <c r="AG375" s="6">
        <f>IFERROR(__xludf.DUMMYFUNCTION("""COMPUTED_VALUE"""),46069.0)</f>
        <v>46069</v>
      </c>
      <c r="AH375" s="4"/>
      <c r="AI375" s="4"/>
    </row>
    <row r="376" ht="15.75" customHeight="1">
      <c r="A376" s="4" t="str">
        <f>IFERROR(__xludf.DUMMYFUNCTION("""COMPUTED_VALUE"""),"d5164707")</f>
        <v>d5164707</v>
      </c>
      <c r="B376" s="5">
        <f>IFERROR(__xludf.DUMMYFUNCTION("""COMPUTED_VALUE"""),46069.141122685185)</f>
        <v>46069.14112</v>
      </c>
      <c r="C376" s="4" t="str">
        <f>IFERROR(__xludf.DUMMYFUNCTION("""COMPUTED_VALUE"""),"-7.049623, 107.778872")</f>
        <v>-7.049623, 107.778872</v>
      </c>
      <c r="D376" s="4" t="str">
        <f>IFERROR(__xludf.DUMMYFUNCTION("""COMPUTED_VALUE"""),"fuad nufi")</f>
        <v>fuad nufi</v>
      </c>
      <c r="E376" s="4" t="str">
        <f>IFERROR(__xludf.DUMMYFUNCTION("""COMPUTED_VALUE"""),"BANDUNG")</f>
        <v>BANDUNG</v>
      </c>
      <c r="F376" s="4" t="str">
        <f>IFERROR(__xludf.DUMMYFUNCTION("""COMPUTED_VALUE"""),"KOPO")</f>
        <v>KOPO</v>
      </c>
      <c r="G376" s="4" t="str">
        <f>IFERROR(__xludf.DUMMYFUNCTION("""COMPUTED_VALUE"""),"NEW CIBEUREUM")</f>
        <v>NEW CIBEUREUM</v>
      </c>
      <c r="H376" s="4" t="str">
        <f>IFERROR(__xludf.DUMMYFUNCTION("""COMPUTED_VALUE"""),"WTH")</f>
        <v>WTH</v>
      </c>
      <c r="I376" s="4" t="str">
        <f>IFERROR(__xludf.DUMMYFUNCTION("""COMPUTED_VALUE"""),"LBS RND - UJUNG")</f>
        <v>LBS RND - UJUNG</v>
      </c>
      <c r="J376" s="4" t="str">
        <f>IFERROR(__xludf.DUMMYFUNCTION("""COMPUTED_VALUE"""),"ZONA 2")</f>
        <v>ZONA 2</v>
      </c>
      <c r="K376" s="4" t="str">
        <f>IFERROR(__xludf.DUMMYFUNCTION("""COMPUTED_VALUE"""),"006L01")</f>
        <v>006L01</v>
      </c>
      <c r="L376" s="4" t="str">
        <f>IFERROR(__xludf.DUMMYFUNCTION("""COMPUTED_VALUE"""),"TM - 16B/H (REC/SSO/LBS)")</f>
        <v>TM - 16B/H (REC/SSO/LBS)</v>
      </c>
      <c r="M376" s="4" t="str">
        <f>IFERROR(__xludf.DUMMYFUNCTION("""COMPUTED_VALUE"""),"LBS")</f>
        <v>LBS</v>
      </c>
      <c r="N376" s="4" t="str">
        <f>IFERROR(__xludf.DUMMYFUNCTION("""COMPUTED_VALUE"""),"rnd")</f>
        <v>rnd</v>
      </c>
      <c r="O376" s="4" t="str">
        <f>IFERROR(__xludf.DUMMYFUNCTION("""COMPUTED_VALUE"""),"PEMBANDING SEJENIS")</f>
        <v>PEMBANDING SEJENIS</v>
      </c>
      <c r="P376" s="4" t="str">
        <f>IFERROR(__xludf.DUMMYFUNCTION("""COMPUTED_VALUE"""),"KONEKTOR/JUMPER")</f>
        <v>KONEKTOR/JUMPER</v>
      </c>
      <c r="Q376" s="4">
        <f>IFERROR(__xludf.DUMMYFUNCTION("""COMPUTED_VALUE"""),21.0)</f>
        <v>21</v>
      </c>
      <c r="R376" s="4">
        <f>IFERROR(__xludf.DUMMYFUNCTION("""COMPUTED_VALUE"""),23.0)</f>
        <v>23</v>
      </c>
      <c r="S376" s="4">
        <f>IFERROR(__xludf.DUMMYFUNCTION("""COMPUTED_VALUE"""),22.0)</f>
        <v>22</v>
      </c>
      <c r="T376" s="4"/>
      <c r="U376" s="4" t="str">
        <f>IFERROR(__xludf.DUMMYFUNCTION("""COMPUTED_VALUE"""),"BAIK")</f>
        <v>BAIK</v>
      </c>
      <c r="V376" s="4" t="str">
        <f>IFERROR(__xludf.DUMMYFUNCTION("""COMPUTED_VALUE"""),"Tidak Ada")</f>
        <v>Tidak Ada</v>
      </c>
      <c r="W376" s="4"/>
      <c r="X376" s="4"/>
      <c r="Y376" s="4"/>
      <c r="Z376" s="4"/>
      <c r="AA376" s="4"/>
      <c r="AB376" s="4"/>
      <c r="AC376" s="4" t="str">
        <f>IFERROR(__xludf.DUMMYFUNCTION("""COMPUTED_VALUE"""),"INSPEKSI SUTM - T2_Images/d5164707.FOTO.202406.jpg")</f>
        <v>INSPEKSI SUTM - T2_Images/d5164707.FOTO.202406.jpg</v>
      </c>
      <c r="AD376" s="4"/>
      <c r="AE376" s="4"/>
      <c r="AF376" s="4" t="str">
        <f>IFERROR(__xludf.DUMMYFUNCTION("""COMPUTED_VALUE"""),"BELUM")</f>
        <v>BELUM</v>
      </c>
      <c r="AG376" s="6">
        <f>IFERROR(__xludf.DUMMYFUNCTION("""COMPUTED_VALUE"""),46069.0)</f>
        <v>46069</v>
      </c>
      <c r="AH376" s="4"/>
      <c r="AI376" s="4"/>
    </row>
    <row r="377" ht="15.75" customHeight="1">
      <c r="A377" s="4" t="str">
        <f>IFERROR(__xludf.DUMMYFUNCTION("""COMPUTED_VALUE"""),"58fde65f")</f>
        <v>58fde65f</v>
      </c>
      <c r="B377" s="5">
        <f>IFERROR(__xludf.DUMMYFUNCTION("""COMPUTED_VALUE"""),46069.14175925926)</f>
        <v>46069.14176</v>
      </c>
      <c r="C377" s="4" t="str">
        <f>IFERROR(__xludf.DUMMYFUNCTION("""COMPUTED_VALUE"""),"-7.049623, 107.778872")</f>
        <v>-7.049623, 107.778872</v>
      </c>
      <c r="D377" s="4" t="str">
        <f>IFERROR(__xludf.DUMMYFUNCTION("""COMPUTED_VALUE"""),"fuad nugi")</f>
        <v>fuad nugi</v>
      </c>
      <c r="E377" s="4" t="str">
        <f>IFERROR(__xludf.DUMMYFUNCTION("""COMPUTED_VALUE"""),"BANDUNG")</f>
        <v>BANDUNG</v>
      </c>
      <c r="F377" s="4" t="str">
        <f>IFERROR(__xludf.DUMMYFUNCTION("""COMPUTED_VALUE"""),"KOPO")</f>
        <v>KOPO</v>
      </c>
      <c r="G377" s="4" t="str">
        <f>IFERROR(__xludf.DUMMYFUNCTION("""COMPUTED_VALUE"""),"NEW CIBEUREUM")</f>
        <v>NEW CIBEUREUM</v>
      </c>
      <c r="H377" s="4" t="str">
        <f>IFERROR(__xludf.DUMMYFUNCTION("""COMPUTED_VALUE"""),"WTH")</f>
        <v>WTH</v>
      </c>
      <c r="I377" s="4" t="str">
        <f>IFERROR(__xludf.DUMMYFUNCTION("""COMPUTED_VALUE"""),"LBS RND - UJUNG")</f>
        <v>LBS RND - UJUNG</v>
      </c>
      <c r="J377" s="4" t="str">
        <f>IFERROR(__xludf.DUMMYFUNCTION("""COMPUTED_VALUE"""),"ZONA 2")</f>
        <v>ZONA 2</v>
      </c>
      <c r="K377" s="4" t="str">
        <f>IFERROR(__xludf.DUMMYFUNCTION("""COMPUTED_VALUE"""),"006L02")</f>
        <v>006L02</v>
      </c>
      <c r="L377" s="4" t="str">
        <f>IFERROR(__xludf.DUMMYFUNCTION("""COMPUTED_VALUE"""),"TM - 1B/H (Tumpu)")</f>
        <v>TM - 1B/H (Tumpu)</v>
      </c>
      <c r="M377" s="4" t="str">
        <f>IFERROR(__xludf.DUMMYFUNCTION("""COMPUTED_VALUE"""),"Tidak Ada")</f>
        <v>Tidak Ada</v>
      </c>
      <c r="N377" s="4"/>
      <c r="O377" s="4" t="str">
        <f>IFERROR(__xludf.DUMMYFUNCTION("""COMPUTED_VALUE"""),"PEMBANDING SEJENIS")</f>
        <v>PEMBANDING SEJENIS</v>
      </c>
      <c r="P377" s="4" t="str">
        <f>IFERROR(__xludf.DUMMYFUNCTION("""COMPUTED_VALUE"""),"ARRESTER")</f>
        <v>ARRESTER</v>
      </c>
      <c r="Q377" s="4">
        <f>IFERROR(__xludf.DUMMYFUNCTION("""COMPUTED_VALUE"""),24.0)</f>
        <v>24</v>
      </c>
      <c r="R377" s="4">
        <f>IFERROR(__xludf.DUMMYFUNCTION("""COMPUTED_VALUE"""),23.0)</f>
        <v>23</v>
      </c>
      <c r="S377" s="4">
        <f>IFERROR(__xludf.DUMMYFUNCTION("""COMPUTED_VALUE"""),23.0)</f>
        <v>23</v>
      </c>
      <c r="T377" s="4"/>
      <c r="U377" s="4" t="str">
        <f>IFERROR(__xludf.DUMMYFUNCTION("""COMPUTED_VALUE"""),"BAIK")</f>
        <v>BAIK</v>
      </c>
      <c r="V377" s="4" t="str">
        <f>IFERROR(__xludf.DUMMYFUNCTION("""COMPUTED_VALUE"""),"Tidak Ada")</f>
        <v>Tidak Ada</v>
      </c>
      <c r="W377" s="4"/>
      <c r="X377" s="4"/>
      <c r="Y377" s="4"/>
      <c r="Z377" s="4"/>
      <c r="AA377" s="4"/>
      <c r="AB377" s="4"/>
      <c r="AC377" s="4" t="str">
        <f>IFERROR(__xludf.DUMMYFUNCTION("""COMPUTED_VALUE"""),"INSPEKSI SUTM - T2_Images/58fde65f.FOTO.202510.jpg")</f>
        <v>INSPEKSI SUTM - T2_Images/58fde65f.FOTO.202510.jpg</v>
      </c>
      <c r="AD377" s="4"/>
      <c r="AE377" s="4"/>
      <c r="AF377" s="4" t="str">
        <f>IFERROR(__xludf.DUMMYFUNCTION("""COMPUTED_VALUE"""),"BELUM")</f>
        <v>BELUM</v>
      </c>
      <c r="AG377" s="6">
        <f>IFERROR(__xludf.DUMMYFUNCTION("""COMPUTED_VALUE"""),46069.0)</f>
        <v>46069</v>
      </c>
      <c r="AH377" s="4"/>
      <c r="AI377" s="4"/>
    </row>
    <row r="378" ht="15.75" customHeight="1">
      <c r="A378" s="4" t="str">
        <f>IFERROR(__xludf.DUMMYFUNCTION("""COMPUTED_VALUE"""),"982c70cc")</f>
        <v>982c70cc</v>
      </c>
      <c r="B378" s="5">
        <f>IFERROR(__xludf.DUMMYFUNCTION("""COMPUTED_VALUE"""),46069.14251157407)</f>
        <v>46069.14251</v>
      </c>
      <c r="C378" s="4" t="str">
        <f>IFERROR(__xludf.DUMMYFUNCTION("""COMPUTED_VALUE"""),"-7.049623, 107.778872")</f>
        <v>-7.049623, 107.778872</v>
      </c>
      <c r="D378" s="4" t="str">
        <f>IFERROR(__xludf.DUMMYFUNCTION("""COMPUTED_VALUE"""),"fuad nugi")</f>
        <v>fuad nugi</v>
      </c>
      <c r="E378" s="4" t="str">
        <f>IFERROR(__xludf.DUMMYFUNCTION("""COMPUTED_VALUE"""),"BANDUNG")</f>
        <v>BANDUNG</v>
      </c>
      <c r="F378" s="4" t="str">
        <f>IFERROR(__xludf.DUMMYFUNCTION("""COMPUTED_VALUE"""),"KOPO")</f>
        <v>KOPO</v>
      </c>
      <c r="G378" s="4" t="str">
        <f>IFERROR(__xludf.DUMMYFUNCTION("""COMPUTED_VALUE"""),"NEW CIBEUREUM")</f>
        <v>NEW CIBEUREUM</v>
      </c>
      <c r="H378" s="4" t="str">
        <f>IFERROR(__xludf.DUMMYFUNCTION("""COMPUTED_VALUE"""),"WTH")</f>
        <v>WTH</v>
      </c>
      <c r="I378" s="4" t="str">
        <f>IFERROR(__xludf.DUMMYFUNCTION("""COMPUTED_VALUE"""),"LBS RND - UJUNG")</f>
        <v>LBS RND - UJUNG</v>
      </c>
      <c r="J378" s="4" t="str">
        <f>IFERROR(__xludf.DUMMYFUNCTION("""COMPUTED_VALUE"""),"ZONA 2")</f>
        <v>ZONA 2</v>
      </c>
      <c r="K378" s="4" t="str">
        <f>IFERROR(__xludf.DUMMYFUNCTION("""COMPUTED_VALUE"""),"006L03")</f>
        <v>006L03</v>
      </c>
      <c r="L378" s="4" t="str">
        <f>IFERROR(__xludf.DUMMYFUNCTION("""COMPUTED_VALUE"""),"TM - 13B/H (Kabel Naik Pada Tiang Tumpu)")</f>
        <v>TM - 13B/H (Kabel Naik Pada Tiang Tumpu)</v>
      </c>
      <c r="M378" s="4" t="str">
        <f>IFERROR(__xludf.DUMMYFUNCTION("""COMPUTED_VALUE"""),"Tidak Ada")</f>
        <v>Tidak Ada</v>
      </c>
      <c r="N378" s="4"/>
      <c r="O378" s="4" t="str">
        <f>IFERROR(__xludf.DUMMYFUNCTION("""COMPUTED_VALUE"""),"PEMBANDING SEJENIS")</f>
        <v>PEMBANDING SEJENIS</v>
      </c>
      <c r="P378" s="4" t="str">
        <f>IFERROR(__xludf.DUMMYFUNCTION("""COMPUTED_VALUE"""),"TERMINASI")</f>
        <v>TERMINASI</v>
      </c>
      <c r="Q378" s="4">
        <f>IFERROR(__xludf.DUMMYFUNCTION("""COMPUTED_VALUE"""),22.0)</f>
        <v>22</v>
      </c>
      <c r="R378" s="4">
        <f>IFERROR(__xludf.DUMMYFUNCTION("""COMPUTED_VALUE"""),20.0)</f>
        <v>20</v>
      </c>
      <c r="S378" s="4">
        <f>IFERROR(__xludf.DUMMYFUNCTION("""COMPUTED_VALUE"""),24.0)</f>
        <v>24</v>
      </c>
      <c r="T378" s="4"/>
      <c r="U378" s="4" t="str">
        <f>IFERROR(__xludf.DUMMYFUNCTION("""COMPUTED_VALUE"""),"CUKUP")</f>
        <v>CUKUP</v>
      </c>
      <c r="V378" s="4" t="str">
        <f>IFERROR(__xludf.DUMMYFUNCTION("""COMPUTED_VALUE"""),"Tidak Ada")</f>
        <v>Tidak Ada</v>
      </c>
      <c r="W378" s="4"/>
      <c r="X378" s="4"/>
      <c r="Y378" s="4"/>
      <c r="Z378" s="4"/>
      <c r="AA378" s="4"/>
      <c r="AB378" s="4"/>
      <c r="AC378" s="4" t="str">
        <f>IFERROR(__xludf.DUMMYFUNCTION("""COMPUTED_VALUE"""),"INSPEKSI SUTM - T2_Images/982c70cc.FOTO.202633.jpg")</f>
        <v>INSPEKSI SUTM - T2_Images/982c70cc.FOTO.202633.jpg</v>
      </c>
      <c r="AD378" s="4"/>
      <c r="AE378" s="4"/>
      <c r="AF378" s="4" t="str">
        <f>IFERROR(__xludf.DUMMYFUNCTION("""COMPUTED_VALUE"""),"BELUM")</f>
        <v>BELUM</v>
      </c>
      <c r="AG378" s="6">
        <f>IFERROR(__xludf.DUMMYFUNCTION("""COMPUTED_VALUE"""),46069.0)</f>
        <v>46069</v>
      </c>
      <c r="AH378" s="4"/>
      <c r="AI378" s="4"/>
    </row>
    <row r="379" ht="15.75" customHeight="1">
      <c r="A379" s="4" t="str">
        <f>IFERROR(__xludf.DUMMYFUNCTION("""COMPUTED_VALUE"""),"dd5ddbf2")</f>
        <v>dd5ddbf2</v>
      </c>
      <c r="B379" s="5">
        <f>IFERROR(__xludf.DUMMYFUNCTION("""COMPUTED_VALUE"""),46069.143530092595)</f>
        <v>46069.14353</v>
      </c>
      <c r="C379" s="4" t="str">
        <f>IFERROR(__xludf.DUMMYFUNCTION("""COMPUTED_VALUE"""),"-7.049623, 107.778872")</f>
        <v>-7.049623, 107.778872</v>
      </c>
      <c r="D379" s="4" t="str">
        <f>IFERROR(__xludf.DUMMYFUNCTION("""COMPUTED_VALUE"""),"fuad nugi")</f>
        <v>fuad nugi</v>
      </c>
      <c r="E379" s="4" t="str">
        <f>IFERROR(__xludf.DUMMYFUNCTION("""COMPUTED_VALUE"""),"BANDUNG")</f>
        <v>BANDUNG</v>
      </c>
      <c r="F379" s="4" t="str">
        <f>IFERROR(__xludf.DUMMYFUNCTION("""COMPUTED_VALUE"""),"KOPO")</f>
        <v>KOPO</v>
      </c>
      <c r="G379" s="4" t="str">
        <f>IFERROR(__xludf.DUMMYFUNCTION("""COMPUTED_VALUE"""),"NEW CIBEUREUM")</f>
        <v>NEW CIBEUREUM</v>
      </c>
      <c r="H379" s="4" t="str">
        <f>IFERROR(__xludf.DUMMYFUNCTION("""COMPUTED_VALUE"""),"WTH")</f>
        <v>WTH</v>
      </c>
      <c r="I379" s="4" t="str">
        <f>IFERROR(__xludf.DUMMYFUNCTION("""COMPUTED_VALUE"""),"LBS RND - UJUNG")</f>
        <v>LBS RND - UJUNG</v>
      </c>
      <c r="J379" s="4" t="str">
        <f>IFERROR(__xludf.DUMMYFUNCTION("""COMPUTED_VALUE"""),"ZONA 2")</f>
        <v>ZONA 2</v>
      </c>
      <c r="K379" s="4" t="str">
        <f>IFERROR(__xludf.DUMMYFUNCTION("""COMPUTED_VALUE"""),"006L04")</f>
        <v>006L04</v>
      </c>
      <c r="L379" s="4" t="str">
        <f>IFERROR(__xludf.DUMMYFUNCTION("""COMPUTED_VALUE"""),"TM - 8B/H (Percabangan)")</f>
        <v>TM - 8B/H (Percabangan)</v>
      </c>
      <c r="M379" s="4" t="str">
        <f>IFERROR(__xludf.DUMMYFUNCTION("""COMPUTED_VALUE"""),"Tidak Ada")</f>
        <v>Tidak Ada</v>
      </c>
      <c r="N379" s="4"/>
      <c r="O379" s="4" t="str">
        <f>IFERROR(__xludf.DUMMYFUNCTION("""COMPUTED_VALUE"""),"PEMBANDING SEJENIS")</f>
        <v>PEMBANDING SEJENIS</v>
      </c>
      <c r="P379" s="4" t="str">
        <f>IFERROR(__xludf.DUMMYFUNCTION("""COMPUTED_VALUE"""),"KONEKTOR/JUMPER")</f>
        <v>KONEKTOR/JUMPER</v>
      </c>
      <c r="Q379" s="4">
        <f>IFERROR(__xludf.DUMMYFUNCTION("""COMPUTED_VALUE"""),22.0)</f>
        <v>22</v>
      </c>
      <c r="R379" s="4">
        <f>IFERROR(__xludf.DUMMYFUNCTION("""COMPUTED_VALUE"""),22.0)</f>
        <v>22</v>
      </c>
      <c r="S379" s="4">
        <f>IFERROR(__xludf.DUMMYFUNCTION("""COMPUTED_VALUE"""),22.0)</f>
        <v>22</v>
      </c>
      <c r="T379" s="4"/>
      <c r="U379" s="4" t="str">
        <f>IFERROR(__xludf.DUMMYFUNCTION("""COMPUTED_VALUE"""),"BAIK")</f>
        <v>BAIK</v>
      </c>
      <c r="V379" s="4" t="str">
        <f>IFERROR(__xludf.DUMMYFUNCTION("""COMPUTED_VALUE"""),"Tidak Ada")</f>
        <v>Tidak Ada</v>
      </c>
      <c r="W379" s="4"/>
      <c r="X379" s="4"/>
      <c r="Y379" s="4"/>
      <c r="Z379" s="4"/>
      <c r="AA379" s="4"/>
      <c r="AB379" s="4"/>
      <c r="AC379" s="4" t="str">
        <f>IFERROR(__xludf.DUMMYFUNCTION("""COMPUTED_VALUE"""),"INSPEKSI SUTM - T2_Images/dd5ddbf2.FOTO.202723.jpg")</f>
        <v>INSPEKSI SUTM - T2_Images/dd5ddbf2.FOTO.202723.jpg</v>
      </c>
      <c r="AD379" s="4"/>
      <c r="AE379" s="4"/>
      <c r="AF379" s="4" t="str">
        <f>IFERROR(__xludf.DUMMYFUNCTION("""COMPUTED_VALUE"""),"BELUM")</f>
        <v>BELUM</v>
      </c>
      <c r="AG379" s="6">
        <f>IFERROR(__xludf.DUMMYFUNCTION("""COMPUTED_VALUE"""),46069.0)</f>
        <v>46069</v>
      </c>
      <c r="AH379" s="4"/>
      <c r="AI379" s="4"/>
    </row>
    <row r="380" ht="15.75" customHeight="1">
      <c r="A380" s="4" t="str">
        <f>IFERROR(__xludf.DUMMYFUNCTION("""COMPUTED_VALUE"""),"a58414ab")</f>
        <v>a58414ab</v>
      </c>
      <c r="B380" s="5">
        <f>IFERROR(__xludf.DUMMYFUNCTION("""COMPUTED_VALUE"""),46069.144108796296)</f>
        <v>46069.14411</v>
      </c>
      <c r="C380" s="4" t="str">
        <f>IFERROR(__xludf.DUMMYFUNCTION("""COMPUTED_VALUE"""),"-7.049645, 107.778814")</f>
        <v>-7.049645, 107.778814</v>
      </c>
      <c r="D380" s="4" t="str">
        <f>IFERROR(__xludf.DUMMYFUNCTION("""COMPUTED_VALUE"""),"fuad nugi")</f>
        <v>fuad nugi</v>
      </c>
      <c r="E380" s="4" t="str">
        <f>IFERROR(__xludf.DUMMYFUNCTION("""COMPUTED_VALUE"""),"BANDUNG")</f>
        <v>BANDUNG</v>
      </c>
      <c r="F380" s="4" t="str">
        <f>IFERROR(__xludf.DUMMYFUNCTION("""COMPUTED_VALUE"""),"KOPO")</f>
        <v>KOPO</v>
      </c>
      <c r="G380" s="4" t="str">
        <f>IFERROR(__xludf.DUMMYFUNCTION("""COMPUTED_VALUE"""),"NEW CIBEUREUM")</f>
        <v>NEW CIBEUREUM</v>
      </c>
      <c r="H380" s="4" t="str">
        <f>IFERROR(__xludf.DUMMYFUNCTION("""COMPUTED_VALUE"""),"WTH")</f>
        <v>WTH</v>
      </c>
      <c r="I380" s="4" t="str">
        <f>IFERROR(__xludf.DUMMYFUNCTION("""COMPUTED_VALUE"""),"LBS RND - UJUNG")</f>
        <v>LBS RND - UJUNG</v>
      </c>
      <c r="J380" s="4" t="str">
        <f>IFERROR(__xludf.DUMMYFUNCTION("""COMPUTED_VALUE"""),"ZONA 2")</f>
        <v>ZONA 2</v>
      </c>
      <c r="K380" s="4" t="str">
        <f>IFERROR(__xludf.DUMMYFUNCTION("""COMPUTED_VALUE"""),"006L06")</f>
        <v>006L06</v>
      </c>
      <c r="L380" s="4" t="str">
        <f>IFERROR(__xludf.DUMMYFUNCTION("""COMPUTED_VALUE"""),"TM - 7B/H (Afspan 90 Derajat)")</f>
        <v>TM - 7B/H (Afspan 90 Derajat)</v>
      </c>
      <c r="M380" s="4" t="str">
        <f>IFERROR(__xludf.DUMMYFUNCTION("""COMPUTED_VALUE"""),"Tidak Ada")</f>
        <v>Tidak Ada</v>
      </c>
      <c r="N380" s="4"/>
      <c r="O380" s="4" t="str">
        <f>IFERROR(__xludf.DUMMYFUNCTION("""COMPUTED_VALUE"""),"PEMBANDING SEJENIS")</f>
        <v>PEMBANDING SEJENIS</v>
      </c>
      <c r="P380" s="4" t="str">
        <f>IFERROR(__xludf.DUMMYFUNCTION("""COMPUTED_VALUE"""),"KONEKTOR/JUMPER")</f>
        <v>KONEKTOR/JUMPER</v>
      </c>
      <c r="Q380" s="4">
        <f>IFERROR(__xludf.DUMMYFUNCTION("""COMPUTED_VALUE"""),22.0)</f>
        <v>22</v>
      </c>
      <c r="R380" s="4">
        <f>IFERROR(__xludf.DUMMYFUNCTION("""COMPUTED_VALUE"""),22.0)</f>
        <v>22</v>
      </c>
      <c r="S380" s="4">
        <f>IFERROR(__xludf.DUMMYFUNCTION("""COMPUTED_VALUE"""),20.0)</f>
        <v>20</v>
      </c>
      <c r="T380" s="4"/>
      <c r="U380" s="4" t="str">
        <f>IFERROR(__xludf.DUMMYFUNCTION("""COMPUTED_VALUE"""),"BAIK")</f>
        <v>BAIK</v>
      </c>
      <c r="V380" s="4" t="str">
        <f>IFERROR(__xludf.DUMMYFUNCTION("""COMPUTED_VALUE"""),"Tidak Ada")</f>
        <v>Tidak Ada</v>
      </c>
      <c r="W380" s="4"/>
      <c r="X380" s="4"/>
      <c r="Y380" s="4"/>
      <c r="Z380" s="4"/>
      <c r="AA380" s="4"/>
      <c r="AB380" s="4"/>
      <c r="AC380" s="4" t="str">
        <f>IFERROR(__xludf.DUMMYFUNCTION("""COMPUTED_VALUE"""),"INSPEKSI SUTM - T2_Images/a58414ab.FOTO.202832.jpg")</f>
        <v>INSPEKSI SUTM - T2_Images/a58414ab.FOTO.202832.jpg</v>
      </c>
      <c r="AD380" s="4"/>
      <c r="AE380" s="4"/>
      <c r="AF380" s="4" t="str">
        <f>IFERROR(__xludf.DUMMYFUNCTION("""COMPUTED_VALUE"""),"BELUM")</f>
        <v>BELUM</v>
      </c>
      <c r="AG380" s="6">
        <f>IFERROR(__xludf.DUMMYFUNCTION("""COMPUTED_VALUE"""),46069.0)</f>
        <v>46069</v>
      </c>
      <c r="AH380" s="4"/>
      <c r="AI380" s="4"/>
    </row>
    <row r="381" ht="15.75" customHeight="1">
      <c r="A381" s="4" t="str">
        <f>IFERROR(__xludf.DUMMYFUNCTION("""COMPUTED_VALUE"""),"4908403e")</f>
        <v>4908403e</v>
      </c>
      <c r="B381" s="5">
        <f>IFERROR(__xludf.DUMMYFUNCTION("""COMPUTED_VALUE"""),46069.1453125)</f>
        <v>46069.14531</v>
      </c>
      <c r="C381" s="4" t="str">
        <f>IFERROR(__xludf.DUMMYFUNCTION("""COMPUTED_VALUE"""),"-7.049645, 107.778814")</f>
        <v>-7.049645, 107.778814</v>
      </c>
      <c r="D381" s="4" t="str">
        <f>IFERROR(__xludf.DUMMYFUNCTION("""COMPUTED_VALUE"""),"fuad nugi")</f>
        <v>fuad nugi</v>
      </c>
      <c r="E381" s="4" t="str">
        <f>IFERROR(__xludf.DUMMYFUNCTION("""COMPUTED_VALUE"""),"BANDUNG")</f>
        <v>BANDUNG</v>
      </c>
      <c r="F381" s="4" t="str">
        <f>IFERROR(__xludf.DUMMYFUNCTION("""COMPUTED_VALUE"""),"KOPO")</f>
        <v>KOPO</v>
      </c>
      <c r="G381" s="4" t="str">
        <f>IFERROR(__xludf.DUMMYFUNCTION("""COMPUTED_VALUE"""),"NEW CIBEUREUM")</f>
        <v>NEW CIBEUREUM</v>
      </c>
      <c r="H381" s="4" t="str">
        <f>IFERROR(__xludf.DUMMYFUNCTION("""COMPUTED_VALUE"""),"WTH")</f>
        <v>WTH</v>
      </c>
      <c r="I381" s="4" t="str">
        <f>IFERROR(__xludf.DUMMYFUNCTION("""COMPUTED_VALUE"""),"LBS RND - UJUNG")</f>
        <v>LBS RND - UJUNG</v>
      </c>
      <c r="J381" s="4" t="str">
        <f>IFERROR(__xludf.DUMMYFUNCTION("""COMPUTED_VALUE"""),"ZONA 2")</f>
        <v>ZONA 2</v>
      </c>
      <c r="K381" s="4" t="str">
        <f>IFERROR(__xludf.DUMMYFUNCTION("""COMPUTED_VALUE"""),"006L07")</f>
        <v>006L07</v>
      </c>
      <c r="L381" s="4" t="str">
        <f>IFERROR(__xludf.DUMMYFUNCTION("""COMPUTED_VALUE"""),"TM - 8B/H (Percabangan)")</f>
        <v>TM - 8B/H (Percabangan)</v>
      </c>
      <c r="M381" s="4" t="str">
        <f>IFERROR(__xludf.DUMMYFUNCTION("""COMPUTED_VALUE"""),"Tidak Ada")</f>
        <v>Tidak Ada</v>
      </c>
      <c r="N381" s="4"/>
      <c r="O381" s="4" t="str">
        <f>IFERROR(__xludf.DUMMYFUNCTION("""COMPUTED_VALUE"""),"PEMBANDING SEJENIS")</f>
        <v>PEMBANDING SEJENIS</v>
      </c>
      <c r="P381" s="4" t="str">
        <f>IFERROR(__xludf.DUMMYFUNCTION("""COMPUTED_VALUE"""),"KONEKTOR/JUMPER")</f>
        <v>KONEKTOR/JUMPER</v>
      </c>
      <c r="Q381" s="4">
        <f>IFERROR(__xludf.DUMMYFUNCTION("""COMPUTED_VALUE"""),20.0)</f>
        <v>20</v>
      </c>
      <c r="R381" s="4">
        <f>IFERROR(__xludf.DUMMYFUNCTION("""COMPUTED_VALUE"""),20.0)</f>
        <v>20</v>
      </c>
      <c r="S381" s="4">
        <f>IFERROR(__xludf.DUMMYFUNCTION("""COMPUTED_VALUE"""),20.0)</f>
        <v>20</v>
      </c>
      <c r="T381" s="4"/>
      <c r="U381" s="4" t="str">
        <f>IFERROR(__xludf.DUMMYFUNCTION("""COMPUTED_VALUE"""),"BAIK")</f>
        <v>BAIK</v>
      </c>
      <c r="V381" s="4" t="str">
        <f>IFERROR(__xludf.DUMMYFUNCTION("""COMPUTED_VALUE"""),"Tidak Ada")</f>
        <v>Tidak Ada</v>
      </c>
      <c r="W381" s="4"/>
      <c r="X381" s="4"/>
      <c r="Y381" s="4"/>
      <c r="Z381" s="4"/>
      <c r="AA381" s="4"/>
      <c r="AB381" s="4"/>
      <c r="AC381" s="4" t="str">
        <f>IFERROR(__xludf.DUMMYFUNCTION("""COMPUTED_VALUE"""),"INSPEKSI SUTM - T2_Images/4908403e.FOTO.202953.jpg")</f>
        <v>INSPEKSI SUTM - T2_Images/4908403e.FOTO.202953.jpg</v>
      </c>
      <c r="AD381" s="4"/>
      <c r="AE381" s="4"/>
      <c r="AF381" s="4" t="str">
        <f>IFERROR(__xludf.DUMMYFUNCTION("""COMPUTED_VALUE"""),"BELUM")</f>
        <v>BELUM</v>
      </c>
      <c r="AG381" s="6">
        <f>IFERROR(__xludf.DUMMYFUNCTION("""COMPUTED_VALUE"""),46069.0)</f>
        <v>46069</v>
      </c>
      <c r="AH381" s="4"/>
      <c r="AI381" s="4"/>
    </row>
    <row r="382" ht="15.75" customHeight="1">
      <c r="A382" s="4" t="str">
        <f>IFERROR(__xludf.DUMMYFUNCTION("""COMPUTED_VALUE"""),"9fba1833")</f>
        <v>9fba1833</v>
      </c>
      <c r="B382" s="5">
        <f>IFERROR(__xludf.DUMMYFUNCTION("""COMPUTED_VALUE"""),46069.14577546297)</f>
        <v>46069.14578</v>
      </c>
      <c r="C382" s="4" t="str">
        <f>IFERROR(__xludf.DUMMYFUNCTION("""COMPUTED_VALUE"""),"-7.049605, 107.778874")</f>
        <v>-7.049605, 107.778874</v>
      </c>
      <c r="D382" s="4" t="str">
        <f>IFERROR(__xludf.DUMMYFUNCTION("""COMPUTED_VALUE"""),"fuad nugi")</f>
        <v>fuad nugi</v>
      </c>
      <c r="E382" s="4" t="str">
        <f>IFERROR(__xludf.DUMMYFUNCTION("""COMPUTED_VALUE"""),"BANDUNG")</f>
        <v>BANDUNG</v>
      </c>
      <c r="F382" s="4" t="str">
        <f>IFERROR(__xludf.DUMMYFUNCTION("""COMPUTED_VALUE"""),"KOPO")</f>
        <v>KOPO</v>
      </c>
      <c r="G382" s="4" t="str">
        <f>IFERROR(__xludf.DUMMYFUNCTION("""COMPUTED_VALUE"""),"NEW CIBEUREUM")</f>
        <v>NEW CIBEUREUM</v>
      </c>
      <c r="H382" s="4" t="str">
        <f>IFERROR(__xludf.DUMMYFUNCTION("""COMPUTED_VALUE"""),"WTH")</f>
        <v>WTH</v>
      </c>
      <c r="I382" s="4" t="str">
        <f>IFERROR(__xludf.DUMMYFUNCTION("""COMPUTED_VALUE"""),"LBS RND - UJUNG")</f>
        <v>LBS RND - UJUNG</v>
      </c>
      <c r="J382" s="4" t="str">
        <f>IFERROR(__xludf.DUMMYFUNCTION("""COMPUTED_VALUE"""),"ZONA 2")</f>
        <v>ZONA 2</v>
      </c>
      <c r="K382" s="4" t="str">
        <f>IFERROR(__xludf.DUMMYFUNCTION("""COMPUTED_VALUE"""),"006L07R01")</f>
        <v>006L07R01</v>
      </c>
      <c r="L382" s="4" t="str">
        <f>IFERROR(__xludf.DUMMYFUNCTION("""COMPUTED_VALUE"""),"TM - 7B/H (Afspan 90 Derajat)")</f>
        <v>TM - 7B/H (Afspan 90 Derajat)</v>
      </c>
      <c r="M382" s="4" t="str">
        <f>IFERROR(__xludf.DUMMYFUNCTION("""COMPUTED_VALUE"""),"Tidak Ada")</f>
        <v>Tidak Ada</v>
      </c>
      <c r="N382" s="4"/>
      <c r="O382" s="4" t="str">
        <f>IFERROR(__xludf.DUMMYFUNCTION("""COMPUTED_VALUE"""),"PEMBANDING SEJENIS")</f>
        <v>PEMBANDING SEJENIS</v>
      </c>
      <c r="P382" s="4" t="str">
        <f>IFERROR(__xludf.DUMMYFUNCTION("""COMPUTED_VALUE"""),"KONEKTOR/JUMPER")</f>
        <v>KONEKTOR/JUMPER</v>
      </c>
      <c r="Q382" s="4">
        <f>IFERROR(__xludf.DUMMYFUNCTION("""COMPUTED_VALUE"""),21.0)</f>
        <v>21</v>
      </c>
      <c r="R382" s="4">
        <f>IFERROR(__xludf.DUMMYFUNCTION("""COMPUTED_VALUE"""),21.0)</f>
        <v>21</v>
      </c>
      <c r="S382" s="4">
        <f>IFERROR(__xludf.DUMMYFUNCTION("""COMPUTED_VALUE"""),21.0)</f>
        <v>21</v>
      </c>
      <c r="T382" s="4"/>
      <c r="U382" s="4" t="str">
        <f>IFERROR(__xludf.DUMMYFUNCTION("""COMPUTED_VALUE"""),"BAIK")</f>
        <v>BAIK</v>
      </c>
      <c r="V382" s="4" t="str">
        <f>IFERROR(__xludf.DUMMYFUNCTION("""COMPUTED_VALUE"""),"Tidak Ada")</f>
        <v>Tidak Ada</v>
      </c>
      <c r="W382" s="4"/>
      <c r="X382" s="4"/>
      <c r="Y382" s="4"/>
      <c r="Z382" s="4"/>
      <c r="AA382" s="4"/>
      <c r="AB382" s="4"/>
      <c r="AC382" s="4" t="str">
        <f>IFERROR(__xludf.DUMMYFUNCTION("""COMPUTED_VALUE"""),"INSPEKSI SUTM - T2_Images/9fba1833.FOTO.203059.jpg")</f>
        <v>INSPEKSI SUTM - T2_Images/9fba1833.FOTO.203059.jpg</v>
      </c>
      <c r="AD382" s="4"/>
      <c r="AE382" s="4"/>
      <c r="AF382" s="4" t="str">
        <f>IFERROR(__xludf.DUMMYFUNCTION("""COMPUTED_VALUE"""),"BELUM")</f>
        <v>BELUM</v>
      </c>
      <c r="AG382" s="6">
        <f>IFERROR(__xludf.DUMMYFUNCTION("""COMPUTED_VALUE"""),46069.0)</f>
        <v>46069</v>
      </c>
      <c r="AH382" s="4"/>
      <c r="AI382" s="4"/>
    </row>
    <row r="383" ht="15.75" customHeight="1">
      <c r="A383" s="4" t="str">
        <f>IFERROR(__xludf.DUMMYFUNCTION("""COMPUTED_VALUE"""),"570cdabe")</f>
        <v>570cdabe</v>
      </c>
      <c r="B383" s="5">
        <f>IFERROR(__xludf.DUMMYFUNCTION("""COMPUTED_VALUE"""),46069.1465625)</f>
        <v>46069.14656</v>
      </c>
      <c r="C383" s="4" t="str">
        <f>IFERROR(__xludf.DUMMYFUNCTION("""COMPUTED_VALUE"""),"-7.049605, 107.778874")</f>
        <v>-7.049605, 107.778874</v>
      </c>
      <c r="D383" s="4" t="str">
        <f>IFERROR(__xludf.DUMMYFUNCTION("""COMPUTED_VALUE"""),"fuad nugi")</f>
        <v>fuad nugi</v>
      </c>
      <c r="E383" s="4" t="str">
        <f>IFERROR(__xludf.DUMMYFUNCTION("""COMPUTED_VALUE"""),"BANDUNG")</f>
        <v>BANDUNG</v>
      </c>
      <c r="F383" s="4" t="str">
        <f>IFERROR(__xludf.DUMMYFUNCTION("""COMPUTED_VALUE"""),"KOPO")</f>
        <v>KOPO</v>
      </c>
      <c r="G383" s="4" t="str">
        <f>IFERROR(__xludf.DUMMYFUNCTION("""COMPUTED_VALUE"""),"NEW CIBEUREUM")</f>
        <v>NEW CIBEUREUM</v>
      </c>
      <c r="H383" s="4" t="str">
        <f>IFERROR(__xludf.DUMMYFUNCTION("""COMPUTED_VALUE"""),"WTH")</f>
        <v>WTH</v>
      </c>
      <c r="I383" s="4" t="str">
        <f>IFERROR(__xludf.DUMMYFUNCTION("""COMPUTED_VALUE"""),"LBS RND - UJUNG")</f>
        <v>LBS RND - UJUNG</v>
      </c>
      <c r="J383" s="4" t="str">
        <f>IFERROR(__xludf.DUMMYFUNCTION("""COMPUTED_VALUE"""),"ZONA 2")</f>
        <v>ZONA 2</v>
      </c>
      <c r="K383" s="4" t="str">
        <f>IFERROR(__xludf.DUMMYFUNCTION("""COMPUTED_VALUE"""),"006L10")</f>
        <v>006L10</v>
      </c>
      <c r="L383" s="4" t="str">
        <f>IFERROR(__xludf.DUMMYFUNCTION("""COMPUTED_VALUE"""),"TM - 4B/H (Afspan)")</f>
        <v>TM - 4B/H (Afspan)</v>
      </c>
      <c r="M383" s="4" t="str">
        <f>IFERROR(__xludf.DUMMYFUNCTION("""COMPUTED_VALUE"""),"Tidak Ada")</f>
        <v>Tidak Ada</v>
      </c>
      <c r="N383" s="4"/>
      <c r="O383" s="4" t="str">
        <f>IFERROR(__xludf.DUMMYFUNCTION("""COMPUTED_VALUE"""),"PEMBANDING SEJENIS")</f>
        <v>PEMBANDING SEJENIS</v>
      </c>
      <c r="P383" s="4" t="str">
        <f>IFERROR(__xludf.DUMMYFUNCTION("""COMPUTED_VALUE"""),"KONEKTOR/JUMPER")</f>
        <v>KONEKTOR/JUMPER</v>
      </c>
      <c r="Q383" s="4">
        <f>IFERROR(__xludf.DUMMYFUNCTION("""COMPUTED_VALUE"""),19.0)</f>
        <v>19</v>
      </c>
      <c r="R383" s="4">
        <f>IFERROR(__xludf.DUMMYFUNCTION("""COMPUTED_VALUE"""),19.0)</f>
        <v>19</v>
      </c>
      <c r="S383" s="4">
        <f>IFERROR(__xludf.DUMMYFUNCTION("""COMPUTED_VALUE"""),20.0)</f>
        <v>20</v>
      </c>
      <c r="T383" s="4"/>
      <c r="U383" s="4" t="str">
        <f>IFERROR(__xludf.DUMMYFUNCTION("""COMPUTED_VALUE"""),"BAIK")</f>
        <v>BAIK</v>
      </c>
      <c r="V383" s="4" t="str">
        <f>IFERROR(__xludf.DUMMYFUNCTION("""COMPUTED_VALUE"""),"Tidak Ada")</f>
        <v>Tidak Ada</v>
      </c>
      <c r="W383" s="4"/>
      <c r="X383" s="4"/>
      <c r="Y383" s="4"/>
      <c r="Z383" s="4"/>
      <c r="AA383" s="4"/>
      <c r="AB383" s="4"/>
      <c r="AC383" s="4" t="str">
        <f>IFERROR(__xludf.DUMMYFUNCTION("""COMPUTED_VALUE"""),"INSPEKSI SUTM - T2_Images/570cdabe.FOTO.203155.jpg")</f>
        <v>INSPEKSI SUTM - T2_Images/570cdabe.FOTO.203155.jpg</v>
      </c>
      <c r="AD383" s="4"/>
      <c r="AE383" s="4"/>
      <c r="AF383" s="4" t="str">
        <f>IFERROR(__xludf.DUMMYFUNCTION("""COMPUTED_VALUE"""),"BELUM")</f>
        <v>BELUM</v>
      </c>
      <c r="AG383" s="6">
        <f>IFERROR(__xludf.DUMMYFUNCTION("""COMPUTED_VALUE"""),46069.0)</f>
        <v>46069</v>
      </c>
      <c r="AH383" s="4"/>
      <c r="AI383" s="4"/>
    </row>
    <row r="384" ht="15.75" customHeight="1">
      <c r="A384" s="4" t="str">
        <f>IFERROR(__xludf.DUMMYFUNCTION("""COMPUTED_VALUE"""),"bb2397e4")</f>
        <v>bb2397e4</v>
      </c>
      <c r="B384" s="5">
        <f>IFERROR(__xludf.DUMMYFUNCTION("""COMPUTED_VALUE"""),46069.14722222222)</f>
        <v>46069.14722</v>
      </c>
      <c r="C384" s="4" t="str">
        <f>IFERROR(__xludf.DUMMYFUNCTION("""COMPUTED_VALUE"""),"-7.049605, 107.778874")</f>
        <v>-7.049605, 107.778874</v>
      </c>
      <c r="D384" s="4" t="str">
        <f>IFERROR(__xludf.DUMMYFUNCTION("""COMPUTED_VALUE"""),"fuad nugu")</f>
        <v>fuad nugu</v>
      </c>
      <c r="E384" s="4" t="str">
        <f>IFERROR(__xludf.DUMMYFUNCTION("""COMPUTED_VALUE"""),"BANDUNG")</f>
        <v>BANDUNG</v>
      </c>
      <c r="F384" s="4" t="str">
        <f>IFERROR(__xludf.DUMMYFUNCTION("""COMPUTED_VALUE"""),"KOPO")</f>
        <v>KOPO</v>
      </c>
      <c r="G384" s="4" t="str">
        <f>IFERROR(__xludf.DUMMYFUNCTION("""COMPUTED_VALUE"""),"NEW CIBEUREUM")</f>
        <v>NEW CIBEUREUM</v>
      </c>
      <c r="H384" s="4" t="str">
        <f>IFERROR(__xludf.DUMMYFUNCTION("""COMPUTED_VALUE"""),"WTH")</f>
        <v>WTH</v>
      </c>
      <c r="I384" s="4" t="str">
        <f>IFERROR(__xludf.DUMMYFUNCTION("""COMPUTED_VALUE"""),"LBS RND - UJUNG")</f>
        <v>LBS RND - UJUNG</v>
      </c>
      <c r="J384" s="4" t="str">
        <f>IFERROR(__xludf.DUMMYFUNCTION("""COMPUTED_VALUE"""),"ZONA 2")</f>
        <v>ZONA 2</v>
      </c>
      <c r="K384" s="4" t="str">
        <f>IFERROR(__xludf.DUMMYFUNCTION("""COMPUTED_VALUE"""),"006L11")</f>
        <v>006L11</v>
      </c>
      <c r="L384" s="4" t="str">
        <f>IFERROR(__xludf.DUMMYFUNCTION("""COMPUTED_VALUE"""),"TM - 8B/H (Percabangan)")</f>
        <v>TM - 8B/H (Percabangan)</v>
      </c>
      <c r="M384" s="4" t="str">
        <f>IFERROR(__xludf.DUMMYFUNCTION("""COMPUTED_VALUE"""),"Tidak Ada")</f>
        <v>Tidak Ada</v>
      </c>
      <c r="N384" s="4"/>
      <c r="O384" s="4" t="str">
        <f>IFERROR(__xludf.DUMMYFUNCTION("""COMPUTED_VALUE"""),"PEMBANDING SEJENIS")</f>
        <v>PEMBANDING SEJENIS</v>
      </c>
      <c r="P384" s="4" t="str">
        <f>IFERROR(__xludf.DUMMYFUNCTION("""COMPUTED_VALUE"""),"KONEKTOR/JUMPER")</f>
        <v>KONEKTOR/JUMPER</v>
      </c>
      <c r="Q384" s="4">
        <f>IFERROR(__xludf.DUMMYFUNCTION("""COMPUTED_VALUE"""),18.0)</f>
        <v>18</v>
      </c>
      <c r="R384" s="4">
        <f>IFERROR(__xludf.DUMMYFUNCTION("""COMPUTED_VALUE"""),18.0)</f>
        <v>18</v>
      </c>
      <c r="S384" s="4">
        <f>IFERROR(__xludf.DUMMYFUNCTION("""COMPUTED_VALUE"""),16.0)</f>
        <v>16</v>
      </c>
      <c r="T384" s="4"/>
      <c r="U384" s="4" t="str">
        <f>IFERROR(__xludf.DUMMYFUNCTION("""COMPUTED_VALUE"""),"BAIK")</f>
        <v>BAIK</v>
      </c>
      <c r="V384" s="4" t="str">
        <f>IFERROR(__xludf.DUMMYFUNCTION("""COMPUTED_VALUE"""),"Tidak Ada")</f>
        <v>Tidak Ada</v>
      </c>
      <c r="W384" s="4"/>
      <c r="X384" s="4"/>
      <c r="Y384" s="4"/>
      <c r="Z384" s="4"/>
      <c r="AA384" s="4"/>
      <c r="AB384" s="4"/>
      <c r="AC384" s="4" t="str">
        <f>IFERROR(__xludf.DUMMYFUNCTION("""COMPUTED_VALUE"""),"INSPEKSI SUTM - T2_Images/bb2397e4.FOTO.203243.jpg")</f>
        <v>INSPEKSI SUTM - T2_Images/bb2397e4.FOTO.203243.jpg</v>
      </c>
      <c r="AD384" s="4"/>
      <c r="AE384" s="4"/>
      <c r="AF384" s="4" t="str">
        <f>IFERROR(__xludf.DUMMYFUNCTION("""COMPUTED_VALUE"""),"BELUM")</f>
        <v>BELUM</v>
      </c>
      <c r="AG384" s="6">
        <f>IFERROR(__xludf.DUMMYFUNCTION("""COMPUTED_VALUE"""),46069.0)</f>
        <v>46069</v>
      </c>
      <c r="AH384" s="4"/>
      <c r="AI384" s="4"/>
    </row>
    <row r="385" ht="15.75" customHeight="1">
      <c r="A385" s="4" t="str">
        <f>IFERROR(__xludf.DUMMYFUNCTION("""COMPUTED_VALUE"""),"dbaa3843")</f>
        <v>dbaa3843</v>
      </c>
      <c r="B385" s="5">
        <f>IFERROR(__xludf.DUMMYFUNCTION("""COMPUTED_VALUE"""),46069.14776620371)</f>
        <v>46069.14777</v>
      </c>
      <c r="C385" s="4" t="str">
        <f>IFERROR(__xludf.DUMMYFUNCTION("""COMPUTED_VALUE"""),"-7.049560, 107.778877")</f>
        <v>-7.049560, 107.778877</v>
      </c>
      <c r="D385" s="4" t="str">
        <f>IFERROR(__xludf.DUMMYFUNCTION("""COMPUTED_VALUE"""),"fyad nugi")</f>
        <v>fyad nugi</v>
      </c>
      <c r="E385" s="4" t="str">
        <f>IFERROR(__xludf.DUMMYFUNCTION("""COMPUTED_VALUE"""),"BANDUNG")</f>
        <v>BANDUNG</v>
      </c>
      <c r="F385" s="4" t="str">
        <f>IFERROR(__xludf.DUMMYFUNCTION("""COMPUTED_VALUE"""),"KOPO")</f>
        <v>KOPO</v>
      </c>
      <c r="G385" s="4" t="str">
        <f>IFERROR(__xludf.DUMMYFUNCTION("""COMPUTED_VALUE"""),"NEW CIBEUREUM")</f>
        <v>NEW CIBEUREUM</v>
      </c>
      <c r="H385" s="4" t="str">
        <f>IFERROR(__xludf.DUMMYFUNCTION("""COMPUTED_VALUE"""),"WTH")</f>
        <v>WTH</v>
      </c>
      <c r="I385" s="4" t="str">
        <f>IFERROR(__xludf.DUMMYFUNCTION("""COMPUTED_VALUE"""),"LBS RND - UJUNG")</f>
        <v>LBS RND - UJUNG</v>
      </c>
      <c r="J385" s="4" t="str">
        <f>IFERROR(__xludf.DUMMYFUNCTION("""COMPUTED_VALUE"""),"ZONA 2")</f>
        <v>ZONA 2</v>
      </c>
      <c r="K385" s="4" t="str">
        <f>IFERROR(__xludf.DUMMYFUNCTION("""COMPUTED_VALUE"""),"006L13")</f>
        <v>006L13</v>
      </c>
      <c r="L385" s="4" t="str">
        <f>IFERROR(__xludf.DUMMYFUNCTION("""COMPUTED_VALUE"""),"TM - 14B/H (Akhir)")</f>
        <v>TM - 14B/H (Akhir)</v>
      </c>
      <c r="M385" s="4" t="str">
        <f>IFERROR(__xludf.DUMMYFUNCTION("""COMPUTED_VALUE"""),"Tidak Ada")</f>
        <v>Tidak Ada</v>
      </c>
      <c r="N385" s="4"/>
      <c r="O385" s="4" t="str">
        <f>IFERROR(__xludf.DUMMYFUNCTION("""COMPUTED_VALUE"""),"PEMBANDING SEJENIS")</f>
        <v>PEMBANDING SEJENIS</v>
      </c>
      <c r="P385" s="4" t="str">
        <f>IFERROR(__xludf.DUMMYFUNCTION("""COMPUTED_VALUE"""),"TERMINASI")</f>
        <v>TERMINASI</v>
      </c>
      <c r="Q385" s="4">
        <f>IFERROR(__xludf.DUMMYFUNCTION("""COMPUTED_VALUE"""),20.0)</f>
        <v>20</v>
      </c>
      <c r="R385" s="4">
        <f>IFERROR(__xludf.DUMMYFUNCTION("""COMPUTED_VALUE"""),20.0)</f>
        <v>20</v>
      </c>
      <c r="S385" s="4">
        <f>IFERROR(__xludf.DUMMYFUNCTION("""COMPUTED_VALUE"""),22.0)</f>
        <v>22</v>
      </c>
      <c r="T385" s="4"/>
      <c r="U385" s="4" t="str">
        <f>IFERROR(__xludf.DUMMYFUNCTION("""COMPUTED_VALUE"""),"BAIK")</f>
        <v>BAIK</v>
      </c>
      <c r="V385" s="4" t="str">
        <f>IFERROR(__xludf.DUMMYFUNCTION("""COMPUTED_VALUE"""),"Tidak Ada")</f>
        <v>Tidak Ada</v>
      </c>
      <c r="W385" s="4"/>
      <c r="X385" s="4"/>
      <c r="Y385" s="4"/>
      <c r="Z385" s="4"/>
      <c r="AA385" s="4"/>
      <c r="AB385" s="4"/>
      <c r="AC385" s="4" t="str">
        <f>IFERROR(__xludf.DUMMYFUNCTION("""COMPUTED_VALUE"""),"INSPEKSI SUTM - T2_Images/dbaa3843.FOTO.203410.jpg")</f>
        <v>INSPEKSI SUTM - T2_Images/dbaa3843.FOTO.203410.jpg</v>
      </c>
      <c r="AD385" s="4"/>
      <c r="AE385" s="4"/>
      <c r="AF385" s="4" t="str">
        <f>IFERROR(__xludf.DUMMYFUNCTION("""COMPUTED_VALUE"""),"BELUM")</f>
        <v>BELUM</v>
      </c>
      <c r="AG385" s="6">
        <f>IFERROR(__xludf.DUMMYFUNCTION("""COMPUTED_VALUE"""),46069.0)</f>
        <v>46069</v>
      </c>
      <c r="AH385" s="4"/>
      <c r="AI385" s="4"/>
    </row>
    <row r="386" ht="15.75" customHeight="1">
      <c r="A386" s="4" t="str">
        <f>IFERROR(__xludf.DUMMYFUNCTION("""COMPUTED_VALUE"""),"655c6fb5")</f>
        <v>655c6fb5</v>
      </c>
      <c r="B386" s="5">
        <f>IFERROR(__xludf.DUMMYFUNCTION("""COMPUTED_VALUE"""),46069.148993055554)</f>
        <v>46069.14899</v>
      </c>
      <c r="C386" s="4" t="str">
        <f>IFERROR(__xludf.DUMMYFUNCTION("""COMPUTED_VALUE"""),"-7.049560, 107.778877")</f>
        <v>-7.049560, 107.778877</v>
      </c>
      <c r="D386" s="4" t="str">
        <f>IFERROR(__xludf.DUMMYFUNCTION("""COMPUTED_VALUE"""),"fuad nugi")</f>
        <v>fuad nugi</v>
      </c>
      <c r="E386" s="4" t="str">
        <f>IFERROR(__xludf.DUMMYFUNCTION("""COMPUTED_VALUE"""),"BANDUNG")</f>
        <v>BANDUNG</v>
      </c>
      <c r="F386" s="4" t="str">
        <f>IFERROR(__xludf.DUMMYFUNCTION("""COMPUTED_VALUE"""),"KOPO")</f>
        <v>KOPO</v>
      </c>
      <c r="G386" s="4" t="str">
        <f>IFERROR(__xludf.DUMMYFUNCTION("""COMPUTED_VALUE"""),"NEW CIBEUREUM")</f>
        <v>NEW CIBEUREUM</v>
      </c>
      <c r="H386" s="4" t="str">
        <f>IFERROR(__xludf.DUMMYFUNCTION("""COMPUTED_VALUE"""),"WTH")</f>
        <v>WTH</v>
      </c>
      <c r="I386" s="4" t="str">
        <f>IFERROR(__xludf.DUMMYFUNCTION("""COMPUTED_VALUE"""),"LBS RND - UJUNG")</f>
        <v>LBS RND - UJUNG</v>
      </c>
      <c r="J386" s="4" t="str">
        <f>IFERROR(__xludf.DUMMYFUNCTION("""COMPUTED_VALUE"""),"ZONA 2")</f>
        <v>ZONA 2</v>
      </c>
      <c r="K386" s="4" t="str">
        <f>IFERROR(__xludf.DUMMYFUNCTION("""COMPUTED_VALUE"""),"006L14")</f>
        <v>006L14</v>
      </c>
      <c r="L386" s="4" t="str">
        <f>IFERROR(__xludf.DUMMYFUNCTION("""COMPUTED_VALUE"""),"TM - 11B/H (Kabel Naik)")</f>
        <v>TM - 11B/H (Kabel Naik)</v>
      </c>
      <c r="M386" s="4" t="str">
        <f>IFERROR(__xludf.DUMMYFUNCTION("""COMPUTED_VALUE"""),"Tidak Ada")</f>
        <v>Tidak Ada</v>
      </c>
      <c r="N386" s="4"/>
      <c r="O386" s="4" t="str">
        <f>IFERROR(__xludf.DUMMYFUNCTION("""COMPUTED_VALUE"""),"PEMBANDING SEJENIS")</f>
        <v>PEMBANDING SEJENIS</v>
      </c>
      <c r="P386" s="4" t="str">
        <f>IFERROR(__xludf.DUMMYFUNCTION("""COMPUTED_VALUE"""),"KONEKTOR/JUMPER")</f>
        <v>KONEKTOR/JUMPER</v>
      </c>
      <c r="Q386" s="4">
        <f>IFERROR(__xludf.DUMMYFUNCTION("""COMPUTED_VALUE"""),20.0)</f>
        <v>20</v>
      </c>
      <c r="R386" s="4">
        <f>IFERROR(__xludf.DUMMYFUNCTION("""COMPUTED_VALUE"""),21.0)</f>
        <v>21</v>
      </c>
      <c r="S386" s="4">
        <f>IFERROR(__xludf.DUMMYFUNCTION("""COMPUTED_VALUE"""),21.0)</f>
        <v>21</v>
      </c>
      <c r="T386" s="4"/>
      <c r="U386" s="4" t="str">
        <f>IFERROR(__xludf.DUMMYFUNCTION("""COMPUTED_VALUE"""),"BAIK")</f>
        <v>BAIK</v>
      </c>
      <c r="V386" s="4" t="str">
        <f>IFERROR(__xludf.DUMMYFUNCTION("""COMPUTED_VALUE"""),"Tidak Ada")</f>
        <v>Tidak Ada</v>
      </c>
      <c r="W386" s="4"/>
      <c r="X386" s="4"/>
      <c r="Y386" s="4"/>
      <c r="Z386" s="4"/>
      <c r="AA386" s="4"/>
      <c r="AB386" s="4"/>
      <c r="AC386" s="4" t="str">
        <f>IFERROR(__xludf.DUMMYFUNCTION("""COMPUTED_VALUE"""),"INSPEKSI SUTM - T2_Images/655c6fb5.FOTO.203529.jpg")</f>
        <v>INSPEKSI SUTM - T2_Images/655c6fb5.FOTO.203529.jpg</v>
      </c>
      <c r="AD386" s="4"/>
      <c r="AE386" s="4"/>
      <c r="AF386" s="4" t="str">
        <f>IFERROR(__xludf.DUMMYFUNCTION("""COMPUTED_VALUE"""),"BELUM")</f>
        <v>BELUM</v>
      </c>
      <c r="AG386" s="6">
        <f>IFERROR(__xludf.DUMMYFUNCTION("""COMPUTED_VALUE"""),46069.0)</f>
        <v>46069</v>
      </c>
      <c r="AH386" s="4"/>
      <c r="AI386" s="4"/>
    </row>
    <row r="387" ht="15.75" customHeight="1">
      <c r="A387" s="4" t="str">
        <f>IFERROR(__xludf.DUMMYFUNCTION("""COMPUTED_VALUE"""),"1bdc9019")</f>
        <v>1bdc9019</v>
      </c>
      <c r="B387" s="5">
        <f>IFERROR(__xludf.DUMMYFUNCTION("""COMPUTED_VALUE"""),46069.149675925924)</f>
        <v>46069.14968</v>
      </c>
      <c r="C387" s="4" t="str">
        <f>IFERROR(__xludf.DUMMYFUNCTION("""COMPUTED_VALUE"""),"-7.049560, 107.778877")</f>
        <v>-7.049560, 107.778877</v>
      </c>
      <c r="D387" s="4" t="str">
        <f>IFERROR(__xludf.DUMMYFUNCTION("""COMPUTED_VALUE"""),"fuad nugi")</f>
        <v>fuad nugi</v>
      </c>
      <c r="E387" s="4" t="str">
        <f>IFERROR(__xludf.DUMMYFUNCTION("""COMPUTED_VALUE"""),"BANDUNG")</f>
        <v>BANDUNG</v>
      </c>
      <c r="F387" s="4" t="str">
        <f>IFERROR(__xludf.DUMMYFUNCTION("""COMPUTED_VALUE"""),"KOPO")</f>
        <v>KOPO</v>
      </c>
      <c r="G387" s="4" t="str">
        <f>IFERROR(__xludf.DUMMYFUNCTION("""COMPUTED_VALUE"""),"NEW CIBEUREUM")</f>
        <v>NEW CIBEUREUM</v>
      </c>
      <c r="H387" s="4" t="str">
        <f>IFERROR(__xludf.DUMMYFUNCTION("""COMPUTED_VALUE"""),"WTH")</f>
        <v>WTH</v>
      </c>
      <c r="I387" s="4" t="str">
        <f>IFERROR(__xludf.DUMMYFUNCTION("""COMPUTED_VALUE"""),"LBS RND - UJUNG")</f>
        <v>LBS RND - UJUNG</v>
      </c>
      <c r="J387" s="4" t="str">
        <f>IFERROR(__xludf.DUMMYFUNCTION("""COMPUTED_VALUE"""),"ZONA 2")</f>
        <v>ZONA 2</v>
      </c>
      <c r="K387" s="4" t="str">
        <f>IFERROR(__xludf.DUMMYFUNCTION("""COMPUTED_VALUE"""),"006L14R02")</f>
        <v>006L14R02</v>
      </c>
      <c r="L387" s="4" t="str">
        <f>IFERROR(__xludf.DUMMYFUNCTION("""COMPUTED_VALUE"""),"TM - 8B/H (Percabangan)")</f>
        <v>TM - 8B/H (Percabangan)</v>
      </c>
      <c r="M387" s="4" t="str">
        <f>IFERROR(__xludf.DUMMYFUNCTION("""COMPUTED_VALUE"""),"Tidak Ada")</f>
        <v>Tidak Ada</v>
      </c>
      <c r="N387" s="4"/>
      <c r="O387" s="4" t="str">
        <f>IFERROR(__xludf.DUMMYFUNCTION("""COMPUTED_VALUE"""),"PEMBANDING SEJENIS")</f>
        <v>PEMBANDING SEJENIS</v>
      </c>
      <c r="P387" s="4" t="str">
        <f>IFERROR(__xludf.DUMMYFUNCTION("""COMPUTED_VALUE"""),"KONEKTOR/JUMPER")</f>
        <v>KONEKTOR/JUMPER</v>
      </c>
      <c r="Q387" s="4">
        <f>IFERROR(__xludf.DUMMYFUNCTION("""COMPUTED_VALUE"""),21.0)</f>
        <v>21</v>
      </c>
      <c r="R387" s="4">
        <f>IFERROR(__xludf.DUMMYFUNCTION("""COMPUTED_VALUE"""),21.0)</f>
        <v>21</v>
      </c>
      <c r="S387" s="4">
        <f>IFERROR(__xludf.DUMMYFUNCTION("""COMPUTED_VALUE"""),21.0)</f>
        <v>21</v>
      </c>
      <c r="T387" s="4"/>
      <c r="U387" s="4" t="str">
        <f>IFERROR(__xludf.DUMMYFUNCTION("""COMPUTED_VALUE"""),"BAIK")</f>
        <v>BAIK</v>
      </c>
      <c r="V387" s="4" t="str">
        <f>IFERROR(__xludf.DUMMYFUNCTION("""COMPUTED_VALUE"""),"Tidak Ada")</f>
        <v>Tidak Ada</v>
      </c>
      <c r="W387" s="4"/>
      <c r="X387" s="4"/>
      <c r="Y387" s="4"/>
      <c r="Z387" s="4"/>
      <c r="AA387" s="4"/>
      <c r="AB387" s="4"/>
      <c r="AC387" s="4" t="str">
        <f>IFERROR(__xludf.DUMMYFUNCTION("""COMPUTED_VALUE"""),"INSPEKSI SUTM - T2_Images/1bdc9019.FOTO.203611.jpg")</f>
        <v>INSPEKSI SUTM - T2_Images/1bdc9019.FOTO.203611.jpg</v>
      </c>
      <c r="AD387" s="4"/>
      <c r="AE387" s="4"/>
      <c r="AF387" s="4" t="str">
        <f>IFERROR(__xludf.DUMMYFUNCTION("""COMPUTED_VALUE"""),"BELUM")</f>
        <v>BELUM</v>
      </c>
      <c r="AG387" s="6">
        <f>IFERROR(__xludf.DUMMYFUNCTION("""COMPUTED_VALUE"""),46069.0)</f>
        <v>46069</v>
      </c>
      <c r="AH387" s="4"/>
      <c r="AI387" s="4"/>
    </row>
    <row r="388" ht="15.75" customHeight="1">
      <c r="A388" s="4" t="str">
        <f>IFERROR(__xludf.DUMMYFUNCTION("""COMPUTED_VALUE"""),"23cf735b")</f>
        <v>23cf735b</v>
      </c>
      <c r="B388" s="5">
        <f>IFERROR(__xludf.DUMMYFUNCTION("""COMPUTED_VALUE"""),46069.150196759256)</f>
        <v>46069.1502</v>
      </c>
      <c r="C388" s="4" t="str">
        <f>IFERROR(__xludf.DUMMYFUNCTION("""COMPUTED_VALUE"""),"-7.049525, 107.778879")</f>
        <v>-7.049525, 107.778879</v>
      </c>
      <c r="D388" s="4" t="str">
        <f>IFERROR(__xludf.DUMMYFUNCTION("""COMPUTED_VALUE"""),"fuad nugi")</f>
        <v>fuad nugi</v>
      </c>
      <c r="E388" s="4" t="str">
        <f>IFERROR(__xludf.DUMMYFUNCTION("""COMPUTED_VALUE"""),"BANDUNG")</f>
        <v>BANDUNG</v>
      </c>
      <c r="F388" s="4" t="str">
        <f>IFERROR(__xludf.DUMMYFUNCTION("""COMPUTED_VALUE"""),"KOPO")</f>
        <v>KOPO</v>
      </c>
      <c r="G388" s="4" t="str">
        <f>IFERROR(__xludf.DUMMYFUNCTION("""COMPUTED_VALUE"""),"NEW CIBEUREUM")</f>
        <v>NEW CIBEUREUM</v>
      </c>
      <c r="H388" s="4" t="str">
        <f>IFERROR(__xludf.DUMMYFUNCTION("""COMPUTED_VALUE"""),"WTH")</f>
        <v>WTH</v>
      </c>
      <c r="I388" s="4" t="str">
        <f>IFERROR(__xludf.DUMMYFUNCTION("""COMPUTED_VALUE"""),"LBS RND - UJUNG")</f>
        <v>LBS RND - UJUNG</v>
      </c>
      <c r="J388" s="4" t="str">
        <f>IFERROR(__xludf.DUMMYFUNCTION("""COMPUTED_VALUE"""),"ZONA 2")</f>
        <v>ZONA 2</v>
      </c>
      <c r="K388" s="4" t="str">
        <f>IFERROR(__xludf.DUMMYFUNCTION("""COMPUTED_VALUE"""),"006L14R07")</f>
        <v>006L14R07</v>
      </c>
      <c r="L388" s="4" t="str">
        <f>IFERROR(__xludf.DUMMYFUNCTION("""COMPUTED_VALUE"""),"TM - 4B/H (Afspan)")</f>
        <v>TM - 4B/H (Afspan)</v>
      </c>
      <c r="M388" s="4" t="str">
        <f>IFERROR(__xludf.DUMMYFUNCTION("""COMPUTED_VALUE"""),"Tidak Ada")</f>
        <v>Tidak Ada</v>
      </c>
      <c r="N388" s="4"/>
      <c r="O388" s="4" t="str">
        <f>IFERROR(__xludf.DUMMYFUNCTION("""COMPUTED_VALUE"""),"PEMBANDING SEJENIS")</f>
        <v>PEMBANDING SEJENIS</v>
      </c>
      <c r="P388" s="4" t="str">
        <f>IFERROR(__xludf.DUMMYFUNCTION("""COMPUTED_VALUE"""),"KONEKTOR/JUMPER")</f>
        <v>KONEKTOR/JUMPER</v>
      </c>
      <c r="Q388" s="4">
        <f>IFERROR(__xludf.DUMMYFUNCTION("""COMPUTED_VALUE"""),18.0)</f>
        <v>18</v>
      </c>
      <c r="R388" s="4">
        <f>IFERROR(__xludf.DUMMYFUNCTION("""COMPUTED_VALUE"""),18.0)</f>
        <v>18</v>
      </c>
      <c r="S388" s="4">
        <f>IFERROR(__xludf.DUMMYFUNCTION("""COMPUTED_VALUE"""),18.0)</f>
        <v>18</v>
      </c>
      <c r="T388" s="4"/>
      <c r="U388" s="4" t="str">
        <f>IFERROR(__xludf.DUMMYFUNCTION("""COMPUTED_VALUE"""),"BAIK")</f>
        <v>BAIK</v>
      </c>
      <c r="V388" s="4" t="str">
        <f>IFERROR(__xludf.DUMMYFUNCTION("""COMPUTED_VALUE"""),"Tidak Ada")</f>
        <v>Tidak Ada</v>
      </c>
      <c r="W388" s="4"/>
      <c r="X388" s="4"/>
      <c r="Y388" s="4"/>
      <c r="Z388" s="4"/>
      <c r="AA388" s="4"/>
      <c r="AB388" s="4"/>
      <c r="AC388" s="4" t="str">
        <f>IFERROR(__xludf.DUMMYFUNCTION("""COMPUTED_VALUE"""),"INSPEKSI SUTM - T2_Images/23cf735b.FOTO.203658.jpg")</f>
        <v>INSPEKSI SUTM - T2_Images/23cf735b.FOTO.203658.jpg</v>
      </c>
      <c r="AD388" s="4"/>
      <c r="AE388" s="4"/>
      <c r="AF388" s="4" t="str">
        <f>IFERROR(__xludf.DUMMYFUNCTION("""COMPUTED_VALUE"""),"BELUM")</f>
        <v>BELUM</v>
      </c>
      <c r="AG388" s="6">
        <f>IFERROR(__xludf.DUMMYFUNCTION("""COMPUTED_VALUE"""),46069.0)</f>
        <v>46069</v>
      </c>
      <c r="AH388" s="4"/>
      <c r="AI388" s="4"/>
    </row>
    <row r="389" ht="15.75" customHeight="1">
      <c r="A389" s="4" t="str">
        <f>IFERROR(__xludf.DUMMYFUNCTION("""COMPUTED_VALUE"""),"3c1fc3d2")</f>
        <v>3c1fc3d2</v>
      </c>
      <c r="B389" s="5">
        <f>IFERROR(__xludf.DUMMYFUNCTION("""COMPUTED_VALUE"""),46069.15070601852)</f>
        <v>46069.15071</v>
      </c>
      <c r="C389" s="4" t="str">
        <f>IFERROR(__xludf.DUMMYFUNCTION("""COMPUTED_VALUE"""),"-7.049525, 107.778879")</f>
        <v>-7.049525, 107.778879</v>
      </c>
      <c r="D389" s="4" t="str">
        <f>IFERROR(__xludf.DUMMYFUNCTION("""COMPUTED_VALUE"""),"fuad nugi")</f>
        <v>fuad nugi</v>
      </c>
      <c r="E389" s="4" t="str">
        <f>IFERROR(__xludf.DUMMYFUNCTION("""COMPUTED_VALUE"""),"BANDUNG")</f>
        <v>BANDUNG</v>
      </c>
      <c r="F389" s="4" t="str">
        <f>IFERROR(__xludf.DUMMYFUNCTION("""COMPUTED_VALUE"""),"KOPO")</f>
        <v>KOPO</v>
      </c>
      <c r="G389" s="4" t="str">
        <f>IFERROR(__xludf.DUMMYFUNCTION("""COMPUTED_VALUE"""),"NEW CIBEUREUM")</f>
        <v>NEW CIBEUREUM</v>
      </c>
      <c r="H389" s="4" t="str">
        <f>IFERROR(__xludf.DUMMYFUNCTION("""COMPUTED_VALUE"""),"WTH")</f>
        <v>WTH</v>
      </c>
      <c r="I389" s="4" t="str">
        <f>IFERROR(__xludf.DUMMYFUNCTION("""COMPUTED_VALUE"""),"LBS RND - UJUNG")</f>
        <v>LBS RND - UJUNG</v>
      </c>
      <c r="J389" s="4" t="str">
        <f>IFERROR(__xludf.DUMMYFUNCTION("""COMPUTED_VALUE"""),"ZONA 2")</f>
        <v>ZONA 2</v>
      </c>
      <c r="K389" s="4" t="str">
        <f>IFERROR(__xludf.DUMMYFUNCTION("""COMPUTED_VALUE"""),"006L15")</f>
        <v>006L15</v>
      </c>
      <c r="L389" s="4" t="str">
        <f>IFERROR(__xludf.DUMMYFUNCTION("""COMPUTED_VALUE"""),"TM - 11B/H (Kabel Naik)")</f>
        <v>TM - 11B/H (Kabel Naik)</v>
      </c>
      <c r="M389" s="4" t="str">
        <f>IFERROR(__xludf.DUMMYFUNCTION("""COMPUTED_VALUE"""),"Tidak Ada")</f>
        <v>Tidak Ada</v>
      </c>
      <c r="N389" s="4"/>
      <c r="O389" s="4" t="str">
        <f>IFERROR(__xludf.DUMMYFUNCTION("""COMPUTED_VALUE"""),"PEMBANDING SEJENIS")</f>
        <v>PEMBANDING SEJENIS</v>
      </c>
      <c r="P389" s="4" t="str">
        <f>IFERROR(__xludf.DUMMYFUNCTION("""COMPUTED_VALUE"""),"TERMINASI")</f>
        <v>TERMINASI</v>
      </c>
      <c r="Q389" s="4">
        <f>IFERROR(__xludf.DUMMYFUNCTION("""COMPUTED_VALUE"""),21.0)</f>
        <v>21</v>
      </c>
      <c r="R389" s="4">
        <f>IFERROR(__xludf.DUMMYFUNCTION("""COMPUTED_VALUE"""),20.0)</f>
        <v>20</v>
      </c>
      <c r="S389" s="4">
        <f>IFERROR(__xludf.DUMMYFUNCTION("""COMPUTED_VALUE"""),20.0)</f>
        <v>20</v>
      </c>
      <c r="T389" s="4"/>
      <c r="U389" s="4" t="str">
        <f>IFERROR(__xludf.DUMMYFUNCTION("""COMPUTED_VALUE"""),"BAIK")</f>
        <v>BAIK</v>
      </c>
      <c r="V389" s="4" t="str">
        <f>IFERROR(__xludf.DUMMYFUNCTION("""COMPUTED_VALUE"""),"Tidak Ada")</f>
        <v>Tidak Ada</v>
      </c>
      <c r="W389" s="4"/>
      <c r="X389" s="4"/>
      <c r="Y389" s="4"/>
      <c r="Z389" s="4"/>
      <c r="AA389" s="4"/>
      <c r="AB389" s="4"/>
      <c r="AC389" s="4" t="str">
        <f>IFERROR(__xludf.DUMMYFUNCTION("""COMPUTED_VALUE"""),"INSPEKSI SUTM - T2_Images/3c1fc3d2.FOTO.203822.jpg")</f>
        <v>INSPEKSI SUTM - T2_Images/3c1fc3d2.FOTO.203822.jpg</v>
      </c>
      <c r="AD389" s="4"/>
      <c r="AE389" s="4"/>
      <c r="AF389" s="4" t="str">
        <f>IFERROR(__xludf.DUMMYFUNCTION("""COMPUTED_VALUE"""),"BELUM")</f>
        <v>BELUM</v>
      </c>
      <c r="AG389" s="6">
        <f>IFERROR(__xludf.DUMMYFUNCTION("""COMPUTED_VALUE"""),46069.0)</f>
        <v>46069</v>
      </c>
      <c r="AH389" s="4"/>
      <c r="AI389" s="4"/>
    </row>
    <row r="390" ht="15.75" customHeight="1">
      <c r="A390" s="4" t="str">
        <f>IFERROR(__xludf.DUMMYFUNCTION("""COMPUTED_VALUE"""),"477630a8")</f>
        <v>477630a8</v>
      </c>
      <c r="B390" s="5">
        <f>IFERROR(__xludf.DUMMYFUNCTION("""COMPUTED_VALUE"""),46069.15224537037)</f>
        <v>46069.15225</v>
      </c>
      <c r="C390" s="4" t="str">
        <f>IFERROR(__xludf.DUMMYFUNCTION("""COMPUTED_VALUE"""),"-7.049544, 107.778885")</f>
        <v>-7.049544, 107.778885</v>
      </c>
      <c r="D390" s="4" t="str">
        <f>IFERROR(__xludf.DUMMYFUNCTION("""COMPUTED_VALUE"""),"fud nufi")</f>
        <v>fud nufi</v>
      </c>
      <c r="E390" s="4" t="str">
        <f>IFERROR(__xludf.DUMMYFUNCTION("""COMPUTED_VALUE"""),"BANDUNG")</f>
        <v>BANDUNG</v>
      </c>
      <c r="F390" s="4" t="str">
        <f>IFERROR(__xludf.DUMMYFUNCTION("""COMPUTED_VALUE"""),"KOPO")</f>
        <v>KOPO</v>
      </c>
      <c r="G390" s="4" t="str">
        <f>IFERROR(__xludf.DUMMYFUNCTION("""COMPUTED_VALUE"""),"NEW CIBEUREUM")</f>
        <v>NEW CIBEUREUM</v>
      </c>
      <c r="H390" s="4" t="str">
        <f>IFERROR(__xludf.DUMMYFUNCTION("""COMPUTED_VALUE"""),"WTH")</f>
        <v>WTH</v>
      </c>
      <c r="I390" s="4" t="str">
        <f>IFERROR(__xludf.DUMMYFUNCTION("""COMPUTED_VALUE"""),"LBS RND - UJUNG")</f>
        <v>LBS RND - UJUNG</v>
      </c>
      <c r="J390" s="4" t="str">
        <f>IFERROR(__xludf.DUMMYFUNCTION("""COMPUTED_VALUE"""),"ZONA 2")</f>
        <v>ZONA 2</v>
      </c>
      <c r="K390" s="4" t="str">
        <f>IFERROR(__xludf.DUMMYFUNCTION("""COMPUTED_VALUE"""),"006L17")</f>
        <v>006L17</v>
      </c>
      <c r="L390" s="4" t="str">
        <f>IFERROR(__xludf.DUMMYFUNCTION("""COMPUTED_VALUE"""),"TM - 4B/H (Afspan)")</f>
        <v>TM - 4B/H (Afspan)</v>
      </c>
      <c r="M390" s="4" t="str">
        <f>IFERROR(__xludf.DUMMYFUNCTION("""COMPUTED_VALUE"""),"Tidak Ada")</f>
        <v>Tidak Ada</v>
      </c>
      <c r="N390" s="4"/>
      <c r="O390" s="4" t="str">
        <f>IFERROR(__xludf.DUMMYFUNCTION("""COMPUTED_VALUE"""),"PEMBANDING SEJENIS")</f>
        <v>PEMBANDING SEJENIS</v>
      </c>
      <c r="P390" s="4" t="str">
        <f>IFERROR(__xludf.DUMMYFUNCTION("""COMPUTED_VALUE"""),"KONEKTOR/JUMPER")</f>
        <v>KONEKTOR/JUMPER</v>
      </c>
      <c r="Q390" s="4">
        <f>IFERROR(__xludf.DUMMYFUNCTION("""COMPUTED_VALUE"""),21.0)</f>
        <v>21</v>
      </c>
      <c r="R390" s="4">
        <f>IFERROR(__xludf.DUMMYFUNCTION("""COMPUTED_VALUE"""),20.0)</f>
        <v>20</v>
      </c>
      <c r="S390" s="4">
        <f>IFERROR(__xludf.DUMMYFUNCTION("""COMPUTED_VALUE"""),20.0)</f>
        <v>20</v>
      </c>
      <c r="T390" s="4"/>
      <c r="U390" s="4" t="str">
        <f>IFERROR(__xludf.DUMMYFUNCTION("""COMPUTED_VALUE"""),"BAIK")</f>
        <v>BAIK</v>
      </c>
      <c r="V390" s="4" t="str">
        <f>IFERROR(__xludf.DUMMYFUNCTION("""COMPUTED_VALUE"""),"Tidak Ada")</f>
        <v>Tidak Ada</v>
      </c>
      <c r="W390" s="4"/>
      <c r="X390" s="4"/>
      <c r="Y390" s="4"/>
      <c r="Z390" s="4"/>
      <c r="AA390" s="4"/>
      <c r="AB390" s="4"/>
      <c r="AC390" s="4" t="str">
        <f>IFERROR(__xludf.DUMMYFUNCTION("""COMPUTED_VALUE"""),"INSPEKSI SUTM - T2_Images/477630a8.FOTO.203950.jpg")</f>
        <v>INSPEKSI SUTM - T2_Images/477630a8.FOTO.203950.jpg</v>
      </c>
      <c r="AD390" s="4"/>
      <c r="AE390" s="4"/>
      <c r="AF390" s="4" t="str">
        <f>IFERROR(__xludf.DUMMYFUNCTION("""COMPUTED_VALUE"""),"BELUM")</f>
        <v>BELUM</v>
      </c>
      <c r="AG390" s="6">
        <f>IFERROR(__xludf.DUMMYFUNCTION("""COMPUTED_VALUE"""),46069.0)</f>
        <v>46069</v>
      </c>
      <c r="AH390" s="4"/>
      <c r="AI390" s="4"/>
    </row>
    <row r="391" ht="15.75" customHeight="1">
      <c r="A391" s="4" t="str">
        <f>IFERROR(__xludf.DUMMYFUNCTION("""COMPUTED_VALUE"""),"ee97d8cc")</f>
        <v>ee97d8cc</v>
      </c>
      <c r="B391" s="5">
        <f>IFERROR(__xludf.DUMMYFUNCTION("""COMPUTED_VALUE"""),46069.15329861111)</f>
        <v>46069.1533</v>
      </c>
      <c r="C391" s="4" t="str">
        <f>IFERROR(__xludf.DUMMYFUNCTION("""COMPUTED_VALUE"""),"-7.049551, 107.778884")</f>
        <v>-7.049551, 107.778884</v>
      </c>
      <c r="D391" s="4" t="str">
        <f>IFERROR(__xludf.DUMMYFUNCTION("""COMPUTED_VALUE"""),"fuad nufi")</f>
        <v>fuad nufi</v>
      </c>
      <c r="E391" s="4" t="str">
        <f>IFERROR(__xludf.DUMMYFUNCTION("""COMPUTED_VALUE"""),"BANDUNG")</f>
        <v>BANDUNG</v>
      </c>
      <c r="F391" s="4" t="str">
        <f>IFERROR(__xludf.DUMMYFUNCTION("""COMPUTED_VALUE"""),"KOPO")</f>
        <v>KOPO</v>
      </c>
      <c r="G391" s="4" t="str">
        <f>IFERROR(__xludf.DUMMYFUNCTION("""COMPUTED_VALUE"""),"NEW CIBEUREUM")</f>
        <v>NEW CIBEUREUM</v>
      </c>
      <c r="H391" s="4" t="str">
        <f>IFERROR(__xludf.DUMMYFUNCTION("""COMPUTED_VALUE"""),"WTH")</f>
        <v>WTH</v>
      </c>
      <c r="I391" s="4" t="str">
        <f>IFERROR(__xludf.DUMMYFUNCTION("""COMPUTED_VALUE"""),"LBS RND - UJUNG")</f>
        <v>LBS RND - UJUNG</v>
      </c>
      <c r="J391" s="4" t="str">
        <f>IFERROR(__xludf.DUMMYFUNCTION("""COMPUTED_VALUE"""),"ZONA 2")</f>
        <v>ZONA 2</v>
      </c>
      <c r="K391" s="4" t="str">
        <f>IFERROR(__xludf.DUMMYFUNCTION("""COMPUTED_VALUE"""),"006L25")</f>
        <v>006L25</v>
      </c>
      <c r="L391" s="4" t="str">
        <f>IFERROR(__xludf.DUMMYFUNCTION("""COMPUTED_VALUE"""),"TM - 8B/H (Percabangan)")</f>
        <v>TM - 8B/H (Percabangan)</v>
      </c>
      <c r="M391" s="4" t="str">
        <f>IFERROR(__xludf.DUMMYFUNCTION("""COMPUTED_VALUE"""),"Tidak Ada")</f>
        <v>Tidak Ada</v>
      </c>
      <c r="N391" s="4"/>
      <c r="O391" s="4" t="str">
        <f>IFERROR(__xludf.DUMMYFUNCTION("""COMPUTED_VALUE"""),"PEMBANDING SEJENIS")</f>
        <v>PEMBANDING SEJENIS</v>
      </c>
      <c r="P391" s="4" t="str">
        <f>IFERROR(__xludf.DUMMYFUNCTION("""COMPUTED_VALUE"""),"KONEKTOR/JUMPER")</f>
        <v>KONEKTOR/JUMPER</v>
      </c>
      <c r="Q391" s="4">
        <f>IFERROR(__xludf.DUMMYFUNCTION("""COMPUTED_VALUE"""),20.0)</f>
        <v>20</v>
      </c>
      <c r="R391" s="4">
        <f>IFERROR(__xludf.DUMMYFUNCTION("""COMPUTED_VALUE"""),18.0)</f>
        <v>18</v>
      </c>
      <c r="S391" s="4">
        <f>IFERROR(__xludf.DUMMYFUNCTION("""COMPUTED_VALUE"""),16.0)</f>
        <v>16</v>
      </c>
      <c r="T391" s="4"/>
      <c r="U391" s="4" t="str">
        <f>IFERROR(__xludf.DUMMYFUNCTION("""COMPUTED_VALUE"""),"CUKUP")</f>
        <v>CUKUP</v>
      </c>
      <c r="V391" s="4" t="str">
        <f>IFERROR(__xludf.DUMMYFUNCTION("""COMPUTED_VALUE"""),"Tidak Ada")</f>
        <v>Tidak Ada</v>
      </c>
      <c r="W391" s="4"/>
      <c r="X391" s="4"/>
      <c r="Y391" s="4"/>
      <c r="Z391" s="4"/>
      <c r="AA391" s="4"/>
      <c r="AB391" s="4"/>
      <c r="AC391" s="4" t="str">
        <f>IFERROR(__xludf.DUMMYFUNCTION("""COMPUTED_VALUE"""),"INSPEKSI SUTM - T2_Images/ee97d8cc.FOTO.204129.jpg")</f>
        <v>INSPEKSI SUTM - T2_Images/ee97d8cc.FOTO.204129.jpg</v>
      </c>
      <c r="AD391" s="4"/>
      <c r="AE391" s="4"/>
      <c r="AF391" s="4" t="str">
        <f>IFERROR(__xludf.DUMMYFUNCTION("""COMPUTED_VALUE"""),"BELUM")</f>
        <v>BELUM</v>
      </c>
      <c r="AG391" s="6">
        <f>IFERROR(__xludf.DUMMYFUNCTION("""COMPUTED_VALUE"""),46069.0)</f>
        <v>46069</v>
      </c>
      <c r="AH391" s="4"/>
      <c r="AI391" s="4"/>
    </row>
    <row r="392" ht="15.75" customHeight="1">
      <c r="A392" s="4" t="str">
        <f>IFERROR(__xludf.DUMMYFUNCTION("""COMPUTED_VALUE"""),"19de7afa")</f>
        <v>19de7afa</v>
      </c>
      <c r="B392" s="5">
        <f>IFERROR(__xludf.DUMMYFUNCTION("""COMPUTED_VALUE"""),46069.15420138889)</f>
        <v>46069.1542</v>
      </c>
      <c r="C392" s="4" t="str">
        <f>IFERROR(__xludf.DUMMYFUNCTION("""COMPUTED_VALUE"""),"-7.049551, 107.778884")</f>
        <v>-7.049551, 107.778884</v>
      </c>
      <c r="D392" s="4" t="str">
        <f>IFERROR(__xludf.DUMMYFUNCTION("""COMPUTED_VALUE"""),"fuad nugi")</f>
        <v>fuad nugi</v>
      </c>
      <c r="E392" s="4" t="str">
        <f>IFERROR(__xludf.DUMMYFUNCTION("""COMPUTED_VALUE"""),"BANDUNG")</f>
        <v>BANDUNG</v>
      </c>
      <c r="F392" s="4" t="str">
        <f>IFERROR(__xludf.DUMMYFUNCTION("""COMPUTED_VALUE"""),"KOPO")</f>
        <v>KOPO</v>
      </c>
      <c r="G392" s="4" t="str">
        <f>IFERROR(__xludf.DUMMYFUNCTION("""COMPUTED_VALUE"""),"NEW CIBEUREUM")</f>
        <v>NEW CIBEUREUM</v>
      </c>
      <c r="H392" s="4" t="str">
        <f>IFERROR(__xludf.DUMMYFUNCTION("""COMPUTED_VALUE"""),"WTH")</f>
        <v>WTH</v>
      </c>
      <c r="I392" s="4" t="str">
        <f>IFERROR(__xludf.DUMMYFUNCTION("""COMPUTED_VALUE"""),"LBS RND - UJUNG")</f>
        <v>LBS RND - UJUNG</v>
      </c>
      <c r="J392" s="4" t="str">
        <f>IFERROR(__xludf.DUMMYFUNCTION("""COMPUTED_VALUE"""),"ZONA 2")</f>
        <v>ZONA 2</v>
      </c>
      <c r="K392" s="4" t="str">
        <f>IFERROR(__xludf.DUMMYFUNCTION("""COMPUTED_VALUE"""),"006L29")</f>
        <v>006L29</v>
      </c>
      <c r="L392" s="4" t="str">
        <f>IFERROR(__xludf.DUMMYFUNCTION("""COMPUTED_VALUE"""),"TM - 7B/H (Afspan 90 Derajat)")</f>
        <v>TM - 7B/H (Afspan 90 Derajat)</v>
      </c>
      <c r="M392" s="4" t="str">
        <f>IFERROR(__xludf.DUMMYFUNCTION("""COMPUTED_VALUE"""),"Tidak Ada")</f>
        <v>Tidak Ada</v>
      </c>
      <c r="N392" s="4"/>
      <c r="O392" s="4" t="str">
        <f>IFERROR(__xludf.DUMMYFUNCTION("""COMPUTED_VALUE"""),"PEMBANDING SEJENIS")</f>
        <v>PEMBANDING SEJENIS</v>
      </c>
      <c r="P392" s="4" t="str">
        <f>IFERROR(__xludf.DUMMYFUNCTION("""COMPUTED_VALUE"""),"KONEKTOR/JUMPER")</f>
        <v>KONEKTOR/JUMPER</v>
      </c>
      <c r="Q392" s="4">
        <f>IFERROR(__xludf.DUMMYFUNCTION("""COMPUTED_VALUE"""),21.0)</f>
        <v>21</v>
      </c>
      <c r="R392" s="4">
        <f>IFERROR(__xludf.DUMMYFUNCTION("""COMPUTED_VALUE"""),25.0)</f>
        <v>25</v>
      </c>
      <c r="S392" s="4">
        <f>IFERROR(__xludf.DUMMYFUNCTION("""COMPUTED_VALUE"""),18.0)</f>
        <v>18</v>
      </c>
      <c r="T392" s="4"/>
      <c r="U392" s="4" t="str">
        <f>IFERROR(__xludf.DUMMYFUNCTION("""COMPUTED_VALUE"""),"CUKUP")</f>
        <v>CUKUP</v>
      </c>
      <c r="V392" s="4" t="str">
        <f>IFERROR(__xludf.DUMMYFUNCTION("""COMPUTED_VALUE"""),"Tidak Ada")</f>
        <v>Tidak Ada</v>
      </c>
      <c r="W392" s="4"/>
      <c r="X392" s="4"/>
      <c r="Y392" s="4"/>
      <c r="Z392" s="4"/>
      <c r="AA392" s="4"/>
      <c r="AB392" s="4"/>
      <c r="AC392" s="4" t="str">
        <f>IFERROR(__xludf.DUMMYFUNCTION("""COMPUTED_VALUE"""),"INSPEKSI SUTM - T2_Images/19de7afa.FOTO.204311.jpg")</f>
        <v>INSPEKSI SUTM - T2_Images/19de7afa.FOTO.204311.jpg</v>
      </c>
      <c r="AD392" s="4"/>
      <c r="AE392" s="4"/>
      <c r="AF392" s="4" t="str">
        <f>IFERROR(__xludf.DUMMYFUNCTION("""COMPUTED_VALUE"""),"BELUM")</f>
        <v>BELUM</v>
      </c>
      <c r="AG392" s="6">
        <f>IFERROR(__xludf.DUMMYFUNCTION("""COMPUTED_VALUE"""),46069.0)</f>
        <v>46069</v>
      </c>
      <c r="AH392" s="4"/>
      <c r="AI392" s="4"/>
    </row>
    <row r="393" ht="15.75" customHeight="1">
      <c r="A393" s="4" t="str">
        <f>IFERROR(__xludf.DUMMYFUNCTION("""COMPUTED_VALUE"""),"55233fe6")</f>
        <v>55233fe6</v>
      </c>
      <c r="B393" s="5">
        <f>IFERROR(__xludf.DUMMYFUNCTION("""COMPUTED_VALUE"""),46069.15542824074)</f>
        <v>46069.15543</v>
      </c>
      <c r="C393" s="4" t="str">
        <f>IFERROR(__xludf.DUMMYFUNCTION("""COMPUTED_VALUE"""),"-7.049551, 107.778884")</f>
        <v>-7.049551, 107.778884</v>
      </c>
      <c r="D393" s="4" t="str">
        <f>IFERROR(__xludf.DUMMYFUNCTION("""COMPUTED_VALUE"""),"faud nugi")</f>
        <v>faud nugi</v>
      </c>
      <c r="E393" s="4" t="str">
        <f>IFERROR(__xludf.DUMMYFUNCTION("""COMPUTED_VALUE"""),"BANDUNG")</f>
        <v>BANDUNG</v>
      </c>
      <c r="F393" s="4" t="str">
        <f>IFERROR(__xludf.DUMMYFUNCTION("""COMPUTED_VALUE"""),"KOPO")</f>
        <v>KOPO</v>
      </c>
      <c r="G393" s="4" t="str">
        <f>IFERROR(__xludf.DUMMYFUNCTION("""COMPUTED_VALUE"""),"NEW CIBEUREUM")</f>
        <v>NEW CIBEUREUM</v>
      </c>
      <c r="H393" s="4" t="str">
        <f>IFERROR(__xludf.DUMMYFUNCTION("""COMPUTED_VALUE"""),"WTH")</f>
        <v>WTH</v>
      </c>
      <c r="I393" s="4" t="str">
        <f>IFERROR(__xludf.DUMMYFUNCTION("""COMPUTED_VALUE"""),"LBS RND - UJUNG")</f>
        <v>LBS RND - UJUNG</v>
      </c>
      <c r="J393" s="4" t="str">
        <f>IFERROR(__xludf.DUMMYFUNCTION("""COMPUTED_VALUE"""),"ZONA 2")</f>
        <v>ZONA 2</v>
      </c>
      <c r="K393" s="4" t="str">
        <f>IFERROR(__xludf.DUMMYFUNCTION("""COMPUTED_VALUE"""),"006L31")</f>
        <v>006L31</v>
      </c>
      <c r="L393" s="4" t="str">
        <f>IFERROR(__xludf.DUMMYFUNCTION("""COMPUTED_VALUE"""),"TM - 14B/H (Akhir)")</f>
        <v>TM - 14B/H (Akhir)</v>
      </c>
      <c r="M393" s="4" t="str">
        <f>IFERROR(__xludf.DUMMYFUNCTION("""COMPUTED_VALUE"""),"Tidak Ada")</f>
        <v>Tidak Ada</v>
      </c>
      <c r="N393" s="4"/>
      <c r="O393" s="4" t="str">
        <f>IFERROR(__xludf.DUMMYFUNCTION("""COMPUTED_VALUE"""),"PEMBANDING SEJENIS")</f>
        <v>PEMBANDING SEJENIS</v>
      </c>
      <c r="P393" s="4" t="str">
        <f>IFERROR(__xludf.DUMMYFUNCTION("""COMPUTED_VALUE"""),"KONEKTOR/JUMPER")</f>
        <v>KONEKTOR/JUMPER</v>
      </c>
      <c r="Q393" s="4">
        <f>IFERROR(__xludf.DUMMYFUNCTION("""COMPUTED_VALUE"""),19.0)</f>
        <v>19</v>
      </c>
      <c r="R393" s="4">
        <f>IFERROR(__xludf.DUMMYFUNCTION("""COMPUTED_VALUE"""),19.0)</f>
        <v>19</v>
      </c>
      <c r="S393" s="4">
        <f>IFERROR(__xludf.DUMMYFUNCTION("""COMPUTED_VALUE"""),19.0)</f>
        <v>19</v>
      </c>
      <c r="T393" s="4"/>
      <c r="U393" s="4" t="str">
        <f>IFERROR(__xludf.DUMMYFUNCTION("""COMPUTED_VALUE"""),"BAIK")</f>
        <v>BAIK</v>
      </c>
      <c r="V393" s="4" t="str">
        <f>IFERROR(__xludf.DUMMYFUNCTION("""COMPUTED_VALUE"""),"Tidak Ada")</f>
        <v>Tidak Ada</v>
      </c>
      <c r="W393" s="4"/>
      <c r="X393" s="4"/>
      <c r="Y393" s="4"/>
      <c r="Z393" s="4"/>
      <c r="AA393" s="4"/>
      <c r="AB393" s="4"/>
      <c r="AC393" s="4" t="str">
        <f>IFERROR(__xludf.DUMMYFUNCTION("""COMPUTED_VALUE"""),"INSPEKSI SUTM - T2_Images/55233fe6.FOTO.204508.jpg")</f>
        <v>INSPEKSI SUTM - T2_Images/55233fe6.FOTO.204508.jpg</v>
      </c>
      <c r="AD393" s="4"/>
      <c r="AE393" s="4"/>
      <c r="AF393" s="4" t="str">
        <f>IFERROR(__xludf.DUMMYFUNCTION("""COMPUTED_VALUE"""),"BELUM")</f>
        <v>BELUM</v>
      </c>
      <c r="AG393" s="6">
        <f>IFERROR(__xludf.DUMMYFUNCTION("""COMPUTED_VALUE"""),46069.0)</f>
        <v>46069</v>
      </c>
      <c r="AH393" s="4"/>
      <c r="AI393" s="4"/>
    </row>
    <row r="394" ht="15.75" customHeight="1">
      <c r="A394" s="4" t="str">
        <f>IFERROR(__xludf.DUMMYFUNCTION("""COMPUTED_VALUE"""),"09c7c027")</f>
        <v>09c7c027</v>
      </c>
      <c r="B394" s="5">
        <f>IFERROR(__xludf.DUMMYFUNCTION("""COMPUTED_VALUE"""),46069.15833333333)</f>
        <v>46069.15833</v>
      </c>
      <c r="C394" s="4" t="str">
        <f>IFERROR(__xludf.DUMMYFUNCTION("""COMPUTED_VALUE"""),"-7.049551, 107.778884")</f>
        <v>-7.049551, 107.778884</v>
      </c>
      <c r="D394" s="4" t="str">
        <f>IFERROR(__xludf.DUMMYFUNCTION("""COMPUTED_VALUE"""),"fuad nufi")</f>
        <v>fuad nufi</v>
      </c>
      <c r="E394" s="4" t="str">
        <f>IFERROR(__xludf.DUMMYFUNCTION("""COMPUTED_VALUE"""),"BANDUNG")</f>
        <v>BANDUNG</v>
      </c>
      <c r="F394" s="4" t="str">
        <f>IFERROR(__xludf.DUMMYFUNCTION("""COMPUTED_VALUE"""),"KOPO")</f>
        <v>KOPO</v>
      </c>
      <c r="G394" s="4" t="str">
        <f>IFERROR(__xludf.DUMMYFUNCTION("""COMPUTED_VALUE"""),"NEW CIBEUREUM")</f>
        <v>NEW CIBEUREUM</v>
      </c>
      <c r="H394" s="4" t="str">
        <f>IFERROR(__xludf.DUMMYFUNCTION("""COMPUTED_VALUE"""),"WTH")</f>
        <v>WTH</v>
      </c>
      <c r="I394" s="4" t="str">
        <f>IFERROR(__xludf.DUMMYFUNCTION("""COMPUTED_VALUE"""),"THIC - THIF")</f>
        <v>THIC - THIF</v>
      </c>
      <c r="J394" s="4" t="str">
        <f>IFERROR(__xludf.DUMMYFUNCTION("""COMPUTED_VALUE"""),"ZONA 2")</f>
        <v>ZONA 2</v>
      </c>
      <c r="K394" s="4" t="str">
        <f>IFERROR(__xludf.DUMMYFUNCTION("""COMPUTED_VALUE"""),"001")</f>
        <v>001</v>
      </c>
      <c r="L394" s="4" t="str">
        <f>IFERROR(__xludf.DUMMYFUNCTION("""COMPUTED_VALUE"""),"TM - 8BC/HC (Percabangan dengan CO)")</f>
        <v>TM - 8BC/HC (Percabangan dengan CO)</v>
      </c>
      <c r="M394" s="4" t="str">
        <f>IFERROR(__xludf.DUMMYFUNCTION("""COMPUTED_VALUE"""),"FCO")</f>
        <v>FCO</v>
      </c>
      <c r="N394" s="4" t="str">
        <f>IFERROR(__xludf.DUMMYFUNCTION("""COMPUTED_VALUE"""),"bsw")</f>
        <v>bsw</v>
      </c>
      <c r="O394" s="4" t="str">
        <f>IFERROR(__xludf.DUMMYFUNCTION("""COMPUTED_VALUE"""),"PEMBANDING SEJENIS")</f>
        <v>PEMBANDING SEJENIS</v>
      </c>
      <c r="P394" s="4" t="str">
        <f>IFERROR(__xludf.DUMMYFUNCTION("""COMPUTED_VALUE"""),"FCO")</f>
        <v>FCO</v>
      </c>
      <c r="Q394" s="4">
        <f>IFERROR(__xludf.DUMMYFUNCTION("""COMPUTED_VALUE"""),23.0)</f>
        <v>23</v>
      </c>
      <c r="R394" s="4">
        <f>IFERROR(__xludf.DUMMYFUNCTION("""COMPUTED_VALUE"""),22.0)</f>
        <v>22</v>
      </c>
      <c r="S394" s="4">
        <f>IFERROR(__xludf.DUMMYFUNCTION("""COMPUTED_VALUE"""),22.0)</f>
        <v>22</v>
      </c>
      <c r="T394" s="4"/>
      <c r="U394" s="4" t="str">
        <f>IFERROR(__xludf.DUMMYFUNCTION("""COMPUTED_VALUE"""),"BAIK")</f>
        <v>BAIK</v>
      </c>
      <c r="V394" s="4" t="str">
        <f>IFERROR(__xludf.DUMMYFUNCTION("""COMPUTED_VALUE"""),"Tidak Ada")</f>
        <v>Tidak Ada</v>
      </c>
      <c r="W394" s="4"/>
      <c r="X394" s="4"/>
      <c r="Y394" s="4"/>
      <c r="Z394" s="4"/>
      <c r="AA394" s="4"/>
      <c r="AB394" s="4"/>
      <c r="AC394" s="4" t="str">
        <f>IFERROR(__xludf.DUMMYFUNCTION("""COMPUTED_VALUE"""),"INSPEKSI SUTM - T2_Images/09c7c027.FOTO.204928.jpg")</f>
        <v>INSPEKSI SUTM - T2_Images/09c7c027.FOTO.204928.jpg</v>
      </c>
      <c r="AD394" s="4"/>
      <c r="AE394" s="4"/>
      <c r="AF394" s="4" t="str">
        <f>IFERROR(__xludf.DUMMYFUNCTION("""COMPUTED_VALUE"""),"BELUM")</f>
        <v>BELUM</v>
      </c>
      <c r="AG394" s="6">
        <f>IFERROR(__xludf.DUMMYFUNCTION("""COMPUTED_VALUE"""),46069.0)</f>
        <v>46069</v>
      </c>
      <c r="AH394" s="4"/>
      <c r="AI394" s="4"/>
    </row>
    <row r="395" ht="15.75" customHeight="1">
      <c r="A395" s="4" t="str">
        <f>IFERROR(__xludf.DUMMYFUNCTION("""COMPUTED_VALUE"""),"69fda200")</f>
        <v>69fda200</v>
      </c>
      <c r="B395" s="5">
        <f>IFERROR(__xludf.DUMMYFUNCTION("""COMPUTED_VALUE"""),46069.15987268519)</f>
        <v>46069.15987</v>
      </c>
      <c r="C395" s="4" t="str">
        <f>IFERROR(__xludf.DUMMYFUNCTION("""COMPUTED_VALUE"""),"-7.049551, 107.778884")</f>
        <v>-7.049551, 107.778884</v>
      </c>
      <c r="D395" s="4" t="str">
        <f>IFERROR(__xludf.DUMMYFUNCTION("""COMPUTED_VALUE"""),"fuad nugi")</f>
        <v>fuad nugi</v>
      </c>
      <c r="E395" s="4" t="str">
        <f>IFERROR(__xludf.DUMMYFUNCTION("""COMPUTED_VALUE"""),"BANDUNG")</f>
        <v>BANDUNG</v>
      </c>
      <c r="F395" s="4" t="str">
        <f>IFERROR(__xludf.DUMMYFUNCTION("""COMPUTED_VALUE"""),"KOPO")</f>
        <v>KOPO</v>
      </c>
      <c r="G395" s="4" t="str">
        <f>IFERROR(__xludf.DUMMYFUNCTION("""COMPUTED_VALUE"""),"NEW CIBEUREUM")</f>
        <v>NEW CIBEUREUM</v>
      </c>
      <c r="H395" s="4" t="str">
        <f>IFERROR(__xludf.DUMMYFUNCTION("""COMPUTED_VALUE"""),"WTH")</f>
        <v>WTH</v>
      </c>
      <c r="I395" s="4" t="str">
        <f>IFERROR(__xludf.DUMMYFUNCTION("""COMPUTED_VALUE"""),"THIC - THIF")</f>
        <v>THIC - THIF</v>
      </c>
      <c r="J395" s="4" t="str">
        <f>IFERROR(__xludf.DUMMYFUNCTION("""COMPUTED_VALUE"""),"ZONA 2")</f>
        <v>ZONA 2</v>
      </c>
      <c r="K395" s="4" t="str">
        <f>IFERROR(__xludf.DUMMYFUNCTION("""COMPUTED_VALUE"""),"001")</f>
        <v>001</v>
      </c>
      <c r="L395" s="4" t="str">
        <f>IFERROR(__xludf.DUMMYFUNCTION("""COMPUTED_VALUE"""),"TM - 11B/H (Kabel Naik)")</f>
        <v>TM - 11B/H (Kabel Naik)</v>
      </c>
      <c r="M395" s="4" t="str">
        <f>IFERROR(__xludf.DUMMYFUNCTION("""COMPUTED_VALUE"""),"Tidak Ada")</f>
        <v>Tidak Ada</v>
      </c>
      <c r="N395" s="4"/>
      <c r="O395" s="4" t="str">
        <f>IFERROR(__xludf.DUMMYFUNCTION("""COMPUTED_VALUE"""),"PEMBANDING SEJENIS")</f>
        <v>PEMBANDING SEJENIS</v>
      </c>
      <c r="P395" s="4" t="str">
        <f>IFERROR(__xludf.DUMMYFUNCTION("""COMPUTED_VALUE"""),"KONEKTOR/JUMPER")</f>
        <v>KONEKTOR/JUMPER</v>
      </c>
      <c r="Q395" s="4">
        <f>IFERROR(__xludf.DUMMYFUNCTION("""COMPUTED_VALUE"""),22.0)</f>
        <v>22</v>
      </c>
      <c r="R395" s="4">
        <f>IFERROR(__xludf.DUMMYFUNCTION("""COMPUTED_VALUE"""),22.0)</f>
        <v>22</v>
      </c>
      <c r="S395" s="4">
        <f>IFERROR(__xludf.DUMMYFUNCTION("""COMPUTED_VALUE"""),22.0)</f>
        <v>22</v>
      </c>
      <c r="T395" s="4"/>
      <c r="U395" s="4" t="str">
        <f>IFERROR(__xludf.DUMMYFUNCTION("""COMPUTED_VALUE"""),"BAIK")</f>
        <v>BAIK</v>
      </c>
      <c r="V395" s="4" t="str">
        <f>IFERROR(__xludf.DUMMYFUNCTION("""COMPUTED_VALUE"""),"Tidak Ada")</f>
        <v>Tidak Ada</v>
      </c>
      <c r="W395" s="4"/>
      <c r="X395" s="4"/>
      <c r="Y395" s="4"/>
      <c r="Z395" s="4"/>
      <c r="AA395" s="4"/>
      <c r="AB395" s="4"/>
      <c r="AC395" s="4" t="str">
        <f>IFERROR(__xludf.DUMMYFUNCTION("""COMPUTED_VALUE"""),"INSPEKSI SUTM - T2_Images/69fda200.FOTO.205118.jpg")</f>
        <v>INSPEKSI SUTM - T2_Images/69fda200.FOTO.205118.jpg</v>
      </c>
      <c r="AD395" s="4"/>
      <c r="AE395" s="4"/>
      <c r="AF395" s="4" t="str">
        <f>IFERROR(__xludf.DUMMYFUNCTION("""COMPUTED_VALUE"""),"BELUM")</f>
        <v>BELUM</v>
      </c>
      <c r="AG395" s="6">
        <f>IFERROR(__xludf.DUMMYFUNCTION("""COMPUTED_VALUE"""),46069.0)</f>
        <v>46069</v>
      </c>
      <c r="AH395" s="4"/>
      <c r="AI395" s="4"/>
    </row>
    <row r="396" ht="15.75" customHeight="1">
      <c r="A396" s="4" t="str">
        <f>IFERROR(__xludf.DUMMYFUNCTION("""COMPUTED_VALUE"""),"6c810594")</f>
        <v>6c810594</v>
      </c>
      <c r="B396" s="5">
        <f>IFERROR(__xludf.DUMMYFUNCTION("""COMPUTED_VALUE"""),46069.161215277774)</f>
        <v>46069.16122</v>
      </c>
      <c r="C396" s="4" t="str">
        <f>IFERROR(__xludf.DUMMYFUNCTION("""COMPUTED_VALUE"""),"-7.049551, 107.778884")</f>
        <v>-7.049551, 107.778884</v>
      </c>
      <c r="D396" s="4" t="str">
        <f>IFERROR(__xludf.DUMMYFUNCTION("""COMPUTED_VALUE"""),"guad nufi")</f>
        <v>guad nufi</v>
      </c>
      <c r="E396" s="4" t="str">
        <f>IFERROR(__xludf.DUMMYFUNCTION("""COMPUTED_VALUE"""),"BANDUNG")</f>
        <v>BANDUNG</v>
      </c>
      <c r="F396" s="4" t="str">
        <f>IFERROR(__xludf.DUMMYFUNCTION("""COMPUTED_VALUE"""),"KOPO")</f>
        <v>KOPO</v>
      </c>
      <c r="G396" s="4" t="str">
        <f>IFERROR(__xludf.DUMMYFUNCTION("""COMPUTED_VALUE"""),"NEW CIBEUREUM")</f>
        <v>NEW CIBEUREUM</v>
      </c>
      <c r="H396" s="4" t="str">
        <f>IFERROR(__xludf.DUMMYFUNCTION("""COMPUTED_VALUE"""),"WTH")</f>
        <v>WTH</v>
      </c>
      <c r="I396" s="4" t="str">
        <f>IFERROR(__xludf.DUMMYFUNCTION("""COMPUTED_VALUE"""),"THIC - THIF")</f>
        <v>THIC - THIF</v>
      </c>
      <c r="J396" s="4" t="str">
        <f>IFERROR(__xludf.DUMMYFUNCTION("""COMPUTED_VALUE"""),"ZONA 2")</f>
        <v>ZONA 2</v>
      </c>
      <c r="K396" s="4" t="str">
        <f>IFERROR(__xludf.DUMMYFUNCTION("""COMPUTED_VALUE"""),"001L04")</f>
        <v>001L04</v>
      </c>
      <c r="L396" s="4" t="str">
        <f>IFERROR(__xludf.DUMMYFUNCTION("""COMPUTED_VALUE"""),"TM - 4B/H (Afspan)")</f>
        <v>TM - 4B/H (Afspan)</v>
      </c>
      <c r="M396" s="4" t="str">
        <f>IFERROR(__xludf.DUMMYFUNCTION("""COMPUTED_VALUE"""),"Tidak Ada")</f>
        <v>Tidak Ada</v>
      </c>
      <c r="N396" s="4"/>
      <c r="O396" s="4" t="str">
        <f>IFERROR(__xludf.DUMMYFUNCTION("""COMPUTED_VALUE"""),"PEMBANDING SEJENIS")</f>
        <v>PEMBANDING SEJENIS</v>
      </c>
      <c r="P396" s="4" t="str">
        <f>IFERROR(__xludf.DUMMYFUNCTION("""COMPUTED_VALUE"""),"KONEKTOR/JUMPER")</f>
        <v>KONEKTOR/JUMPER</v>
      </c>
      <c r="Q396" s="4">
        <f>IFERROR(__xludf.DUMMYFUNCTION("""COMPUTED_VALUE"""),20.0)</f>
        <v>20</v>
      </c>
      <c r="R396" s="4">
        <f>IFERROR(__xludf.DUMMYFUNCTION("""COMPUTED_VALUE"""),19.0)</f>
        <v>19</v>
      </c>
      <c r="S396" s="4">
        <f>IFERROR(__xludf.DUMMYFUNCTION("""COMPUTED_VALUE"""),20.0)</f>
        <v>20</v>
      </c>
      <c r="T396" s="4"/>
      <c r="U396" s="4" t="str">
        <f>IFERROR(__xludf.DUMMYFUNCTION("""COMPUTED_VALUE"""),"BAIK")</f>
        <v>BAIK</v>
      </c>
      <c r="V396" s="4" t="str">
        <f>IFERROR(__xludf.DUMMYFUNCTION("""COMPUTED_VALUE"""),"Tidak Ada")</f>
        <v>Tidak Ada</v>
      </c>
      <c r="W396" s="4"/>
      <c r="X396" s="4"/>
      <c r="Y396" s="4"/>
      <c r="Z396" s="4"/>
      <c r="AA396" s="4"/>
      <c r="AB396" s="4"/>
      <c r="AC396" s="4" t="str">
        <f>IFERROR(__xludf.DUMMYFUNCTION("""COMPUTED_VALUE"""),"INSPEKSI SUTM - T2_Images/6c810594.FOTO.205332.jpg")</f>
        <v>INSPEKSI SUTM - T2_Images/6c810594.FOTO.205332.jpg</v>
      </c>
      <c r="AD396" s="4"/>
      <c r="AE396" s="4"/>
      <c r="AF396" s="4" t="str">
        <f>IFERROR(__xludf.DUMMYFUNCTION("""COMPUTED_VALUE"""),"BELUM")</f>
        <v>BELUM</v>
      </c>
      <c r="AG396" s="6">
        <f>IFERROR(__xludf.DUMMYFUNCTION("""COMPUTED_VALUE"""),46069.0)</f>
        <v>46069</v>
      </c>
      <c r="AH396" s="4"/>
      <c r="AI396" s="4"/>
    </row>
    <row r="397" ht="15.75" customHeight="1">
      <c r="A397" s="4" t="str">
        <f>IFERROR(__xludf.DUMMYFUNCTION("""COMPUTED_VALUE"""),"d4dc73aa")</f>
        <v>d4dc73aa</v>
      </c>
      <c r="B397" s="5">
        <f>IFERROR(__xludf.DUMMYFUNCTION("""COMPUTED_VALUE"""),46069.16243055555)</f>
        <v>46069.16243</v>
      </c>
      <c r="C397" s="4" t="str">
        <f>IFERROR(__xludf.DUMMYFUNCTION("""COMPUTED_VALUE"""),"-7.049545, 107.778884")</f>
        <v>-7.049545, 107.778884</v>
      </c>
      <c r="D397" s="4" t="str">
        <f>IFERROR(__xludf.DUMMYFUNCTION("""COMPUTED_VALUE"""),"fuad nufi")</f>
        <v>fuad nufi</v>
      </c>
      <c r="E397" s="4" t="str">
        <f>IFERROR(__xludf.DUMMYFUNCTION("""COMPUTED_VALUE"""),"BANDUNG")</f>
        <v>BANDUNG</v>
      </c>
      <c r="F397" s="4" t="str">
        <f>IFERROR(__xludf.DUMMYFUNCTION("""COMPUTED_VALUE"""),"KOPO")</f>
        <v>KOPO</v>
      </c>
      <c r="G397" s="4" t="str">
        <f>IFERROR(__xludf.DUMMYFUNCTION("""COMPUTED_VALUE"""),"NEW CIBEUREUM")</f>
        <v>NEW CIBEUREUM</v>
      </c>
      <c r="H397" s="4" t="str">
        <f>IFERROR(__xludf.DUMMYFUNCTION("""COMPUTED_VALUE"""),"WTH")</f>
        <v>WTH</v>
      </c>
      <c r="I397" s="4" t="str">
        <f>IFERROR(__xludf.DUMMYFUNCTION("""COMPUTED_VALUE"""),"THIC - THIF")</f>
        <v>THIC - THIF</v>
      </c>
      <c r="J397" s="4" t="str">
        <f>IFERROR(__xludf.DUMMYFUNCTION("""COMPUTED_VALUE"""),"ZONA 2")</f>
        <v>ZONA 2</v>
      </c>
      <c r="K397" s="4" t="str">
        <f>IFERROR(__xludf.DUMMYFUNCTION("""COMPUTED_VALUE"""),"004")</f>
        <v>004</v>
      </c>
      <c r="L397" s="4" t="str">
        <f>IFERROR(__xludf.DUMMYFUNCTION("""COMPUTED_VALUE"""),"TM - 7B/H (Afspan 90 Derajat)")</f>
        <v>TM - 7B/H (Afspan 90 Derajat)</v>
      </c>
      <c r="M397" s="4" t="str">
        <f>IFERROR(__xludf.DUMMYFUNCTION("""COMPUTED_VALUE"""),"Tidak Ada")</f>
        <v>Tidak Ada</v>
      </c>
      <c r="N397" s="4"/>
      <c r="O397" s="4" t="str">
        <f>IFERROR(__xludf.DUMMYFUNCTION("""COMPUTED_VALUE"""),"PEMBANDING SEJENIS")</f>
        <v>PEMBANDING SEJENIS</v>
      </c>
      <c r="P397" s="4" t="str">
        <f>IFERROR(__xludf.DUMMYFUNCTION("""COMPUTED_VALUE"""),"KONEKTOR/JUMPER")</f>
        <v>KONEKTOR/JUMPER</v>
      </c>
      <c r="Q397" s="4">
        <f>IFERROR(__xludf.DUMMYFUNCTION("""COMPUTED_VALUE"""),21.0)</f>
        <v>21</v>
      </c>
      <c r="R397" s="4">
        <f>IFERROR(__xludf.DUMMYFUNCTION("""COMPUTED_VALUE"""),20.0)</f>
        <v>20</v>
      </c>
      <c r="S397" s="4">
        <f>IFERROR(__xludf.DUMMYFUNCTION("""COMPUTED_VALUE"""),20.0)</f>
        <v>20</v>
      </c>
      <c r="T397" s="4"/>
      <c r="U397" s="4" t="str">
        <f>IFERROR(__xludf.DUMMYFUNCTION("""COMPUTED_VALUE"""),"BAIK")</f>
        <v>BAIK</v>
      </c>
      <c r="V397" s="4" t="str">
        <f>IFERROR(__xludf.DUMMYFUNCTION("""COMPUTED_VALUE"""),"Tidak Ada")</f>
        <v>Tidak Ada</v>
      </c>
      <c r="W397" s="4"/>
      <c r="X397" s="4"/>
      <c r="Y397" s="4"/>
      <c r="Z397" s="4"/>
      <c r="AA397" s="4"/>
      <c r="AB397" s="4"/>
      <c r="AC397" s="4" t="str">
        <f>IFERROR(__xludf.DUMMYFUNCTION("""COMPUTED_VALUE"""),"INSPEKSI SUTM - T2_Images/d4dc73aa.FOTO.205500.jpg")</f>
        <v>INSPEKSI SUTM - T2_Images/d4dc73aa.FOTO.205500.jpg</v>
      </c>
      <c r="AD397" s="4"/>
      <c r="AE397" s="4"/>
      <c r="AF397" s="4" t="str">
        <f>IFERROR(__xludf.DUMMYFUNCTION("""COMPUTED_VALUE"""),"BELUM")</f>
        <v>BELUM</v>
      </c>
      <c r="AG397" s="6">
        <f>IFERROR(__xludf.DUMMYFUNCTION("""COMPUTED_VALUE"""),46069.0)</f>
        <v>46069</v>
      </c>
      <c r="AH397" s="4"/>
      <c r="AI397" s="4"/>
    </row>
    <row r="398" ht="15.75" customHeight="1">
      <c r="A398" s="4" t="str">
        <f>IFERROR(__xludf.DUMMYFUNCTION("""COMPUTED_VALUE"""),"aeb5aac4")</f>
        <v>aeb5aac4</v>
      </c>
      <c r="B398" s="5">
        <f>IFERROR(__xludf.DUMMYFUNCTION("""COMPUTED_VALUE"""),46069.16321759259)</f>
        <v>46069.16322</v>
      </c>
      <c r="C398" s="4" t="str">
        <f>IFERROR(__xludf.DUMMYFUNCTION("""COMPUTED_VALUE"""),"-7.049545, 107.778884")</f>
        <v>-7.049545, 107.778884</v>
      </c>
      <c r="D398" s="4" t="str">
        <f>IFERROR(__xludf.DUMMYFUNCTION("""COMPUTED_VALUE"""),"fuad hugi")</f>
        <v>fuad hugi</v>
      </c>
      <c r="E398" s="4" t="str">
        <f>IFERROR(__xludf.DUMMYFUNCTION("""COMPUTED_VALUE"""),"BANDUNG")</f>
        <v>BANDUNG</v>
      </c>
      <c r="F398" s="4" t="str">
        <f>IFERROR(__xludf.DUMMYFUNCTION("""COMPUTED_VALUE"""),"KOPO")</f>
        <v>KOPO</v>
      </c>
      <c r="G398" s="4" t="str">
        <f>IFERROR(__xludf.DUMMYFUNCTION("""COMPUTED_VALUE"""),"NEW CIBEUREUM")</f>
        <v>NEW CIBEUREUM</v>
      </c>
      <c r="H398" s="4" t="str">
        <f>IFERROR(__xludf.DUMMYFUNCTION("""COMPUTED_VALUE"""),"WTH")</f>
        <v>WTH</v>
      </c>
      <c r="I398" s="4" t="str">
        <f>IFERROR(__xludf.DUMMYFUNCTION("""COMPUTED_VALUE"""),"THIC - THIF")</f>
        <v>THIC - THIF</v>
      </c>
      <c r="J398" s="4" t="str">
        <f>IFERROR(__xludf.DUMMYFUNCTION("""COMPUTED_VALUE"""),"ZONA 2")</f>
        <v>ZONA 2</v>
      </c>
      <c r="K398" s="4" t="str">
        <f>IFERROR(__xludf.DUMMYFUNCTION("""COMPUTED_VALUE"""),"004")</f>
        <v>004</v>
      </c>
      <c r="L398" s="4" t="str">
        <f>IFERROR(__xludf.DUMMYFUNCTION("""COMPUTED_VALUE"""),"TM - 7B/H (Afspan 90 Derajat)")</f>
        <v>TM - 7B/H (Afspan 90 Derajat)</v>
      </c>
      <c r="M398" s="4" t="str">
        <f>IFERROR(__xludf.DUMMYFUNCTION("""COMPUTED_VALUE"""),"Tidak Ada")</f>
        <v>Tidak Ada</v>
      </c>
      <c r="N398" s="4"/>
      <c r="O398" s="4" t="str">
        <f>IFERROR(__xludf.DUMMYFUNCTION("""COMPUTED_VALUE"""),"PEMBANDING SEJENIS")</f>
        <v>PEMBANDING SEJENIS</v>
      </c>
      <c r="P398" s="4" t="str">
        <f>IFERROR(__xludf.DUMMYFUNCTION("""COMPUTED_VALUE"""),"KONEKTOR/JUMPER")</f>
        <v>KONEKTOR/JUMPER</v>
      </c>
      <c r="Q398" s="4">
        <f>IFERROR(__xludf.DUMMYFUNCTION("""COMPUTED_VALUE"""),21.0)</f>
        <v>21</v>
      </c>
      <c r="R398" s="4">
        <f>IFERROR(__xludf.DUMMYFUNCTION("""COMPUTED_VALUE"""),21.0)</f>
        <v>21</v>
      </c>
      <c r="S398" s="4">
        <f>IFERROR(__xludf.DUMMYFUNCTION("""COMPUTED_VALUE"""),20.0)</f>
        <v>20</v>
      </c>
      <c r="T398" s="4"/>
      <c r="U398" s="4" t="str">
        <f>IFERROR(__xludf.DUMMYFUNCTION("""COMPUTED_VALUE"""),"BAIK")</f>
        <v>BAIK</v>
      </c>
      <c r="V398" s="4" t="str">
        <f>IFERROR(__xludf.DUMMYFUNCTION("""COMPUTED_VALUE"""),"Tidak Ada")</f>
        <v>Tidak Ada</v>
      </c>
      <c r="W398" s="4"/>
      <c r="X398" s="4"/>
      <c r="Y398" s="4"/>
      <c r="Z398" s="4"/>
      <c r="AA398" s="4"/>
      <c r="AB398" s="4"/>
      <c r="AC398" s="4" t="str">
        <f>IFERROR(__xludf.DUMMYFUNCTION("""COMPUTED_VALUE"""),"INSPEKSI SUTM - T2_Images/aeb5aac4.FOTO.205614.jpg")</f>
        <v>INSPEKSI SUTM - T2_Images/aeb5aac4.FOTO.205614.jpg</v>
      </c>
      <c r="AD398" s="4"/>
      <c r="AE398" s="4"/>
      <c r="AF398" s="4" t="str">
        <f>IFERROR(__xludf.DUMMYFUNCTION("""COMPUTED_VALUE"""),"BELUM")</f>
        <v>BELUM</v>
      </c>
      <c r="AG398" s="6">
        <f>IFERROR(__xludf.DUMMYFUNCTION("""COMPUTED_VALUE"""),46069.0)</f>
        <v>46069</v>
      </c>
      <c r="AH398" s="4"/>
      <c r="AI398" s="4"/>
    </row>
    <row r="399" ht="15.75" customHeight="1">
      <c r="A399" s="4" t="str">
        <f>IFERROR(__xludf.DUMMYFUNCTION("""COMPUTED_VALUE"""),"7f536740")</f>
        <v>7f536740</v>
      </c>
      <c r="B399" s="5">
        <f>IFERROR(__xludf.DUMMYFUNCTION("""COMPUTED_VALUE"""),46069.16402777778)</f>
        <v>46069.16403</v>
      </c>
      <c r="C399" s="4" t="str">
        <f>IFERROR(__xludf.DUMMYFUNCTION("""COMPUTED_VALUE"""),"-7.049545, 107.778884")</f>
        <v>-7.049545, 107.778884</v>
      </c>
      <c r="D399" s="4" t="str">
        <f>IFERROR(__xludf.DUMMYFUNCTION("""COMPUTED_VALUE"""),"fuad nugi")</f>
        <v>fuad nugi</v>
      </c>
      <c r="E399" s="4" t="str">
        <f>IFERROR(__xludf.DUMMYFUNCTION("""COMPUTED_VALUE"""),"BANDUNG")</f>
        <v>BANDUNG</v>
      </c>
      <c r="F399" s="4" t="str">
        <f>IFERROR(__xludf.DUMMYFUNCTION("""COMPUTED_VALUE"""),"KOPO")</f>
        <v>KOPO</v>
      </c>
      <c r="G399" s="4" t="str">
        <f>IFERROR(__xludf.DUMMYFUNCTION("""COMPUTED_VALUE"""),"NEW CIBEUREUM")</f>
        <v>NEW CIBEUREUM</v>
      </c>
      <c r="H399" s="4" t="str">
        <f>IFERROR(__xludf.DUMMYFUNCTION("""COMPUTED_VALUE"""),"WTH")</f>
        <v>WTH</v>
      </c>
      <c r="I399" s="4" t="str">
        <f>IFERROR(__xludf.DUMMYFUNCTION("""COMPUTED_VALUE"""),"THIC - THIF")</f>
        <v>THIC - THIF</v>
      </c>
      <c r="J399" s="4" t="str">
        <f>IFERROR(__xludf.DUMMYFUNCTION("""COMPUTED_VALUE"""),"ZONA 2")</f>
        <v>ZONA 2</v>
      </c>
      <c r="K399" s="4" t="str">
        <f>IFERROR(__xludf.DUMMYFUNCTION("""COMPUTED_VALUE"""),"007")</f>
        <v>007</v>
      </c>
      <c r="L399" s="4" t="str">
        <f>IFERROR(__xludf.DUMMYFUNCTION("""COMPUTED_VALUE"""),"TM - 14B/H (Akhir)")</f>
        <v>TM - 14B/H (Akhir)</v>
      </c>
      <c r="M399" s="4" t="str">
        <f>IFERROR(__xludf.DUMMYFUNCTION("""COMPUTED_VALUE"""),"Tidak Ada")</f>
        <v>Tidak Ada</v>
      </c>
      <c r="N399" s="4" t="str">
        <f>IFERROR(__xludf.DUMMYFUNCTION("""COMPUTED_VALUE"""),"-")</f>
        <v>-</v>
      </c>
      <c r="O399" s="4" t="str">
        <f>IFERROR(__xludf.DUMMYFUNCTION("""COMPUTED_VALUE"""),"PEMBANDING SEJENIS")</f>
        <v>PEMBANDING SEJENIS</v>
      </c>
      <c r="P399" s="4" t="str">
        <f>IFERROR(__xludf.DUMMYFUNCTION("""COMPUTED_VALUE"""),"KONEKTOR/JUMPER")</f>
        <v>KONEKTOR/JUMPER</v>
      </c>
      <c r="Q399" s="4">
        <f>IFERROR(__xludf.DUMMYFUNCTION("""COMPUTED_VALUE"""),21.0)</f>
        <v>21</v>
      </c>
      <c r="R399" s="4">
        <f>IFERROR(__xludf.DUMMYFUNCTION("""COMPUTED_VALUE"""),21.0)</f>
        <v>21</v>
      </c>
      <c r="S399" s="4">
        <f>IFERROR(__xludf.DUMMYFUNCTION("""COMPUTED_VALUE"""),22.0)</f>
        <v>22</v>
      </c>
      <c r="T399" s="4"/>
      <c r="U399" s="4" t="str">
        <f>IFERROR(__xludf.DUMMYFUNCTION("""COMPUTED_VALUE"""),"BAIK")</f>
        <v>BAIK</v>
      </c>
      <c r="V399" s="4" t="str">
        <f>IFERROR(__xludf.DUMMYFUNCTION("""COMPUTED_VALUE"""),"Tidak Ada")</f>
        <v>Tidak Ada</v>
      </c>
      <c r="W399" s="4"/>
      <c r="X399" s="4"/>
      <c r="Y399" s="4"/>
      <c r="Z399" s="4"/>
      <c r="AA399" s="4"/>
      <c r="AB399" s="4"/>
      <c r="AC399" s="4" t="str">
        <f>IFERROR(__xludf.DUMMYFUNCTION("""COMPUTED_VALUE"""),"INSPEKSI SUTM - T2_Images/7f536740.FOTO.205725.jpg")</f>
        <v>INSPEKSI SUTM - T2_Images/7f536740.FOTO.205725.jpg</v>
      </c>
      <c r="AD399" s="4"/>
      <c r="AE399" s="4"/>
      <c r="AF399" s="4" t="str">
        <f>IFERROR(__xludf.DUMMYFUNCTION("""COMPUTED_VALUE"""),"BELUM")</f>
        <v>BELUM</v>
      </c>
      <c r="AG399" s="6">
        <f>IFERROR(__xludf.DUMMYFUNCTION("""COMPUTED_VALUE"""),46069.0)</f>
        <v>46069</v>
      </c>
      <c r="AH399" s="4"/>
      <c r="AI399" s="4"/>
    </row>
    <row r="400" ht="15.75" customHeight="1">
      <c r="A400" s="4" t="str">
        <f>IFERROR(__xludf.DUMMYFUNCTION("""COMPUTED_VALUE"""),"9eb94cc7")</f>
        <v>9eb94cc7</v>
      </c>
      <c r="B400" s="5">
        <f>IFERROR(__xludf.DUMMYFUNCTION("""COMPUTED_VALUE"""),46073.39275462963)</f>
        <v>46073.39275</v>
      </c>
      <c r="C400" s="4" t="str">
        <f>IFERROR(__xludf.DUMMYFUNCTION("""COMPUTED_VALUE"""),"-6.963717, 107.646549")</f>
        <v>-6.963717, 107.646549</v>
      </c>
      <c r="D400" s="4" t="str">
        <f>IFERROR(__xludf.DUMMYFUNCTION("""COMPUTED_VALUE"""),"Alam deril")</f>
        <v>Alam deril</v>
      </c>
      <c r="E400" s="4" t="str">
        <f>IFERROR(__xludf.DUMMYFUNCTION("""COMPUTED_VALUE"""),"BANDUNG")</f>
        <v>BANDUNG</v>
      </c>
      <c r="F400" s="4" t="str">
        <f>IFERROR(__xludf.DUMMYFUNCTION("""COMPUTED_VALUE"""),"BANDUNG UTARA")</f>
        <v>BANDUNG UTARA</v>
      </c>
      <c r="G400" s="4" t="str">
        <f>IFERROR(__xludf.DUMMYFUNCTION("""COMPUTED_VALUE"""),"BENGKOK")</f>
        <v>BENGKOK</v>
      </c>
      <c r="H400" s="4" t="str">
        <f>IFERROR(__xludf.DUMMYFUNCTION("""COMPUTED_VALUE"""),"CGDG")</f>
        <v>CGDG</v>
      </c>
      <c r="I400" s="4" t="str">
        <f>IFERROR(__xludf.DUMMYFUNCTION("""COMPUTED_VALUE"""),"BNK-LBS BKRC")</f>
        <v>BNK-LBS BKRC</v>
      </c>
      <c r="J400" s="4" t="str">
        <f>IFERROR(__xludf.DUMMYFUNCTION("""COMPUTED_VALUE"""),"ZONA 2")</f>
        <v>ZONA 2</v>
      </c>
      <c r="K400" s="4" t="str">
        <f>IFERROR(__xludf.DUMMYFUNCTION("""COMPUTED_VALUE"""),"001R01")</f>
        <v>001R01</v>
      </c>
      <c r="L400" s="4" t="str">
        <f>IFERROR(__xludf.DUMMYFUNCTION("""COMPUTED_VALUE"""),"TM - 11B/H (Kabel Naik)")</f>
        <v>TM - 11B/H (Kabel Naik)</v>
      </c>
      <c r="M400" s="4" t="str">
        <f>IFERROR(__xludf.DUMMYFUNCTION("""COMPUTED_VALUE"""),"Tidak Ada")</f>
        <v>Tidak Ada</v>
      </c>
      <c r="N400" s="4"/>
      <c r="O400" s="4" t="str">
        <f>IFERROR(__xludf.DUMMYFUNCTION("""COMPUTED_VALUE"""),"PEMBANDING SEJENIS")</f>
        <v>PEMBANDING SEJENIS</v>
      </c>
      <c r="P400" s="4" t="str">
        <f>IFERROR(__xludf.DUMMYFUNCTION("""COMPUTED_VALUE"""),"KONEKTOR/JUMPER")</f>
        <v>KONEKTOR/JUMPER</v>
      </c>
      <c r="Q400" s="4">
        <f>IFERROR(__xludf.DUMMYFUNCTION("""COMPUTED_VALUE"""),20.0)</f>
        <v>20</v>
      </c>
      <c r="R400" s="4">
        <f>IFERROR(__xludf.DUMMYFUNCTION("""COMPUTED_VALUE"""),20.0)</f>
        <v>20</v>
      </c>
      <c r="S400" s="4">
        <f>IFERROR(__xludf.DUMMYFUNCTION("""COMPUTED_VALUE"""),20.0)</f>
        <v>20</v>
      </c>
      <c r="T400" s="4"/>
      <c r="U400" s="4" t="str">
        <f>IFERROR(__xludf.DUMMYFUNCTION("""COMPUTED_VALUE"""),"BAIK")</f>
        <v>BAIK</v>
      </c>
      <c r="V400" s="4" t="str">
        <f>IFERROR(__xludf.DUMMYFUNCTION("""COMPUTED_VALUE"""),"Tidak Ada")</f>
        <v>Tidak Ada</v>
      </c>
      <c r="W400" s="4"/>
      <c r="X400" s="4"/>
      <c r="Y400" s="4"/>
      <c r="Z400" s="4"/>
      <c r="AA400" s="4"/>
      <c r="AB400" s="4"/>
      <c r="AC400" s="4" t="str">
        <f>IFERROR(__xludf.DUMMYFUNCTION("""COMPUTED_VALUE"""),"INSPEKSI SUTM - T2_Images/9eb94cc7.FOTO.022616.jpg")</f>
        <v>INSPEKSI SUTM - T2_Images/9eb94cc7.FOTO.022616.jpg</v>
      </c>
      <c r="AD400" s="4"/>
      <c r="AE400" s="4"/>
      <c r="AF400" s="4" t="str">
        <f>IFERROR(__xludf.DUMMYFUNCTION("""COMPUTED_VALUE"""),"BELUM")</f>
        <v>BELUM</v>
      </c>
      <c r="AG400" s="6">
        <f>IFERROR(__xludf.DUMMYFUNCTION("""COMPUTED_VALUE"""),46073.0)</f>
        <v>46073</v>
      </c>
      <c r="AH400" s="4"/>
      <c r="AI400" s="4"/>
    </row>
    <row r="401" ht="15.75" customHeight="1">
      <c r="A401" s="4" t="str">
        <f>IFERROR(__xludf.DUMMYFUNCTION("""COMPUTED_VALUE"""),"5e118bdf")</f>
        <v>5e118bdf</v>
      </c>
      <c r="B401" s="5">
        <f>IFERROR(__xludf.DUMMYFUNCTION("""COMPUTED_VALUE"""),46073.39350694444)</f>
        <v>46073.39351</v>
      </c>
      <c r="C401" s="4" t="str">
        <f>IFERROR(__xludf.DUMMYFUNCTION("""COMPUTED_VALUE"""),"-6.963721, 107.646545")</f>
        <v>-6.963721, 107.646545</v>
      </c>
      <c r="D401" s="4" t="str">
        <f>IFERROR(__xludf.DUMMYFUNCTION("""COMPUTED_VALUE"""),"Alam deril")</f>
        <v>Alam deril</v>
      </c>
      <c r="E401" s="4" t="str">
        <f>IFERROR(__xludf.DUMMYFUNCTION("""COMPUTED_VALUE"""),"BANDUNG")</f>
        <v>BANDUNG</v>
      </c>
      <c r="F401" s="4" t="str">
        <f>IFERROR(__xludf.DUMMYFUNCTION("""COMPUTED_VALUE"""),"BANDUNG UTARA")</f>
        <v>BANDUNG UTARA</v>
      </c>
      <c r="G401" s="4" t="str">
        <f>IFERROR(__xludf.DUMMYFUNCTION("""COMPUTED_VALUE"""),"BENGKOK")</f>
        <v>BENGKOK</v>
      </c>
      <c r="H401" s="4" t="str">
        <f>IFERROR(__xludf.DUMMYFUNCTION("""COMPUTED_VALUE"""),"CGDG")</f>
        <v>CGDG</v>
      </c>
      <c r="I401" s="4" t="str">
        <f>IFERROR(__xludf.DUMMYFUNCTION("""COMPUTED_VALUE"""),"BNK-LBS BKRC")</f>
        <v>BNK-LBS BKRC</v>
      </c>
      <c r="J401" s="4" t="str">
        <f>IFERROR(__xludf.DUMMYFUNCTION("""COMPUTED_VALUE"""),"ZONA 2")</f>
        <v>ZONA 2</v>
      </c>
      <c r="K401" s="4" t="str">
        <f>IFERROR(__xludf.DUMMYFUNCTION("""COMPUTED_VALUE"""),"079")</f>
        <v>079</v>
      </c>
      <c r="L401" s="4" t="str">
        <f>IFERROR(__xludf.DUMMYFUNCTION("""COMPUTED_VALUE"""),"TM - 16B/H (REC/SSO/LBS)")</f>
        <v>TM - 16B/H (REC/SSO/LBS)</v>
      </c>
      <c r="M401" s="4" t="str">
        <f>IFERROR(__xludf.DUMMYFUNCTION("""COMPUTED_VALUE"""),"REC")</f>
        <v>REC</v>
      </c>
      <c r="N401" s="4" t="str">
        <f>IFERROR(__xludf.DUMMYFUNCTION("""COMPUTED_VALUE"""),"LLC")</f>
        <v>LLC</v>
      </c>
      <c r="O401" s="4" t="str">
        <f>IFERROR(__xludf.DUMMYFUNCTION("""COMPUTED_VALUE"""),"PEMBANDING SEJENIS")</f>
        <v>PEMBANDING SEJENIS</v>
      </c>
      <c r="P401" s="4" t="str">
        <f>IFERROR(__xludf.DUMMYFUNCTION("""COMPUTED_VALUE"""),"KONEKTOR/JUMPER")</f>
        <v>KONEKTOR/JUMPER</v>
      </c>
      <c r="Q401" s="4">
        <f>IFERROR(__xludf.DUMMYFUNCTION("""COMPUTED_VALUE"""),22.0)</f>
        <v>22</v>
      </c>
      <c r="R401" s="4">
        <f>IFERROR(__xludf.DUMMYFUNCTION("""COMPUTED_VALUE"""),23.0)</f>
        <v>23</v>
      </c>
      <c r="S401" s="4">
        <f>IFERROR(__xludf.DUMMYFUNCTION("""COMPUTED_VALUE"""),23.0)</f>
        <v>23</v>
      </c>
      <c r="T401" s="4"/>
      <c r="U401" s="4" t="str">
        <f>IFERROR(__xludf.DUMMYFUNCTION("""COMPUTED_VALUE"""),"BAIK")</f>
        <v>BAIK</v>
      </c>
      <c r="V401" s="4" t="str">
        <f>IFERROR(__xludf.DUMMYFUNCTION("""COMPUTED_VALUE"""),"Tidak Ada")</f>
        <v>Tidak Ada</v>
      </c>
      <c r="W401" s="4"/>
      <c r="X401" s="4"/>
      <c r="Y401" s="4"/>
      <c r="Z401" s="4"/>
      <c r="AA401" s="4"/>
      <c r="AB401" s="4"/>
      <c r="AC401" s="4" t="str">
        <f>IFERROR(__xludf.DUMMYFUNCTION("""COMPUTED_VALUE"""),"INSPEKSI SUTM - T2_Images/5e118bdf.FOTO.023101.jpg")</f>
        <v>INSPEKSI SUTM - T2_Images/5e118bdf.FOTO.023101.jpg</v>
      </c>
      <c r="AD401" s="4"/>
      <c r="AE401" s="4"/>
      <c r="AF401" s="4" t="str">
        <f>IFERROR(__xludf.DUMMYFUNCTION("""COMPUTED_VALUE"""),"BELUM")</f>
        <v>BELUM</v>
      </c>
      <c r="AG401" s="6">
        <f>IFERROR(__xludf.DUMMYFUNCTION("""COMPUTED_VALUE"""),46073.0)</f>
        <v>46073</v>
      </c>
      <c r="AH401" s="4"/>
      <c r="AI401" s="4"/>
    </row>
    <row r="402" ht="15.75" customHeight="1">
      <c r="A402" s="4" t="str">
        <f>IFERROR(__xludf.DUMMYFUNCTION("""COMPUTED_VALUE"""),"d4b5aebc")</f>
        <v>d4b5aebc</v>
      </c>
      <c r="B402" s="5">
        <f>IFERROR(__xludf.DUMMYFUNCTION("""COMPUTED_VALUE"""),46073.39418981481)</f>
        <v>46073.39419</v>
      </c>
      <c r="C402" s="4" t="str">
        <f>IFERROR(__xludf.DUMMYFUNCTION("""COMPUTED_VALUE"""),"-6.963695, 107.646570")</f>
        <v>-6.963695, 107.646570</v>
      </c>
      <c r="D402" s="4" t="str">
        <f>IFERROR(__xludf.DUMMYFUNCTION("""COMPUTED_VALUE"""),"Alam deril")</f>
        <v>Alam deril</v>
      </c>
      <c r="E402" s="4" t="str">
        <f>IFERROR(__xludf.DUMMYFUNCTION("""COMPUTED_VALUE"""),"BANDUNG")</f>
        <v>BANDUNG</v>
      </c>
      <c r="F402" s="4" t="str">
        <f>IFERROR(__xludf.DUMMYFUNCTION("""COMPUTED_VALUE"""),"BANDUNG UTARA")</f>
        <v>BANDUNG UTARA</v>
      </c>
      <c r="G402" s="4" t="str">
        <f>IFERROR(__xludf.DUMMYFUNCTION("""COMPUTED_VALUE"""),"BENGKOK")</f>
        <v>BENGKOK</v>
      </c>
      <c r="H402" s="4" t="str">
        <f>IFERROR(__xludf.DUMMYFUNCTION("""COMPUTED_VALUE"""),"CGDG")</f>
        <v>CGDG</v>
      </c>
      <c r="I402" s="4" t="str">
        <f>IFERROR(__xludf.DUMMYFUNCTION("""COMPUTED_VALUE"""),"BNK-LBS BKRC")</f>
        <v>BNK-LBS BKRC</v>
      </c>
      <c r="J402" s="4" t="str">
        <f>IFERROR(__xludf.DUMMYFUNCTION("""COMPUTED_VALUE"""),"ZONA 2")</f>
        <v>ZONA 2</v>
      </c>
      <c r="K402" s="4" t="str">
        <f>IFERROR(__xludf.DUMMYFUNCTION("""COMPUTED_VALUE"""),"080")</f>
        <v>080</v>
      </c>
      <c r="L402" s="4" t="str">
        <f>IFERROR(__xludf.DUMMYFUNCTION("""COMPUTED_VALUE"""),"TM - 7B/H (Afspan 90 Derajat)")</f>
        <v>TM - 7B/H (Afspan 90 Derajat)</v>
      </c>
      <c r="M402" s="4" t="str">
        <f>IFERROR(__xludf.DUMMYFUNCTION("""COMPUTED_VALUE"""),"Tidak Ada")</f>
        <v>Tidak Ada</v>
      </c>
      <c r="N402" s="4"/>
      <c r="O402" s="4" t="str">
        <f>IFERROR(__xludf.DUMMYFUNCTION("""COMPUTED_VALUE"""),"PEMBANDING SEJENIS")</f>
        <v>PEMBANDING SEJENIS</v>
      </c>
      <c r="P402" s="4" t="str">
        <f>IFERROR(__xludf.DUMMYFUNCTION("""COMPUTED_VALUE"""),"KONEKTOR/JUMPER")</f>
        <v>KONEKTOR/JUMPER</v>
      </c>
      <c r="Q402" s="4">
        <f>IFERROR(__xludf.DUMMYFUNCTION("""COMPUTED_VALUE"""),22.0)</f>
        <v>22</v>
      </c>
      <c r="R402" s="4">
        <f>IFERROR(__xludf.DUMMYFUNCTION("""COMPUTED_VALUE"""),22.0)</f>
        <v>22</v>
      </c>
      <c r="S402" s="4">
        <f>IFERROR(__xludf.DUMMYFUNCTION("""COMPUTED_VALUE"""),21.0)</f>
        <v>21</v>
      </c>
      <c r="T402" s="4"/>
      <c r="U402" s="4" t="str">
        <f>IFERROR(__xludf.DUMMYFUNCTION("""COMPUTED_VALUE"""),"BAIK")</f>
        <v>BAIK</v>
      </c>
      <c r="V402" s="4" t="str">
        <f>IFERROR(__xludf.DUMMYFUNCTION("""COMPUTED_VALUE"""),"Tidak Ada")</f>
        <v>Tidak Ada</v>
      </c>
      <c r="W402" s="4"/>
      <c r="X402" s="4"/>
      <c r="Y402" s="4"/>
      <c r="Z402" s="4"/>
      <c r="AA402" s="4"/>
      <c r="AB402" s="4"/>
      <c r="AC402" s="4" t="str">
        <f>IFERROR(__xludf.DUMMYFUNCTION("""COMPUTED_VALUE"""),"INSPEKSI SUTM - T2_Images/d4b5aebc.FOTO.023128.jpg")</f>
        <v>INSPEKSI SUTM - T2_Images/d4b5aebc.FOTO.023128.jpg</v>
      </c>
      <c r="AD402" s="4"/>
      <c r="AE402" s="4"/>
      <c r="AF402" s="4" t="str">
        <f>IFERROR(__xludf.DUMMYFUNCTION("""COMPUTED_VALUE"""),"BELUM")</f>
        <v>BELUM</v>
      </c>
      <c r="AG402" s="6">
        <f>IFERROR(__xludf.DUMMYFUNCTION("""COMPUTED_VALUE"""),46073.0)</f>
        <v>46073</v>
      </c>
      <c r="AH402" s="4"/>
      <c r="AI402" s="4"/>
    </row>
    <row r="403" ht="15.75" customHeight="1">
      <c r="A403" s="4" t="str">
        <f>IFERROR(__xludf.DUMMYFUNCTION("""COMPUTED_VALUE"""),"875f37c2")</f>
        <v>875f37c2</v>
      </c>
      <c r="B403" s="5">
        <f>IFERROR(__xludf.DUMMYFUNCTION("""COMPUTED_VALUE"""),46073.39696759259)</f>
        <v>46073.39697</v>
      </c>
      <c r="C403" s="4" t="str">
        <f>IFERROR(__xludf.DUMMYFUNCTION("""COMPUTED_VALUE"""),"-6.963700, 107.646574")</f>
        <v>-6.963700, 107.646574</v>
      </c>
      <c r="D403" s="4" t="str">
        <f>IFERROR(__xludf.DUMMYFUNCTION("""COMPUTED_VALUE"""),"Alam deril")</f>
        <v>Alam deril</v>
      </c>
      <c r="E403" s="4" t="str">
        <f>IFERROR(__xludf.DUMMYFUNCTION("""COMPUTED_VALUE"""),"BANDUNG")</f>
        <v>BANDUNG</v>
      </c>
      <c r="F403" s="4" t="str">
        <f>IFERROR(__xludf.DUMMYFUNCTION("""COMPUTED_VALUE"""),"BANDUNG UTARA")</f>
        <v>BANDUNG UTARA</v>
      </c>
      <c r="G403" s="4" t="str">
        <f>IFERROR(__xludf.DUMMYFUNCTION("""COMPUTED_VALUE"""),"BENGKOK")</f>
        <v>BENGKOK</v>
      </c>
      <c r="H403" s="4" t="str">
        <f>IFERROR(__xludf.DUMMYFUNCTION("""COMPUTED_VALUE"""),"CGDG")</f>
        <v>CGDG</v>
      </c>
      <c r="I403" s="4" t="str">
        <f>IFERROR(__xludf.DUMMYFUNCTION("""COMPUTED_VALUE"""),"BNK-LBS BKRC")</f>
        <v>BNK-LBS BKRC</v>
      </c>
      <c r="J403" s="4" t="str">
        <f>IFERROR(__xludf.DUMMYFUNCTION("""COMPUTED_VALUE"""),"ZONA 2")</f>
        <v>ZONA 2</v>
      </c>
      <c r="K403" s="4" t="str">
        <f>IFERROR(__xludf.DUMMYFUNCTION("""COMPUTED_VALUE"""),"083")</f>
        <v>083</v>
      </c>
      <c r="L403" s="4" t="str">
        <f>IFERROR(__xludf.DUMMYFUNCTION("""COMPUTED_VALUE"""),"TM - 8BC/HC (Percabangan dengan CO)")</f>
        <v>TM - 8BC/HC (Percabangan dengan CO)</v>
      </c>
      <c r="M403" s="4" t="str">
        <f>IFERROR(__xludf.DUMMYFUNCTION("""COMPUTED_VALUE"""),"Tidak Ada")</f>
        <v>Tidak Ada</v>
      </c>
      <c r="N403" s="4"/>
      <c r="O403" s="4" t="str">
        <f>IFERROR(__xludf.DUMMYFUNCTION("""COMPUTED_VALUE"""),"PEMBANDING SEJENIS")</f>
        <v>PEMBANDING SEJENIS</v>
      </c>
      <c r="P403" s="4" t="str">
        <f>IFERROR(__xludf.DUMMYFUNCTION("""COMPUTED_VALUE"""),"KONEKTOR/JUMPER")</f>
        <v>KONEKTOR/JUMPER</v>
      </c>
      <c r="Q403" s="4">
        <f>IFERROR(__xludf.DUMMYFUNCTION("""COMPUTED_VALUE"""),25.0)</f>
        <v>25</v>
      </c>
      <c r="R403" s="4">
        <f>IFERROR(__xludf.DUMMYFUNCTION("""COMPUTED_VALUE"""),24.0)</f>
        <v>24</v>
      </c>
      <c r="S403" s="4">
        <f>IFERROR(__xludf.DUMMYFUNCTION("""COMPUTED_VALUE"""),24.0)</f>
        <v>24</v>
      </c>
      <c r="T403" s="4"/>
      <c r="U403" s="4" t="str">
        <f>IFERROR(__xludf.DUMMYFUNCTION("""COMPUTED_VALUE"""),"BAIK")</f>
        <v>BAIK</v>
      </c>
      <c r="V403" s="4" t="str">
        <f>IFERROR(__xludf.DUMMYFUNCTION("""COMPUTED_VALUE"""),"Tidak Ada")</f>
        <v>Tidak Ada</v>
      </c>
      <c r="W403" s="4"/>
      <c r="X403" s="4"/>
      <c r="Y403" s="4"/>
      <c r="Z403" s="4"/>
      <c r="AA403" s="4"/>
      <c r="AB403" s="4"/>
      <c r="AC403" s="4" t="str">
        <f>IFERROR(__xludf.DUMMYFUNCTION("""COMPUTED_VALUE"""),"INSPEKSI SUTM - T2_Images/875f37c2.FOTO.023235.jpg")</f>
        <v>INSPEKSI SUTM - T2_Images/875f37c2.FOTO.023235.jpg</v>
      </c>
      <c r="AD403" s="4"/>
      <c r="AE403" s="4"/>
      <c r="AF403" s="4" t="str">
        <f>IFERROR(__xludf.DUMMYFUNCTION("""COMPUTED_VALUE"""),"BELUM")</f>
        <v>BELUM</v>
      </c>
      <c r="AG403" s="6">
        <f>IFERROR(__xludf.DUMMYFUNCTION("""COMPUTED_VALUE"""),46073.0)</f>
        <v>46073</v>
      </c>
      <c r="AH403" s="4"/>
      <c r="AI403" s="4"/>
    </row>
    <row r="404" ht="15.75" customHeight="1">
      <c r="A404" s="4" t="str">
        <f>IFERROR(__xludf.DUMMYFUNCTION("""COMPUTED_VALUE"""),"d27685ac")</f>
        <v>d27685ac</v>
      </c>
      <c r="B404" s="5">
        <f>IFERROR(__xludf.DUMMYFUNCTION("""COMPUTED_VALUE"""),46073.39774305555)</f>
        <v>46073.39774</v>
      </c>
      <c r="C404" s="4" t="str">
        <f>IFERROR(__xludf.DUMMYFUNCTION("""COMPUTED_VALUE"""),"-6.963713, 107.646578")</f>
        <v>-6.963713, 107.646578</v>
      </c>
      <c r="D404" s="4" t="str">
        <f>IFERROR(__xludf.DUMMYFUNCTION("""COMPUTED_VALUE"""),"Alam deril")</f>
        <v>Alam deril</v>
      </c>
      <c r="E404" s="4" t="str">
        <f>IFERROR(__xludf.DUMMYFUNCTION("""COMPUTED_VALUE"""),"BANDUNG")</f>
        <v>BANDUNG</v>
      </c>
      <c r="F404" s="4" t="str">
        <f>IFERROR(__xludf.DUMMYFUNCTION("""COMPUTED_VALUE"""),"BANDUNG UTARA")</f>
        <v>BANDUNG UTARA</v>
      </c>
      <c r="G404" s="4" t="str">
        <f>IFERROR(__xludf.DUMMYFUNCTION("""COMPUTED_VALUE"""),"BENGKOK")</f>
        <v>BENGKOK</v>
      </c>
      <c r="H404" s="4" t="str">
        <f>IFERROR(__xludf.DUMMYFUNCTION("""COMPUTED_VALUE"""),"CGDG")</f>
        <v>CGDG</v>
      </c>
      <c r="I404" s="4" t="str">
        <f>IFERROR(__xludf.DUMMYFUNCTION("""COMPUTED_VALUE"""),"BNK-LBS BKRC")</f>
        <v>BNK-LBS BKRC</v>
      </c>
      <c r="J404" s="4" t="str">
        <f>IFERROR(__xludf.DUMMYFUNCTION("""COMPUTED_VALUE"""),"ZONA 2")</f>
        <v>ZONA 2</v>
      </c>
      <c r="K404" s="4" t="str">
        <f>IFERROR(__xludf.DUMMYFUNCTION("""COMPUTED_VALUE"""),"083R05")</f>
        <v>083R05</v>
      </c>
      <c r="L404" s="4" t="str">
        <f>IFERROR(__xludf.DUMMYFUNCTION("""COMPUTED_VALUE"""),"TM - 7B/H (Afspan 90 Derajat)")</f>
        <v>TM - 7B/H (Afspan 90 Derajat)</v>
      </c>
      <c r="M404" s="4" t="str">
        <f>IFERROR(__xludf.DUMMYFUNCTION("""COMPUTED_VALUE"""),"Tidak Ada")</f>
        <v>Tidak Ada</v>
      </c>
      <c r="N404" s="4"/>
      <c r="O404" s="4" t="str">
        <f>IFERROR(__xludf.DUMMYFUNCTION("""COMPUTED_VALUE"""),"PEMBANDING SEJENIS")</f>
        <v>PEMBANDING SEJENIS</v>
      </c>
      <c r="P404" s="4" t="str">
        <f>IFERROR(__xludf.DUMMYFUNCTION("""COMPUTED_VALUE"""),"KONEKTOR/JUMPER")</f>
        <v>KONEKTOR/JUMPER</v>
      </c>
      <c r="Q404" s="4">
        <f>IFERROR(__xludf.DUMMYFUNCTION("""COMPUTED_VALUE"""),24.0)</f>
        <v>24</v>
      </c>
      <c r="R404" s="4">
        <f>IFERROR(__xludf.DUMMYFUNCTION("""COMPUTED_VALUE"""),24.0)</f>
        <v>24</v>
      </c>
      <c r="S404" s="4">
        <f>IFERROR(__xludf.DUMMYFUNCTION("""COMPUTED_VALUE"""),24.0)</f>
        <v>24</v>
      </c>
      <c r="T404" s="4"/>
      <c r="U404" s="4" t="str">
        <f>IFERROR(__xludf.DUMMYFUNCTION("""COMPUTED_VALUE"""),"BAIK")</f>
        <v>BAIK</v>
      </c>
      <c r="V404" s="4" t="str">
        <f>IFERROR(__xludf.DUMMYFUNCTION("""COMPUTED_VALUE"""),"Tidak Ada")</f>
        <v>Tidak Ada</v>
      </c>
      <c r="W404" s="4"/>
      <c r="X404" s="4"/>
      <c r="Y404" s="4"/>
      <c r="Z404" s="4"/>
      <c r="AA404" s="4"/>
      <c r="AB404" s="4"/>
      <c r="AC404" s="4" t="str">
        <f>IFERROR(__xludf.DUMMYFUNCTION("""COMPUTED_VALUE"""),"INSPEKSI SUTM - T2_Images/d27685ac.FOTO.023329.jpg")</f>
        <v>INSPEKSI SUTM - T2_Images/d27685ac.FOTO.023329.jpg</v>
      </c>
      <c r="AD404" s="4"/>
      <c r="AE404" s="4"/>
      <c r="AF404" s="4" t="str">
        <f>IFERROR(__xludf.DUMMYFUNCTION("""COMPUTED_VALUE"""),"BELUM")</f>
        <v>BELUM</v>
      </c>
      <c r="AG404" s="6">
        <f>IFERROR(__xludf.DUMMYFUNCTION("""COMPUTED_VALUE"""),46073.0)</f>
        <v>46073</v>
      </c>
      <c r="AH404" s="4"/>
      <c r="AI404" s="4"/>
    </row>
    <row r="405" ht="15.75" customHeight="1">
      <c r="A405" s="4" t="str">
        <f>IFERROR(__xludf.DUMMYFUNCTION("""COMPUTED_VALUE"""),"d04ac600")</f>
        <v>d04ac600</v>
      </c>
      <c r="B405" s="5">
        <f>IFERROR(__xludf.DUMMYFUNCTION("""COMPUTED_VALUE"""),46073.39827546296)</f>
        <v>46073.39828</v>
      </c>
      <c r="C405" s="4" t="str">
        <f>IFERROR(__xludf.DUMMYFUNCTION("""COMPUTED_VALUE"""),"-6.963710, 107.646579")</f>
        <v>-6.963710, 107.646579</v>
      </c>
      <c r="D405" s="4" t="str">
        <f>IFERROR(__xludf.DUMMYFUNCTION("""COMPUTED_VALUE"""),"Alam deril")</f>
        <v>Alam deril</v>
      </c>
      <c r="E405" s="4" t="str">
        <f>IFERROR(__xludf.DUMMYFUNCTION("""COMPUTED_VALUE"""),"BANDUNG")</f>
        <v>BANDUNG</v>
      </c>
      <c r="F405" s="4" t="str">
        <f>IFERROR(__xludf.DUMMYFUNCTION("""COMPUTED_VALUE"""),"BANDUNG UTARA")</f>
        <v>BANDUNG UTARA</v>
      </c>
      <c r="G405" s="4" t="str">
        <f>IFERROR(__xludf.DUMMYFUNCTION("""COMPUTED_VALUE"""),"BENGKOK")</f>
        <v>BENGKOK</v>
      </c>
      <c r="H405" s="4" t="str">
        <f>IFERROR(__xludf.DUMMYFUNCTION("""COMPUTED_VALUE"""),"CGDG")</f>
        <v>CGDG</v>
      </c>
      <c r="I405" s="4" t="str">
        <f>IFERROR(__xludf.DUMMYFUNCTION("""COMPUTED_VALUE"""),"BNK-LBS BKRC")</f>
        <v>BNK-LBS BKRC</v>
      </c>
      <c r="J405" s="4" t="str">
        <f>IFERROR(__xludf.DUMMYFUNCTION("""COMPUTED_VALUE"""),"ZONA 2")</f>
        <v>ZONA 2</v>
      </c>
      <c r="K405" s="4" t="str">
        <f>IFERROR(__xludf.DUMMYFUNCTION("""COMPUTED_VALUE"""),"083R06")</f>
        <v>083R06</v>
      </c>
      <c r="L405" s="4" t="str">
        <f>IFERROR(__xludf.DUMMYFUNCTION("""COMPUTED_VALUE"""),"TM - 7B/H (Afspan 90 Derajat)")</f>
        <v>TM - 7B/H (Afspan 90 Derajat)</v>
      </c>
      <c r="M405" s="4" t="str">
        <f>IFERROR(__xludf.DUMMYFUNCTION("""COMPUTED_VALUE"""),"Tidak Ada")</f>
        <v>Tidak Ada</v>
      </c>
      <c r="N405" s="4"/>
      <c r="O405" s="4" t="str">
        <f>IFERROR(__xludf.DUMMYFUNCTION("""COMPUTED_VALUE"""),"PEMBANDING SEJENIS")</f>
        <v>PEMBANDING SEJENIS</v>
      </c>
      <c r="P405" s="4" t="str">
        <f>IFERROR(__xludf.DUMMYFUNCTION("""COMPUTED_VALUE"""),"KONEKTOR/JUMPER")</f>
        <v>KONEKTOR/JUMPER</v>
      </c>
      <c r="Q405" s="4">
        <f>IFERROR(__xludf.DUMMYFUNCTION("""COMPUTED_VALUE"""),24.0)</f>
        <v>24</v>
      </c>
      <c r="R405" s="4">
        <f>IFERROR(__xludf.DUMMYFUNCTION("""COMPUTED_VALUE"""),24.0)</f>
        <v>24</v>
      </c>
      <c r="S405" s="4">
        <f>IFERROR(__xludf.DUMMYFUNCTION("""COMPUTED_VALUE"""),23.0)</f>
        <v>23</v>
      </c>
      <c r="T405" s="4"/>
      <c r="U405" s="4" t="str">
        <f>IFERROR(__xludf.DUMMYFUNCTION("""COMPUTED_VALUE"""),"BAIK")</f>
        <v>BAIK</v>
      </c>
      <c r="V405" s="4" t="str">
        <f>IFERROR(__xludf.DUMMYFUNCTION("""COMPUTED_VALUE"""),"Tidak Ada")</f>
        <v>Tidak Ada</v>
      </c>
      <c r="W405" s="4"/>
      <c r="X405" s="4"/>
      <c r="Y405" s="4"/>
      <c r="Z405" s="4"/>
      <c r="AA405" s="4"/>
      <c r="AB405" s="4"/>
      <c r="AC405" s="4" t="str">
        <f>IFERROR(__xludf.DUMMYFUNCTION("""COMPUTED_VALUE"""),"INSPEKSI SUTM - T2_Images/d04ac600.FOTO.023418.jpg")</f>
        <v>INSPEKSI SUTM - T2_Images/d04ac600.FOTO.023418.jpg</v>
      </c>
      <c r="AD405" s="4"/>
      <c r="AE405" s="4"/>
      <c r="AF405" s="4" t="str">
        <f>IFERROR(__xludf.DUMMYFUNCTION("""COMPUTED_VALUE"""),"BELUM")</f>
        <v>BELUM</v>
      </c>
      <c r="AG405" s="6">
        <f>IFERROR(__xludf.DUMMYFUNCTION("""COMPUTED_VALUE"""),46073.0)</f>
        <v>46073</v>
      </c>
      <c r="AH405" s="4"/>
      <c r="AI405" s="4"/>
    </row>
    <row r="406" ht="15.75" customHeight="1">
      <c r="A406" s="4" t="str">
        <f>IFERROR(__xludf.DUMMYFUNCTION("""COMPUTED_VALUE"""),"0f44bf00")</f>
        <v>0f44bf00</v>
      </c>
      <c r="B406" s="5">
        <f>IFERROR(__xludf.DUMMYFUNCTION("""COMPUTED_VALUE"""),46073.39886574074)</f>
        <v>46073.39887</v>
      </c>
      <c r="C406" s="4" t="str">
        <f>IFERROR(__xludf.DUMMYFUNCTION("""COMPUTED_VALUE"""),"-6.963709, 107.646585")</f>
        <v>-6.963709, 107.646585</v>
      </c>
      <c r="D406" s="4" t="str">
        <f>IFERROR(__xludf.DUMMYFUNCTION("""COMPUTED_VALUE"""),"Alam deril")</f>
        <v>Alam deril</v>
      </c>
      <c r="E406" s="4" t="str">
        <f>IFERROR(__xludf.DUMMYFUNCTION("""COMPUTED_VALUE"""),"BANDUNG")</f>
        <v>BANDUNG</v>
      </c>
      <c r="F406" s="4" t="str">
        <f>IFERROR(__xludf.DUMMYFUNCTION("""COMPUTED_VALUE"""),"BANDUNG UTARA")</f>
        <v>BANDUNG UTARA</v>
      </c>
      <c r="G406" s="4" t="str">
        <f>IFERROR(__xludf.DUMMYFUNCTION("""COMPUTED_VALUE"""),"BENGKOK")</f>
        <v>BENGKOK</v>
      </c>
      <c r="H406" s="4" t="str">
        <f>IFERROR(__xludf.DUMMYFUNCTION("""COMPUTED_VALUE"""),"CGDG")</f>
        <v>CGDG</v>
      </c>
      <c r="I406" s="4" t="str">
        <f>IFERROR(__xludf.DUMMYFUNCTION("""COMPUTED_VALUE"""),"BNK-LBS BKRC")</f>
        <v>BNK-LBS BKRC</v>
      </c>
      <c r="J406" s="4" t="str">
        <f>IFERROR(__xludf.DUMMYFUNCTION("""COMPUTED_VALUE"""),"ZONA 2")</f>
        <v>ZONA 2</v>
      </c>
      <c r="K406" s="4" t="str">
        <f>IFERROR(__xludf.DUMMYFUNCTION("""COMPUTED_VALUE"""),"083R08")</f>
        <v>083R08</v>
      </c>
      <c r="L406" s="4" t="str">
        <f>IFERROR(__xludf.DUMMYFUNCTION("""COMPUTED_VALUE"""),"TM - 7B/H (Afspan 90 Derajat)")</f>
        <v>TM - 7B/H (Afspan 90 Derajat)</v>
      </c>
      <c r="M406" s="4" t="str">
        <f>IFERROR(__xludf.DUMMYFUNCTION("""COMPUTED_VALUE"""),"Tidak Ada")</f>
        <v>Tidak Ada</v>
      </c>
      <c r="N406" s="4"/>
      <c r="O406" s="4" t="str">
        <f>IFERROR(__xludf.DUMMYFUNCTION("""COMPUTED_VALUE"""),"PEMBANDING SEJENIS")</f>
        <v>PEMBANDING SEJENIS</v>
      </c>
      <c r="P406" s="4" t="str">
        <f>IFERROR(__xludf.DUMMYFUNCTION("""COMPUTED_VALUE"""),"KONEKTOR/JUMPER")</f>
        <v>KONEKTOR/JUMPER</v>
      </c>
      <c r="Q406" s="4">
        <f>IFERROR(__xludf.DUMMYFUNCTION("""COMPUTED_VALUE"""),23.0)</f>
        <v>23</v>
      </c>
      <c r="R406" s="4">
        <f>IFERROR(__xludf.DUMMYFUNCTION("""COMPUTED_VALUE"""),23.0)</f>
        <v>23</v>
      </c>
      <c r="S406" s="4">
        <f>IFERROR(__xludf.DUMMYFUNCTION("""COMPUTED_VALUE"""),23.0)</f>
        <v>23</v>
      </c>
      <c r="T406" s="4"/>
      <c r="U406" s="4" t="str">
        <f>IFERROR(__xludf.DUMMYFUNCTION("""COMPUTED_VALUE"""),"BAIK")</f>
        <v>BAIK</v>
      </c>
      <c r="V406" s="4" t="str">
        <f>IFERROR(__xludf.DUMMYFUNCTION("""COMPUTED_VALUE"""),"Tidak Ada")</f>
        <v>Tidak Ada</v>
      </c>
      <c r="W406" s="4"/>
      <c r="X406" s="4"/>
      <c r="Y406" s="4"/>
      <c r="Z406" s="4"/>
      <c r="AA406" s="4"/>
      <c r="AB406" s="4"/>
      <c r="AC406" s="4" t="str">
        <f>IFERROR(__xludf.DUMMYFUNCTION("""COMPUTED_VALUE"""),"INSPEKSI SUTM - T2_Images/0f44bf00.FOTO.023506.jpg")</f>
        <v>INSPEKSI SUTM - T2_Images/0f44bf00.FOTO.023506.jpg</v>
      </c>
      <c r="AD406" s="4"/>
      <c r="AE406" s="4"/>
      <c r="AF406" s="4" t="str">
        <f>IFERROR(__xludf.DUMMYFUNCTION("""COMPUTED_VALUE"""),"BELUM")</f>
        <v>BELUM</v>
      </c>
      <c r="AG406" s="6">
        <f>IFERROR(__xludf.DUMMYFUNCTION("""COMPUTED_VALUE"""),46073.0)</f>
        <v>46073</v>
      </c>
      <c r="AH406" s="4"/>
      <c r="AI406" s="4"/>
    </row>
    <row r="407" ht="15.75" customHeight="1">
      <c r="A407" s="4" t="str">
        <f>IFERROR(__xludf.DUMMYFUNCTION("""COMPUTED_VALUE"""),"c7caecbc")</f>
        <v>c7caecbc</v>
      </c>
      <c r="B407" s="5">
        <f>IFERROR(__xludf.DUMMYFUNCTION("""COMPUTED_VALUE"""),46073.400358796294)</f>
        <v>46073.40036</v>
      </c>
      <c r="C407" s="4" t="str">
        <f>IFERROR(__xludf.DUMMYFUNCTION("""COMPUTED_VALUE"""),"-6.963711, 107.646575")</f>
        <v>-6.963711, 107.646575</v>
      </c>
      <c r="D407" s="4" t="str">
        <f>IFERROR(__xludf.DUMMYFUNCTION("""COMPUTED_VALUE"""),"Alam deril")</f>
        <v>Alam deril</v>
      </c>
      <c r="E407" s="4" t="str">
        <f>IFERROR(__xludf.DUMMYFUNCTION("""COMPUTED_VALUE"""),"BANDUNG")</f>
        <v>BANDUNG</v>
      </c>
      <c r="F407" s="4" t="str">
        <f>IFERROR(__xludf.DUMMYFUNCTION("""COMPUTED_VALUE"""),"BANDUNG UTARA")</f>
        <v>BANDUNG UTARA</v>
      </c>
      <c r="G407" s="4" t="str">
        <f>IFERROR(__xludf.DUMMYFUNCTION("""COMPUTED_VALUE"""),"BENGKOK")</f>
        <v>BENGKOK</v>
      </c>
      <c r="H407" s="4" t="str">
        <f>IFERROR(__xludf.DUMMYFUNCTION("""COMPUTED_VALUE"""),"CGDG")</f>
        <v>CGDG</v>
      </c>
      <c r="I407" s="4" t="str">
        <f>IFERROR(__xludf.DUMMYFUNCTION("""COMPUTED_VALUE"""),"BNK-LBS BKRC")</f>
        <v>BNK-LBS BKRC</v>
      </c>
      <c r="J407" s="4" t="str">
        <f>IFERROR(__xludf.DUMMYFUNCTION("""COMPUTED_VALUE"""),"ZONA 2")</f>
        <v>ZONA 2</v>
      </c>
      <c r="K407" s="4" t="str">
        <f>IFERROR(__xludf.DUMMYFUNCTION("""COMPUTED_VALUE"""),"083R010")</f>
        <v>083R010</v>
      </c>
      <c r="L407" s="4" t="str">
        <f>IFERROR(__xludf.DUMMYFUNCTION("""COMPUTED_VALUE"""),"TM - 13B/H (Kabel Naik Pada Tiang Tumpu)")</f>
        <v>TM - 13B/H (Kabel Naik Pada Tiang Tumpu)</v>
      </c>
      <c r="M407" s="4" t="str">
        <f>IFERROR(__xludf.DUMMYFUNCTION("""COMPUTED_VALUE"""),"Gardu")</f>
        <v>Gardu</v>
      </c>
      <c r="N407" s="4" t="str">
        <f>IFERROR(__xludf.DUMMYFUNCTION("""COMPUTED_VALUE"""),"KPSA")</f>
        <v>KPSA</v>
      </c>
      <c r="O407" s="4" t="str">
        <f>IFERROR(__xludf.DUMMYFUNCTION("""COMPUTED_VALUE"""),"PEMBANDING SEJENIS")</f>
        <v>PEMBANDING SEJENIS</v>
      </c>
      <c r="P407" s="4" t="str">
        <f>IFERROR(__xludf.DUMMYFUNCTION("""COMPUTED_VALUE"""),"KONEKTOR/JUMPER")</f>
        <v>KONEKTOR/JUMPER</v>
      </c>
      <c r="Q407" s="4">
        <f>IFERROR(__xludf.DUMMYFUNCTION("""COMPUTED_VALUE"""),23.0)</f>
        <v>23</v>
      </c>
      <c r="R407" s="4">
        <f>IFERROR(__xludf.DUMMYFUNCTION("""COMPUTED_VALUE"""),23.0)</f>
        <v>23</v>
      </c>
      <c r="S407" s="4">
        <f>IFERROR(__xludf.DUMMYFUNCTION("""COMPUTED_VALUE"""),22.0)</f>
        <v>22</v>
      </c>
      <c r="T407" s="4"/>
      <c r="U407" s="4" t="str">
        <f>IFERROR(__xludf.DUMMYFUNCTION("""COMPUTED_VALUE"""),"BAIK")</f>
        <v>BAIK</v>
      </c>
      <c r="V407" s="4" t="str">
        <f>IFERROR(__xludf.DUMMYFUNCTION("""COMPUTED_VALUE"""),"Tidak Ada")</f>
        <v>Tidak Ada</v>
      </c>
      <c r="W407" s="4"/>
      <c r="X407" s="4"/>
      <c r="Y407" s="4"/>
      <c r="Z407" s="4"/>
      <c r="AA407" s="4"/>
      <c r="AB407" s="4"/>
      <c r="AC407" s="4" t="str">
        <f>IFERROR(__xludf.DUMMYFUNCTION("""COMPUTED_VALUE"""),"INSPEKSI SUTM - T2_Images/c7caecbc.FOTO.023713.jpg")</f>
        <v>INSPEKSI SUTM - T2_Images/c7caecbc.FOTO.023713.jpg</v>
      </c>
      <c r="AD407" s="4"/>
      <c r="AE407" s="4"/>
      <c r="AF407" s="4" t="str">
        <f>IFERROR(__xludf.DUMMYFUNCTION("""COMPUTED_VALUE"""),"BELUM")</f>
        <v>BELUM</v>
      </c>
      <c r="AG407" s="6">
        <f>IFERROR(__xludf.DUMMYFUNCTION("""COMPUTED_VALUE"""),46073.0)</f>
        <v>46073</v>
      </c>
      <c r="AH407" s="4"/>
      <c r="AI407" s="4"/>
    </row>
    <row r="408" ht="15.75" customHeight="1">
      <c r="A408" s="4" t="str">
        <f>IFERROR(__xludf.DUMMYFUNCTION("""COMPUTED_VALUE"""),"7b0af178")</f>
        <v>7b0af178</v>
      </c>
      <c r="B408" s="5">
        <f>IFERROR(__xludf.DUMMYFUNCTION("""COMPUTED_VALUE"""),46073.400868055556)</f>
        <v>46073.40087</v>
      </c>
      <c r="C408" s="4" t="str">
        <f>IFERROR(__xludf.DUMMYFUNCTION("""COMPUTED_VALUE"""),"-6.963710, 107.646570")</f>
        <v>-6.963710, 107.646570</v>
      </c>
      <c r="D408" s="4" t="str">
        <f>IFERROR(__xludf.DUMMYFUNCTION("""COMPUTED_VALUE"""),"Alam deril")</f>
        <v>Alam deril</v>
      </c>
      <c r="E408" s="4" t="str">
        <f>IFERROR(__xludf.DUMMYFUNCTION("""COMPUTED_VALUE"""),"BANDUNG")</f>
        <v>BANDUNG</v>
      </c>
      <c r="F408" s="4" t="str">
        <f>IFERROR(__xludf.DUMMYFUNCTION("""COMPUTED_VALUE"""),"BANDUNG UTARA")</f>
        <v>BANDUNG UTARA</v>
      </c>
      <c r="G408" s="4" t="str">
        <f>IFERROR(__xludf.DUMMYFUNCTION("""COMPUTED_VALUE"""),"BENGKOK")</f>
        <v>BENGKOK</v>
      </c>
      <c r="H408" s="4" t="str">
        <f>IFERROR(__xludf.DUMMYFUNCTION("""COMPUTED_VALUE"""),"CGDG")</f>
        <v>CGDG</v>
      </c>
      <c r="I408" s="4" t="str">
        <f>IFERROR(__xludf.DUMMYFUNCTION("""COMPUTED_VALUE"""),"BNK-LBS BKRC")</f>
        <v>BNK-LBS BKRC</v>
      </c>
      <c r="J408" s="4" t="str">
        <f>IFERROR(__xludf.DUMMYFUNCTION("""COMPUTED_VALUE"""),"ZONA 2")</f>
        <v>ZONA 2</v>
      </c>
      <c r="K408" s="4" t="str">
        <f>IFERROR(__xludf.DUMMYFUNCTION("""COMPUTED_VALUE"""),"083R011")</f>
        <v>083R011</v>
      </c>
      <c r="L408" s="4" t="str">
        <f>IFERROR(__xludf.DUMMYFUNCTION("""COMPUTED_VALUE"""),"TM - 13B/H (Kabel Naik Pada Tiang Tumpu)")</f>
        <v>TM - 13B/H (Kabel Naik Pada Tiang Tumpu)</v>
      </c>
      <c r="M408" s="4" t="str">
        <f>IFERROR(__xludf.DUMMYFUNCTION("""COMPUTED_VALUE"""),"Gardu")</f>
        <v>Gardu</v>
      </c>
      <c r="N408" s="4" t="str">
        <f>IFERROR(__xludf.DUMMYFUNCTION("""COMPUTED_VALUE"""),"KPSB")</f>
        <v>KPSB</v>
      </c>
      <c r="O408" s="4" t="str">
        <f>IFERROR(__xludf.DUMMYFUNCTION("""COMPUTED_VALUE"""),"PEMBANDING SEJENIS")</f>
        <v>PEMBANDING SEJENIS</v>
      </c>
      <c r="P408" s="4" t="str">
        <f>IFERROR(__xludf.DUMMYFUNCTION("""COMPUTED_VALUE"""),"TERMINASI")</f>
        <v>TERMINASI</v>
      </c>
      <c r="Q408" s="4">
        <f>IFERROR(__xludf.DUMMYFUNCTION("""COMPUTED_VALUE"""),24.0)</f>
        <v>24</v>
      </c>
      <c r="R408" s="4">
        <f>IFERROR(__xludf.DUMMYFUNCTION("""COMPUTED_VALUE"""),24.0)</f>
        <v>24</v>
      </c>
      <c r="S408" s="4">
        <f>IFERROR(__xludf.DUMMYFUNCTION("""COMPUTED_VALUE"""),20.0)</f>
        <v>20</v>
      </c>
      <c r="T408" s="4"/>
      <c r="U408" s="4" t="str">
        <f>IFERROR(__xludf.DUMMYFUNCTION("""COMPUTED_VALUE"""),"CUKUP")</f>
        <v>CUKUP</v>
      </c>
      <c r="V408" s="4" t="str">
        <f>IFERROR(__xludf.DUMMYFUNCTION("""COMPUTED_VALUE"""),"Tidak Ada")</f>
        <v>Tidak Ada</v>
      </c>
      <c r="W408" s="4"/>
      <c r="X408" s="4"/>
      <c r="Y408" s="4"/>
      <c r="Z408" s="4"/>
      <c r="AA408" s="4"/>
      <c r="AB408" s="4"/>
      <c r="AC408" s="4" t="str">
        <f>IFERROR(__xludf.DUMMYFUNCTION("""COMPUTED_VALUE"""),"INSPEKSI SUTM - T2_Images/7b0af178.FOTO.023853.jpg")</f>
        <v>INSPEKSI SUTM - T2_Images/7b0af178.FOTO.023853.jpg</v>
      </c>
      <c r="AD408" s="4"/>
      <c r="AE408" s="4"/>
      <c r="AF408" s="4" t="str">
        <f>IFERROR(__xludf.DUMMYFUNCTION("""COMPUTED_VALUE"""),"BELUM")</f>
        <v>BELUM</v>
      </c>
      <c r="AG408" s="6">
        <f>IFERROR(__xludf.DUMMYFUNCTION("""COMPUTED_VALUE"""),46073.0)</f>
        <v>46073</v>
      </c>
      <c r="AH408" s="4"/>
      <c r="AI408" s="4"/>
    </row>
    <row r="409" ht="15.75" customHeight="1">
      <c r="A409" s="4" t="str">
        <f>IFERROR(__xludf.DUMMYFUNCTION("""COMPUTED_VALUE"""),"e6367058")</f>
        <v>e6367058</v>
      </c>
      <c r="B409" s="5">
        <f>IFERROR(__xludf.DUMMYFUNCTION("""COMPUTED_VALUE"""),46073.40497685185)</f>
        <v>46073.40498</v>
      </c>
      <c r="C409" s="4" t="str">
        <f>IFERROR(__xludf.DUMMYFUNCTION("""COMPUTED_VALUE"""),"-6.963702, 107.646544")</f>
        <v>-6.963702, 107.646544</v>
      </c>
      <c r="D409" s="4" t="str">
        <f>IFERROR(__xludf.DUMMYFUNCTION("""COMPUTED_VALUE"""),"Alam deril")</f>
        <v>Alam deril</v>
      </c>
      <c r="E409" s="4" t="str">
        <f>IFERROR(__xludf.DUMMYFUNCTION("""COMPUTED_VALUE"""),"BANDUNG")</f>
        <v>BANDUNG</v>
      </c>
      <c r="F409" s="4" t="str">
        <f>IFERROR(__xludf.DUMMYFUNCTION("""COMPUTED_VALUE"""),"BANDUNG UTARA")</f>
        <v>BANDUNG UTARA</v>
      </c>
      <c r="G409" s="4" t="str">
        <f>IFERROR(__xludf.DUMMYFUNCTION("""COMPUTED_VALUE"""),"BENGKOK")</f>
        <v>BENGKOK</v>
      </c>
      <c r="H409" s="4" t="str">
        <f>IFERROR(__xludf.DUMMYFUNCTION("""COMPUTED_VALUE"""),"CGDG")</f>
        <v>CGDG</v>
      </c>
      <c r="I409" s="4" t="str">
        <f>IFERROR(__xludf.DUMMYFUNCTION("""COMPUTED_VALUE"""),"BNK-LBS BKRC")</f>
        <v>BNK-LBS BKRC</v>
      </c>
      <c r="J409" s="4" t="str">
        <f>IFERROR(__xludf.DUMMYFUNCTION("""COMPUTED_VALUE"""),"ZONA 2")</f>
        <v>ZONA 2</v>
      </c>
      <c r="K409" s="4" t="str">
        <f>IFERROR(__xludf.DUMMYFUNCTION("""COMPUTED_VALUE"""),"084")</f>
        <v>084</v>
      </c>
      <c r="L409" s="4" t="str">
        <f>IFERROR(__xludf.DUMMYFUNCTION("""COMPUTED_VALUE"""),"TM - 7B/H (Afspan 90 Derajat)")</f>
        <v>TM - 7B/H (Afspan 90 Derajat)</v>
      </c>
      <c r="M409" s="4" t="str">
        <f>IFERROR(__xludf.DUMMYFUNCTION("""COMPUTED_VALUE"""),"Tidak Ada")</f>
        <v>Tidak Ada</v>
      </c>
      <c r="N409" s="4"/>
      <c r="O409" s="4" t="str">
        <f>IFERROR(__xludf.DUMMYFUNCTION("""COMPUTED_VALUE"""),"PEMBANDING SEJENIS")</f>
        <v>PEMBANDING SEJENIS</v>
      </c>
      <c r="P409" s="4" t="str">
        <f>IFERROR(__xludf.DUMMYFUNCTION("""COMPUTED_VALUE"""),"KONEKTOR/JUMPER")</f>
        <v>KONEKTOR/JUMPER</v>
      </c>
      <c r="Q409" s="4">
        <f>IFERROR(__xludf.DUMMYFUNCTION("""COMPUTED_VALUE"""),21.0)</f>
        <v>21</v>
      </c>
      <c r="R409" s="4">
        <f>IFERROR(__xludf.DUMMYFUNCTION("""COMPUTED_VALUE"""),24.0)</f>
        <v>24</v>
      </c>
      <c r="S409" s="4">
        <f>IFERROR(__xludf.DUMMYFUNCTION("""COMPUTED_VALUE"""),23.0)</f>
        <v>23</v>
      </c>
      <c r="T409" s="4"/>
      <c r="U409" s="4" t="str">
        <f>IFERROR(__xludf.DUMMYFUNCTION("""COMPUTED_VALUE"""),"CUKUP")</f>
        <v>CUKUP</v>
      </c>
      <c r="V409" s="4" t="str">
        <f>IFERROR(__xludf.DUMMYFUNCTION("""COMPUTED_VALUE"""),"Tidak Ada")</f>
        <v>Tidak Ada</v>
      </c>
      <c r="W409" s="4"/>
      <c r="X409" s="4"/>
      <c r="Y409" s="4"/>
      <c r="Z409" s="4"/>
      <c r="AA409" s="4"/>
      <c r="AB409" s="4"/>
      <c r="AC409" s="4" t="str">
        <f>IFERROR(__xludf.DUMMYFUNCTION("""COMPUTED_VALUE"""),"INSPEKSI SUTM - T2_Images/e6367058.FOTO.024352.jpg")</f>
        <v>INSPEKSI SUTM - T2_Images/e6367058.FOTO.024352.jpg</v>
      </c>
      <c r="AD409" s="4"/>
      <c r="AE409" s="4"/>
      <c r="AF409" s="4" t="str">
        <f>IFERROR(__xludf.DUMMYFUNCTION("""COMPUTED_VALUE"""),"BELUM")</f>
        <v>BELUM</v>
      </c>
      <c r="AG409" s="6">
        <f>IFERROR(__xludf.DUMMYFUNCTION("""COMPUTED_VALUE"""),46073.0)</f>
        <v>46073</v>
      </c>
      <c r="AH409" s="4"/>
      <c r="AI409" s="4"/>
    </row>
    <row r="410" ht="15.75" customHeight="1">
      <c r="A410" s="4" t="str">
        <f>IFERROR(__xludf.DUMMYFUNCTION("""COMPUTED_VALUE"""),"c32d2e5b")</f>
        <v>c32d2e5b</v>
      </c>
      <c r="B410" s="5">
        <f>IFERROR(__xludf.DUMMYFUNCTION("""COMPUTED_VALUE"""),46073.40555555555)</f>
        <v>46073.40556</v>
      </c>
      <c r="C410" s="4" t="str">
        <f>IFERROR(__xludf.DUMMYFUNCTION("""COMPUTED_VALUE"""),"-6.963703, 107.646544")</f>
        <v>-6.963703, 107.646544</v>
      </c>
      <c r="D410" s="4" t="str">
        <f>IFERROR(__xludf.DUMMYFUNCTION("""COMPUTED_VALUE"""),"Alam deril")</f>
        <v>Alam deril</v>
      </c>
      <c r="E410" s="4" t="str">
        <f>IFERROR(__xludf.DUMMYFUNCTION("""COMPUTED_VALUE"""),"BANDUNG")</f>
        <v>BANDUNG</v>
      </c>
      <c r="F410" s="4" t="str">
        <f>IFERROR(__xludf.DUMMYFUNCTION("""COMPUTED_VALUE"""),"BANDUNG UTARA")</f>
        <v>BANDUNG UTARA</v>
      </c>
      <c r="G410" s="4" t="str">
        <f>IFERROR(__xludf.DUMMYFUNCTION("""COMPUTED_VALUE"""),"BENGKOK")</f>
        <v>BENGKOK</v>
      </c>
      <c r="H410" s="4" t="str">
        <f>IFERROR(__xludf.DUMMYFUNCTION("""COMPUTED_VALUE"""),"CGDG")</f>
        <v>CGDG</v>
      </c>
      <c r="I410" s="4" t="str">
        <f>IFERROR(__xludf.DUMMYFUNCTION("""COMPUTED_VALUE"""),"BNK-LBS BKRC")</f>
        <v>BNK-LBS BKRC</v>
      </c>
      <c r="J410" s="4" t="str">
        <f>IFERROR(__xludf.DUMMYFUNCTION("""COMPUTED_VALUE"""),"ZONA 2")</f>
        <v>ZONA 2</v>
      </c>
      <c r="K410" s="4" t="str">
        <f>IFERROR(__xludf.DUMMYFUNCTION("""COMPUTED_VALUE"""),"086")</f>
        <v>086</v>
      </c>
      <c r="L410" s="4" t="str">
        <f>IFERROR(__xludf.DUMMYFUNCTION("""COMPUTED_VALUE"""),"TM - 7B/H (Afspan 90 Derajat)")</f>
        <v>TM - 7B/H (Afspan 90 Derajat)</v>
      </c>
      <c r="M410" s="4" t="str">
        <f>IFERROR(__xludf.DUMMYFUNCTION("""COMPUTED_VALUE"""),"Tidak Ada")</f>
        <v>Tidak Ada</v>
      </c>
      <c r="N410" s="4"/>
      <c r="O410" s="4" t="str">
        <f>IFERROR(__xludf.DUMMYFUNCTION("""COMPUTED_VALUE"""),"PEMBANDING SEJENIS")</f>
        <v>PEMBANDING SEJENIS</v>
      </c>
      <c r="P410" s="4" t="str">
        <f>IFERROR(__xludf.DUMMYFUNCTION("""COMPUTED_VALUE"""),"KONEKTOR/JUMPER")</f>
        <v>KONEKTOR/JUMPER</v>
      </c>
      <c r="Q410" s="4">
        <f>IFERROR(__xludf.DUMMYFUNCTION("""COMPUTED_VALUE"""),22.0)</f>
        <v>22</v>
      </c>
      <c r="R410" s="4">
        <f>IFERROR(__xludf.DUMMYFUNCTION("""COMPUTED_VALUE"""),22.0)</f>
        <v>22</v>
      </c>
      <c r="S410" s="4">
        <f>IFERROR(__xludf.DUMMYFUNCTION("""COMPUTED_VALUE"""),23.0)</f>
        <v>23</v>
      </c>
      <c r="T410" s="4"/>
      <c r="U410" s="4" t="str">
        <f>IFERROR(__xludf.DUMMYFUNCTION("""COMPUTED_VALUE"""),"BAIK")</f>
        <v>BAIK</v>
      </c>
      <c r="V410" s="4" t="str">
        <f>IFERROR(__xludf.DUMMYFUNCTION("""COMPUTED_VALUE"""),"Tidak Ada")</f>
        <v>Tidak Ada</v>
      </c>
      <c r="W410" s="4"/>
      <c r="X410" s="4"/>
      <c r="Y410" s="4"/>
      <c r="Z410" s="4"/>
      <c r="AA410" s="4"/>
      <c r="AB410" s="4"/>
      <c r="AC410" s="4" t="str">
        <f>IFERROR(__xludf.DUMMYFUNCTION("""COMPUTED_VALUE"""),"INSPEKSI SUTM - T2_Images/c32d2e5b.FOTO.024439.jpg")</f>
        <v>INSPEKSI SUTM - T2_Images/c32d2e5b.FOTO.024439.jpg</v>
      </c>
      <c r="AD410" s="4"/>
      <c r="AE410" s="4"/>
      <c r="AF410" s="4" t="str">
        <f>IFERROR(__xludf.DUMMYFUNCTION("""COMPUTED_VALUE"""),"BELUM")</f>
        <v>BELUM</v>
      </c>
      <c r="AG410" s="6">
        <f>IFERROR(__xludf.DUMMYFUNCTION("""COMPUTED_VALUE"""),46073.0)</f>
        <v>46073</v>
      </c>
      <c r="AH410" s="4"/>
      <c r="AI410" s="4"/>
    </row>
    <row r="411" ht="15.75" customHeight="1">
      <c r="A411" s="4" t="str">
        <f>IFERROR(__xludf.DUMMYFUNCTION("""COMPUTED_VALUE"""),"f273aa7c")</f>
        <v>f273aa7c</v>
      </c>
      <c r="B411" s="5">
        <f>IFERROR(__xludf.DUMMYFUNCTION("""COMPUTED_VALUE"""),46073.40626157408)</f>
        <v>46073.40626</v>
      </c>
      <c r="C411" s="4" t="str">
        <f>IFERROR(__xludf.DUMMYFUNCTION("""COMPUTED_VALUE"""),"-6.963730, 107.646562")</f>
        <v>-6.963730, 107.646562</v>
      </c>
      <c r="D411" s="4" t="str">
        <f>IFERROR(__xludf.DUMMYFUNCTION("""COMPUTED_VALUE"""),"Alam deril")</f>
        <v>Alam deril</v>
      </c>
      <c r="E411" s="4" t="str">
        <f>IFERROR(__xludf.DUMMYFUNCTION("""COMPUTED_VALUE"""),"BANDUNG")</f>
        <v>BANDUNG</v>
      </c>
      <c r="F411" s="4" t="str">
        <f>IFERROR(__xludf.DUMMYFUNCTION("""COMPUTED_VALUE"""),"BANDUNG UTARA")</f>
        <v>BANDUNG UTARA</v>
      </c>
      <c r="G411" s="4" t="str">
        <f>IFERROR(__xludf.DUMMYFUNCTION("""COMPUTED_VALUE"""),"BENGKOK")</f>
        <v>BENGKOK</v>
      </c>
      <c r="H411" s="4" t="str">
        <f>IFERROR(__xludf.DUMMYFUNCTION("""COMPUTED_VALUE"""),"CGDG")</f>
        <v>CGDG</v>
      </c>
      <c r="I411" s="4" t="str">
        <f>IFERROR(__xludf.DUMMYFUNCTION("""COMPUTED_VALUE"""),"BNK-LBS BKRC")</f>
        <v>BNK-LBS BKRC</v>
      </c>
      <c r="J411" s="4" t="str">
        <f>IFERROR(__xludf.DUMMYFUNCTION("""COMPUTED_VALUE"""),"ZONA 2")</f>
        <v>ZONA 2</v>
      </c>
      <c r="K411" s="4" t="str">
        <f>IFERROR(__xludf.DUMMYFUNCTION("""COMPUTED_VALUE"""),"088")</f>
        <v>088</v>
      </c>
      <c r="L411" s="4" t="str">
        <f>IFERROR(__xludf.DUMMYFUNCTION("""COMPUTED_VALUE"""),"TM - 4B/H (Afspan)")</f>
        <v>TM - 4B/H (Afspan)</v>
      </c>
      <c r="M411" s="4" t="str">
        <f>IFERROR(__xludf.DUMMYFUNCTION("""COMPUTED_VALUE"""),"Tidak Ada")</f>
        <v>Tidak Ada</v>
      </c>
      <c r="N411" s="4"/>
      <c r="O411" s="4" t="str">
        <f>IFERROR(__xludf.DUMMYFUNCTION("""COMPUTED_VALUE"""),"PEMBANDING SEJENIS")</f>
        <v>PEMBANDING SEJENIS</v>
      </c>
      <c r="P411" s="4" t="str">
        <f>IFERROR(__xludf.DUMMYFUNCTION("""COMPUTED_VALUE"""),"TERMINASI")</f>
        <v>TERMINASI</v>
      </c>
      <c r="Q411" s="4">
        <f>IFERROR(__xludf.DUMMYFUNCTION("""COMPUTED_VALUE"""),21.0)</f>
        <v>21</v>
      </c>
      <c r="R411" s="4">
        <f>IFERROR(__xludf.DUMMYFUNCTION("""COMPUTED_VALUE"""),23.0)</f>
        <v>23</v>
      </c>
      <c r="S411" s="4">
        <f>IFERROR(__xludf.DUMMYFUNCTION("""COMPUTED_VALUE"""),22.0)</f>
        <v>22</v>
      </c>
      <c r="T411" s="4"/>
      <c r="U411" s="4" t="str">
        <f>IFERROR(__xludf.DUMMYFUNCTION("""COMPUTED_VALUE"""),"BAIK")</f>
        <v>BAIK</v>
      </c>
      <c r="V411" s="4" t="str">
        <f>IFERROR(__xludf.DUMMYFUNCTION("""COMPUTED_VALUE"""),"Tidak Ada")</f>
        <v>Tidak Ada</v>
      </c>
      <c r="W411" s="4"/>
      <c r="X411" s="4"/>
      <c r="Y411" s="4"/>
      <c r="Z411" s="4"/>
      <c r="AA411" s="4"/>
      <c r="AB411" s="4"/>
      <c r="AC411" s="4" t="str">
        <f>IFERROR(__xludf.DUMMYFUNCTION("""COMPUTED_VALUE"""),"INSPEKSI SUTM - T2_Images/f273aa7c.FOTO.024559.jpg")</f>
        <v>INSPEKSI SUTM - T2_Images/f273aa7c.FOTO.024559.jpg</v>
      </c>
      <c r="AD411" s="4"/>
      <c r="AE411" s="4"/>
      <c r="AF411" s="4" t="str">
        <f>IFERROR(__xludf.DUMMYFUNCTION("""COMPUTED_VALUE"""),"BELUM")</f>
        <v>BELUM</v>
      </c>
      <c r="AG411" s="6">
        <f>IFERROR(__xludf.DUMMYFUNCTION("""COMPUTED_VALUE"""),46073.0)</f>
        <v>46073</v>
      </c>
      <c r="AH411" s="4"/>
      <c r="AI411" s="4"/>
    </row>
    <row r="412" ht="15.75" customHeight="1">
      <c r="A412" s="4" t="str">
        <f>IFERROR(__xludf.DUMMYFUNCTION("""COMPUTED_VALUE"""),"7825acf2")</f>
        <v>7825acf2</v>
      </c>
      <c r="B412" s="5">
        <f>IFERROR(__xludf.DUMMYFUNCTION("""COMPUTED_VALUE"""),46073.406909722224)</f>
        <v>46073.40691</v>
      </c>
      <c r="C412" s="4" t="str">
        <f>IFERROR(__xludf.DUMMYFUNCTION("""COMPUTED_VALUE"""),"-6.963724, 107.646559")</f>
        <v>-6.963724, 107.646559</v>
      </c>
      <c r="D412" s="4" t="str">
        <f>IFERROR(__xludf.DUMMYFUNCTION("""COMPUTED_VALUE"""),"Alam deril")</f>
        <v>Alam deril</v>
      </c>
      <c r="E412" s="4" t="str">
        <f>IFERROR(__xludf.DUMMYFUNCTION("""COMPUTED_VALUE"""),"BANDUNG")</f>
        <v>BANDUNG</v>
      </c>
      <c r="F412" s="4" t="str">
        <f>IFERROR(__xludf.DUMMYFUNCTION("""COMPUTED_VALUE"""),"BANDUNG UTARA")</f>
        <v>BANDUNG UTARA</v>
      </c>
      <c r="G412" s="4" t="str">
        <f>IFERROR(__xludf.DUMMYFUNCTION("""COMPUTED_VALUE"""),"BENGKOK")</f>
        <v>BENGKOK</v>
      </c>
      <c r="H412" s="4" t="str">
        <f>IFERROR(__xludf.DUMMYFUNCTION("""COMPUTED_VALUE"""),"CGDG")</f>
        <v>CGDG</v>
      </c>
      <c r="I412" s="4" t="str">
        <f>IFERROR(__xludf.DUMMYFUNCTION("""COMPUTED_VALUE"""),"BNK-LBS BKRC")</f>
        <v>BNK-LBS BKRC</v>
      </c>
      <c r="J412" s="4" t="str">
        <f>IFERROR(__xludf.DUMMYFUNCTION("""COMPUTED_VALUE"""),"ZONA 2")</f>
        <v>ZONA 2</v>
      </c>
      <c r="K412" s="4" t="str">
        <f>IFERROR(__xludf.DUMMYFUNCTION("""COMPUTED_VALUE"""),"093")</f>
        <v>093</v>
      </c>
      <c r="L412" s="4" t="str">
        <f>IFERROR(__xludf.DUMMYFUNCTION("""COMPUTED_VALUE"""),"TM - 7B/H (Afspan 90 Derajat)")</f>
        <v>TM - 7B/H (Afspan 90 Derajat)</v>
      </c>
      <c r="M412" s="4" t="str">
        <f>IFERROR(__xludf.DUMMYFUNCTION("""COMPUTED_VALUE"""),"Tidak Ada")</f>
        <v>Tidak Ada</v>
      </c>
      <c r="N412" s="4"/>
      <c r="O412" s="4" t="str">
        <f>IFERROR(__xludf.DUMMYFUNCTION("""COMPUTED_VALUE"""),"PEMBANDING SEJENIS")</f>
        <v>PEMBANDING SEJENIS</v>
      </c>
      <c r="P412" s="4" t="str">
        <f>IFERROR(__xludf.DUMMYFUNCTION("""COMPUTED_VALUE"""),"KONEKTOR/JUMPER")</f>
        <v>KONEKTOR/JUMPER</v>
      </c>
      <c r="Q412" s="4">
        <f>IFERROR(__xludf.DUMMYFUNCTION("""COMPUTED_VALUE"""),23.0)</f>
        <v>23</v>
      </c>
      <c r="R412" s="4">
        <f>IFERROR(__xludf.DUMMYFUNCTION("""COMPUTED_VALUE"""),23.0)</f>
        <v>23</v>
      </c>
      <c r="S412" s="4">
        <f>IFERROR(__xludf.DUMMYFUNCTION("""COMPUTED_VALUE"""),23.0)</f>
        <v>23</v>
      </c>
      <c r="T412" s="4"/>
      <c r="U412" s="4" t="str">
        <f>IFERROR(__xludf.DUMMYFUNCTION("""COMPUTED_VALUE"""),"BAIK")</f>
        <v>BAIK</v>
      </c>
      <c r="V412" s="4" t="str">
        <f>IFERROR(__xludf.DUMMYFUNCTION("""COMPUTED_VALUE"""),"Tidak Ada")</f>
        <v>Tidak Ada</v>
      </c>
      <c r="W412" s="4"/>
      <c r="X412" s="4"/>
      <c r="Y412" s="4"/>
      <c r="Z412" s="4"/>
      <c r="AA412" s="4"/>
      <c r="AB412" s="4"/>
      <c r="AC412" s="4" t="str">
        <f>IFERROR(__xludf.DUMMYFUNCTION("""COMPUTED_VALUE"""),"INSPEKSI SUTM - T2_Images/7825acf2.FOTO.024633.jpg")</f>
        <v>INSPEKSI SUTM - T2_Images/7825acf2.FOTO.024633.jpg</v>
      </c>
      <c r="AD412" s="4"/>
      <c r="AE412" s="4"/>
      <c r="AF412" s="4" t="str">
        <f>IFERROR(__xludf.DUMMYFUNCTION("""COMPUTED_VALUE"""),"BELUM")</f>
        <v>BELUM</v>
      </c>
      <c r="AG412" s="6">
        <f>IFERROR(__xludf.DUMMYFUNCTION("""COMPUTED_VALUE"""),46073.0)</f>
        <v>46073</v>
      </c>
      <c r="AH412" s="4"/>
      <c r="AI412" s="4"/>
    </row>
    <row r="413" ht="15.75" customHeight="1">
      <c r="A413" s="4" t="str">
        <f>IFERROR(__xludf.DUMMYFUNCTION("""COMPUTED_VALUE"""),"da7e7b6d")</f>
        <v>da7e7b6d</v>
      </c>
      <c r="B413" s="5">
        <f>IFERROR(__xludf.DUMMYFUNCTION("""COMPUTED_VALUE"""),46073.40733796296)</f>
        <v>46073.40734</v>
      </c>
      <c r="C413" s="4" t="str">
        <f>IFERROR(__xludf.DUMMYFUNCTION("""COMPUTED_VALUE"""),"-6.963720, 107.646556")</f>
        <v>-6.963720, 107.646556</v>
      </c>
      <c r="D413" s="4" t="str">
        <f>IFERROR(__xludf.DUMMYFUNCTION("""COMPUTED_VALUE"""),"Alam deril")</f>
        <v>Alam deril</v>
      </c>
      <c r="E413" s="4" t="str">
        <f>IFERROR(__xludf.DUMMYFUNCTION("""COMPUTED_VALUE"""),"BANDUNG")</f>
        <v>BANDUNG</v>
      </c>
      <c r="F413" s="4" t="str">
        <f>IFERROR(__xludf.DUMMYFUNCTION("""COMPUTED_VALUE"""),"BANDUNG UTARA")</f>
        <v>BANDUNG UTARA</v>
      </c>
      <c r="G413" s="4" t="str">
        <f>IFERROR(__xludf.DUMMYFUNCTION("""COMPUTED_VALUE"""),"BENGKOK")</f>
        <v>BENGKOK</v>
      </c>
      <c r="H413" s="4" t="str">
        <f>IFERROR(__xludf.DUMMYFUNCTION("""COMPUTED_VALUE"""),"CGDG")</f>
        <v>CGDG</v>
      </c>
      <c r="I413" s="4" t="str">
        <f>IFERROR(__xludf.DUMMYFUNCTION("""COMPUTED_VALUE"""),"BNK-LBS BKRC")</f>
        <v>BNK-LBS BKRC</v>
      </c>
      <c r="J413" s="4" t="str">
        <f>IFERROR(__xludf.DUMMYFUNCTION("""COMPUTED_VALUE"""),"ZONA 2")</f>
        <v>ZONA 2</v>
      </c>
      <c r="K413" s="4" t="str">
        <f>IFERROR(__xludf.DUMMYFUNCTION("""COMPUTED_VALUE"""),"095")</f>
        <v>095</v>
      </c>
      <c r="L413" s="4" t="str">
        <f>IFERROR(__xludf.DUMMYFUNCTION("""COMPUTED_VALUE"""),"TM - 7B/H (Afspan 90 Derajat)")</f>
        <v>TM - 7B/H (Afspan 90 Derajat)</v>
      </c>
      <c r="M413" s="4" t="str">
        <f>IFERROR(__xludf.DUMMYFUNCTION("""COMPUTED_VALUE"""),"Tidak Ada")</f>
        <v>Tidak Ada</v>
      </c>
      <c r="N413" s="4"/>
      <c r="O413" s="4" t="str">
        <f>IFERROR(__xludf.DUMMYFUNCTION("""COMPUTED_VALUE"""),"PEMBANDING SEJENIS")</f>
        <v>PEMBANDING SEJENIS</v>
      </c>
      <c r="P413" s="4" t="str">
        <f>IFERROR(__xludf.DUMMYFUNCTION("""COMPUTED_VALUE"""),"KONEKTOR/JUMPER")</f>
        <v>KONEKTOR/JUMPER</v>
      </c>
      <c r="Q413" s="4">
        <f>IFERROR(__xludf.DUMMYFUNCTION("""COMPUTED_VALUE"""),24.0)</f>
        <v>24</v>
      </c>
      <c r="R413" s="4">
        <f>IFERROR(__xludf.DUMMYFUNCTION("""COMPUTED_VALUE"""),24.0)</f>
        <v>24</v>
      </c>
      <c r="S413" s="4">
        <f>IFERROR(__xludf.DUMMYFUNCTION("""COMPUTED_VALUE"""),24.0)</f>
        <v>24</v>
      </c>
      <c r="T413" s="4"/>
      <c r="U413" s="4" t="str">
        <f>IFERROR(__xludf.DUMMYFUNCTION("""COMPUTED_VALUE"""),"BAIK")</f>
        <v>BAIK</v>
      </c>
      <c r="V413" s="4" t="str">
        <f>IFERROR(__xludf.DUMMYFUNCTION("""COMPUTED_VALUE"""),"Tidak Ada")</f>
        <v>Tidak Ada</v>
      </c>
      <c r="W413" s="4"/>
      <c r="X413" s="4"/>
      <c r="Y413" s="4"/>
      <c r="Z413" s="4"/>
      <c r="AA413" s="4"/>
      <c r="AB413" s="4"/>
      <c r="AC413" s="4" t="str">
        <f>IFERROR(__xludf.DUMMYFUNCTION("""COMPUTED_VALUE"""),"INSPEKSI SUTM - T2_Images/da7e7b6d.FOTO.024718.jpg")</f>
        <v>INSPEKSI SUTM - T2_Images/da7e7b6d.FOTO.024718.jpg</v>
      </c>
      <c r="AD413" s="4"/>
      <c r="AE413" s="4"/>
      <c r="AF413" s="4" t="str">
        <f>IFERROR(__xludf.DUMMYFUNCTION("""COMPUTED_VALUE"""),"BELUM")</f>
        <v>BELUM</v>
      </c>
      <c r="AG413" s="6">
        <f>IFERROR(__xludf.DUMMYFUNCTION("""COMPUTED_VALUE"""),46073.0)</f>
        <v>46073</v>
      </c>
      <c r="AH413" s="4"/>
      <c r="AI413" s="4"/>
    </row>
    <row r="414" ht="15.75" customHeight="1">
      <c r="A414" s="4" t="str">
        <f>IFERROR(__xludf.DUMMYFUNCTION("""COMPUTED_VALUE"""),"cb7a0cc1")</f>
        <v>cb7a0cc1</v>
      </c>
      <c r="B414" s="5">
        <f>IFERROR(__xludf.DUMMYFUNCTION("""COMPUTED_VALUE"""),46073.40783564815)</f>
        <v>46073.40784</v>
      </c>
      <c r="C414" s="4" t="str">
        <f>IFERROR(__xludf.DUMMYFUNCTION("""COMPUTED_VALUE"""),"-6.963717, 107.646554")</f>
        <v>-6.963717, 107.646554</v>
      </c>
      <c r="D414" s="4" t="str">
        <f>IFERROR(__xludf.DUMMYFUNCTION("""COMPUTED_VALUE"""),"Alam deril")</f>
        <v>Alam deril</v>
      </c>
      <c r="E414" s="4" t="str">
        <f>IFERROR(__xludf.DUMMYFUNCTION("""COMPUTED_VALUE"""),"BANDUNG")</f>
        <v>BANDUNG</v>
      </c>
      <c r="F414" s="4" t="str">
        <f>IFERROR(__xludf.DUMMYFUNCTION("""COMPUTED_VALUE"""),"BANDUNG UTARA")</f>
        <v>BANDUNG UTARA</v>
      </c>
      <c r="G414" s="4" t="str">
        <f>IFERROR(__xludf.DUMMYFUNCTION("""COMPUTED_VALUE"""),"BENGKOK")</f>
        <v>BENGKOK</v>
      </c>
      <c r="H414" s="4" t="str">
        <f>IFERROR(__xludf.DUMMYFUNCTION("""COMPUTED_VALUE"""),"CGDG")</f>
        <v>CGDG</v>
      </c>
      <c r="I414" s="4" t="str">
        <f>IFERROR(__xludf.DUMMYFUNCTION("""COMPUTED_VALUE"""),"BNK-LBS BKRC")</f>
        <v>BNK-LBS BKRC</v>
      </c>
      <c r="J414" s="4" t="str">
        <f>IFERROR(__xludf.DUMMYFUNCTION("""COMPUTED_VALUE"""),"ZONA 2")</f>
        <v>ZONA 2</v>
      </c>
      <c r="K414" s="4" t="str">
        <f>IFERROR(__xludf.DUMMYFUNCTION("""COMPUTED_VALUE"""),"097")</f>
        <v>097</v>
      </c>
      <c r="L414" s="4" t="str">
        <f>IFERROR(__xludf.DUMMYFUNCTION("""COMPUTED_VALUE"""),"TM - 7B/H (Afspan 90 Derajat)")</f>
        <v>TM - 7B/H (Afspan 90 Derajat)</v>
      </c>
      <c r="M414" s="4" t="str">
        <f>IFERROR(__xludf.DUMMYFUNCTION("""COMPUTED_VALUE"""),"Tidak Ada")</f>
        <v>Tidak Ada</v>
      </c>
      <c r="N414" s="4"/>
      <c r="O414" s="4" t="str">
        <f>IFERROR(__xludf.DUMMYFUNCTION("""COMPUTED_VALUE"""),"PEMBANDING SEJENIS")</f>
        <v>PEMBANDING SEJENIS</v>
      </c>
      <c r="P414" s="4" t="str">
        <f>IFERROR(__xludf.DUMMYFUNCTION("""COMPUTED_VALUE"""),"KONEKTOR/JUMPER")</f>
        <v>KONEKTOR/JUMPER</v>
      </c>
      <c r="Q414" s="4">
        <f>IFERROR(__xludf.DUMMYFUNCTION("""COMPUTED_VALUE"""),30.0)</f>
        <v>30</v>
      </c>
      <c r="R414" s="4">
        <f>IFERROR(__xludf.DUMMYFUNCTION("""COMPUTED_VALUE"""),24.0)</f>
        <v>24</v>
      </c>
      <c r="S414" s="4">
        <f>IFERROR(__xludf.DUMMYFUNCTION("""COMPUTED_VALUE"""),23.0)</f>
        <v>23</v>
      </c>
      <c r="T414" s="4"/>
      <c r="U414" s="4" t="str">
        <f>IFERROR(__xludf.DUMMYFUNCTION("""COMPUTED_VALUE"""),"CUKUP")</f>
        <v>CUKUP</v>
      </c>
      <c r="V414" s="4" t="str">
        <f>IFERROR(__xludf.DUMMYFUNCTION("""COMPUTED_VALUE"""),"Tidak Ada")</f>
        <v>Tidak Ada</v>
      </c>
      <c r="W414" s="4"/>
      <c r="X414" s="4"/>
      <c r="Y414" s="4"/>
      <c r="Z414" s="4"/>
      <c r="AA414" s="4"/>
      <c r="AB414" s="4"/>
      <c r="AC414" s="4" t="str">
        <f>IFERROR(__xludf.DUMMYFUNCTION("""COMPUTED_VALUE"""),"INSPEKSI SUTM - T2_Images/cb7a0cc1.FOTO.024804.jpg")</f>
        <v>INSPEKSI SUTM - T2_Images/cb7a0cc1.FOTO.024804.jpg</v>
      </c>
      <c r="AD414" s="4"/>
      <c r="AE414" s="4"/>
      <c r="AF414" s="4" t="str">
        <f>IFERROR(__xludf.DUMMYFUNCTION("""COMPUTED_VALUE"""),"BELUM")</f>
        <v>BELUM</v>
      </c>
      <c r="AG414" s="6">
        <f>IFERROR(__xludf.DUMMYFUNCTION("""COMPUTED_VALUE"""),46073.0)</f>
        <v>46073</v>
      </c>
      <c r="AH414" s="4"/>
      <c r="AI414" s="4"/>
    </row>
    <row r="415" ht="15.75" customHeight="1">
      <c r="A415" s="4" t="str">
        <f>IFERROR(__xludf.DUMMYFUNCTION("""COMPUTED_VALUE"""),"f25794b3")</f>
        <v>f25794b3</v>
      </c>
      <c r="B415" s="5">
        <f>IFERROR(__xludf.DUMMYFUNCTION("""COMPUTED_VALUE"""),46073.40856481482)</f>
        <v>46073.40856</v>
      </c>
      <c r="C415" s="4" t="str">
        <f>IFERROR(__xludf.DUMMYFUNCTION("""COMPUTED_VALUE"""),"-6.963714, 107.646552")</f>
        <v>-6.963714, 107.646552</v>
      </c>
      <c r="D415" s="4" t="str">
        <f>IFERROR(__xludf.DUMMYFUNCTION("""COMPUTED_VALUE"""),"Alam deril")</f>
        <v>Alam deril</v>
      </c>
      <c r="E415" s="4" t="str">
        <f>IFERROR(__xludf.DUMMYFUNCTION("""COMPUTED_VALUE"""),"BANDUNG")</f>
        <v>BANDUNG</v>
      </c>
      <c r="F415" s="4" t="str">
        <f>IFERROR(__xludf.DUMMYFUNCTION("""COMPUTED_VALUE"""),"BANDUNG UTARA")</f>
        <v>BANDUNG UTARA</v>
      </c>
      <c r="G415" s="4" t="str">
        <f>IFERROR(__xludf.DUMMYFUNCTION("""COMPUTED_VALUE"""),"BENGKOK")</f>
        <v>BENGKOK</v>
      </c>
      <c r="H415" s="4" t="str">
        <f>IFERROR(__xludf.DUMMYFUNCTION("""COMPUTED_VALUE"""),"CGDG")</f>
        <v>CGDG</v>
      </c>
      <c r="I415" s="4" t="str">
        <f>IFERROR(__xludf.DUMMYFUNCTION("""COMPUTED_VALUE"""),"BNK-LBS BKRC")</f>
        <v>BNK-LBS BKRC</v>
      </c>
      <c r="J415" s="4" t="str">
        <f>IFERROR(__xludf.DUMMYFUNCTION("""COMPUTED_VALUE"""),"ZONA 2")</f>
        <v>ZONA 2</v>
      </c>
      <c r="K415" s="4" t="str">
        <f>IFERROR(__xludf.DUMMYFUNCTION("""COMPUTED_VALUE"""),"099")</f>
        <v>099</v>
      </c>
      <c r="L415" s="4" t="str">
        <f>IFERROR(__xludf.DUMMYFUNCTION("""COMPUTED_VALUE"""),"TM - 14B/H (Akhir)")</f>
        <v>TM - 14B/H (Akhir)</v>
      </c>
      <c r="M415" s="4" t="str">
        <f>IFERROR(__xludf.DUMMYFUNCTION("""COMPUTED_VALUE"""),"Tidak Ada")</f>
        <v>Tidak Ada</v>
      </c>
      <c r="N415" s="4"/>
      <c r="O415" s="4" t="str">
        <f>IFERROR(__xludf.DUMMYFUNCTION("""COMPUTED_VALUE"""),"PEMBANDING SEJENIS")</f>
        <v>PEMBANDING SEJENIS</v>
      </c>
      <c r="P415" s="4" t="str">
        <f>IFERROR(__xludf.DUMMYFUNCTION("""COMPUTED_VALUE"""),"KONEKTOR/JUMPER")</f>
        <v>KONEKTOR/JUMPER</v>
      </c>
      <c r="Q415" s="4">
        <f>IFERROR(__xludf.DUMMYFUNCTION("""COMPUTED_VALUE"""),23.0)</f>
        <v>23</v>
      </c>
      <c r="R415" s="4">
        <f>IFERROR(__xludf.DUMMYFUNCTION("""COMPUTED_VALUE"""),23.0)</f>
        <v>23</v>
      </c>
      <c r="S415" s="4">
        <f>IFERROR(__xludf.DUMMYFUNCTION("""COMPUTED_VALUE"""),23.0)</f>
        <v>23</v>
      </c>
      <c r="T415" s="4"/>
      <c r="U415" s="4" t="str">
        <f>IFERROR(__xludf.DUMMYFUNCTION("""COMPUTED_VALUE"""),"BAIK")</f>
        <v>BAIK</v>
      </c>
      <c r="V415" s="4" t="str">
        <f>IFERROR(__xludf.DUMMYFUNCTION("""COMPUTED_VALUE"""),"Tidak Ada")</f>
        <v>Tidak Ada</v>
      </c>
      <c r="W415" s="4"/>
      <c r="X415" s="4"/>
      <c r="Y415" s="4"/>
      <c r="Z415" s="4"/>
      <c r="AA415" s="4"/>
      <c r="AB415" s="4"/>
      <c r="AC415" s="4" t="str">
        <f>IFERROR(__xludf.DUMMYFUNCTION("""COMPUTED_VALUE"""),"INSPEKSI SUTM - T2_Images/f25794b3.FOTO.024853.jpg")</f>
        <v>INSPEKSI SUTM - T2_Images/f25794b3.FOTO.024853.jpg</v>
      </c>
      <c r="AD415" s="4"/>
      <c r="AE415" s="4"/>
      <c r="AF415" s="4" t="str">
        <f>IFERROR(__xludf.DUMMYFUNCTION("""COMPUTED_VALUE"""),"BELUM")</f>
        <v>BELUM</v>
      </c>
      <c r="AG415" s="6">
        <f>IFERROR(__xludf.DUMMYFUNCTION("""COMPUTED_VALUE"""),46073.0)</f>
        <v>46073</v>
      </c>
      <c r="AH415" s="4"/>
      <c r="AI415" s="4"/>
    </row>
    <row r="416" ht="15.75" customHeight="1">
      <c r="A416" s="4" t="str">
        <f>IFERROR(__xludf.DUMMYFUNCTION("""COMPUTED_VALUE"""),"e94ea621")</f>
        <v>e94ea621</v>
      </c>
      <c r="B416" s="5">
        <f>IFERROR(__xludf.DUMMYFUNCTION("""COMPUTED_VALUE"""),46073.8419212963)</f>
        <v>46073.84192</v>
      </c>
      <c r="C416" s="4" t="str">
        <f>IFERROR(__xludf.DUMMYFUNCTION("""COMPUTED_VALUE"""),"-6.899225, 107.641317")</f>
        <v>-6.899225, 107.641317</v>
      </c>
      <c r="D416" s="4" t="str">
        <f>IFERROR(__xludf.DUMMYFUNCTION("""COMPUTED_VALUE"""),"Sandi angga")</f>
        <v>Sandi angga</v>
      </c>
      <c r="E416" s="4" t="str">
        <f>IFERROR(__xludf.DUMMYFUNCTION("""COMPUTED_VALUE"""),"BANDUNG")</f>
        <v>BANDUNG</v>
      </c>
      <c r="F416" s="4" t="str">
        <f>IFERROR(__xludf.DUMMYFUNCTION("""COMPUTED_VALUE"""),"BANDUNG TIMUR")</f>
        <v>BANDUNG TIMUR</v>
      </c>
      <c r="G416" s="4" t="str">
        <f>IFERROR(__xludf.DUMMYFUNCTION("""COMPUTED_VALUE"""),"KIARACONDONG")</f>
        <v>KIARACONDONG</v>
      </c>
      <c r="H416" s="4" t="str">
        <f>IFERROR(__xludf.DUMMYFUNCTION("""COMPUTED_VALUE"""),"KKH")</f>
        <v>KKH</v>
      </c>
      <c r="I416" s="4" t="str">
        <f>IFERROR(__xludf.DUMMYFUNCTION("""COMPUTED_VALUE"""),"ATPY-WWR")</f>
        <v>ATPY-WWR</v>
      </c>
      <c r="J416" s="4" t="str">
        <f>IFERROR(__xludf.DUMMYFUNCTION("""COMPUTED_VALUE"""),"ZONA 2")</f>
        <v>ZONA 2</v>
      </c>
      <c r="K416" s="4" t="str">
        <f>IFERROR(__xludf.DUMMYFUNCTION("""COMPUTED_VALUE"""),"037")</f>
        <v>037</v>
      </c>
      <c r="L416" s="4" t="str">
        <f>IFERROR(__xludf.DUMMYFUNCTION("""COMPUTED_VALUE"""),"TM - 7B/H (Afspan 90 Derajat)")</f>
        <v>TM - 7B/H (Afspan 90 Derajat)</v>
      </c>
      <c r="M416" s="4" t="str">
        <f>IFERROR(__xludf.DUMMYFUNCTION("""COMPUTED_VALUE"""),"Tidak Ada")</f>
        <v>Tidak Ada</v>
      </c>
      <c r="N416" s="4"/>
      <c r="O416" s="4" t="str">
        <f>IFERROR(__xludf.DUMMYFUNCTION("""COMPUTED_VALUE"""),"PEMBANDING SEJENIS")</f>
        <v>PEMBANDING SEJENIS</v>
      </c>
      <c r="P416" s="4" t="str">
        <f>IFERROR(__xludf.DUMMYFUNCTION("""COMPUTED_VALUE"""),"KONEKTOR/JUMPER")</f>
        <v>KONEKTOR/JUMPER</v>
      </c>
      <c r="Q416" s="4">
        <f>IFERROR(__xludf.DUMMYFUNCTION("""COMPUTED_VALUE"""),22.0)</f>
        <v>22</v>
      </c>
      <c r="R416" s="4">
        <f>IFERROR(__xludf.DUMMYFUNCTION("""COMPUTED_VALUE"""),22.0)</f>
        <v>22</v>
      </c>
      <c r="S416" s="4">
        <f>IFERROR(__xludf.DUMMYFUNCTION("""COMPUTED_VALUE"""),25.0)</f>
        <v>25</v>
      </c>
      <c r="T416" s="4"/>
      <c r="U416" s="4" t="str">
        <f>IFERROR(__xludf.DUMMYFUNCTION("""COMPUTED_VALUE"""),"CUKUP")</f>
        <v>CUKUP</v>
      </c>
      <c r="V416" s="4" t="str">
        <f>IFERROR(__xludf.DUMMYFUNCTION("""COMPUTED_VALUE"""),"Tidak Ada")</f>
        <v>Tidak Ada</v>
      </c>
      <c r="W416" s="4"/>
      <c r="X416" s="4"/>
      <c r="Y416" s="4"/>
      <c r="Z416" s="4"/>
      <c r="AA416" s="4"/>
      <c r="AB416" s="4"/>
      <c r="AC416" s="4" t="str">
        <f>IFERROR(__xludf.DUMMYFUNCTION("""COMPUTED_VALUE"""),"INSPEKSI SUTM - T2_Images/e94ea621.FOTO.131336.jpg")</f>
        <v>INSPEKSI SUTM - T2_Images/e94ea621.FOTO.131336.jpg</v>
      </c>
      <c r="AD416" s="4"/>
      <c r="AE416" s="4"/>
      <c r="AF416" s="4" t="str">
        <f>IFERROR(__xludf.DUMMYFUNCTION("""COMPUTED_VALUE"""),"BELUM")</f>
        <v>BELUM</v>
      </c>
      <c r="AG416" s="6">
        <f>IFERROR(__xludf.DUMMYFUNCTION("""COMPUTED_VALUE"""),46073.0)</f>
        <v>46073</v>
      </c>
      <c r="AH416" s="4"/>
      <c r="AI416" s="4"/>
    </row>
    <row r="417" ht="15.75" customHeight="1">
      <c r="A417" s="4" t="str">
        <f>IFERROR(__xludf.DUMMYFUNCTION("""COMPUTED_VALUE"""),"68f143fa")</f>
        <v>68f143fa</v>
      </c>
      <c r="B417" s="5">
        <f>IFERROR(__xludf.DUMMYFUNCTION("""COMPUTED_VALUE"""),46073.84290509259)</f>
        <v>46073.84291</v>
      </c>
      <c r="C417" s="4" t="str">
        <f>IFERROR(__xludf.DUMMYFUNCTION("""COMPUTED_VALUE"""),"-6.899230, 107.641313")</f>
        <v>-6.899230, 107.641313</v>
      </c>
      <c r="D417" s="4" t="str">
        <f>IFERROR(__xludf.DUMMYFUNCTION("""COMPUTED_VALUE"""),"Sandi angga")</f>
        <v>Sandi angga</v>
      </c>
      <c r="E417" s="4" t="str">
        <f>IFERROR(__xludf.DUMMYFUNCTION("""COMPUTED_VALUE"""),"BANDUNG")</f>
        <v>BANDUNG</v>
      </c>
      <c r="F417" s="4" t="str">
        <f>IFERROR(__xludf.DUMMYFUNCTION("""COMPUTED_VALUE"""),"BANDUNG TIMUR")</f>
        <v>BANDUNG TIMUR</v>
      </c>
      <c r="G417" s="4" t="str">
        <f>IFERROR(__xludf.DUMMYFUNCTION("""COMPUTED_VALUE"""),"KIARACONDONG")</f>
        <v>KIARACONDONG</v>
      </c>
      <c r="H417" s="4" t="str">
        <f>IFERROR(__xludf.DUMMYFUNCTION("""COMPUTED_VALUE"""),"KKH")</f>
        <v>KKH</v>
      </c>
      <c r="I417" s="4" t="str">
        <f>IFERROR(__xludf.DUMMYFUNCTION("""COMPUTED_VALUE"""),"ATPY-WWR")</f>
        <v>ATPY-WWR</v>
      </c>
      <c r="J417" s="4" t="str">
        <f>IFERROR(__xludf.DUMMYFUNCTION("""COMPUTED_VALUE"""),"ZONA 2")</f>
        <v>ZONA 2</v>
      </c>
      <c r="K417" s="4" t="str">
        <f>IFERROR(__xludf.DUMMYFUNCTION("""COMPUTED_VALUE"""),"043")</f>
        <v>043</v>
      </c>
      <c r="L417" s="4" t="str">
        <f>IFERROR(__xludf.DUMMYFUNCTION("""COMPUTED_VALUE"""),"TM - 4B/H (Afspan)")</f>
        <v>TM - 4B/H (Afspan)</v>
      </c>
      <c r="M417" s="4" t="str">
        <f>IFERROR(__xludf.DUMMYFUNCTION("""COMPUTED_VALUE"""),"Tidak Ada")</f>
        <v>Tidak Ada</v>
      </c>
      <c r="N417" s="4"/>
      <c r="O417" s="4" t="str">
        <f>IFERROR(__xludf.DUMMYFUNCTION("""COMPUTED_VALUE"""),"PEMBANDING SEJENIS")</f>
        <v>PEMBANDING SEJENIS</v>
      </c>
      <c r="P417" s="4" t="str">
        <f>IFERROR(__xludf.DUMMYFUNCTION("""COMPUTED_VALUE"""),"KONEKTOR/JUMPER")</f>
        <v>KONEKTOR/JUMPER</v>
      </c>
      <c r="Q417" s="4">
        <f>IFERROR(__xludf.DUMMYFUNCTION("""COMPUTED_VALUE"""),20.0)</f>
        <v>20</v>
      </c>
      <c r="R417" s="4">
        <f>IFERROR(__xludf.DUMMYFUNCTION("""COMPUTED_VALUE"""),21.0)</f>
        <v>21</v>
      </c>
      <c r="S417" s="4">
        <f>IFERROR(__xludf.DUMMYFUNCTION("""COMPUTED_VALUE"""),20.0)</f>
        <v>20</v>
      </c>
      <c r="T417" s="4"/>
      <c r="U417" s="4" t="str">
        <f>IFERROR(__xludf.DUMMYFUNCTION("""COMPUTED_VALUE"""),"BAIK")</f>
        <v>BAIK</v>
      </c>
      <c r="V417" s="4" t="str">
        <f>IFERROR(__xludf.DUMMYFUNCTION("""COMPUTED_VALUE"""),"Tidak Ada")</f>
        <v>Tidak Ada</v>
      </c>
      <c r="W417" s="4"/>
      <c r="X417" s="4"/>
      <c r="Y417" s="4"/>
      <c r="Z417" s="4"/>
      <c r="AA417" s="4"/>
      <c r="AB417" s="4"/>
      <c r="AC417" s="4" t="str">
        <f>IFERROR(__xludf.DUMMYFUNCTION("""COMPUTED_VALUE"""),"INSPEKSI SUTM - T2_Images/68f143fa.FOTO.131430.jpg")</f>
        <v>INSPEKSI SUTM - T2_Images/68f143fa.FOTO.131430.jpg</v>
      </c>
      <c r="AD417" s="4"/>
      <c r="AE417" s="4"/>
      <c r="AF417" s="4" t="str">
        <f>IFERROR(__xludf.DUMMYFUNCTION("""COMPUTED_VALUE"""),"BELUM")</f>
        <v>BELUM</v>
      </c>
      <c r="AG417" s="6">
        <f>IFERROR(__xludf.DUMMYFUNCTION("""COMPUTED_VALUE"""),46073.0)</f>
        <v>46073</v>
      </c>
      <c r="AH417" s="4"/>
      <c r="AI417" s="4"/>
    </row>
    <row r="418" ht="15.75" customHeight="1">
      <c r="A418" s="4" t="str">
        <f>IFERROR(__xludf.DUMMYFUNCTION("""COMPUTED_VALUE"""),"36ba7b66")</f>
        <v>36ba7b66</v>
      </c>
      <c r="B418" s="5">
        <f>IFERROR(__xludf.DUMMYFUNCTION("""COMPUTED_VALUE"""),46073.84354166667)</f>
        <v>46073.84354</v>
      </c>
      <c r="C418" s="4" t="str">
        <f>IFERROR(__xludf.DUMMYFUNCTION("""COMPUTED_VALUE"""),"-6.899223, 107.641317")</f>
        <v>-6.899223, 107.641317</v>
      </c>
      <c r="D418" s="4" t="str">
        <f>IFERROR(__xludf.DUMMYFUNCTION("""COMPUTED_VALUE"""),"Sandi angga")</f>
        <v>Sandi angga</v>
      </c>
      <c r="E418" s="4" t="str">
        <f>IFERROR(__xludf.DUMMYFUNCTION("""COMPUTED_VALUE"""),"BANDUNG")</f>
        <v>BANDUNG</v>
      </c>
      <c r="F418" s="4" t="str">
        <f>IFERROR(__xludf.DUMMYFUNCTION("""COMPUTED_VALUE"""),"BANDUNG TIMUR")</f>
        <v>BANDUNG TIMUR</v>
      </c>
      <c r="G418" s="4" t="str">
        <f>IFERROR(__xludf.DUMMYFUNCTION("""COMPUTED_VALUE"""),"KIARACONDONG")</f>
        <v>KIARACONDONG</v>
      </c>
      <c r="H418" s="4" t="str">
        <f>IFERROR(__xludf.DUMMYFUNCTION("""COMPUTED_VALUE"""),"KKH")</f>
        <v>KKH</v>
      </c>
      <c r="I418" s="4" t="str">
        <f>IFERROR(__xludf.DUMMYFUNCTION("""COMPUTED_VALUE"""),"ATPY-WWR")</f>
        <v>ATPY-WWR</v>
      </c>
      <c r="J418" s="4" t="str">
        <f>IFERROR(__xludf.DUMMYFUNCTION("""COMPUTED_VALUE"""),"ZONA 2")</f>
        <v>ZONA 2</v>
      </c>
      <c r="K418" s="4" t="str">
        <f>IFERROR(__xludf.DUMMYFUNCTION("""COMPUTED_VALUE"""),"050")</f>
        <v>050</v>
      </c>
      <c r="L418" s="4" t="str">
        <f>IFERROR(__xludf.DUMMYFUNCTION("""COMPUTED_VALUE"""),"TM - 8B/H (Percabangan)")</f>
        <v>TM - 8B/H (Percabangan)</v>
      </c>
      <c r="M418" s="4" t="str">
        <f>IFERROR(__xludf.DUMMYFUNCTION("""COMPUTED_VALUE"""),"Tidak Ada")</f>
        <v>Tidak Ada</v>
      </c>
      <c r="N418" s="4"/>
      <c r="O418" s="4" t="str">
        <f>IFERROR(__xludf.DUMMYFUNCTION("""COMPUTED_VALUE"""),"PEMBANDING SEJENIS")</f>
        <v>PEMBANDING SEJENIS</v>
      </c>
      <c r="P418" s="4" t="str">
        <f>IFERROR(__xludf.DUMMYFUNCTION("""COMPUTED_VALUE"""),"KONEKTOR/JUMPER")</f>
        <v>KONEKTOR/JUMPER</v>
      </c>
      <c r="Q418" s="4">
        <f>IFERROR(__xludf.DUMMYFUNCTION("""COMPUTED_VALUE"""),31.0)</f>
        <v>31</v>
      </c>
      <c r="R418" s="4">
        <f>IFERROR(__xludf.DUMMYFUNCTION("""COMPUTED_VALUE"""),21.0)</f>
        <v>21</v>
      </c>
      <c r="S418" s="4">
        <f>IFERROR(__xludf.DUMMYFUNCTION("""COMPUTED_VALUE"""),22.0)</f>
        <v>22</v>
      </c>
      <c r="T418" s="4"/>
      <c r="U418" s="4" t="str">
        <f>IFERROR(__xludf.DUMMYFUNCTION("""COMPUTED_VALUE"""),"KURANG")</f>
        <v>KURANG</v>
      </c>
      <c r="V418" s="4" t="str">
        <f>IFERROR(__xludf.DUMMYFUNCTION("""COMPUTED_VALUE"""),"Tidak Ada")</f>
        <v>Tidak Ada</v>
      </c>
      <c r="W418" s="4"/>
      <c r="X418" s="4"/>
      <c r="Y418" s="4"/>
      <c r="Z418" s="4"/>
      <c r="AA418" s="4"/>
      <c r="AB418" s="4"/>
      <c r="AC418" s="4" t="str">
        <f>IFERROR(__xludf.DUMMYFUNCTION("""COMPUTED_VALUE"""),"INSPEKSI SUTM - T2_Images/36ba7b66.FOTO.131557.jpg")</f>
        <v>INSPEKSI SUTM - T2_Images/36ba7b66.FOTO.131557.jpg</v>
      </c>
      <c r="AD418" s="4"/>
      <c r="AE418" s="4"/>
      <c r="AF418" s="4" t="str">
        <f>IFERROR(__xludf.DUMMYFUNCTION("""COMPUTED_VALUE"""),"BELUM")</f>
        <v>BELUM</v>
      </c>
      <c r="AG418" s="6">
        <f>IFERROR(__xludf.DUMMYFUNCTION("""COMPUTED_VALUE"""),46073.0)</f>
        <v>46073</v>
      </c>
      <c r="AH418" s="4"/>
      <c r="AI418" s="4"/>
    </row>
    <row r="419" ht="15.75" customHeight="1">
      <c r="A419" s="4" t="str">
        <f>IFERROR(__xludf.DUMMYFUNCTION("""COMPUTED_VALUE"""),"b36695e9")</f>
        <v>b36695e9</v>
      </c>
      <c r="B419" s="5">
        <f>IFERROR(__xludf.DUMMYFUNCTION("""COMPUTED_VALUE"""),46073.844513888886)</f>
        <v>46073.84451</v>
      </c>
      <c r="C419" s="4" t="str">
        <f>IFERROR(__xludf.DUMMYFUNCTION("""COMPUTED_VALUE"""),"-6.899226, 107.641320")</f>
        <v>-6.899226, 107.641320</v>
      </c>
      <c r="D419" s="4" t="str">
        <f>IFERROR(__xludf.DUMMYFUNCTION("""COMPUTED_VALUE"""),"Sandi angga")</f>
        <v>Sandi angga</v>
      </c>
      <c r="E419" s="4" t="str">
        <f>IFERROR(__xludf.DUMMYFUNCTION("""COMPUTED_VALUE"""),"BANDUNG")</f>
        <v>BANDUNG</v>
      </c>
      <c r="F419" s="4" t="str">
        <f>IFERROR(__xludf.DUMMYFUNCTION("""COMPUTED_VALUE"""),"BANDUNG TIMUR")</f>
        <v>BANDUNG TIMUR</v>
      </c>
      <c r="G419" s="4" t="str">
        <f>IFERROR(__xludf.DUMMYFUNCTION("""COMPUTED_VALUE"""),"KIARACONDONG")</f>
        <v>KIARACONDONG</v>
      </c>
      <c r="H419" s="4" t="str">
        <f>IFERROR(__xludf.DUMMYFUNCTION("""COMPUTED_VALUE"""),"KKH")</f>
        <v>KKH</v>
      </c>
      <c r="I419" s="4" t="str">
        <f>IFERROR(__xludf.DUMMYFUNCTION("""COMPUTED_VALUE"""),"ATPY-WWR")</f>
        <v>ATPY-WWR</v>
      </c>
      <c r="J419" s="4" t="str">
        <f>IFERROR(__xludf.DUMMYFUNCTION("""COMPUTED_VALUE"""),"ZONA 2")</f>
        <v>ZONA 2</v>
      </c>
      <c r="K419" s="4" t="str">
        <f>IFERROR(__xludf.DUMMYFUNCTION("""COMPUTED_VALUE"""),"051")</f>
        <v>051</v>
      </c>
      <c r="L419" s="4" t="str">
        <f>IFERROR(__xludf.DUMMYFUNCTION("""COMPUTED_VALUE"""),"TM - 14B/H (Akhir)")</f>
        <v>TM - 14B/H (Akhir)</v>
      </c>
      <c r="M419" s="4" t="str">
        <f>IFERROR(__xludf.DUMMYFUNCTION("""COMPUTED_VALUE"""),"Tidak Ada")</f>
        <v>Tidak Ada</v>
      </c>
      <c r="N419" s="4"/>
      <c r="O419" s="4" t="str">
        <f>IFERROR(__xludf.DUMMYFUNCTION("""COMPUTED_VALUE"""),"PEMBANDING SEJENIS")</f>
        <v>PEMBANDING SEJENIS</v>
      </c>
      <c r="P419" s="4" t="str">
        <f>IFERROR(__xludf.DUMMYFUNCTION("""COMPUTED_VALUE"""),"TERMINASI")</f>
        <v>TERMINASI</v>
      </c>
      <c r="Q419" s="4">
        <f>IFERROR(__xludf.DUMMYFUNCTION("""COMPUTED_VALUE"""),20.0)</f>
        <v>20</v>
      </c>
      <c r="R419" s="4">
        <f>IFERROR(__xludf.DUMMYFUNCTION("""COMPUTED_VALUE"""),22.0)</f>
        <v>22</v>
      </c>
      <c r="S419" s="4">
        <f>IFERROR(__xludf.DUMMYFUNCTION("""COMPUTED_VALUE"""),20.0)</f>
        <v>20</v>
      </c>
      <c r="T419" s="4"/>
      <c r="U419" s="4" t="str">
        <f>IFERROR(__xludf.DUMMYFUNCTION("""COMPUTED_VALUE"""),"BAIK")</f>
        <v>BAIK</v>
      </c>
      <c r="V419" s="4" t="str">
        <f>IFERROR(__xludf.DUMMYFUNCTION("""COMPUTED_VALUE"""),"Tidak Ada")</f>
        <v>Tidak Ada</v>
      </c>
      <c r="W419" s="4"/>
      <c r="X419" s="4"/>
      <c r="Y419" s="4"/>
      <c r="Z419" s="4"/>
      <c r="AA419" s="4"/>
      <c r="AB419" s="4"/>
      <c r="AC419" s="4" t="str">
        <f>IFERROR(__xludf.DUMMYFUNCTION("""COMPUTED_VALUE"""),"INSPEKSI SUTM - T2_Images/b36695e9.FOTO.131714.jpg")</f>
        <v>INSPEKSI SUTM - T2_Images/b36695e9.FOTO.131714.jpg</v>
      </c>
      <c r="AD419" s="4"/>
      <c r="AE419" s="4"/>
      <c r="AF419" s="4" t="str">
        <f>IFERROR(__xludf.DUMMYFUNCTION("""COMPUTED_VALUE"""),"BELUM")</f>
        <v>BELUM</v>
      </c>
      <c r="AG419" s="6">
        <f>IFERROR(__xludf.DUMMYFUNCTION("""COMPUTED_VALUE"""),46073.0)</f>
        <v>46073</v>
      </c>
      <c r="AH419" s="4"/>
      <c r="AI419" s="4"/>
    </row>
    <row r="420" ht="15.75" customHeight="1">
      <c r="A420" s="4" t="str">
        <f>IFERROR(__xludf.DUMMYFUNCTION("""COMPUTED_VALUE"""),"3bf8eb42")</f>
        <v>3bf8eb42</v>
      </c>
      <c r="B420" s="5">
        <f>IFERROR(__xludf.DUMMYFUNCTION("""COMPUTED_VALUE"""),46073.846030092594)</f>
        <v>46073.84603</v>
      </c>
      <c r="C420" s="4" t="str">
        <f>IFERROR(__xludf.DUMMYFUNCTION("""COMPUTED_VALUE"""),"-6.899220, 107.641317")</f>
        <v>-6.899220, 107.641317</v>
      </c>
      <c r="D420" s="4" t="str">
        <f>IFERROR(__xludf.DUMMYFUNCTION("""COMPUTED_VALUE"""),"Sandi amgga")</f>
        <v>Sandi amgga</v>
      </c>
      <c r="E420" s="4" t="str">
        <f>IFERROR(__xludf.DUMMYFUNCTION("""COMPUTED_VALUE"""),"BANDUNG")</f>
        <v>BANDUNG</v>
      </c>
      <c r="F420" s="4" t="str">
        <f>IFERROR(__xludf.DUMMYFUNCTION("""COMPUTED_VALUE"""),"BANDUNG TIMUR")</f>
        <v>BANDUNG TIMUR</v>
      </c>
      <c r="G420" s="4" t="str">
        <f>IFERROR(__xludf.DUMMYFUNCTION("""COMPUTED_VALUE"""),"KIARACONDONG")</f>
        <v>KIARACONDONG</v>
      </c>
      <c r="H420" s="4" t="str">
        <f>IFERROR(__xludf.DUMMYFUNCTION("""COMPUTED_VALUE"""),"KKH")</f>
        <v>KKH</v>
      </c>
      <c r="I420" s="4" t="str">
        <f>IFERROR(__xludf.DUMMYFUNCTION("""COMPUTED_VALUE"""),"ATPY-WWR")</f>
        <v>ATPY-WWR</v>
      </c>
      <c r="J420" s="4" t="str">
        <f>IFERROR(__xludf.DUMMYFUNCTION("""COMPUTED_VALUE"""),"ZONA 2")</f>
        <v>ZONA 2</v>
      </c>
      <c r="K420" s="4" t="str">
        <f>IFERROR(__xludf.DUMMYFUNCTION("""COMPUTED_VALUE"""),"050L12")</f>
        <v>050L12</v>
      </c>
      <c r="L420" s="4" t="str">
        <f>IFERROR(__xludf.DUMMYFUNCTION("""COMPUTED_VALUE"""),"TM - 14B/H (Akhir)")</f>
        <v>TM - 14B/H (Akhir)</v>
      </c>
      <c r="M420" s="4" t="str">
        <f>IFERROR(__xludf.DUMMYFUNCTION("""COMPUTED_VALUE"""),"Tidak Ada")</f>
        <v>Tidak Ada</v>
      </c>
      <c r="N420" s="4"/>
      <c r="O420" s="4" t="str">
        <f>IFERROR(__xludf.DUMMYFUNCTION("""COMPUTED_VALUE"""),"PEMBANDING SEJENIS")</f>
        <v>PEMBANDING SEJENIS</v>
      </c>
      <c r="P420" s="4" t="str">
        <f>IFERROR(__xludf.DUMMYFUNCTION("""COMPUTED_VALUE"""),"TERMINASI")</f>
        <v>TERMINASI</v>
      </c>
      <c r="Q420" s="4">
        <f>IFERROR(__xludf.DUMMYFUNCTION("""COMPUTED_VALUE"""),22.0)</f>
        <v>22</v>
      </c>
      <c r="R420" s="4">
        <f>IFERROR(__xludf.DUMMYFUNCTION("""COMPUTED_VALUE"""),20.0)</f>
        <v>20</v>
      </c>
      <c r="S420" s="4">
        <f>IFERROR(__xludf.DUMMYFUNCTION("""COMPUTED_VALUE"""),22.0)</f>
        <v>22</v>
      </c>
      <c r="T420" s="4"/>
      <c r="U420" s="4" t="str">
        <f>IFERROR(__xludf.DUMMYFUNCTION("""COMPUTED_VALUE"""),"BAIK")</f>
        <v>BAIK</v>
      </c>
      <c r="V420" s="4" t="str">
        <f>IFERROR(__xludf.DUMMYFUNCTION("""COMPUTED_VALUE"""),"Tidak Ada")</f>
        <v>Tidak Ada</v>
      </c>
      <c r="W420" s="4"/>
      <c r="X420" s="4"/>
      <c r="Y420" s="4"/>
      <c r="Z420" s="4"/>
      <c r="AA420" s="4"/>
      <c r="AB420" s="4"/>
      <c r="AC420" s="4" t="str">
        <f>IFERROR(__xludf.DUMMYFUNCTION("""COMPUTED_VALUE"""),"INSPEKSI SUTM - T2_Images/3bf8eb42.FOTO.131913.jpg")</f>
        <v>INSPEKSI SUTM - T2_Images/3bf8eb42.FOTO.131913.jpg</v>
      </c>
      <c r="AD420" s="4"/>
      <c r="AE420" s="4"/>
      <c r="AF420" s="4" t="str">
        <f>IFERROR(__xludf.DUMMYFUNCTION("""COMPUTED_VALUE"""),"BELUM")</f>
        <v>BELUM</v>
      </c>
      <c r="AG420" s="6">
        <f>IFERROR(__xludf.DUMMYFUNCTION("""COMPUTED_VALUE"""),46073.0)</f>
        <v>46073</v>
      </c>
      <c r="AH420" s="4"/>
      <c r="AI420" s="4"/>
    </row>
    <row r="421" ht="15.75" customHeight="1">
      <c r="A421" s="4" t="str">
        <f>IFERROR(__xludf.DUMMYFUNCTION("""COMPUTED_VALUE"""),"c1b9303a")</f>
        <v>c1b9303a</v>
      </c>
      <c r="B421" s="5">
        <f>IFERROR(__xludf.DUMMYFUNCTION("""COMPUTED_VALUE"""),46073.84685185185)</f>
        <v>46073.84685</v>
      </c>
      <c r="C421" s="4" t="str">
        <f>IFERROR(__xludf.DUMMYFUNCTION("""COMPUTED_VALUE"""),"-6.899215, 107.641322")</f>
        <v>-6.899215, 107.641322</v>
      </c>
      <c r="D421" s="4" t="str">
        <f>IFERROR(__xludf.DUMMYFUNCTION("""COMPUTED_VALUE"""),"Sandi angga")</f>
        <v>Sandi angga</v>
      </c>
      <c r="E421" s="4" t="str">
        <f>IFERROR(__xludf.DUMMYFUNCTION("""COMPUTED_VALUE"""),"BANDUNG")</f>
        <v>BANDUNG</v>
      </c>
      <c r="F421" s="4" t="str">
        <f>IFERROR(__xludf.DUMMYFUNCTION("""COMPUTED_VALUE"""),"BANDUNG TIMUR")</f>
        <v>BANDUNG TIMUR</v>
      </c>
      <c r="G421" s="4" t="str">
        <f>IFERROR(__xludf.DUMMYFUNCTION("""COMPUTED_VALUE"""),"KIARACONDONG")</f>
        <v>KIARACONDONG</v>
      </c>
      <c r="H421" s="4" t="str">
        <f>IFERROR(__xludf.DUMMYFUNCTION("""COMPUTED_VALUE"""),"KKH")</f>
        <v>KKH</v>
      </c>
      <c r="I421" s="4" t="str">
        <f>IFERROR(__xludf.DUMMYFUNCTION("""COMPUTED_VALUE"""),"ATPY-WWR")</f>
        <v>ATPY-WWR</v>
      </c>
      <c r="J421" s="4" t="str">
        <f>IFERROR(__xludf.DUMMYFUNCTION("""COMPUTED_VALUE"""),"ZONA 2")</f>
        <v>ZONA 2</v>
      </c>
      <c r="K421" s="4" t="str">
        <f>IFERROR(__xludf.DUMMYFUNCTION("""COMPUTED_VALUE"""),"050L13")</f>
        <v>050L13</v>
      </c>
      <c r="L421" s="4" t="str">
        <f>IFERROR(__xludf.DUMMYFUNCTION("""COMPUTED_VALUE"""),"TM - 11B/H (Kabel Naik)")</f>
        <v>TM - 11B/H (Kabel Naik)</v>
      </c>
      <c r="M421" s="4" t="str">
        <f>IFERROR(__xludf.DUMMYFUNCTION("""COMPUTED_VALUE"""),"Gardu")</f>
        <v>Gardu</v>
      </c>
      <c r="N421" s="4" t="str">
        <f>IFERROR(__xludf.DUMMYFUNCTION("""COMPUTED_VALUE"""),"ATPR")</f>
        <v>ATPR</v>
      </c>
      <c r="O421" s="4" t="str">
        <f>IFERROR(__xludf.DUMMYFUNCTION("""COMPUTED_VALUE"""),"PEMBANDING SEJENIS")</f>
        <v>PEMBANDING SEJENIS</v>
      </c>
      <c r="P421" s="4" t="str">
        <f>IFERROR(__xludf.DUMMYFUNCTION("""COMPUTED_VALUE"""),"TERMINASI")</f>
        <v>TERMINASI</v>
      </c>
      <c r="Q421" s="4">
        <f>IFERROR(__xludf.DUMMYFUNCTION("""COMPUTED_VALUE"""),21.0)</f>
        <v>21</v>
      </c>
      <c r="R421" s="4">
        <f>IFERROR(__xludf.DUMMYFUNCTION("""COMPUTED_VALUE"""),21.0)</f>
        <v>21</v>
      </c>
      <c r="S421" s="4">
        <f>IFERROR(__xludf.DUMMYFUNCTION("""COMPUTED_VALUE"""),20.0)</f>
        <v>20</v>
      </c>
      <c r="T421" s="4"/>
      <c r="U421" s="4" t="str">
        <f>IFERROR(__xludf.DUMMYFUNCTION("""COMPUTED_VALUE"""),"BAIK")</f>
        <v>BAIK</v>
      </c>
      <c r="V421" s="4" t="str">
        <f>IFERROR(__xludf.DUMMYFUNCTION("""COMPUTED_VALUE"""),"Tidak Ada")</f>
        <v>Tidak Ada</v>
      </c>
      <c r="W421" s="4"/>
      <c r="X421" s="4"/>
      <c r="Y421" s="4"/>
      <c r="Z421" s="4"/>
      <c r="AA421" s="4"/>
      <c r="AB421" s="4"/>
      <c r="AC421" s="4" t="str">
        <f>IFERROR(__xludf.DUMMYFUNCTION("""COMPUTED_VALUE"""),"INSPEKSI SUTM - T2_Images/c1b9303a.FOTO.132030.jpg")</f>
        <v>INSPEKSI SUTM - T2_Images/c1b9303a.FOTO.132030.jpg</v>
      </c>
      <c r="AD421" s="4"/>
      <c r="AE421" s="4"/>
      <c r="AF421" s="4" t="str">
        <f>IFERROR(__xludf.DUMMYFUNCTION("""COMPUTED_VALUE"""),"BELUM")</f>
        <v>BELUM</v>
      </c>
      <c r="AG421" s="6">
        <f>IFERROR(__xludf.DUMMYFUNCTION("""COMPUTED_VALUE"""),46073.0)</f>
        <v>46073</v>
      </c>
      <c r="AH421" s="4"/>
      <c r="AI421" s="4"/>
    </row>
    <row r="422" ht="15.75" customHeight="1">
      <c r="A422" s="4" t="str">
        <f>IFERROR(__xludf.DUMMYFUNCTION("""COMPUTED_VALUE"""),"083155a8")</f>
        <v>083155a8</v>
      </c>
      <c r="B422" s="5">
        <f>IFERROR(__xludf.DUMMYFUNCTION("""COMPUTED_VALUE"""),46073.847650462965)</f>
        <v>46073.84765</v>
      </c>
      <c r="C422" s="4" t="str">
        <f>IFERROR(__xludf.DUMMYFUNCTION("""COMPUTED_VALUE"""),"-6.899206, 107.641322")</f>
        <v>-6.899206, 107.641322</v>
      </c>
      <c r="D422" s="4" t="str">
        <f>IFERROR(__xludf.DUMMYFUNCTION("""COMPUTED_VALUE"""),"Sandi angga")</f>
        <v>Sandi angga</v>
      </c>
      <c r="E422" s="4" t="str">
        <f>IFERROR(__xludf.DUMMYFUNCTION("""COMPUTED_VALUE"""),"BANDUNG")</f>
        <v>BANDUNG</v>
      </c>
      <c r="F422" s="4" t="str">
        <f>IFERROR(__xludf.DUMMYFUNCTION("""COMPUTED_VALUE"""),"BANDUNG TIMUR")</f>
        <v>BANDUNG TIMUR</v>
      </c>
      <c r="G422" s="4" t="str">
        <f>IFERROR(__xludf.DUMMYFUNCTION("""COMPUTED_VALUE"""),"KIARACONDONG")</f>
        <v>KIARACONDONG</v>
      </c>
      <c r="H422" s="4" t="str">
        <f>IFERROR(__xludf.DUMMYFUNCTION("""COMPUTED_VALUE"""),"KKH")</f>
        <v>KKH</v>
      </c>
      <c r="I422" s="4" t="str">
        <f>IFERROR(__xludf.DUMMYFUNCTION("""COMPUTED_VALUE"""),"ATPY-WWR")</f>
        <v>ATPY-WWR</v>
      </c>
      <c r="J422" s="4" t="str">
        <f>IFERROR(__xludf.DUMMYFUNCTION("""COMPUTED_VALUE"""),"ZONA 2")</f>
        <v>ZONA 2</v>
      </c>
      <c r="K422" s="4" t="str">
        <f>IFERROR(__xludf.DUMMYFUNCTION("""COMPUTED_VALUE"""),"050L14")</f>
        <v>050L14</v>
      </c>
      <c r="L422" s="4" t="str">
        <f>IFERROR(__xludf.DUMMYFUNCTION("""COMPUTED_VALUE"""),"TM - 14B/H (Akhir)")</f>
        <v>TM - 14B/H (Akhir)</v>
      </c>
      <c r="M422" s="4" t="str">
        <f>IFERROR(__xludf.DUMMYFUNCTION("""COMPUTED_VALUE"""),"Gardu")</f>
        <v>Gardu</v>
      </c>
      <c r="N422" s="4" t="str">
        <f>IFERROR(__xludf.DUMMYFUNCTION("""COMPUTED_VALUE"""),"ATPR")</f>
        <v>ATPR</v>
      </c>
      <c r="O422" s="4" t="str">
        <f>IFERROR(__xludf.DUMMYFUNCTION("""COMPUTED_VALUE"""),"PEMBANDING SEJENIS")</f>
        <v>PEMBANDING SEJENIS</v>
      </c>
      <c r="P422" s="4" t="str">
        <f>IFERROR(__xludf.DUMMYFUNCTION("""COMPUTED_VALUE"""),"TERMINASI")</f>
        <v>TERMINASI</v>
      </c>
      <c r="Q422" s="4">
        <f>IFERROR(__xludf.DUMMYFUNCTION("""COMPUTED_VALUE"""),22.0)</f>
        <v>22</v>
      </c>
      <c r="R422" s="4">
        <f>IFERROR(__xludf.DUMMYFUNCTION("""COMPUTED_VALUE"""),22.0)</f>
        <v>22</v>
      </c>
      <c r="S422" s="4">
        <f>IFERROR(__xludf.DUMMYFUNCTION("""COMPUTED_VALUE"""),21.0)</f>
        <v>21</v>
      </c>
      <c r="T422" s="4"/>
      <c r="U422" s="4" t="str">
        <f>IFERROR(__xludf.DUMMYFUNCTION("""COMPUTED_VALUE"""),"BAIK")</f>
        <v>BAIK</v>
      </c>
      <c r="V422" s="4" t="str">
        <f>IFERROR(__xludf.DUMMYFUNCTION("""COMPUTED_VALUE"""),"Tidak Ada")</f>
        <v>Tidak Ada</v>
      </c>
      <c r="W422" s="4"/>
      <c r="X422" s="4"/>
      <c r="Y422" s="4"/>
      <c r="Z422" s="4"/>
      <c r="AA422" s="4"/>
      <c r="AB422" s="4"/>
      <c r="AC422" s="4" t="str">
        <f>IFERROR(__xludf.DUMMYFUNCTION("""COMPUTED_VALUE"""),"INSPEKSI SUTM - T2_Images/083155a8.FOTO.132136.jpg")</f>
        <v>INSPEKSI SUTM - T2_Images/083155a8.FOTO.132136.jpg</v>
      </c>
      <c r="AD422" s="4"/>
      <c r="AE422" s="4"/>
      <c r="AF422" s="4" t="str">
        <f>IFERROR(__xludf.DUMMYFUNCTION("""COMPUTED_VALUE"""),"BELUM")</f>
        <v>BELUM</v>
      </c>
      <c r="AG422" s="6">
        <f>IFERROR(__xludf.DUMMYFUNCTION("""COMPUTED_VALUE"""),46073.0)</f>
        <v>46073</v>
      </c>
      <c r="AH422" s="4"/>
      <c r="AI422" s="4"/>
    </row>
    <row r="423" ht="15.75" customHeight="1">
      <c r="A423" s="4" t="str">
        <f>IFERROR(__xludf.DUMMYFUNCTION("""COMPUTED_VALUE"""),"8ac1318e")</f>
        <v>8ac1318e</v>
      </c>
      <c r="B423" s="5">
        <f>IFERROR(__xludf.DUMMYFUNCTION("""COMPUTED_VALUE"""),46073.8484375)</f>
        <v>46073.84844</v>
      </c>
      <c r="C423" s="4" t="str">
        <f>IFERROR(__xludf.DUMMYFUNCTION("""COMPUTED_VALUE"""),"-6.899211, 107.641315")</f>
        <v>-6.899211, 107.641315</v>
      </c>
      <c r="D423" s="4" t="str">
        <f>IFERROR(__xludf.DUMMYFUNCTION("""COMPUTED_VALUE"""),"Sandi angga")</f>
        <v>Sandi angga</v>
      </c>
      <c r="E423" s="4" t="str">
        <f>IFERROR(__xludf.DUMMYFUNCTION("""COMPUTED_VALUE"""),"BANDUNG")</f>
        <v>BANDUNG</v>
      </c>
      <c r="F423" s="4" t="str">
        <f>IFERROR(__xludf.DUMMYFUNCTION("""COMPUTED_VALUE"""),"BANDUNG TIMUR")</f>
        <v>BANDUNG TIMUR</v>
      </c>
      <c r="G423" s="4" t="str">
        <f>IFERROR(__xludf.DUMMYFUNCTION("""COMPUTED_VALUE"""),"KIARACONDONG")</f>
        <v>KIARACONDONG</v>
      </c>
      <c r="H423" s="4" t="str">
        <f>IFERROR(__xludf.DUMMYFUNCTION("""COMPUTED_VALUE"""),"KKH")</f>
        <v>KKH</v>
      </c>
      <c r="I423" s="4" t="str">
        <f>IFERROR(__xludf.DUMMYFUNCTION("""COMPUTED_VALUE"""),"ATPY-WWR")</f>
        <v>ATPY-WWR</v>
      </c>
      <c r="J423" s="4" t="str">
        <f>IFERROR(__xludf.DUMMYFUNCTION("""COMPUTED_VALUE"""),"ZONA 2")</f>
        <v>ZONA 2</v>
      </c>
      <c r="K423" s="4" t="str">
        <f>IFERROR(__xludf.DUMMYFUNCTION("""COMPUTED_VALUE"""),"050L15")</f>
        <v>050L15</v>
      </c>
      <c r="L423" s="4" t="str">
        <f>IFERROR(__xludf.DUMMYFUNCTION("""COMPUTED_VALUE"""),"TM - 11B/H (Kabel Naik)")</f>
        <v>TM - 11B/H (Kabel Naik)</v>
      </c>
      <c r="M423" s="4" t="str">
        <f>IFERROR(__xludf.DUMMYFUNCTION("""COMPUTED_VALUE"""),"Tidak Ada")</f>
        <v>Tidak Ada</v>
      </c>
      <c r="N423" s="4"/>
      <c r="O423" s="4" t="str">
        <f>IFERROR(__xludf.DUMMYFUNCTION("""COMPUTED_VALUE"""),"PEMBANDING SEJENIS")</f>
        <v>PEMBANDING SEJENIS</v>
      </c>
      <c r="P423" s="4" t="str">
        <f>IFERROR(__xludf.DUMMYFUNCTION("""COMPUTED_VALUE"""),"TERMINASI")</f>
        <v>TERMINASI</v>
      </c>
      <c r="Q423" s="4">
        <f>IFERROR(__xludf.DUMMYFUNCTION("""COMPUTED_VALUE"""),21.0)</f>
        <v>21</v>
      </c>
      <c r="R423" s="4">
        <f>IFERROR(__xludf.DUMMYFUNCTION("""COMPUTED_VALUE"""),21.0)</f>
        <v>21</v>
      </c>
      <c r="S423" s="4">
        <f>IFERROR(__xludf.DUMMYFUNCTION("""COMPUTED_VALUE"""),22.0)</f>
        <v>22</v>
      </c>
      <c r="T423" s="4"/>
      <c r="U423" s="4" t="str">
        <f>IFERROR(__xludf.DUMMYFUNCTION("""COMPUTED_VALUE"""),"BAIK")</f>
        <v>BAIK</v>
      </c>
      <c r="V423" s="4" t="str">
        <f>IFERROR(__xludf.DUMMYFUNCTION("""COMPUTED_VALUE"""),"Tidak Ada")</f>
        <v>Tidak Ada</v>
      </c>
      <c r="W423" s="4"/>
      <c r="X423" s="4"/>
      <c r="Y423" s="4"/>
      <c r="Z423" s="4"/>
      <c r="AA423" s="4"/>
      <c r="AB423" s="4"/>
      <c r="AC423" s="4" t="str">
        <f>IFERROR(__xludf.DUMMYFUNCTION("""COMPUTED_VALUE"""),"INSPEKSI SUTM - T2_Images/8ac1318e.FOTO.132243.jpg")</f>
        <v>INSPEKSI SUTM - T2_Images/8ac1318e.FOTO.132243.jpg</v>
      </c>
      <c r="AD423" s="4"/>
      <c r="AE423" s="4"/>
      <c r="AF423" s="4" t="str">
        <f>IFERROR(__xludf.DUMMYFUNCTION("""COMPUTED_VALUE"""),"BELUM")</f>
        <v>BELUM</v>
      </c>
      <c r="AG423" s="6">
        <f>IFERROR(__xludf.DUMMYFUNCTION("""COMPUTED_VALUE"""),46073.0)</f>
        <v>46073</v>
      </c>
      <c r="AH423" s="4"/>
      <c r="AI423" s="4"/>
    </row>
    <row r="424" ht="15.75" customHeight="1">
      <c r="A424" s="4" t="str">
        <f>IFERROR(__xludf.DUMMYFUNCTION("""COMPUTED_VALUE"""),"12a76f03")</f>
        <v>12a76f03</v>
      </c>
      <c r="B424" s="5">
        <f>IFERROR(__xludf.DUMMYFUNCTION("""COMPUTED_VALUE"""),46073.84918981481)</f>
        <v>46073.84919</v>
      </c>
      <c r="C424" s="4" t="str">
        <f>IFERROR(__xludf.DUMMYFUNCTION("""COMPUTED_VALUE"""),"-6.899201, 107.641324")</f>
        <v>-6.899201, 107.641324</v>
      </c>
      <c r="D424" s="4" t="str">
        <f>IFERROR(__xludf.DUMMYFUNCTION("""COMPUTED_VALUE"""),"Sandi angga")</f>
        <v>Sandi angga</v>
      </c>
      <c r="E424" s="4" t="str">
        <f>IFERROR(__xludf.DUMMYFUNCTION("""COMPUTED_VALUE"""),"BANDUNG")</f>
        <v>BANDUNG</v>
      </c>
      <c r="F424" s="4" t="str">
        <f>IFERROR(__xludf.DUMMYFUNCTION("""COMPUTED_VALUE"""),"BANDUNG TIMUR")</f>
        <v>BANDUNG TIMUR</v>
      </c>
      <c r="G424" s="4" t="str">
        <f>IFERROR(__xludf.DUMMYFUNCTION("""COMPUTED_VALUE"""),"KIARACONDONG")</f>
        <v>KIARACONDONG</v>
      </c>
      <c r="H424" s="4" t="str">
        <f>IFERROR(__xludf.DUMMYFUNCTION("""COMPUTED_VALUE"""),"KKH")</f>
        <v>KKH</v>
      </c>
      <c r="I424" s="4" t="str">
        <f>IFERROR(__xludf.DUMMYFUNCTION("""COMPUTED_VALUE"""),"ATPY-WWR")</f>
        <v>ATPY-WWR</v>
      </c>
      <c r="J424" s="4" t="str">
        <f>IFERROR(__xludf.DUMMYFUNCTION("""COMPUTED_VALUE"""),"ZONA 2")</f>
        <v>ZONA 2</v>
      </c>
      <c r="K424" s="4" t="str">
        <f>IFERROR(__xludf.DUMMYFUNCTION("""COMPUTED_VALUE"""),"050L20")</f>
        <v>050L20</v>
      </c>
      <c r="L424" s="4" t="str">
        <f>IFERROR(__xludf.DUMMYFUNCTION("""COMPUTED_VALUE"""),"TM - 8B/H (Percabangan)")</f>
        <v>TM - 8B/H (Percabangan)</v>
      </c>
      <c r="M424" s="4" t="str">
        <f>IFERROR(__xludf.DUMMYFUNCTION("""COMPUTED_VALUE"""),"Tidak Ada")</f>
        <v>Tidak Ada</v>
      </c>
      <c r="N424" s="4"/>
      <c r="O424" s="4" t="str">
        <f>IFERROR(__xludf.DUMMYFUNCTION("""COMPUTED_VALUE"""),"PEMBANDING SEJENIS")</f>
        <v>PEMBANDING SEJENIS</v>
      </c>
      <c r="P424" s="4" t="str">
        <f>IFERROR(__xludf.DUMMYFUNCTION("""COMPUTED_VALUE"""),"KONEKTOR/JUMPER")</f>
        <v>KONEKTOR/JUMPER</v>
      </c>
      <c r="Q424" s="4">
        <f>IFERROR(__xludf.DUMMYFUNCTION("""COMPUTED_VALUE"""),16.0)</f>
        <v>16</v>
      </c>
      <c r="R424" s="4">
        <f>IFERROR(__xludf.DUMMYFUNCTION("""COMPUTED_VALUE"""),22.0)</f>
        <v>22</v>
      </c>
      <c r="S424" s="4">
        <f>IFERROR(__xludf.DUMMYFUNCTION("""COMPUTED_VALUE"""),17.0)</f>
        <v>17</v>
      </c>
      <c r="T424" s="4"/>
      <c r="U424" s="4" t="str">
        <f>IFERROR(__xludf.DUMMYFUNCTION("""COMPUTED_VALUE"""),"CUKUP")</f>
        <v>CUKUP</v>
      </c>
      <c r="V424" s="4" t="str">
        <f>IFERROR(__xludf.DUMMYFUNCTION("""COMPUTED_VALUE"""),"Tidak Ada")</f>
        <v>Tidak Ada</v>
      </c>
      <c r="W424" s="4"/>
      <c r="X424" s="4"/>
      <c r="Y424" s="4"/>
      <c r="Z424" s="4"/>
      <c r="AA424" s="4"/>
      <c r="AB424" s="4"/>
      <c r="AC424" s="4" t="str">
        <f>IFERROR(__xludf.DUMMYFUNCTION("""COMPUTED_VALUE"""),"INSPEKSI SUTM - T2_Images/12a76f03.FOTO.132339.jpg")</f>
        <v>INSPEKSI SUTM - T2_Images/12a76f03.FOTO.132339.jpg</v>
      </c>
      <c r="AD424" s="4"/>
      <c r="AE424" s="4"/>
      <c r="AF424" s="4" t="str">
        <f>IFERROR(__xludf.DUMMYFUNCTION("""COMPUTED_VALUE"""),"BELUM")</f>
        <v>BELUM</v>
      </c>
      <c r="AG424" s="6">
        <f>IFERROR(__xludf.DUMMYFUNCTION("""COMPUTED_VALUE"""),46073.0)</f>
        <v>46073</v>
      </c>
      <c r="AH424" s="4"/>
      <c r="AI424" s="4"/>
    </row>
    <row r="425" ht="15.75" customHeight="1">
      <c r="A425" s="4" t="str">
        <f>IFERROR(__xludf.DUMMYFUNCTION("""COMPUTED_VALUE"""),"7eacc32b")</f>
        <v>7eacc32b</v>
      </c>
      <c r="B425" s="5">
        <f>IFERROR(__xludf.DUMMYFUNCTION("""COMPUTED_VALUE"""),46073.849907407406)</f>
        <v>46073.84991</v>
      </c>
      <c r="C425" s="4" t="str">
        <f>IFERROR(__xludf.DUMMYFUNCTION("""COMPUTED_VALUE"""),"-6.899218, 107.641313")</f>
        <v>-6.899218, 107.641313</v>
      </c>
      <c r="D425" s="4" t="str">
        <f>IFERROR(__xludf.DUMMYFUNCTION("""COMPUTED_VALUE"""),"Sandi angga")</f>
        <v>Sandi angga</v>
      </c>
      <c r="E425" s="4" t="str">
        <f>IFERROR(__xludf.DUMMYFUNCTION("""COMPUTED_VALUE"""),"BANDUNG")</f>
        <v>BANDUNG</v>
      </c>
      <c r="F425" s="4" t="str">
        <f>IFERROR(__xludf.DUMMYFUNCTION("""COMPUTED_VALUE"""),"BANDUNG TIMUR")</f>
        <v>BANDUNG TIMUR</v>
      </c>
      <c r="G425" s="4" t="str">
        <f>IFERROR(__xludf.DUMMYFUNCTION("""COMPUTED_VALUE"""),"KIARACONDONG")</f>
        <v>KIARACONDONG</v>
      </c>
      <c r="H425" s="4" t="str">
        <f>IFERROR(__xludf.DUMMYFUNCTION("""COMPUTED_VALUE"""),"KKH")</f>
        <v>KKH</v>
      </c>
      <c r="I425" s="4" t="str">
        <f>IFERROR(__xludf.DUMMYFUNCTION("""COMPUTED_VALUE"""),"ATPY-WWR")</f>
        <v>ATPY-WWR</v>
      </c>
      <c r="J425" s="4" t="str">
        <f>IFERROR(__xludf.DUMMYFUNCTION("""COMPUTED_VALUE"""),"ZONA 2")</f>
        <v>ZONA 2</v>
      </c>
      <c r="K425" s="4" t="str">
        <f>IFERROR(__xludf.DUMMYFUNCTION("""COMPUTED_VALUE"""),"050L20L01")</f>
        <v>050L20L01</v>
      </c>
      <c r="L425" s="4" t="str">
        <f>IFERROR(__xludf.DUMMYFUNCTION("""COMPUTED_VALUE"""),"TM - 14B/H (Akhir)")</f>
        <v>TM - 14B/H (Akhir)</v>
      </c>
      <c r="M425" s="4" t="str">
        <f>IFERROR(__xludf.DUMMYFUNCTION("""COMPUTED_VALUE"""),"Tidak Ada")</f>
        <v>Tidak Ada</v>
      </c>
      <c r="N425" s="4"/>
      <c r="O425" s="4" t="str">
        <f>IFERROR(__xludf.DUMMYFUNCTION("""COMPUTED_VALUE"""),"PEMBANDING SEJENIS")</f>
        <v>PEMBANDING SEJENIS</v>
      </c>
      <c r="P425" s="4" t="str">
        <f>IFERROR(__xludf.DUMMYFUNCTION("""COMPUTED_VALUE"""),"TERMINASI")</f>
        <v>TERMINASI</v>
      </c>
      <c r="Q425" s="4">
        <f>IFERROR(__xludf.DUMMYFUNCTION("""COMPUTED_VALUE"""),21.0)</f>
        <v>21</v>
      </c>
      <c r="R425" s="4">
        <f>IFERROR(__xludf.DUMMYFUNCTION("""COMPUTED_VALUE"""),23.0)</f>
        <v>23</v>
      </c>
      <c r="S425" s="4">
        <f>IFERROR(__xludf.DUMMYFUNCTION("""COMPUTED_VALUE"""),22.0)</f>
        <v>22</v>
      </c>
      <c r="T425" s="4"/>
      <c r="U425" s="4" t="str">
        <f>IFERROR(__xludf.DUMMYFUNCTION("""COMPUTED_VALUE"""),"BAIK")</f>
        <v>BAIK</v>
      </c>
      <c r="V425" s="4" t="str">
        <f>IFERROR(__xludf.DUMMYFUNCTION("""COMPUTED_VALUE"""),"Tidak Ada")</f>
        <v>Tidak Ada</v>
      </c>
      <c r="W425" s="4"/>
      <c r="X425" s="4"/>
      <c r="Y425" s="4"/>
      <c r="Z425" s="4"/>
      <c r="AA425" s="4"/>
      <c r="AB425" s="4"/>
      <c r="AC425" s="4" t="str">
        <f>IFERROR(__xludf.DUMMYFUNCTION("""COMPUTED_VALUE"""),"INSPEKSI SUTM - T2_Images/7eacc32b.FOTO.132453.jpg")</f>
        <v>INSPEKSI SUTM - T2_Images/7eacc32b.FOTO.132453.jpg</v>
      </c>
      <c r="AD425" s="4"/>
      <c r="AE425" s="4"/>
      <c r="AF425" s="4" t="str">
        <f>IFERROR(__xludf.DUMMYFUNCTION("""COMPUTED_VALUE"""),"BELUM")</f>
        <v>BELUM</v>
      </c>
      <c r="AG425" s="6">
        <f>IFERROR(__xludf.DUMMYFUNCTION("""COMPUTED_VALUE"""),46073.0)</f>
        <v>46073</v>
      </c>
      <c r="AH425" s="4"/>
      <c r="AI425" s="4"/>
    </row>
    <row r="426" ht="15.75" customHeight="1">
      <c r="A426" s="4" t="str">
        <f>IFERROR(__xludf.DUMMYFUNCTION("""COMPUTED_VALUE"""),"708243ae")</f>
        <v>708243ae</v>
      </c>
      <c r="B426" s="5">
        <f>IFERROR(__xludf.DUMMYFUNCTION("""COMPUTED_VALUE"""),46073.85091435185)</f>
        <v>46073.85091</v>
      </c>
      <c r="C426" s="4" t="str">
        <f>IFERROR(__xludf.DUMMYFUNCTION("""COMPUTED_VALUE"""),"-6.899204, 107.641315")</f>
        <v>-6.899204, 107.641315</v>
      </c>
      <c r="D426" s="4" t="str">
        <f>IFERROR(__xludf.DUMMYFUNCTION("""COMPUTED_VALUE"""),"Sandi angga")</f>
        <v>Sandi angga</v>
      </c>
      <c r="E426" s="4" t="str">
        <f>IFERROR(__xludf.DUMMYFUNCTION("""COMPUTED_VALUE"""),"BANDUNG")</f>
        <v>BANDUNG</v>
      </c>
      <c r="F426" s="4" t="str">
        <f>IFERROR(__xludf.DUMMYFUNCTION("""COMPUTED_VALUE"""),"BANDUNG TIMUR")</f>
        <v>BANDUNG TIMUR</v>
      </c>
      <c r="G426" s="4" t="str">
        <f>IFERROR(__xludf.DUMMYFUNCTION("""COMPUTED_VALUE"""),"KIARACONDONG")</f>
        <v>KIARACONDONG</v>
      </c>
      <c r="H426" s="4" t="str">
        <f>IFERROR(__xludf.DUMMYFUNCTION("""COMPUTED_VALUE"""),"KKH")</f>
        <v>KKH</v>
      </c>
      <c r="I426" s="4" t="str">
        <f>IFERROR(__xludf.DUMMYFUNCTION("""COMPUTED_VALUE"""),"ATPY-WWR")</f>
        <v>ATPY-WWR</v>
      </c>
      <c r="J426" s="4" t="str">
        <f>IFERROR(__xludf.DUMMYFUNCTION("""COMPUTED_VALUE"""),"ZONA 2")</f>
        <v>ZONA 2</v>
      </c>
      <c r="K426" s="4" t="str">
        <f>IFERROR(__xludf.DUMMYFUNCTION("""COMPUTED_VALUE"""),"050L27")</f>
        <v>050L27</v>
      </c>
      <c r="L426" s="4" t="str">
        <f>IFERROR(__xludf.DUMMYFUNCTION("""COMPUTED_VALUE"""),"TM - 4B/H (Afspan)")</f>
        <v>TM - 4B/H (Afspan)</v>
      </c>
      <c r="M426" s="4" t="str">
        <f>IFERROR(__xludf.DUMMYFUNCTION("""COMPUTED_VALUE"""),"Tidak Ada")</f>
        <v>Tidak Ada</v>
      </c>
      <c r="N426" s="4"/>
      <c r="O426" s="4" t="str">
        <f>IFERROR(__xludf.DUMMYFUNCTION("""COMPUTED_VALUE"""),"PEMBANDING SEJENIS")</f>
        <v>PEMBANDING SEJENIS</v>
      </c>
      <c r="P426" s="4" t="str">
        <f>IFERROR(__xludf.DUMMYFUNCTION("""COMPUTED_VALUE"""),"KONEKTOR/JUMPER")</f>
        <v>KONEKTOR/JUMPER</v>
      </c>
      <c r="Q426" s="4">
        <f>IFERROR(__xludf.DUMMYFUNCTION("""COMPUTED_VALUE"""),19.0)</f>
        <v>19</v>
      </c>
      <c r="R426" s="4">
        <f>IFERROR(__xludf.DUMMYFUNCTION("""COMPUTED_VALUE"""),19.0)</f>
        <v>19</v>
      </c>
      <c r="S426" s="4">
        <f>IFERROR(__xludf.DUMMYFUNCTION("""COMPUTED_VALUE"""),19.0)</f>
        <v>19</v>
      </c>
      <c r="T426" s="4"/>
      <c r="U426" s="4" t="str">
        <f>IFERROR(__xludf.DUMMYFUNCTION("""COMPUTED_VALUE"""),"BAIK")</f>
        <v>BAIK</v>
      </c>
      <c r="V426" s="4" t="str">
        <f>IFERROR(__xludf.DUMMYFUNCTION("""COMPUTED_VALUE"""),"Tidak Ada")</f>
        <v>Tidak Ada</v>
      </c>
      <c r="W426" s="4"/>
      <c r="X426" s="4"/>
      <c r="Y426" s="4"/>
      <c r="Z426" s="4"/>
      <c r="AA426" s="4"/>
      <c r="AB426" s="4"/>
      <c r="AC426" s="4" t="str">
        <f>IFERROR(__xludf.DUMMYFUNCTION("""COMPUTED_VALUE"""),"INSPEKSI SUTM - T2_Images/708243ae.FOTO.132611.jpg")</f>
        <v>INSPEKSI SUTM - T2_Images/708243ae.FOTO.132611.jpg</v>
      </c>
      <c r="AD426" s="4"/>
      <c r="AE426" s="4"/>
      <c r="AF426" s="4" t="str">
        <f>IFERROR(__xludf.DUMMYFUNCTION("""COMPUTED_VALUE"""),"BELUM")</f>
        <v>BELUM</v>
      </c>
      <c r="AG426" s="6">
        <f>IFERROR(__xludf.DUMMYFUNCTION("""COMPUTED_VALUE"""),46073.0)</f>
        <v>46073</v>
      </c>
      <c r="AH426" s="4"/>
      <c r="AI426" s="4"/>
    </row>
    <row r="427" ht="15.75" customHeight="1">
      <c r="A427" s="4" t="str">
        <f>IFERROR(__xludf.DUMMYFUNCTION("""COMPUTED_VALUE"""),"1307df7a")</f>
        <v>1307df7a</v>
      </c>
      <c r="B427" s="5">
        <f>IFERROR(__xludf.DUMMYFUNCTION("""COMPUTED_VALUE"""),46073.85159722222)</f>
        <v>46073.8516</v>
      </c>
      <c r="C427" s="4" t="str">
        <f>IFERROR(__xludf.DUMMYFUNCTION("""COMPUTED_VALUE"""),"-6.899236, 107.641310")</f>
        <v>-6.899236, 107.641310</v>
      </c>
      <c r="D427" s="4" t="str">
        <f>IFERROR(__xludf.DUMMYFUNCTION("""COMPUTED_VALUE"""),"Sandi angga")</f>
        <v>Sandi angga</v>
      </c>
      <c r="E427" s="4" t="str">
        <f>IFERROR(__xludf.DUMMYFUNCTION("""COMPUTED_VALUE"""),"BANDUNG")</f>
        <v>BANDUNG</v>
      </c>
      <c r="F427" s="4" t="str">
        <f>IFERROR(__xludf.DUMMYFUNCTION("""COMPUTED_VALUE"""),"BANDUNG TIMUR")</f>
        <v>BANDUNG TIMUR</v>
      </c>
      <c r="G427" s="4" t="str">
        <f>IFERROR(__xludf.DUMMYFUNCTION("""COMPUTED_VALUE"""),"KIARACONDONG")</f>
        <v>KIARACONDONG</v>
      </c>
      <c r="H427" s="4" t="str">
        <f>IFERROR(__xludf.DUMMYFUNCTION("""COMPUTED_VALUE"""),"KKH")</f>
        <v>KKH</v>
      </c>
      <c r="I427" s="4" t="str">
        <f>IFERROR(__xludf.DUMMYFUNCTION("""COMPUTED_VALUE"""),"ATPY-WWR")</f>
        <v>ATPY-WWR</v>
      </c>
      <c r="J427" s="4" t="str">
        <f>IFERROR(__xludf.DUMMYFUNCTION("""COMPUTED_VALUE"""),"ZONA 2")</f>
        <v>ZONA 2</v>
      </c>
      <c r="K427" s="4" t="str">
        <f>IFERROR(__xludf.DUMMYFUNCTION("""COMPUTED_VALUE"""),"050L33")</f>
        <v>050L33</v>
      </c>
      <c r="L427" s="4" t="str">
        <f>IFERROR(__xludf.DUMMYFUNCTION("""COMPUTED_VALUE"""),"TM - 4B/H (Afspan)")</f>
        <v>TM - 4B/H (Afspan)</v>
      </c>
      <c r="M427" s="4" t="str">
        <f>IFERROR(__xludf.DUMMYFUNCTION("""COMPUTED_VALUE"""),"Tidak Ada")</f>
        <v>Tidak Ada</v>
      </c>
      <c r="N427" s="4"/>
      <c r="O427" s="4" t="str">
        <f>IFERROR(__xludf.DUMMYFUNCTION("""COMPUTED_VALUE"""),"PEMBANDING SEJENIS")</f>
        <v>PEMBANDING SEJENIS</v>
      </c>
      <c r="P427" s="4" t="str">
        <f>IFERROR(__xludf.DUMMYFUNCTION("""COMPUTED_VALUE"""),"KONEKTOR/JUMPER")</f>
        <v>KONEKTOR/JUMPER</v>
      </c>
      <c r="Q427" s="4">
        <f>IFERROR(__xludf.DUMMYFUNCTION("""COMPUTED_VALUE"""),20.0)</f>
        <v>20</v>
      </c>
      <c r="R427" s="4">
        <f>IFERROR(__xludf.DUMMYFUNCTION("""COMPUTED_VALUE"""),21.0)</f>
        <v>21</v>
      </c>
      <c r="S427" s="4">
        <f>IFERROR(__xludf.DUMMYFUNCTION("""COMPUTED_VALUE"""),20.0)</f>
        <v>20</v>
      </c>
      <c r="T427" s="4"/>
      <c r="U427" s="4" t="str">
        <f>IFERROR(__xludf.DUMMYFUNCTION("""COMPUTED_VALUE"""),"BAIK")</f>
        <v>BAIK</v>
      </c>
      <c r="V427" s="4" t="str">
        <f>IFERROR(__xludf.DUMMYFUNCTION("""COMPUTED_VALUE"""),"Tidak Ada")</f>
        <v>Tidak Ada</v>
      </c>
      <c r="W427" s="4"/>
      <c r="X427" s="4"/>
      <c r="Y427" s="4"/>
      <c r="Z427" s="4"/>
      <c r="AA427" s="4"/>
      <c r="AB427" s="4"/>
      <c r="AC427" s="4" t="str">
        <f>IFERROR(__xludf.DUMMYFUNCTION("""COMPUTED_VALUE"""),"INSPEKSI SUTM - T2_Images/1307df7a.FOTO.132717.jpg")</f>
        <v>INSPEKSI SUTM - T2_Images/1307df7a.FOTO.132717.jpg</v>
      </c>
      <c r="AD427" s="4"/>
      <c r="AE427" s="4"/>
      <c r="AF427" s="4" t="str">
        <f>IFERROR(__xludf.DUMMYFUNCTION("""COMPUTED_VALUE"""),"BELUM")</f>
        <v>BELUM</v>
      </c>
      <c r="AG427" s="6">
        <f>IFERROR(__xludf.DUMMYFUNCTION("""COMPUTED_VALUE"""),46073.0)</f>
        <v>46073</v>
      </c>
      <c r="AH427" s="4"/>
      <c r="AI427" s="4"/>
    </row>
    <row r="428" ht="15.75" customHeight="1">
      <c r="A428" s="4" t="str">
        <f>IFERROR(__xludf.DUMMYFUNCTION("""COMPUTED_VALUE"""),"9770d221")</f>
        <v>9770d221</v>
      </c>
      <c r="B428" s="5">
        <f>IFERROR(__xludf.DUMMYFUNCTION("""COMPUTED_VALUE"""),46073.85271990741)</f>
        <v>46073.85272</v>
      </c>
      <c r="C428" s="4" t="str">
        <f>IFERROR(__xludf.DUMMYFUNCTION("""COMPUTED_VALUE"""),"-6.899214, 107.641316")</f>
        <v>-6.899214, 107.641316</v>
      </c>
      <c r="D428" s="4" t="str">
        <f>IFERROR(__xludf.DUMMYFUNCTION("""COMPUTED_VALUE"""),"Sandi angga")</f>
        <v>Sandi angga</v>
      </c>
      <c r="E428" s="4" t="str">
        <f>IFERROR(__xludf.DUMMYFUNCTION("""COMPUTED_VALUE"""),"BANDUNG")</f>
        <v>BANDUNG</v>
      </c>
      <c r="F428" s="4" t="str">
        <f>IFERROR(__xludf.DUMMYFUNCTION("""COMPUTED_VALUE"""),"BANDUNG TIMUR")</f>
        <v>BANDUNG TIMUR</v>
      </c>
      <c r="G428" s="4" t="str">
        <f>IFERROR(__xludf.DUMMYFUNCTION("""COMPUTED_VALUE"""),"KIARACONDONG")</f>
        <v>KIARACONDONG</v>
      </c>
      <c r="H428" s="4" t="str">
        <f>IFERROR(__xludf.DUMMYFUNCTION("""COMPUTED_VALUE"""),"KKH")</f>
        <v>KKH</v>
      </c>
      <c r="I428" s="4" t="str">
        <f>IFERROR(__xludf.DUMMYFUNCTION("""COMPUTED_VALUE"""),"ATPY-WWR")</f>
        <v>ATPY-WWR</v>
      </c>
      <c r="J428" s="4" t="str">
        <f>IFERROR(__xludf.DUMMYFUNCTION("""COMPUTED_VALUE"""),"ZONA 2")</f>
        <v>ZONA 2</v>
      </c>
      <c r="K428" s="4" t="str">
        <f>IFERROR(__xludf.DUMMYFUNCTION("""COMPUTED_VALUE"""),"050L34")</f>
        <v>050L34</v>
      </c>
      <c r="L428" s="4" t="str">
        <f>IFERROR(__xludf.DUMMYFUNCTION("""COMPUTED_VALUE"""),"TM - 1B/H (Tumpu)")</f>
        <v>TM - 1B/H (Tumpu)</v>
      </c>
      <c r="M428" s="4" t="str">
        <f>IFERROR(__xludf.DUMMYFUNCTION("""COMPUTED_VALUE"""),"Tidak Ada")</f>
        <v>Tidak Ada</v>
      </c>
      <c r="N428" s="4"/>
      <c r="O428" s="4" t="str">
        <f>IFERROR(__xludf.DUMMYFUNCTION("""COMPUTED_VALUE"""),"PEMBANDING SEJENIS")</f>
        <v>PEMBANDING SEJENIS</v>
      </c>
      <c r="P428" s="4" t="str">
        <f>IFERROR(__xludf.DUMMYFUNCTION("""COMPUTED_VALUE"""),"ARRESTER")</f>
        <v>ARRESTER</v>
      </c>
      <c r="Q428" s="4">
        <f>IFERROR(__xludf.DUMMYFUNCTION("""COMPUTED_VALUE"""),21.0)</f>
        <v>21</v>
      </c>
      <c r="R428" s="4">
        <f>IFERROR(__xludf.DUMMYFUNCTION("""COMPUTED_VALUE"""),21.0)</f>
        <v>21</v>
      </c>
      <c r="S428" s="4">
        <f>IFERROR(__xludf.DUMMYFUNCTION("""COMPUTED_VALUE"""),21.0)</f>
        <v>21</v>
      </c>
      <c r="T428" s="4"/>
      <c r="U428" s="4" t="str">
        <f>IFERROR(__xludf.DUMMYFUNCTION("""COMPUTED_VALUE"""),"BAIK")</f>
        <v>BAIK</v>
      </c>
      <c r="V428" s="4" t="str">
        <f>IFERROR(__xludf.DUMMYFUNCTION("""COMPUTED_VALUE"""),"Tidak Ada")</f>
        <v>Tidak Ada</v>
      </c>
      <c r="W428" s="4"/>
      <c r="X428" s="4"/>
      <c r="Y428" s="4"/>
      <c r="Z428" s="4"/>
      <c r="AA428" s="4"/>
      <c r="AB428" s="4"/>
      <c r="AC428" s="4" t="str">
        <f>IFERROR(__xludf.DUMMYFUNCTION("""COMPUTED_VALUE"""),"INSPEKSI SUTM - T2_Images/9770d221.FOTO.132846.jpg")</f>
        <v>INSPEKSI SUTM - T2_Images/9770d221.FOTO.132846.jpg</v>
      </c>
      <c r="AD428" s="4"/>
      <c r="AE428" s="4"/>
      <c r="AF428" s="4" t="str">
        <f>IFERROR(__xludf.DUMMYFUNCTION("""COMPUTED_VALUE"""),"BELUM")</f>
        <v>BELUM</v>
      </c>
      <c r="AG428" s="6">
        <f>IFERROR(__xludf.DUMMYFUNCTION("""COMPUTED_VALUE"""),46073.0)</f>
        <v>46073</v>
      </c>
      <c r="AH428" s="4"/>
      <c r="AI428" s="4"/>
    </row>
    <row r="429" ht="15.75" customHeight="1">
      <c r="A429" s="4" t="str">
        <f>IFERROR(__xludf.DUMMYFUNCTION("""COMPUTED_VALUE"""),"0885a068")</f>
        <v>0885a068</v>
      </c>
      <c r="B429" s="5">
        <f>IFERROR(__xludf.DUMMYFUNCTION("""COMPUTED_VALUE"""),46073.853634259256)</f>
        <v>46073.85363</v>
      </c>
      <c r="C429" s="4" t="str">
        <f>IFERROR(__xludf.DUMMYFUNCTION("""COMPUTED_VALUE"""),"-6.899221, 107.641307")</f>
        <v>-6.899221, 107.641307</v>
      </c>
      <c r="D429" s="4" t="str">
        <f>IFERROR(__xludf.DUMMYFUNCTION("""COMPUTED_VALUE"""),"Sandi angga")</f>
        <v>Sandi angga</v>
      </c>
      <c r="E429" s="4" t="str">
        <f>IFERROR(__xludf.DUMMYFUNCTION("""COMPUTED_VALUE"""),"BANDUNG")</f>
        <v>BANDUNG</v>
      </c>
      <c r="F429" s="4" t="str">
        <f>IFERROR(__xludf.DUMMYFUNCTION("""COMPUTED_VALUE"""),"BANDUNG TIMUR")</f>
        <v>BANDUNG TIMUR</v>
      </c>
      <c r="G429" s="4" t="str">
        <f>IFERROR(__xludf.DUMMYFUNCTION("""COMPUTED_VALUE"""),"KIARACONDONG")</f>
        <v>KIARACONDONG</v>
      </c>
      <c r="H429" s="4" t="str">
        <f>IFERROR(__xludf.DUMMYFUNCTION("""COMPUTED_VALUE"""),"KKH")</f>
        <v>KKH</v>
      </c>
      <c r="I429" s="4" t="str">
        <f>IFERROR(__xludf.DUMMYFUNCTION("""COMPUTED_VALUE"""),"ATPY-WWR")</f>
        <v>ATPY-WWR</v>
      </c>
      <c r="J429" s="4" t="str">
        <f>IFERROR(__xludf.DUMMYFUNCTION("""COMPUTED_VALUE"""),"ZONA 2")</f>
        <v>ZONA 2</v>
      </c>
      <c r="K429" s="4" t="str">
        <f>IFERROR(__xludf.DUMMYFUNCTION("""COMPUTED_VALUE"""),"050L36")</f>
        <v>050L36</v>
      </c>
      <c r="L429" s="4" t="str">
        <f>IFERROR(__xludf.DUMMYFUNCTION("""COMPUTED_VALUE"""),"TM - 7B/H (Afspan 90 Derajat)")</f>
        <v>TM - 7B/H (Afspan 90 Derajat)</v>
      </c>
      <c r="M429" s="4" t="str">
        <f>IFERROR(__xludf.DUMMYFUNCTION("""COMPUTED_VALUE"""),"Tidak Ada")</f>
        <v>Tidak Ada</v>
      </c>
      <c r="N429" s="4"/>
      <c r="O429" s="4" t="str">
        <f>IFERROR(__xludf.DUMMYFUNCTION("""COMPUTED_VALUE"""),"PEMBANDING SEJENIS")</f>
        <v>PEMBANDING SEJENIS</v>
      </c>
      <c r="P429" s="4" t="str">
        <f>IFERROR(__xludf.DUMMYFUNCTION("""COMPUTED_VALUE"""),"KONEKTOR/JUMPER")</f>
        <v>KONEKTOR/JUMPER</v>
      </c>
      <c r="Q429" s="4">
        <f>IFERROR(__xludf.DUMMYFUNCTION("""COMPUTED_VALUE"""),21.0)</f>
        <v>21</v>
      </c>
      <c r="R429" s="4">
        <f>IFERROR(__xludf.DUMMYFUNCTION("""COMPUTED_VALUE"""),21.0)</f>
        <v>21</v>
      </c>
      <c r="S429" s="4">
        <f>IFERROR(__xludf.DUMMYFUNCTION("""COMPUTED_VALUE"""),20.0)</f>
        <v>20</v>
      </c>
      <c r="T429" s="4"/>
      <c r="U429" s="4" t="str">
        <f>IFERROR(__xludf.DUMMYFUNCTION("""COMPUTED_VALUE"""),"BAIK")</f>
        <v>BAIK</v>
      </c>
      <c r="V429" s="4" t="str">
        <f>IFERROR(__xludf.DUMMYFUNCTION("""COMPUTED_VALUE"""),"Tidak Ada")</f>
        <v>Tidak Ada</v>
      </c>
      <c r="W429" s="4"/>
      <c r="X429" s="4"/>
      <c r="Y429" s="4"/>
      <c r="Z429" s="4"/>
      <c r="AA429" s="4"/>
      <c r="AB429" s="4"/>
      <c r="AC429" s="4" t="str">
        <f>IFERROR(__xludf.DUMMYFUNCTION("""COMPUTED_VALUE"""),"INSPEKSI SUTM - T2_Images/0885a068.FOTO.133000.jpg")</f>
        <v>INSPEKSI SUTM - T2_Images/0885a068.FOTO.133000.jpg</v>
      </c>
      <c r="AD429" s="4"/>
      <c r="AE429" s="4"/>
      <c r="AF429" s="4" t="str">
        <f>IFERROR(__xludf.DUMMYFUNCTION("""COMPUTED_VALUE"""),"BELUM")</f>
        <v>BELUM</v>
      </c>
      <c r="AG429" s="6">
        <f>IFERROR(__xludf.DUMMYFUNCTION("""COMPUTED_VALUE"""),46073.0)</f>
        <v>46073</v>
      </c>
      <c r="AH429" s="4"/>
      <c r="AI429" s="4"/>
    </row>
    <row r="430" ht="15.75" customHeight="1">
      <c r="A430" s="4" t="str">
        <f>IFERROR(__xludf.DUMMYFUNCTION("""COMPUTED_VALUE"""),"82f3a7e1")</f>
        <v>82f3a7e1</v>
      </c>
      <c r="B430" s="5">
        <f>IFERROR(__xludf.DUMMYFUNCTION("""COMPUTED_VALUE"""),46073.854212962964)</f>
        <v>46073.85421</v>
      </c>
      <c r="C430" s="4" t="str">
        <f>IFERROR(__xludf.DUMMYFUNCTION("""COMPUTED_VALUE"""),"-6.899221, 107.641313")</f>
        <v>-6.899221, 107.641313</v>
      </c>
      <c r="D430" s="4" t="str">
        <f>IFERROR(__xludf.DUMMYFUNCTION("""COMPUTED_VALUE"""),"Sandi angga")</f>
        <v>Sandi angga</v>
      </c>
      <c r="E430" s="4" t="str">
        <f>IFERROR(__xludf.DUMMYFUNCTION("""COMPUTED_VALUE"""),"BANDUNG")</f>
        <v>BANDUNG</v>
      </c>
      <c r="F430" s="4" t="str">
        <f>IFERROR(__xludf.DUMMYFUNCTION("""COMPUTED_VALUE"""),"BANDUNG TIMUR")</f>
        <v>BANDUNG TIMUR</v>
      </c>
      <c r="G430" s="4" t="str">
        <f>IFERROR(__xludf.DUMMYFUNCTION("""COMPUTED_VALUE"""),"KIARACONDONG")</f>
        <v>KIARACONDONG</v>
      </c>
      <c r="H430" s="4" t="str">
        <f>IFERROR(__xludf.DUMMYFUNCTION("""COMPUTED_VALUE"""),"KKH")</f>
        <v>KKH</v>
      </c>
      <c r="I430" s="4" t="str">
        <f>IFERROR(__xludf.DUMMYFUNCTION("""COMPUTED_VALUE"""),"ATPY-WWR")</f>
        <v>ATPY-WWR</v>
      </c>
      <c r="J430" s="4" t="str">
        <f>IFERROR(__xludf.DUMMYFUNCTION("""COMPUTED_VALUE"""),"ZONA 2")</f>
        <v>ZONA 2</v>
      </c>
      <c r="K430" s="4" t="str">
        <f>IFERROR(__xludf.DUMMYFUNCTION("""COMPUTED_VALUE"""),"050L38")</f>
        <v>050L38</v>
      </c>
      <c r="L430" s="4" t="str">
        <f>IFERROR(__xludf.DUMMYFUNCTION("""COMPUTED_VALUE"""),"TM - 7B/H (Afspan 90 Derajat)")</f>
        <v>TM - 7B/H (Afspan 90 Derajat)</v>
      </c>
      <c r="M430" s="4" t="str">
        <f>IFERROR(__xludf.DUMMYFUNCTION("""COMPUTED_VALUE"""),"Tidak Ada")</f>
        <v>Tidak Ada</v>
      </c>
      <c r="N430" s="4"/>
      <c r="O430" s="4" t="str">
        <f>IFERROR(__xludf.DUMMYFUNCTION("""COMPUTED_VALUE"""),"PEMBANDING SEJENIS")</f>
        <v>PEMBANDING SEJENIS</v>
      </c>
      <c r="P430" s="4" t="str">
        <f>IFERROR(__xludf.DUMMYFUNCTION("""COMPUTED_VALUE"""),"KONEKTOR/JUMPER")</f>
        <v>KONEKTOR/JUMPER</v>
      </c>
      <c r="Q430" s="4">
        <f>IFERROR(__xludf.DUMMYFUNCTION("""COMPUTED_VALUE"""),21.0)</f>
        <v>21</v>
      </c>
      <c r="R430" s="4">
        <f>IFERROR(__xludf.DUMMYFUNCTION("""COMPUTED_VALUE"""),21.0)</f>
        <v>21</v>
      </c>
      <c r="S430" s="4">
        <f>IFERROR(__xludf.DUMMYFUNCTION("""COMPUTED_VALUE"""),21.0)</f>
        <v>21</v>
      </c>
      <c r="T430" s="4"/>
      <c r="U430" s="4" t="str">
        <f>IFERROR(__xludf.DUMMYFUNCTION("""COMPUTED_VALUE"""),"BAIK")</f>
        <v>BAIK</v>
      </c>
      <c r="V430" s="4" t="str">
        <f>IFERROR(__xludf.DUMMYFUNCTION("""COMPUTED_VALUE"""),"Tidak Ada")</f>
        <v>Tidak Ada</v>
      </c>
      <c r="W430" s="4"/>
      <c r="X430" s="4"/>
      <c r="Y430" s="4"/>
      <c r="Z430" s="4"/>
      <c r="AA430" s="4"/>
      <c r="AB430" s="4"/>
      <c r="AC430" s="4" t="str">
        <f>IFERROR(__xludf.DUMMYFUNCTION("""COMPUTED_VALUE"""),"INSPEKSI SUTM - T2_Images/82f3a7e1.FOTO.133052.jpg")</f>
        <v>INSPEKSI SUTM - T2_Images/82f3a7e1.FOTO.133052.jpg</v>
      </c>
      <c r="AD430" s="4"/>
      <c r="AE430" s="4"/>
      <c r="AF430" s="4" t="str">
        <f>IFERROR(__xludf.DUMMYFUNCTION("""COMPUTED_VALUE"""),"BELUM")</f>
        <v>BELUM</v>
      </c>
      <c r="AG430" s="6">
        <f>IFERROR(__xludf.DUMMYFUNCTION("""COMPUTED_VALUE"""),46073.0)</f>
        <v>46073</v>
      </c>
      <c r="AH430" s="4"/>
      <c r="AI430" s="4"/>
    </row>
    <row r="431" ht="15.75" customHeight="1">
      <c r="A431" s="4" t="str">
        <f>IFERROR(__xludf.DUMMYFUNCTION("""COMPUTED_VALUE"""),"cb674eee")</f>
        <v>cb674eee</v>
      </c>
      <c r="B431" s="5">
        <f>IFERROR(__xludf.DUMMYFUNCTION("""COMPUTED_VALUE"""),46073.854849537034)</f>
        <v>46073.85485</v>
      </c>
      <c r="C431" s="4" t="str">
        <f>IFERROR(__xludf.DUMMYFUNCTION("""COMPUTED_VALUE"""),"-6.899214, 107.641312")</f>
        <v>-6.899214, 107.641312</v>
      </c>
      <c r="D431" s="4" t="str">
        <f>IFERROR(__xludf.DUMMYFUNCTION("""COMPUTED_VALUE"""),"Sandi angga")</f>
        <v>Sandi angga</v>
      </c>
      <c r="E431" s="4" t="str">
        <f>IFERROR(__xludf.DUMMYFUNCTION("""COMPUTED_VALUE"""),"BANDUNG")</f>
        <v>BANDUNG</v>
      </c>
      <c r="F431" s="4" t="str">
        <f>IFERROR(__xludf.DUMMYFUNCTION("""COMPUTED_VALUE"""),"BANDUNG TIMUR")</f>
        <v>BANDUNG TIMUR</v>
      </c>
      <c r="G431" s="4" t="str">
        <f>IFERROR(__xludf.DUMMYFUNCTION("""COMPUTED_VALUE"""),"KIARACONDONG")</f>
        <v>KIARACONDONG</v>
      </c>
      <c r="H431" s="4" t="str">
        <f>IFERROR(__xludf.DUMMYFUNCTION("""COMPUTED_VALUE"""),"KKH")</f>
        <v>KKH</v>
      </c>
      <c r="I431" s="4" t="str">
        <f>IFERROR(__xludf.DUMMYFUNCTION("""COMPUTED_VALUE"""),"ATPY-WWR")</f>
        <v>ATPY-WWR</v>
      </c>
      <c r="J431" s="4" t="str">
        <f>IFERROR(__xludf.DUMMYFUNCTION("""COMPUTED_VALUE"""),"ZONA 2")</f>
        <v>ZONA 2</v>
      </c>
      <c r="K431" s="4" t="str">
        <f>IFERROR(__xludf.DUMMYFUNCTION("""COMPUTED_VALUE"""),"050L41")</f>
        <v>050L41</v>
      </c>
      <c r="L431" s="4" t="str">
        <f>IFERROR(__xludf.DUMMYFUNCTION("""COMPUTED_VALUE"""),"TM - 7B/H (Afspan 90 Derajat)")</f>
        <v>TM - 7B/H (Afspan 90 Derajat)</v>
      </c>
      <c r="M431" s="4" t="str">
        <f>IFERROR(__xludf.DUMMYFUNCTION("""COMPUTED_VALUE"""),"Tidak Ada")</f>
        <v>Tidak Ada</v>
      </c>
      <c r="N431" s="4"/>
      <c r="O431" s="4" t="str">
        <f>IFERROR(__xludf.DUMMYFUNCTION("""COMPUTED_VALUE"""),"PEMBANDING SEJENIS")</f>
        <v>PEMBANDING SEJENIS</v>
      </c>
      <c r="P431" s="4" t="str">
        <f>IFERROR(__xludf.DUMMYFUNCTION("""COMPUTED_VALUE"""),"KONEKTOR/JUMPER")</f>
        <v>KONEKTOR/JUMPER</v>
      </c>
      <c r="Q431" s="4">
        <f>IFERROR(__xludf.DUMMYFUNCTION("""COMPUTED_VALUE"""),18.0)</f>
        <v>18</v>
      </c>
      <c r="R431" s="4">
        <f>IFERROR(__xludf.DUMMYFUNCTION("""COMPUTED_VALUE"""),20.0)</f>
        <v>20</v>
      </c>
      <c r="S431" s="4">
        <f>IFERROR(__xludf.DUMMYFUNCTION("""COMPUTED_VALUE"""),17.0)</f>
        <v>17</v>
      </c>
      <c r="T431" s="4"/>
      <c r="U431" s="4" t="str">
        <f>IFERROR(__xludf.DUMMYFUNCTION("""COMPUTED_VALUE"""),"CUKUP")</f>
        <v>CUKUP</v>
      </c>
      <c r="V431" s="4" t="str">
        <f>IFERROR(__xludf.DUMMYFUNCTION("""COMPUTED_VALUE"""),"Tidak Ada")</f>
        <v>Tidak Ada</v>
      </c>
      <c r="W431" s="4"/>
      <c r="X431" s="4"/>
      <c r="Y431" s="4"/>
      <c r="Z431" s="4"/>
      <c r="AA431" s="4"/>
      <c r="AB431" s="4"/>
      <c r="AC431" s="4" t="str">
        <f>IFERROR(__xludf.DUMMYFUNCTION("""COMPUTED_VALUE"""),"INSPEKSI SUTM - T2_Images/cb674eee.FOTO.133140.jpg")</f>
        <v>INSPEKSI SUTM - T2_Images/cb674eee.FOTO.133140.jpg</v>
      </c>
      <c r="AD431" s="4"/>
      <c r="AE431" s="4"/>
      <c r="AF431" s="4" t="str">
        <f>IFERROR(__xludf.DUMMYFUNCTION("""COMPUTED_VALUE"""),"BELUM")</f>
        <v>BELUM</v>
      </c>
      <c r="AG431" s="6">
        <f>IFERROR(__xludf.DUMMYFUNCTION("""COMPUTED_VALUE"""),46073.0)</f>
        <v>46073</v>
      </c>
      <c r="AH431" s="4"/>
      <c r="AI431" s="4"/>
    </row>
    <row r="432" ht="15.75" customHeight="1">
      <c r="A432" s="4" t="str">
        <f>IFERROR(__xludf.DUMMYFUNCTION("""COMPUTED_VALUE"""),"f9b01c45")</f>
        <v>f9b01c45</v>
      </c>
      <c r="B432" s="5">
        <f>IFERROR(__xludf.DUMMYFUNCTION("""COMPUTED_VALUE"""),46073.855405092596)</f>
        <v>46073.85541</v>
      </c>
      <c r="C432" s="4" t="str">
        <f>IFERROR(__xludf.DUMMYFUNCTION("""COMPUTED_VALUE"""),"-6.899221, 107.641314")</f>
        <v>-6.899221, 107.641314</v>
      </c>
      <c r="D432" s="4" t="str">
        <f>IFERROR(__xludf.DUMMYFUNCTION("""COMPUTED_VALUE"""),"Sandi angga")</f>
        <v>Sandi angga</v>
      </c>
      <c r="E432" s="4" t="str">
        <f>IFERROR(__xludf.DUMMYFUNCTION("""COMPUTED_VALUE"""),"BANDUNG")</f>
        <v>BANDUNG</v>
      </c>
      <c r="F432" s="4" t="str">
        <f>IFERROR(__xludf.DUMMYFUNCTION("""COMPUTED_VALUE"""),"BANDUNG TIMUR")</f>
        <v>BANDUNG TIMUR</v>
      </c>
      <c r="G432" s="4" t="str">
        <f>IFERROR(__xludf.DUMMYFUNCTION("""COMPUTED_VALUE"""),"KIARACONDONG")</f>
        <v>KIARACONDONG</v>
      </c>
      <c r="H432" s="4" t="str">
        <f>IFERROR(__xludf.DUMMYFUNCTION("""COMPUTED_VALUE"""),"KKH")</f>
        <v>KKH</v>
      </c>
      <c r="I432" s="4" t="str">
        <f>IFERROR(__xludf.DUMMYFUNCTION("""COMPUTED_VALUE"""),"ATPY-WWR")</f>
        <v>ATPY-WWR</v>
      </c>
      <c r="J432" s="4" t="str">
        <f>IFERROR(__xludf.DUMMYFUNCTION("""COMPUTED_VALUE"""),"ZONA 2")</f>
        <v>ZONA 2</v>
      </c>
      <c r="K432" s="4" t="str">
        <f>IFERROR(__xludf.DUMMYFUNCTION("""COMPUTED_VALUE"""),"050L42")</f>
        <v>050L42</v>
      </c>
      <c r="L432" s="4" t="str">
        <f>IFERROR(__xludf.DUMMYFUNCTION("""COMPUTED_VALUE"""),"TM - 7B/H (Afspan 90 Derajat)")</f>
        <v>TM - 7B/H (Afspan 90 Derajat)</v>
      </c>
      <c r="M432" s="4" t="str">
        <f>IFERROR(__xludf.DUMMYFUNCTION("""COMPUTED_VALUE"""),"Tidak Ada")</f>
        <v>Tidak Ada</v>
      </c>
      <c r="N432" s="4"/>
      <c r="O432" s="4" t="str">
        <f>IFERROR(__xludf.DUMMYFUNCTION("""COMPUTED_VALUE"""),"PEMBANDING SEJENIS")</f>
        <v>PEMBANDING SEJENIS</v>
      </c>
      <c r="P432" s="4" t="str">
        <f>IFERROR(__xludf.DUMMYFUNCTION("""COMPUTED_VALUE"""),"KONEKTOR/JUMPER")</f>
        <v>KONEKTOR/JUMPER</v>
      </c>
      <c r="Q432" s="4">
        <f>IFERROR(__xludf.DUMMYFUNCTION("""COMPUTED_VALUE"""),20.0)</f>
        <v>20</v>
      </c>
      <c r="R432" s="4">
        <f>IFERROR(__xludf.DUMMYFUNCTION("""COMPUTED_VALUE"""),20.0)</f>
        <v>20</v>
      </c>
      <c r="S432" s="4">
        <f>IFERROR(__xludf.DUMMYFUNCTION("""COMPUTED_VALUE"""),21.0)</f>
        <v>21</v>
      </c>
      <c r="T432" s="4"/>
      <c r="U432" s="4" t="str">
        <f>IFERROR(__xludf.DUMMYFUNCTION("""COMPUTED_VALUE"""),"BAIK")</f>
        <v>BAIK</v>
      </c>
      <c r="V432" s="4" t="str">
        <f>IFERROR(__xludf.DUMMYFUNCTION("""COMPUTED_VALUE"""),"Tidak Ada")</f>
        <v>Tidak Ada</v>
      </c>
      <c r="W432" s="4"/>
      <c r="X432" s="4"/>
      <c r="Y432" s="4"/>
      <c r="Z432" s="4"/>
      <c r="AA432" s="4"/>
      <c r="AB432" s="4"/>
      <c r="AC432" s="4" t="str">
        <f>IFERROR(__xludf.DUMMYFUNCTION("""COMPUTED_VALUE"""),"INSPEKSI SUTM - T2_Images/f9b01c45.FOTO.133234.jpg")</f>
        <v>INSPEKSI SUTM - T2_Images/f9b01c45.FOTO.133234.jpg</v>
      </c>
      <c r="AD432" s="4"/>
      <c r="AE432" s="4"/>
      <c r="AF432" s="4" t="str">
        <f>IFERROR(__xludf.DUMMYFUNCTION("""COMPUTED_VALUE"""),"BELUM")</f>
        <v>BELUM</v>
      </c>
      <c r="AG432" s="6">
        <f>IFERROR(__xludf.DUMMYFUNCTION("""COMPUTED_VALUE"""),46073.0)</f>
        <v>46073</v>
      </c>
      <c r="AH432" s="4"/>
      <c r="AI432" s="4"/>
    </row>
    <row r="433" ht="15.75" customHeight="1">
      <c r="A433" s="4" t="str">
        <f>IFERROR(__xludf.DUMMYFUNCTION("""COMPUTED_VALUE"""),"8091d340")</f>
        <v>8091d340</v>
      </c>
      <c r="B433" s="5">
        <f>IFERROR(__xludf.DUMMYFUNCTION("""COMPUTED_VALUE"""),46073.85545138889)</f>
        <v>46073.85545</v>
      </c>
      <c r="C433" s="4" t="str">
        <f>IFERROR(__xludf.DUMMYFUNCTION("""COMPUTED_VALUE"""),"-6.919327, 107.662988")</f>
        <v>-6.919327, 107.662988</v>
      </c>
      <c r="D433" s="4" t="str">
        <f>IFERROR(__xludf.DUMMYFUNCTION("""COMPUTED_VALUE"""),"Angga sandi")</f>
        <v>Angga sandi</v>
      </c>
      <c r="E433" s="4" t="str">
        <f>IFERROR(__xludf.DUMMYFUNCTION("""COMPUTED_VALUE"""),"BANDUNG")</f>
        <v>BANDUNG</v>
      </c>
      <c r="F433" s="4" t="str">
        <f>IFERROR(__xludf.DUMMYFUNCTION("""COMPUTED_VALUE"""),"BANDUNG TIMUR")</f>
        <v>BANDUNG TIMUR</v>
      </c>
      <c r="G433" s="4" t="str">
        <f>IFERROR(__xludf.DUMMYFUNCTION("""COMPUTED_VALUE"""),"KIARACONDONG")</f>
        <v>KIARACONDONG</v>
      </c>
      <c r="H433" s="4" t="str">
        <f>IFERROR(__xludf.DUMMYFUNCTION("""COMPUTED_VALUE"""),"KKH")</f>
        <v>KKH</v>
      </c>
      <c r="I433" s="4" t="str">
        <f>IFERROR(__xludf.DUMMYFUNCTION("""COMPUTED_VALUE"""),"ATPY-RDW")</f>
        <v>ATPY-RDW</v>
      </c>
      <c r="J433" s="4" t="str">
        <f>IFERROR(__xludf.DUMMYFUNCTION("""COMPUTED_VALUE"""),"ZONA 2")</f>
        <v>ZONA 2</v>
      </c>
      <c r="K433" s="4" t="str">
        <f>IFERROR(__xludf.DUMMYFUNCTION("""COMPUTED_VALUE"""),"059")</f>
        <v>059</v>
      </c>
      <c r="L433" s="4" t="str">
        <f>IFERROR(__xludf.DUMMYFUNCTION("""COMPUTED_VALUE"""),"TM - 7B/H (Afspan 90 Derajat)")</f>
        <v>TM - 7B/H (Afspan 90 Derajat)</v>
      </c>
      <c r="M433" s="4" t="str">
        <f>IFERROR(__xludf.DUMMYFUNCTION("""COMPUTED_VALUE"""),"Tidak Ada")</f>
        <v>Tidak Ada</v>
      </c>
      <c r="N433" s="4"/>
      <c r="O433" s="4" t="str">
        <f>IFERROR(__xludf.DUMMYFUNCTION("""COMPUTED_VALUE"""),"PEMBANDING SEJENIS")</f>
        <v>PEMBANDING SEJENIS</v>
      </c>
      <c r="P433" s="4" t="str">
        <f>IFERROR(__xludf.DUMMYFUNCTION("""COMPUTED_VALUE"""),"KONEKTOR/JUMPER")</f>
        <v>KONEKTOR/JUMPER</v>
      </c>
      <c r="Q433" s="4">
        <f>IFERROR(__xludf.DUMMYFUNCTION("""COMPUTED_VALUE"""),23.4)</f>
        <v>23.4</v>
      </c>
      <c r="R433" s="4">
        <f>IFERROR(__xludf.DUMMYFUNCTION("""COMPUTED_VALUE"""),22.5)</f>
        <v>22.5</v>
      </c>
      <c r="S433" s="4">
        <f>IFERROR(__xludf.DUMMYFUNCTION("""COMPUTED_VALUE"""),22.6)</f>
        <v>22.6</v>
      </c>
      <c r="T433" s="4"/>
      <c r="U433" s="4" t="str">
        <f>IFERROR(__xludf.DUMMYFUNCTION("""COMPUTED_VALUE"""),"BAIK")</f>
        <v>BAIK</v>
      </c>
      <c r="V433" s="4" t="str">
        <f>IFERROR(__xludf.DUMMYFUNCTION("""COMPUTED_VALUE"""),"Tidak Ada")</f>
        <v>Tidak Ada</v>
      </c>
      <c r="W433" s="4"/>
      <c r="X433" s="4"/>
      <c r="Y433" s="4"/>
      <c r="Z433" s="4"/>
      <c r="AA433" s="4"/>
      <c r="AB433" s="4"/>
      <c r="AC433" s="4" t="str">
        <f>IFERROR(__xludf.DUMMYFUNCTION("""COMPUTED_VALUE"""),"INSPEKSI SUTM - T2_Images/8091d340.FOTO.133241.jpg")</f>
        <v>INSPEKSI SUTM - T2_Images/8091d340.FOTO.133241.jpg</v>
      </c>
      <c r="AD433" s="4"/>
      <c r="AE433" s="4"/>
      <c r="AF433" s="4" t="str">
        <f>IFERROR(__xludf.DUMMYFUNCTION("""COMPUTED_VALUE"""),"BELUM")</f>
        <v>BELUM</v>
      </c>
      <c r="AG433" s="6">
        <f>IFERROR(__xludf.DUMMYFUNCTION("""COMPUTED_VALUE"""),46073.0)</f>
        <v>46073</v>
      </c>
      <c r="AH433" s="4"/>
      <c r="AI433" s="4"/>
    </row>
    <row r="434" ht="15.75" customHeight="1">
      <c r="A434" s="4" t="str">
        <f>IFERROR(__xludf.DUMMYFUNCTION("""COMPUTED_VALUE"""),"156b2a8a")</f>
        <v>156b2a8a</v>
      </c>
      <c r="B434" s="5">
        <f>IFERROR(__xludf.DUMMYFUNCTION("""COMPUTED_VALUE"""),46073.85616898148)</f>
        <v>46073.85617</v>
      </c>
      <c r="C434" s="4" t="str">
        <f>IFERROR(__xludf.DUMMYFUNCTION("""COMPUTED_VALUE"""),"-6.919946, 107.663035")</f>
        <v>-6.919946, 107.663035</v>
      </c>
      <c r="D434" s="4" t="str">
        <f>IFERROR(__xludf.DUMMYFUNCTION("""COMPUTED_VALUE"""),"Angga sandi")</f>
        <v>Angga sandi</v>
      </c>
      <c r="E434" s="4" t="str">
        <f>IFERROR(__xludf.DUMMYFUNCTION("""COMPUTED_VALUE"""),"BANDUNG")</f>
        <v>BANDUNG</v>
      </c>
      <c r="F434" s="4" t="str">
        <f>IFERROR(__xludf.DUMMYFUNCTION("""COMPUTED_VALUE"""),"BANDUNG TIMUR")</f>
        <v>BANDUNG TIMUR</v>
      </c>
      <c r="G434" s="4" t="str">
        <f>IFERROR(__xludf.DUMMYFUNCTION("""COMPUTED_VALUE"""),"KIARACONDONG")</f>
        <v>KIARACONDONG</v>
      </c>
      <c r="H434" s="4" t="str">
        <f>IFERROR(__xludf.DUMMYFUNCTION("""COMPUTED_VALUE"""),"KKH")</f>
        <v>KKH</v>
      </c>
      <c r="I434" s="4" t="str">
        <f>IFERROR(__xludf.DUMMYFUNCTION("""COMPUTED_VALUE"""),"ATPY-RDW")</f>
        <v>ATPY-RDW</v>
      </c>
      <c r="J434" s="4" t="str">
        <f>IFERROR(__xludf.DUMMYFUNCTION("""COMPUTED_VALUE"""),"ZONA 2")</f>
        <v>ZONA 2</v>
      </c>
      <c r="K434" s="4" t="str">
        <f>IFERROR(__xludf.DUMMYFUNCTION("""COMPUTED_VALUE"""),"061")</f>
        <v>061</v>
      </c>
      <c r="L434" s="4" t="str">
        <f>IFERROR(__xludf.DUMMYFUNCTION("""COMPUTED_VALUE"""),"TM - 7B/H (Afspan 90 Derajat)")</f>
        <v>TM - 7B/H (Afspan 90 Derajat)</v>
      </c>
      <c r="M434" s="4" t="str">
        <f>IFERROR(__xludf.DUMMYFUNCTION("""COMPUTED_VALUE"""),"Tidak Ada")</f>
        <v>Tidak Ada</v>
      </c>
      <c r="N434" s="4"/>
      <c r="O434" s="4" t="str">
        <f>IFERROR(__xludf.DUMMYFUNCTION("""COMPUTED_VALUE"""),"PEMBANDING SEJENIS")</f>
        <v>PEMBANDING SEJENIS</v>
      </c>
      <c r="P434" s="4" t="str">
        <f>IFERROR(__xludf.DUMMYFUNCTION("""COMPUTED_VALUE"""),"KONEKTOR/JUMPER")</f>
        <v>KONEKTOR/JUMPER</v>
      </c>
      <c r="Q434" s="4">
        <f>IFERROR(__xludf.DUMMYFUNCTION("""COMPUTED_VALUE"""),21.1)</f>
        <v>21.1</v>
      </c>
      <c r="R434" s="4">
        <f>IFERROR(__xludf.DUMMYFUNCTION("""COMPUTED_VALUE"""),22.4)</f>
        <v>22.4</v>
      </c>
      <c r="S434" s="4">
        <f>IFERROR(__xludf.DUMMYFUNCTION("""COMPUTED_VALUE"""),21.8)</f>
        <v>21.8</v>
      </c>
      <c r="T434" s="4"/>
      <c r="U434" s="4" t="str">
        <f>IFERROR(__xludf.DUMMYFUNCTION("""COMPUTED_VALUE"""),"BAIK")</f>
        <v>BAIK</v>
      </c>
      <c r="V434" s="4" t="str">
        <f>IFERROR(__xludf.DUMMYFUNCTION("""COMPUTED_VALUE"""),"Tidak Ada")</f>
        <v>Tidak Ada</v>
      </c>
      <c r="W434" s="4"/>
      <c r="X434" s="4"/>
      <c r="Y434" s="4"/>
      <c r="Z434" s="4"/>
      <c r="AA434" s="4"/>
      <c r="AB434" s="4"/>
      <c r="AC434" s="4" t="str">
        <f>IFERROR(__xludf.DUMMYFUNCTION("""COMPUTED_VALUE"""),"INSPEKSI SUTM - T2_Images/156b2a8a.FOTO.133343.jpg")</f>
        <v>INSPEKSI SUTM - T2_Images/156b2a8a.FOTO.133343.jpg</v>
      </c>
      <c r="AD434" s="4"/>
      <c r="AE434" s="4"/>
      <c r="AF434" s="4" t="str">
        <f>IFERROR(__xludf.DUMMYFUNCTION("""COMPUTED_VALUE"""),"BELUM")</f>
        <v>BELUM</v>
      </c>
      <c r="AG434" s="6">
        <f>IFERROR(__xludf.DUMMYFUNCTION("""COMPUTED_VALUE"""),46073.0)</f>
        <v>46073</v>
      </c>
      <c r="AH434" s="4"/>
      <c r="AI434" s="4"/>
    </row>
    <row r="435" ht="15.75" customHeight="1">
      <c r="A435" s="4" t="str">
        <f>IFERROR(__xludf.DUMMYFUNCTION("""COMPUTED_VALUE"""),"f7f4bab8")</f>
        <v>f7f4bab8</v>
      </c>
      <c r="B435" s="5">
        <f>IFERROR(__xludf.DUMMYFUNCTION("""COMPUTED_VALUE"""),46073.85603009259)</f>
        <v>46073.85603</v>
      </c>
      <c r="C435" s="4" t="str">
        <f>IFERROR(__xludf.DUMMYFUNCTION("""COMPUTED_VALUE"""),"-6.899221, 107.641310")</f>
        <v>-6.899221, 107.641310</v>
      </c>
      <c r="D435" s="4" t="str">
        <f>IFERROR(__xludf.DUMMYFUNCTION("""COMPUTED_VALUE"""),"Sandi angga")</f>
        <v>Sandi angga</v>
      </c>
      <c r="E435" s="4" t="str">
        <f>IFERROR(__xludf.DUMMYFUNCTION("""COMPUTED_VALUE"""),"BANDUNG")</f>
        <v>BANDUNG</v>
      </c>
      <c r="F435" s="4" t="str">
        <f>IFERROR(__xludf.DUMMYFUNCTION("""COMPUTED_VALUE"""),"BANDUNG TIMUR")</f>
        <v>BANDUNG TIMUR</v>
      </c>
      <c r="G435" s="4" t="str">
        <f>IFERROR(__xludf.DUMMYFUNCTION("""COMPUTED_VALUE"""),"KIARACONDONG")</f>
        <v>KIARACONDONG</v>
      </c>
      <c r="H435" s="4" t="str">
        <f>IFERROR(__xludf.DUMMYFUNCTION("""COMPUTED_VALUE"""),"KKH")</f>
        <v>KKH</v>
      </c>
      <c r="I435" s="4" t="str">
        <f>IFERROR(__xludf.DUMMYFUNCTION("""COMPUTED_VALUE"""),"ATPY-WWR")</f>
        <v>ATPY-WWR</v>
      </c>
      <c r="J435" s="4" t="str">
        <f>IFERROR(__xludf.DUMMYFUNCTION("""COMPUTED_VALUE"""),"ZONA 2")</f>
        <v>ZONA 2</v>
      </c>
      <c r="K435" s="4" t="str">
        <f>IFERROR(__xludf.DUMMYFUNCTION("""COMPUTED_VALUE"""),"050L43")</f>
        <v>050L43</v>
      </c>
      <c r="L435" s="4" t="str">
        <f>IFERROR(__xludf.DUMMYFUNCTION("""COMPUTED_VALUE"""),"TM - 14B/H (Akhir)")</f>
        <v>TM - 14B/H (Akhir)</v>
      </c>
      <c r="M435" s="4" t="str">
        <f>IFERROR(__xludf.DUMMYFUNCTION("""COMPUTED_VALUE"""),"Tidak Ada")</f>
        <v>Tidak Ada</v>
      </c>
      <c r="N435" s="4"/>
      <c r="O435" s="4" t="str">
        <f>IFERROR(__xludf.DUMMYFUNCTION("""COMPUTED_VALUE"""),"PEMBANDING SEJENIS")</f>
        <v>PEMBANDING SEJENIS</v>
      </c>
      <c r="P435" s="4" t="str">
        <f>IFERROR(__xludf.DUMMYFUNCTION("""COMPUTED_VALUE"""),"TERMINASI")</f>
        <v>TERMINASI</v>
      </c>
      <c r="Q435" s="4">
        <f>IFERROR(__xludf.DUMMYFUNCTION("""COMPUTED_VALUE"""),21.0)</f>
        <v>21</v>
      </c>
      <c r="R435" s="4">
        <f>IFERROR(__xludf.DUMMYFUNCTION("""COMPUTED_VALUE"""),22.0)</f>
        <v>22</v>
      </c>
      <c r="S435" s="4">
        <f>IFERROR(__xludf.DUMMYFUNCTION("""COMPUTED_VALUE"""),21.0)</f>
        <v>21</v>
      </c>
      <c r="T435" s="4"/>
      <c r="U435" s="4" t="str">
        <f>IFERROR(__xludf.DUMMYFUNCTION("""COMPUTED_VALUE"""),"BAIK")</f>
        <v>BAIK</v>
      </c>
      <c r="V435" s="4" t="str">
        <f>IFERROR(__xludf.DUMMYFUNCTION("""COMPUTED_VALUE"""),"Tidak Ada")</f>
        <v>Tidak Ada</v>
      </c>
      <c r="W435" s="4"/>
      <c r="X435" s="4"/>
      <c r="Y435" s="4"/>
      <c r="Z435" s="4"/>
      <c r="AA435" s="4"/>
      <c r="AB435" s="4"/>
      <c r="AC435" s="4" t="str">
        <f>IFERROR(__xludf.DUMMYFUNCTION("""COMPUTED_VALUE"""),"INSPEKSI SUTM - T2_Images/f7f4bab8.FOTO.133356.jpg")</f>
        <v>INSPEKSI SUTM - T2_Images/f7f4bab8.FOTO.133356.jpg</v>
      </c>
      <c r="AD435" s="4"/>
      <c r="AE435" s="4"/>
      <c r="AF435" s="4" t="str">
        <f>IFERROR(__xludf.DUMMYFUNCTION("""COMPUTED_VALUE"""),"BELUM")</f>
        <v>BELUM</v>
      </c>
      <c r="AG435" s="6">
        <f>IFERROR(__xludf.DUMMYFUNCTION("""COMPUTED_VALUE"""),46073.0)</f>
        <v>46073</v>
      </c>
      <c r="AH435" s="4"/>
      <c r="AI435" s="4"/>
    </row>
    <row r="436" ht="15.75" customHeight="1">
      <c r="A436" s="4" t="str">
        <f>IFERROR(__xludf.DUMMYFUNCTION("""COMPUTED_VALUE"""),"363ffe75")</f>
        <v>363ffe75</v>
      </c>
      <c r="B436" s="5">
        <f>IFERROR(__xludf.DUMMYFUNCTION("""COMPUTED_VALUE"""),46073.856886574074)</f>
        <v>46073.85689</v>
      </c>
      <c r="C436" s="4" t="str">
        <f>IFERROR(__xludf.DUMMYFUNCTION("""COMPUTED_VALUE"""),"-6.920056, 107.663399")</f>
        <v>-6.920056, 107.663399</v>
      </c>
      <c r="D436" s="4" t="str">
        <f>IFERROR(__xludf.DUMMYFUNCTION("""COMPUTED_VALUE"""),"Angga sandi")</f>
        <v>Angga sandi</v>
      </c>
      <c r="E436" s="4" t="str">
        <f>IFERROR(__xludf.DUMMYFUNCTION("""COMPUTED_VALUE"""),"BANDUNG")</f>
        <v>BANDUNG</v>
      </c>
      <c r="F436" s="4" t="str">
        <f>IFERROR(__xludf.DUMMYFUNCTION("""COMPUTED_VALUE"""),"BANDUNG TIMUR")</f>
        <v>BANDUNG TIMUR</v>
      </c>
      <c r="G436" s="4" t="str">
        <f>IFERROR(__xludf.DUMMYFUNCTION("""COMPUTED_VALUE"""),"KIARACONDONG")</f>
        <v>KIARACONDONG</v>
      </c>
      <c r="H436" s="4" t="str">
        <f>IFERROR(__xludf.DUMMYFUNCTION("""COMPUTED_VALUE"""),"KKH")</f>
        <v>KKH</v>
      </c>
      <c r="I436" s="4" t="str">
        <f>IFERROR(__xludf.DUMMYFUNCTION("""COMPUTED_VALUE"""),"ATPY-RDW")</f>
        <v>ATPY-RDW</v>
      </c>
      <c r="J436" s="4" t="str">
        <f>IFERROR(__xludf.DUMMYFUNCTION("""COMPUTED_VALUE"""),"ZONA 2")</f>
        <v>ZONA 2</v>
      </c>
      <c r="K436" s="4" t="str">
        <f>IFERROR(__xludf.DUMMYFUNCTION("""COMPUTED_VALUE"""),"062")</f>
        <v>062</v>
      </c>
      <c r="L436" s="4" t="str">
        <f>IFERROR(__xludf.DUMMYFUNCTION("""COMPUTED_VALUE"""),"TM - 7B/H (Afspan 90 Derajat)")</f>
        <v>TM - 7B/H (Afspan 90 Derajat)</v>
      </c>
      <c r="M436" s="4" t="str">
        <f>IFERROR(__xludf.DUMMYFUNCTION("""COMPUTED_VALUE"""),"Tidak Ada")</f>
        <v>Tidak Ada</v>
      </c>
      <c r="N436" s="4"/>
      <c r="O436" s="4" t="str">
        <f>IFERROR(__xludf.DUMMYFUNCTION("""COMPUTED_VALUE"""),"PEMBANDING SEJENIS")</f>
        <v>PEMBANDING SEJENIS</v>
      </c>
      <c r="P436" s="4" t="str">
        <f>IFERROR(__xludf.DUMMYFUNCTION("""COMPUTED_VALUE"""),"KONEKTOR/JUMPER")</f>
        <v>KONEKTOR/JUMPER</v>
      </c>
      <c r="Q436" s="4">
        <f>IFERROR(__xludf.DUMMYFUNCTION("""COMPUTED_VALUE"""),20.6)</f>
        <v>20.6</v>
      </c>
      <c r="R436" s="4">
        <f>IFERROR(__xludf.DUMMYFUNCTION("""COMPUTED_VALUE"""),20.6)</f>
        <v>20.6</v>
      </c>
      <c r="S436" s="4">
        <f>IFERROR(__xludf.DUMMYFUNCTION("""COMPUTED_VALUE"""),22.4)</f>
        <v>22.4</v>
      </c>
      <c r="T436" s="4"/>
      <c r="U436" s="4" t="str">
        <f>IFERROR(__xludf.DUMMYFUNCTION("""COMPUTED_VALUE"""),"BAIK")</f>
        <v>BAIK</v>
      </c>
      <c r="V436" s="4" t="str">
        <f>IFERROR(__xludf.DUMMYFUNCTION("""COMPUTED_VALUE"""),"Tidak Ada")</f>
        <v>Tidak Ada</v>
      </c>
      <c r="W436" s="4"/>
      <c r="X436" s="4"/>
      <c r="Y436" s="4"/>
      <c r="Z436" s="4"/>
      <c r="AA436" s="4"/>
      <c r="AB436" s="4"/>
      <c r="AC436" s="4" t="str">
        <f>IFERROR(__xludf.DUMMYFUNCTION("""COMPUTED_VALUE"""),"INSPEKSI SUTM - T2_Images/363ffe75.FOTO.133435.jpg")</f>
        <v>INSPEKSI SUTM - T2_Images/363ffe75.FOTO.133435.jpg</v>
      </c>
      <c r="AD436" s="4"/>
      <c r="AE436" s="4"/>
      <c r="AF436" s="4" t="str">
        <f>IFERROR(__xludf.DUMMYFUNCTION("""COMPUTED_VALUE"""),"BELUM")</f>
        <v>BELUM</v>
      </c>
      <c r="AG436" s="6">
        <f>IFERROR(__xludf.DUMMYFUNCTION("""COMPUTED_VALUE"""),46073.0)</f>
        <v>46073</v>
      </c>
      <c r="AH436" s="4"/>
      <c r="AI436" s="4"/>
    </row>
    <row r="437" ht="15.75" customHeight="1">
      <c r="A437" s="4" t="str">
        <f>IFERROR(__xludf.DUMMYFUNCTION("""COMPUTED_VALUE"""),"fcbcc2a1")</f>
        <v>fcbcc2a1</v>
      </c>
      <c r="B437" s="5">
        <f>IFERROR(__xludf.DUMMYFUNCTION("""COMPUTED_VALUE"""),46073.8578587963)</f>
        <v>46073.85786</v>
      </c>
      <c r="C437" s="4" t="str">
        <f>IFERROR(__xludf.DUMMYFUNCTION("""COMPUTED_VALUE"""),"-6.899213, 107.641328")</f>
        <v>-6.899213, 107.641328</v>
      </c>
      <c r="D437" s="4" t="str">
        <f>IFERROR(__xludf.DUMMYFUNCTION("""COMPUTED_VALUE"""),"Sandi angga")</f>
        <v>Sandi angga</v>
      </c>
      <c r="E437" s="4" t="str">
        <f>IFERROR(__xludf.DUMMYFUNCTION("""COMPUTED_VALUE"""),"BANDUNG")</f>
        <v>BANDUNG</v>
      </c>
      <c r="F437" s="4" t="str">
        <f>IFERROR(__xludf.DUMMYFUNCTION("""COMPUTED_VALUE"""),"BANDUNG TIMUR")</f>
        <v>BANDUNG TIMUR</v>
      </c>
      <c r="G437" s="4" t="str">
        <f>IFERROR(__xludf.DUMMYFUNCTION("""COMPUTED_VALUE"""),"KIARACONDONG")</f>
        <v>KIARACONDONG</v>
      </c>
      <c r="H437" s="4" t="str">
        <f>IFERROR(__xludf.DUMMYFUNCTION("""COMPUTED_VALUE"""),"KKH")</f>
        <v>KKH</v>
      </c>
      <c r="I437" s="4" t="str">
        <f>IFERROR(__xludf.DUMMYFUNCTION("""COMPUTED_VALUE"""),"ATPY-RDW")</f>
        <v>ATPY-RDW</v>
      </c>
      <c r="J437" s="4" t="str">
        <f>IFERROR(__xludf.DUMMYFUNCTION("""COMPUTED_VALUE"""),"ZONA 2")</f>
        <v>ZONA 2</v>
      </c>
      <c r="K437" s="4" t="str">
        <f>IFERROR(__xludf.DUMMYFUNCTION("""COMPUTED_VALUE"""),"052")</f>
        <v>052</v>
      </c>
      <c r="L437" s="4" t="str">
        <f>IFERROR(__xludf.DUMMYFUNCTION("""COMPUTED_VALUE"""),"TM - 11B/H (Kabel Naik)")</f>
        <v>TM - 11B/H (Kabel Naik)</v>
      </c>
      <c r="M437" s="4" t="str">
        <f>IFERROR(__xludf.DUMMYFUNCTION("""COMPUTED_VALUE"""),"Tidak Ada")</f>
        <v>Tidak Ada</v>
      </c>
      <c r="N437" s="4"/>
      <c r="O437" s="4" t="str">
        <f>IFERROR(__xludf.DUMMYFUNCTION("""COMPUTED_VALUE"""),"PEMBANDING SEJENIS")</f>
        <v>PEMBANDING SEJENIS</v>
      </c>
      <c r="P437" s="4" t="str">
        <f>IFERROR(__xludf.DUMMYFUNCTION("""COMPUTED_VALUE"""),"TERMINASI")</f>
        <v>TERMINASI</v>
      </c>
      <c r="Q437" s="4">
        <f>IFERROR(__xludf.DUMMYFUNCTION("""COMPUTED_VALUE"""),20.0)</f>
        <v>20</v>
      </c>
      <c r="R437" s="4">
        <f>IFERROR(__xludf.DUMMYFUNCTION("""COMPUTED_VALUE"""),23.0)</f>
        <v>23</v>
      </c>
      <c r="S437" s="4">
        <f>IFERROR(__xludf.DUMMYFUNCTION("""COMPUTED_VALUE"""),20.0)</f>
        <v>20</v>
      </c>
      <c r="T437" s="4"/>
      <c r="U437" s="4" t="str">
        <f>IFERROR(__xludf.DUMMYFUNCTION("""COMPUTED_VALUE"""),"CUKUP")</f>
        <v>CUKUP</v>
      </c>
      <c r="V437" s="4" t="str">
        <f>IFERROR(__xludf.DUMMYFUNCTION("""COMPUTED_VALUE"""),"Tidak Ada")</f>
        <v>Tidak Ada</v>
      </c>
      <c r="W437" s="4"/>
      <c r="X437" s="4"/>
      <c r="Y437" s="4"/>
      <c r="Z437" s="4"/>
      <c r="AA437" s="4"/>
      <c r="AB437" s="4"/>
      <c r="AC437" s="4" t="str">
        <f>IFERROR(__xludf.DUMMYFUNCTION("""COMPUTED_VALUE"""),"INSPEKSI SUTM - T2_Images/fcbcc2a1.FOTO.133606.jpg")</f>
        <v>INSPEKSI SUTM - T2_Images/fcbcc2a1.FOTO.133606.jpg</v>
      </c>
      <c r="AD437" s="4"/>
      <c r="AE437" s="4"/>
      <c r="AF437" s="4" t="str">
        <f>IFERROR(__xludf.DUMMYFUNCTION("""COMPUTED_VALUE"""),"BELUM")</f>
        <v>BELUM</v>
      </c>
      <c r="AG437" s="6">
        <f>IFERROR(__xludf.DUMMYFUNCTION("""COMPUTED_VALUE"""),46073.0)</f>
        <v>46073</v>
      </c>
      <c r="AH437" s="4"/>
      <c r="AI437" s="4"/>
    </row>
    <row r="438" ht="15.75" customHeight="1">
      <c r="A438" s="4" t="str">
        <f>IFERROR(__xludf.DUMMYFUNCTION("""COMPUTED_VALUE"""),"6e8af6b9")</f>
        <v>6e8af6b9</v>
      </c>
      <c r="B438" s="5">
        <f>IFERROR(__xludf.DUMMYFUNCTION("""COMPUTED_VALUE"""),46073.85826388889)</f>
        <v>46073.85826</v>
      </c>
      <c r="C438" s="4" t="str">
        <f>IFERROR(__xludf.DUMMYFUNCTION("""COMPUTED_VALUE"""),"-6.923600, 107.664664")</f>
        <v>-6.923600, 107.664664</v>
      </c>
      <c r="D438" s="4" t="str">
        <f>IFERROR(__xludf.DUMMYFUNCTION("""COMPUTED_VALUE"""),"Angga sandi")</f>
        <v>Angga sandi</v>
      </c>
      <c r="E438" s="4" t="str">
        <f>IFERROR(__xludf.DUMMYFUNCTION("""COMPUTED_VALUE"""),"BANDUNG")</f>
        <v>BANDUNG</v>
      </c>
      <c r="F438" s="4" t="str">
        <f>IFERROR(__xludf.DUMMYFUNCTION("""COMPUTED_VALUE"""),"BANDUNG TIMUR")</f>
        <v>BANDUNG TIMUR</v>
      </c>
      <c r="G438" s="4" t="str">
        <f>IFERROR(__xludf.DUMMYFUNCTION("""COMPUTED_VALUE"""),"KIARACONDONG")</f>
        <v>KIARACONDONG</v>
      </c>
      <c r="H438" s="4" t="str">
        <f>IFERROR(__xludf.DUMMYFUNCTION("""COMPUTED_VALUE"""),"KKH")</f>
        <v>KKH</v>
      </c>
      <c r="I438" s="4" t="str">
        <f>IFERROR(__xludf.DUMMYFUNCTION("""COMPUTED_VALUE"""),"ATPY-RDW")</f>
        <v>ATPY-RDW</v>
      </c>
      <c r="J438" s="4" t="str">
        <f>IFERROR(__xludf.DUMMYFUNCTION("""COMPUTED_VALUE"""),"ZONA 2")</f>
        <v>ZONA 2</v>
      </c>
      <c r="K438" s="4" t="str">
        <f>IFERROR(__xludf.DUMMYFUNCTION("""COMPUTED_VALUE"""),"072")</f>
        <v>072</v>
      </c>
      <c r="L438" s="4" t="str">
        <f>IFERROR(__xludf.DUMMYFUNCTION("""COMPUTED_VALUE"""),"TM - 12B/H (KABEL Kabel Naik Dua Saluran)")</f>
        <v>TM - 12B/H (KABEL Kabel Naik Dua Saluran)</v>
      </c>
      <c r="M438" s="4" t="str">
        <f>IFERROR(__xludf.DUMMYFUNCTION("""COMPUTED_VALUE"""),"Tidak Ada")</f>
        <v>Tidak Ada</v>
      </c>
      <c r="N438" s="4"/>
      <c r="O438" s="4" t="str">
        <f>IFERROR(__xludf.DUMMYFUNCTION("""COMPUTED_VALUE"""),"PEMBANDING SEJENIS")</f>
        <v>PEMBANDING SEJENIS</v>
      </c>
      <c r="P438" s="4" t="str">
        <f>IFERROR(__xludf.DUMMYFUNCTION("""COMPUTED_VALUE"""),"TERMINASI")</f>
        <v>TERMINASI</v>
      </c>
      <c r="Q438" s="4">
        <f>IFERROR(__xludf.DUMMYFUNCTION("""COMPUTED_VALUE"""),23.0)</f>
        <v>23</v>
      </c>
      <c r="R438" s="4">
        <f>IFERROR(__xludf.DUMMYFUNCTION("""COMPUTED_VALUE"""),21.6)</f>
        <v>21.6</v>
      </c>
      <c r="S438" s="4">
        <f>IFERROR(__xludf.DUMMYFUNCTION("""COMPUTED_VALUE"""),20.6)</f>
        <v>20.6</v>
      </c>
      <c r="T438" s="4"/>
      <c r="U438" s="4" t="str">
        <f>IFERROR(__xludf.DUMMYFUNCTION("""COMPUTED_VALUE"""),"BAIK")</f>
        <v>BAIK</v>
      </c>
      <c r="V438" s="4" t="str">
        <f>IFERROR(__xludf.DUMMYFUNCTION("""COMPUTED_VALUE"""),"Tidak Ada")</f>
        <v>Tidak Ada</v>
      </c>
      <c r="W438" s="4"/>
      <c r="X438" s="4"/>
      <c r="Y438" s="4"/>
      <c r="Z438" s="4"/>
      <c r="AA438" s="4"/>
      <c r="AB438" s="4"/>
      <c r="AC438" s="4" t="str">
        <f>IFERROR(__xludf.DUMMYFUNCTION("""COMPUTED_VALUE"""),"INSPEKSI SUTM - T2_Images/6e8af6b9.FOTO.133648.jpg")</f>
        <v>INSPEKSI SUTM - T2_Images/6e8af6b9.FOTO.133648.jpg</v>
      </c>
      <c r="AD438" s="4"/>
      <c r="AE438" s="4"/>
      <c r="AF438" s="4" t="str">
        <f>IFERROR(__xludf.DUMMYFUNCTION("""COMPUTED_VALUE"""),"BELUM")</f>
        <v>BELUM</v>
      </c>
      <c r="AG438" s="6">
        <f>IFERROR(__xludf.DUMMYFUNCTION("""COMPUTED_VALUE"""),46073.0)</f>
        <v>46073</v>
      </c>
      <c r="AH438" s="4"/>
      <c r="AI438" s="4"/>
    </row>
    <row r="439" ht="15.75" customHeight="1">
      <c r="A439" s="4" t="str">
        <f>IFERROR(__xludf.DUMMYFUNCTION("""COMPUTED_VALUE"""),"c6a5acb2")</f>
        <v>c6a5acb2</v>
      </c>
      <c r="B439" s="5">
        <f>IFERROR(__xludf.DUMMYFUNCTION("""COMPUTED_VALUE"""),46073.858564814815)</f>
        <v>46073.85856</v>
      </c>
      <c r="C439" s="4" t="str">
        <f>IFERROR(__xludf.DUMMYFUNCTION("""COMPUTED_VALUE"""),"-6.899212, 107.641314")</f>
        <v>-6.899212, 107.641314</v>
      </c>
      <c r="D439" s="4" t="str">
        <f>IFERROR(__xludf.DUMMYFUNCTION("""COMPUTED_VALUE"""),"Sandi angga")</f>
        <v>Sandi angga</v>
      </c>
      <c r="E439" s="4" t="str">
        <f>IFERROR(__xludf.DUMMYFUNCTION("""COMPUTED_VALUE"""),"BANDUNG")</f>
        <v>BANDUNG</v>
      </c>
      <c r="F439" s="4" t="str">
        <f>IFERROR(__xludf.DUMMYFUNCTION("""COMPUTED_VALUE"""),"BANDUNG TIMUR")</f>
        <v>BANDUNG TIMUR</v>
      </c>
      <c r="G439" s="4" t="str">
        <f>IFERROR(__xludf.DUMMYFUNCTION("""COMPUTED_VALUE"""),"KIARACONDONG")</f>
        <v>KIARACONDONG</v>
      </c>
      <c r="H439" s="4" t="str">
        <f>IFERROR(__xludf.DUMMYFUNCTION("""COMPUTED_VALUE"""),"KKH")</f>
        <v>KKH</v>
      </c>
      <c r="I439" s="4" t="str">
        <f>IFERROR(__xludf.DUMMYFUNCTION("""COMPUTED_VALUE"""),"ATPY-RDW")</f>
        <v>ATPY-RDW</v>
      </c>
      <c r="J439" s="4" t="str">
        <f>IFERROR(__xludf.DUMMYFUNCTION("""COMPUTED_VALUE"""),"ZONA 2")</f>
        <v>ZONA 2</v>
      </c>
      <c r="K439" s="4" t="str">
        <f>IFERROR(__xludf.DUMMYFUNCTION("""COMPUTED_VALUE"""),"054")</f>
        <v>054</v>
      </c>
      <c r="L439" s="4" t="str">
        <f>IFERROR(__xludf.DUMMYFUNCTION("""COMPUTED_VALUE"""),"TM - 8B/H (Percabangan)")</f>
        <v>TM - 8B/H (Percabangan)</v>
      </c>
      <c r="M439" s="4" t="str">
        <f>IFERROR(__xludf.DUMMYFUNCTION("""COMPUTED_VALUE"""),"Tidak Ada")</f>
        <v>Tidak Ada</v>
      </c>
      <c r="N439" s="4"/>
      <c r="O439" s="4" t="str">
        <f>IFERROR(__xludf.DUMMYFUNCTION("""COMPUTED_VALUE"""),"PEMBANDING SEJENIS")</f>
        <v>PEMBANDING SEJENIS</v>
      </c>
      <c r="P439" s="4" t="str">
        <f>IFERROR(__xludf.DUMMYFUNCTION("""COMPUTED_VALUE"""),"KONEKTOR/JUMPER")</f>
        <v>KONEKTOR/JUMPER</v>
      </c>
      <c r="Q439" s="4">
        <f>IFERROR(__xludf.DUMMYFUNCTION("""COMPUTED_VALUE"""),22.0)</f>
        <v>22</v>
      </c>
      <c r="R439" s="4">
        <f>IFERROR(__xludf.DUMMYFUNCTION("""COMPUTED_VALUE"""),17.0)</f>
        <v>17</v>
      </c>
      <c r="S439" s="4">
        <f>IFERROR(__xludf.DUMMYFUNCTION("""COMPUTED_VALUE"""),19.0)</f>
        <v>19</v>
      </c>
      <c r="T439" s="4"/>
      <c r="U439" s="4" t="str">
        <f>IFERROR(__xludf.DUMMYFUNCTION("""COMPUTED_VALUE"""),"CUKUP")</f>
        <v>CUKUP</v>
      </c>
      <c r="V439" s="4" t="str">
        <f>IFERROR(__xludf.DUMMYFUNCTION("""COMPUTED_VALUE"""),"Tidak Ada")</f>
        <v>Tidak Ada</v>
      </c>
      <c r="W439" s="4"/>
      <c r="X439" s="4"/>
      <c r="Y439" s="4"/>
      <c r="Z439" s="4"/>
      <c r="AA439" s="4"/>
      <c r="AB439" s="4"/>
      <c r="AC439" s="4" t="str">
        <f>IFERROR(__xludf.DUMMYFUNCTION("""COMPUTED_VALUE"""),"INSPEKSI SUTM - T2_Images/c6a5acb2.FOTO.133706.jpg")</f>
        <v>INSPEKSI SUTM - T2_Images/c6a5acb2.FOTO.133706.jpg</v>
      </c>
      <c r="AD439" s="4"/>
      <c r="AE439" s="4"/>
      <c r="AF439" s="4" t="str">
        <f>IFERROR(__xludf.DUMMYFUNCTION("""COMPUTED_VALUE"""),"BELUM")</f>
        <v>BELUM</v>
      </c>
      <c r="AG439" s="6">
        <f>IFERROR(__xludf.DUMMYFUNCTION("""COMPUTED_VALUE"""),46073.0)</f>
        <v>46073</v>
      </c>
      <c r="AH439" s="4"/>
      <c r="AI439" s="4"/>
    </row>
    <row r="440" ht="15.75" customHeight="1">
      <c r="A440" s="4" t="str">
        <f>IFERROR(__xludf.DUMMYFUNCTION("""COMPUTED_VALUE"""),"89e7b77e")</f>
        <v>89e7b77e</v>
      </c>
      <c r="B440" s="5">
        <f>IFERROR(__xludf.DUMMYFUNCTION("""COMPUTED_VALUE"""),46073.85915509259)</f>
        <v>46073.85916</v>
      </c>
      <c r="C440" s="4" t="str">
        <f>IFERROR(__xludf.DUMMYFUNCTION("""COMPUTED_VALUE"""),"-6.899217, 107.641297")</f>
        <v>-6.899217, 107.641297</v>
      </c>
      <c r="D440" s="4" t="str">
        <f>IFERROR(__xludf.DUMMYFUNCTION("""COMPUTED_VALUE"""),"Sandi angga")</f>
        <v>Sandi angga</v>
      </c>
      <c r="E440" s="4" t="str">
        <f>IFERROR(__xludf.DUMMYFUNCTION("""COMPUTED_VALUE"""),"BANDUNG")</f>
        <v>BANDUNG</v>
      </c>
      <c r="F440" s="4" t="str">
        <f>IFERROR(__xludf.DUMMYFUNCTION("""COMPUTED_VALUE"""),"BANDUNG TIMUR")</f>
        <v>BANDUNG TIMUR</v>
      </c>
      <c r="G440" s="4" t="str">
        <f>IFERROR(__xludf.DUMMYFUNCTION("""COMPUTED_VALUE"""),"KIARACONDONG")</f>
        <v>KIARACONDONG</v>
      </c>
      <c r="H440" s="4" t="str">
        <f>IFERROR(__xludf.DUMMYFUNCTION("""COMPUTED_VALUE"""),"KKH")</f>
        <v>KKH</v>
      </c>
      <c r="I440" s="4" t="str">
        <f>IFERROR(__xludf.DUMMYFUNCTION("""COMPUTED_VALUE"""),"ATPY-RDW")</f>
        <v>ATPY-RDW</v>
      </c>
      <c r="J440" s="4" t="str">
        <f>IFERROR(__xludf.DUMMYFUNCTION("""COMPUTED_VALUE"""),"ZONA 2")</f>
        <v>ZONA 2</v>
      </c>
      <c r="K440" s="4" t="str">
        <f>IFERROR(__xludf.DUMMYFUNCTION("""COMPUTED_VALUE"""),"054R04")</f>
        <v>054R04</v>
      </c>
      <c r="L440" s="4" t="str">
        <f>IFERROR(__xludf.DUMMYFUNCTION("""COMPUTED_VALUE"""),"TM - 14B/H (Akhir)")</f>
        <v>TM - 14B/H (Akhir)</v>
      </c>
      <c r="M440" s="4" t="str">
        <f>IFERROR(__xludf.DUMMYFUNCTION("""COMPUTED_VALUE"""),"Tidak Ada")</f>
        <v>Tidak Ada</v>
      </c>
      <c r="N440" s="4"/>
      <c r="O440" s="4" t="str">
        <f>IFERROR(__xludf.DUMMYFUNCTION("""COMPUTED_VALUE"""),"PEMBANDING SEJENIS")</f>
        <v>PEMBANDING SEJENIS</v>
      </c>
      <c r="P440" s="4" t="str">
        <f>IFERROR(__xludf.DUMMYFUNCTION("""COMPUTED_VALUE"""),"TERMINASI")</f>
        <v>TERMINASI</v>
      </c>
      <c r="Q440" s="4">
        <f>IFERROR(__xludf.DUMMYFUNCTION("""COMPUTED_VALUE"""),20.0)</f>
        <v>20</v>
      </c>
      <c r="R440" s="4">
        <f>IFERROR(__xludf.DUMMYFUNCTION("""COMPUTED_VALUE"""),21.0)</f>
        <v>21</v>
      </c>
      <c r="S440" s="4">
        <f>IFERROR(__xludf.DUMMYFUNCTION("""COMPUTED_VALUE"""),20.0)</f>
        <v>20</v>
      </c>
      <c r="T440" s="4"/>
      <c r="U440" s="4" t="str">
        <f>IFERROR(__xludf.DUMMYFUNCTION("""COMPUTED_VALUE"""),"BAIK")</f>
        <v>BAIK</v>
      </c>
      <c r="V440" s="4" t="str">
        <f>IFERROR(__xludf.DUMMYFUNCTION("""COMPUTED_VALUE"""),"Tidak Ada")</f>
        <v>Tidak Ada</v>
      </c>
      <c r="W440" s="4"/>
      <c r="X440" s="4"/>
      <c r="Y440" s="4"/>
      <c r="Z440" s="4"/>
      <c r="AA440" s="4"/>
      <c r="AB440" s="4"/>
      <c r="AC440" s="4" t="str">
        <f>IFERROR(__xludf.DUMMYFUNCTION("""COMPUTED_VALUE"""),"INSPEKSI SUTM - T2_Images/89e7b77e.FOTO.133801.jpg")</f>
        <v>INSPEKSI SUTM - T2_Images/89e7b77e.FOTO.133801.jpg</v>
      </c>
      <c r="AD440" s="4"/>
      <c r="AE440" s="4"/>
      <c r="AF440" s="4" t="str">
        <f>IFERROR(__xludf.DUMMYFUNCTION("""COMPUTED_VALUE"""),"BELUM")</f>
        <v>BELUM</v>
      </c>
      <c r="AG440" s="6">
        <f>IFERROR(__xludf.DUMMYFUNCTION("""COMPUTED_VALUE"""),46073.0)</f>
        <v>46073</v>
      </c>
      <c r="AH440" s="4"/>
      <c r="AI440" s="4"/>
    </row>
    <row r="441" ht="15.75" customHeight="1">
      <c r="A441" s="4" t="str">
        <f>IFERROR(__xludf.DUMMYFUNCTION("""COMPUTED_VALUE"""),"4dadb153")</f>
        <v>4dadb153</v>
      </c>
      <c r="B441" s="5">
        <f>IFERROR(__xludf.DUMMYFUNCTION("""COMPUTED_VALUE"""),46073.85975694445)</f>
        <v>46073.85976</v>
      </c>
      <c r="C441" s="4" t="str">
        <f>IFERROR(__xludf.DUMMYFUNCTION("""COMPUTED_VALUE"""),"-6.899229, 107.641298")</f>
        <v>-6.899229, 107.641298</v>
      </c>
      <c r="D441" s="4" t="str">
        <f>IFERROR(__xludf.DUMMYFUNCTION("""COMPUTED_VALUE"""),"Sandi angga")</f>
        <v>Sandi angga</v>
      </c>
      <c r="E441" s="4" t="str">
        <f>IFERROR(__xludf.DUMMYFUNCTION("""COMPUTED_VALUE"""),"BANDUNG")</f>
        <v>BANDUNG</v>
      </c>
      <c r="F441" s="4" t="str">
        <f>IFERROR(__xludf.DUMMYFUNCTION("""COMPUTED_VALUE"""),"BANDUNG TIMUR")</f>
        <v>BANDUNG TIMUR</v>
      </c>
      <c r="G441" s="4" t="str">
        <f>IFERROR(__xludf.DUMMYFUNCTION("""COMPUTED_VALUE"""),"KIARACONDONG")</f>
        <v>KIARACONDONG</v>
      </c>
      <c r="H441" s="4" t="str">
        <f>IFERROR(__xludf.DUMMYFUNCTION("""COMPUTED_VALUE"""),"KKH")</f>
        <v>KKH</v>
      </c>
      <c r="I441" s="4" t="str">
        <f>IFERROR(__xludf.DUMMYFUNCTION("""COMPUTED_VALUE"""),"ATPY-RDW")</f>
        <v>ATPY-RDW</v>
      </c>
      <c r="J441" s="4" t="str">
        <f>IFERROR(__xludf.DUMMYFUNCTION("""COMPUTED_VALUE"""),"ZONA 2")</f>
        <v>ZONA 2</v>
      </c>
      <c r="K441" s="4" t="str">
        <f>IFERROR(__xludf.DUMMYFUNCTION("""COMPUTED_VALUE"""),"054R05")</f>
        <v>054R05</v>
      </c>
      <c r="L441" s="4" t="str">
        <f>IFERROR(__xludf.DUMMYFUNCTION("""COMPUTED_VALUE"""),"TM - 11B/H (Kabel Naik)")</f>
        <v>TM - 11B/H (Kabel Naik)</v>
      </c>
      <c r="M441" s="4" t="str">
        <f>IFERROR(__xludf.DUMMYFUNCTION("""COMPUTED_VALUE"""),"Gardu")</f>
        <v>Gardu</v>
      </c>
      <c r="N441" s="4" t="str">
        <f>IFERROR(__xludf.DUMMYFUNCTION("""COMPUTED_VALUE"""),"BLZ")</f>
        <v>BLZ</v>
      </c>
      <c r="O441" s="4" t="str">
        <f>IFERROR(__xludf.DUMMYFUNCTION("""COMPUTED_VALUE"""),"PEMBANDING SEJENIS")</f>
        <v>PEMBANDING SEJENIS</v>
      </c>
      <c r="P441" s="4" t="str">
        <f>IFERROR(__xludf.DUMMYFUNCTION("""COMPUTED_VALUE"""),"TERMINASI")</f>
        <v>TERMINASI</v>
      </c>
      <c r="Q441" s="4">
        <f>IFERROR(__xludf.DUMMYFUNCTION("""COMPUTED_VALUE"""),20.0)</f>
        <v>20</v>
      </c>
      <c r="R441" s="4">
        <f>IFERROR(__xludf.DUMMYFUNCTION("""COMPUTED_VALUE"""),20.0)</f>
        <v>20</v>
      </c>
      <c r="S441" s="4">
        <f>IFERROR(__xludf.DUMMYFUNCTION("""COMPUTED_VALUE"""),20.0)</f>
        <v>20</v>
      </c>
      <c r="T441" s="4"/>
      <c r="U441" s="4" t="str">
        <f>IFERROR(__xludf.DUMMYFUNCTION("""COMPUTED_VALUE"""),"BAIK")</f>
        <v>BAIK</v>
      </c>
      <c r="V441" s="4" t="str">
        <f>IFERROR(__xludf.DUMMYFUNCTION("""COMPUTED_VALUE"""),"Tidak Ada")</f>
        <v>Tidak Ada</v>
      </c>
      <c r="W441" s="4"/>
      <c r="X441" s="4"/>
      <c r="Y441" s="4"/>
      <c r="Z441" s="4"/>
      <c r="AA441" s="4"/>
      <c r="AB441" s="4"/>
      <c r="AC441" s="4" t="str">
        <f>IFERROR(__xludf.DUMMYFUNCTION("""COMPUTED_VALUE"""),"INSPEKSI SUTM - T2_Images/4dadb153.FOTO.133856.jpg")</f>
        <v>INSPEKSI SUTM - T2_Images/4dadb153.FOTO.133856.jpg</v>
      </c>
      <c r="AD441" s="4"/>
      <c r="AE441" s="4"/>
      <c r="AF441" s="4" t="str">
        <f>IFERROR(__xludf.DUMMYFUNCTION("""COMPUTED_VALUE"""),"BELUM")</f>
        <v>BELUM</v>
      </c>
      <c r="AG441" s="6">
        <f>IFERROR(__xludf.DUMMYFUNCTION("""COMPUTED_VALUE"""),46073.0)</f>
        <v>46073</v>
      </c>
      <c r="AH441" s="4"/>
      <c r="AI441" s="4"/>
    </row>
    <row r="442" ht="15.75" customHeight="1">
      <c r="A442" s="4" t="str">
        <f>IFERROR(__xludf.DUMMYFUNCTION("""COMPUTED_VALUE"""),"37ef858f")</f>
        <v>37ef858f</v>
      </c>
      <c r="B442" s="5">
        <f>IFERROR(__xludf.DUMMYFUNCTION("""COMPUTED_VALUE"""),46073.96707175926)</f>
        <v>46073.96707</v>
      </c>
      <c r="C442" s="4" t="str">
        <f>IFERROR(__xludf.DUMMYFUNCTION("""COMPUTED_VALUE"""),"-6.912203, 107.684251")</f>
        <v>-6.912203, 107.684251</v>
      </c>
      <c r="D442" s="4" t="str">
        <f>IFERROR(__xludf.DUMMYFUNCTION("""COMPUTED_VALUE"""),"Canra heri")</f>
        <v>Canra heri</v>
      </c>
      <c r="E442" s="4" t="str">
        <f>IFERROR(__xludf.DUMMYFUNCTION("""COMPUTED_VALUE"""),"BANDUNG")</f>
        <v>BANDUNG</v>
      </c>
      <c r="F442" s="4" t="str">
        <f>IFERROR(__xludf.DUMMYFUNCTION("""COMPUTED_VALUE"""),"UJUNGBERUNG")</f>
        <v>UJUNGBERUNG</v>
      </c>
      <c r="G442" s="4" t="str">
        <f>IFERROR(__xludf.DUMMYFUNCTION("""COMPUTED_VALUE"""),"UJUNGBERUNG")</f>
        <v>UJUNGBERUNG</v>
      </c>
      <c r="H442" s="4" t="str">
        <f>IFERROR(__xludf.DUMMYFUNCTION("""COMPUTED_VALUE"""),"UZP")</f>
        <v>UZP</v>
      </c>
      <c r="I442" s="4" t="str">
        <f>IFERROR(__xludf.DUMMYFUNCTION("""COMPUTED_VALUE"""),"GH BNA - LBS CTW")</f>
        <v>GH BNA - LBS CTW</v>
      </c>
      <c r="J442" s="4" t="str">
        <f>IFERROR(__xludf.DUMMYFUNCTION("""COMPUTED_VALUE"""),"ZONA 2")</f>
        <v>ZONA 2</v>
      </c>
      <c r="K442" s="4" t="str">
        <f>IFERROR(__xludf.DUMMYFUNCTION("""COMPUTED_VALUE"""),"001")</f>
        <v>001</v>
      </c>
      <c r="L442" s="4" t="str">
        <f>IFERROR(__xludf.DUMMYFUNCTION("""COMPUTED_VALUE"""),"TM - 11B/H (Kabel Naik)")</f>
        <v>TM - 11B/H (Kabel Naik)</v>
      </c>
      <c r="M442" s="4" t="str">
        <f>IFERROR(__xludf.DUMMYFUNCTION("""COMPUTED_VALUE"""),"Tidak Ada")</f>
        <v>Tidak Ada</v>
      </c>
      <c r="N442" s="4"/>
      <c r="O442" s="4" t="str">
        <f>IFERROR(__xludf.DUMMYFUNCTION("""COMPUTED_VALUE"""),"PEMBANDING SEJENIS")</f>
        <v>PEMBANDING SEJENIS</v>
      </c>
      <c r="P442" s="4" t="str">
        <f>IFERROR(__xludf.DUMMYFUNCTION("""COMPUTED_VALUE"""),"KONEKTOR/JUMPER")</f>
        <v>KONEKTOR/JUMPER</v>
      </c>
      <c r="Q442" s="4">
        <f>IFERROR(__xludf.DUMMYFUNCTION("""COMPUTED_VALUE"""),23.0)</f>
        <v>23</v>
      </c>
      <c r="R442" s="4">
        <f>IFERROR(__xludf.DUMMYFUNCTION("""COMPUTED_VALUE"""),23.0)</f>
        <v>23</v>
      </c>
      <c r="S442" s="4">
        <f>IFERROR(__xludf.DUMMYFUNCTION("""COMPUTED_VALUE"""),24.0)</f>
        <v>24</v>
      </c>
      <c r="T442" s="4"/>
      <c r="U442" s="4" t="str">
        <f>IFERROR(__xludf.DUMMYFUNCTION("""COMPUTED_VALUE"""),"BAIK")</f>
        <v>BAIK</v>
      </c>
      <c r="V442" s="4" t="str">
        <f>IFERROR(__xludf.DUMMYFUNCTION("""COMPUTED_VALUE"""),"Tidak Ada")</f>
        <v>Tidak Ada</v>
      </c>
      <c r="W442" s="4"/>
      <c r="X442" s="4"/>
      <c r="Y442" s="4"/>
      <c r="Z442" s="4"/>
      <c r="AA442" s="4"/>
      <c r="AB442" s="4"/>
      <c r="AC442" s="4" t="str">
        <f>IFERROR(__xludf.DUMMYFUNCTION("""COMPUTED_VALUE"""),"INSPEKSI SUTM - T2_Images/37ef858f.FOTO.161339.jpg")</f>
        <v>INSPEKSI SUTM - T2_Images/37ef858f.FOTO.161339.jpg</v>
      </c>
      <c r="AD442" s="4"/>
      <c r="AE442" s="4"/>
      <c r="AF442" s="4" t="str">
        <f>IFERROR(__xludf.DUMMYFUNCTION("""COMPUTED_VALUE"""),"BELUM")</f>
        <v>BELUM</v>
      </c>
      <c r="AG442" s="6">
        <f>IFERROR(__xludf.DUMMYFUNCTION("""COMPUTED_VALUE"""),46073.0)</f>
        <v>46073</v>
      </c>
      <c r="AH442" s="4"/>
      <c r="AI442" s="4"/>
    </row>
    <row r="443" ht="15.75" customHeight="1">
      <c r="A443" s="4" t="str">
        <f>IFERROR(__xludf.DUMMYFUNCTION("""COMPUTED_VALUE"""),"dd398ec6")</f>
        <v>dd398ec6</v>
      </c>
      <c r="B443" s="5">
        <f>IFERROR(__xludf.DUMMYFUNCTION("""COMPUTED_VALUE"""),46073.97016203704)</f>
        <v>46073.97016</v>
      </c>
      <c r="C443" s="4" t="str">
        <f>IFERROR(__xludf.DUMMYFUNCTION("""COMPUTED_VALUE"""),"-6.912519, 107.684625")</f>
        <v>-6.912519, 107.684625</v>
      </c>
      <c r="D443" s="4" t="str">
        <f>IFERROR(__xludf.DUMMYFUNCTION("""COMPUTED_VALUE"""),"Canra heri")</f>
        <v>Canra heri</v>
      </c>
      <c r="E443" s="4" t="str">
        <f>IFERROR(__xludf.DUMMYFUNCTION("""COMPUTED_VALUE"""),"BANDUNG")</f>
        <v>BANDUNG</v>
      </c>
      <c r="F443" s="4" t="str">
        <f>IFERROR(__xludf.DUMMYFUNCTION("""COMPUTED_VALUE"""),"UJUNGBERUNG")</f>
        <v>UJUNGBERUNG</v>
      </c>
      <c r="G443" s="4" t="str">
        <f>IFERROR(__xludf.DUMMYFUNCTION("""COMPUTED_VALUE"""),"UJUNGBERUNG")</f>
        <v>UJUNGBERUNG</v>
      </c>
      <c r="H443" s="4" t="str">
        <f>IFERROR(__xludf.DUMMYFUNCTION("""COMPUTED_VALUE"""),"UZP")</f>
        <v>UZP</v>
      </c>
      <c r="I443" s="4" t="str">
        <f>IFERROR(__xludf.DUMMYFUNCTION("""COMPUTED_VALUE"""),"GH BNA - LBS CTW")</f>
        <v>GH BNA - LBS CTW</v>
      </c>
      <c r="J443" s="4" t="str">
        <f>IFERROR(__xludf.DUMMYFUNCTION("""COMPUTED_VALUE"""),"ZONA 2")</f>
        <v>ZONA 2</v>
      </c>
      <c r="K443" s="4" t="str">
        <f>IFERROR(__xludf.DUMMYFUNCTION("""COMPUTED_VALUE"""),"003")</f>
        <v>003</v>
      </c>
      <c r="L443" s="4" t="str">
        <f>IFERROR(__xludf.DUMMYFUNCTION("""COMPUTED_VALUE"""),"TM - 1B/H (Tumpu)")</f>
        <v>TM - 1B/H (Tumpu)</v>
      </c>
      <c r="M443" s="4" t="str">
        <f>IFERROR(__xludf.DUMMYFUNCTION("""COMPUTED_VALUE"""),"Tidak Ada")</f>
        <v>Tidak Ada</v>
      </c>
      <c r="N443" s="4"/>
      <c r="O443" s="4" t="str">
        <f>IFERROR(__xludf.DUMMYFUNCTION("""COMPUTED_VALUE"""),"PEMBANDING SEJENIS")</f>
        <v>PEMBANDING SEJENIS</v>
      </c>
      <c r="P443" s="4" t="str">
        <f>IFERROR(__xludf.DUMMYFUNCTION("""COMPUTED_VALUE"""),"ARRESTER")</f>
        <v>ARRESTER</v>
      </c>
      <c r="Q443" s="4">
        <f>IFERROR(__xludf.DUMMYFUNCTION("""COMPUTED_VALUE"""),20.0)</f>
        <v>20</v>
      </c>
      <c r="R443" s="4">
        <f>IFERROR(__xludf.DUMMYFUNCTION("""COMPUTED_VALUE"""),19.0)</f>
        <v>19</v>
      </c>
      <c r="S443" s="4">
        <f>IFERROR(__xludf.DUMMYFUNCTION("""COMPUTED_VALUE"""),19.0)</f>
        <v>19</v>
      </c>
      <c r="T443" s="4"/>
      <c r="U443" s="4" t="str">
        <f>IFERROR(__xludf.DUMMYFUNCTION("""COMPUTED_VALUE"""),"BAIK")</f>
        <v>BAIK</v>
      </c>
      <c r="V443" s="4" t="str">
        <f>IFERROR(__xludf.DUMMYFUNCTION("""COMPUTED_VALUE"""),"Tidak Ada")</f>
        <v>Tidak Ada</v>
      </c>
      <c r="W443" s="4"/>
      <c r="X443" s="4"/>
      <c r="Y443" s="4"/>
      <c r="Z443" s="4"/>
      <c r="AA443" s="4"/>
      <c r="AB443" s="4"/>
      <c r="AC443" s="4" t="str">
        <f>IFERROR(__xludf.DUMMYFUNCTION("""COMPUTED_VALUE"""),"INSPEKSI SUTM - T2_Images/dd398ec6.FOTO.161806.jpg")</f>
        <v>INSPEKSI SUTM - T2_Images/dd398ec6.FOTO.161806.jpg</v>
      </c>
      <c r="AD443" s="4"/>
      <c r="AE443" s="4"/>
      <c r="AF443" s="4" t="str">
        <f>IFERROR(__xludf.DUMMYFUNCTION("""COMPUTED_VALUE"""),"BELUM")</f>
        <v>BELUM</v>
      </c>
      <c r="AG443" s="6">
        <f>IFERROR(__xludf.DUMMYFUNCTION("""COMPUTED_VALUE"""),46073.0)</f>
        <v>46073</v>
      </c>
      <c r="AH443" s="4"/>
      <c r="AI443" s="4"/>
    </row>
    <row r="444" ht="15.75" customHeight="1">
      <c r="A444" s="4" t="str">
        <f>IFERROR(__xludf.DUMMYFUNCTION("""COMPUTED_VALUE"""),"05e20a74")</f>
        <v>05e20a74</v>
      </c>
      <c r="B444" s="5">
        <f>IFERROR(__xludf.DUMMYFUNCTION("""COMPUTED_VALUE"""),46073.97175925926)</f>
        <v>46073.97176</v>
      </c>
      <c r="C444" s="4" t="str">
        <f>IFERROR(__xludf.DUMMYFUNCTION("""COMPUTED_VALUE"""),"-6.912679, 107.684843")</f>
        <v>-6.912679, 107.684843</v>
      </c>
      <c r="D444" s="4" t="str">
        <f>IFERROR(__xludf.DUMMYFUNCTION("""COMPUTED_VALUE"""),"Canra heri")</f>
        <v>Canra heri</v>
      </c>
      <c r="E444" s="4" t="str">
        <f>IFERROR(__xludf.DUMMYFUNCTION("""COMPUTED_VALUE"""),"BANDUNG")</f>
        <v>BANDUNG</v>
      </c>
      <c r="F444" s="4" t="str">
        <f>IFERROR(__xludf.DUMMYFUNCTION("""COMPUTED_VALUE"""),"UJUNGBERUNG")</f>
        <v>UJUNGBERUNG</v>
      </c>
      <c r="G444" s="4" t="str">
        <f>IFERROR(__xludf.DUMMYFUNCTION("""COMPUTED_VALUE"""),"UJUNGBERUNG")</f>
        <v>UJUNGBERUNG</v>
      </c>
      <c r="H444" s="4" t="str">
        <f>IFERROR(__xludf.DUMMYFUNCTION("""COMPUTED_VALUE"""),"UZP")</f>
        <v>UZP</v>
      </c>
      <c r="I444" s="4" t="str">
        <f>IFERROR(__xludf.DUMMYFUNCTION("""COMPUTED_VALUE"""),"GH BNA - LBS CTW")</f>
        <v>GH BNA - LBS CTW</v>
      </c>
      <c r="J444" s="4" t="str">
        <f>IFERROR(__xludf.DUMMYFUNCTION("""COMPUTED_VALUE"""),"ZONA 2")</f>
        <v>ZONA 2</v>
      </c>
      <c r="K444" s="4" t="str">
        <f>IFERROR(__xludf.DUMMYFUNCTION("""COMPUTED_VALUE"""),"005")</f>
        <v>005</v>
      </c>
      <c r="L444" s="4" t="str">
        <f>IFERROR(__xludf.DUMMYFUNCTION("""COMPUTED_VALUE"""),"TM - 1B/H (Tumpu)")</f>
        <v>TM - 1B/H (Tumpu)</v>
      </c>
      <c r="M444" s="4" t="str">
        <f>IFERROR(__xludf.DUMMYFUNCTION("""COMPUTED_VALUE"""),"Tidak Ada")</f>
        <v>Tidak Ada</v>
      </c>
      <c r="N444" s="4"/>
      <c r="O444" s="4" t="str">
        <f>IFERROR(__xludf.DUMMYFUNCTION("""COMPUTED_VALUE"""),"PEMBANDING SEJENIS")</f>
        <v>PEMBANDING SEJENIS</v>
      </c>
      <c r="P444" s="4" t="str">
        <f>IFERROR(__xludf.DUMMYFUNCTION("""COMPUTED_VALUE"""),"ARRESTER")</f>
        <v>ARRESTER</v>
      </c>
      <c r="Q444" s="4">
        <f>IFERROR(__xludf.DUMMYFUNCTION("""COMPUTED_VALUE"""),18.0)</f>
        <v>18</v>
      </c>
      <c r="R444" s="4">
        <f>IFERROR(__xludf.DUMMYFUNCTION("""COMPUTED_VALUE"""),20.0)</f>
        <v>20</v>
      </c>
      <c r="S444" s="4">
        <f>IFERROR(__xludf.DUMMYFUNCTION("""COMPUTED_VALUE"""),19.0)</f>
        <v>19</v>
      </c>
      <c r="T444" s="4"/>
      <c r="U444" s="4" t="str">
        <f>IFERROR(__xludf.DUMMYFUNCTION("""COMPUTED_VALUE"""),"BAIK")</f>
        <v>BAIK</v>
      </c>
      <c r="V444" s="4" t="str">
        <f>IFERROR(__xludf.DUMMYFUNCTION("""COMPUTED_VALUE"""),"Tidak Ada")</f>
        <v>Tidak Ada</v>
      </c>
      <c r="W444" s="4"/>
      <c r="X444" s="4"/>
      <c r="Y444" s="4"/>
      <c r="Z444" s="4"/>
      <c r="AA444" s="4"/>
      <c r="AB444" s="4"/>
      <c r="AC444" s="4" t="str">
        <f>IFERROR(__xludf.DUMMYFUNCTION("""COMPUTED_VALUE"""),"INSPEKSI SUTM - T2_Images/05e20a74.FOTO.162034.jpg")</f>
        <v>INSPEKSI SUTM - T2_Images/05e20a74.FOTO.162034.jpg</v>
      </c>
      <c r="AD444" s="4"/>
      <c r="AE444" s="4"/>
      <c r="AF444" s="4" t="str">
        <f>IFERROR(__xludf.DUMMYFUNCTION("""COMPUTED_VALUE"""),"BELUM")</f>
        <v>BELUM</v>
      </c>
      <c r="AG444" s="6">
        <f>IFERROR(__xludf.DUMMYFUNCTION("""COMPUTED_VALUE"""),46073.0)</f>
        <v>46073</v>
      </c>
      <c r="AH444" s="4"/>
      <c r="AI444" s="4"/>
    </row>
    <row r="445" ht="15.75" customHeight="1">
      <c r="A445" s="4" t="str">
        <f>IFERROR(__xludf.DUMMYFUNCTION("""COMPUTED_VALUE"""),"f87bacda")</f>
        <v>f87bacda</v>
      </c>
      <c r="B445" s="5">
        <f>IFERROR(__xludf.DUMMYFUNCTION("""COMPUTED_VALUE"""),46073.9734837963)</f>
        <v>46073.97348</v>
      </c>
      <c r="C445" s="4" t="str">
        <f>IFERROR(__xludf.DUMMYFUNCTION("""COMPUTED_VALUE"""),"-6.912973, 107.685173")</f>
        <v>-6.912973, 107.685173</v>
      </c>
      <c r="D445" s="4" t="str">
        <f>IFERROR(__xludf.DUMMYFUNCTION("""COMPUTED_VALUE"""),"Canra heri")</f>
        <v>Canra heri</v>
      </c>
      <c r="E445" s="4" t="str">
        <f>IFERROR(__xludf.DUMMYFUNCTION("""COMPUTED_VALUE"""),"BANDUNG")</f>
        <v>BANDUNG</v>
      </c>
      <c r="F445" s="4" t="str">
        <f>IFERROR(__xludf.DUMMYFUNCTION("""COMPUTED_VALUE"""),"UJUNGBERUNG")</f>
        <v>UJUNGBERUNG</v>
      </c>
      <c r="G445" s="4" t="str">
        <f>IFERROR(__xludf.DUMMYFUNCTION("""COMPUTED_VALUE"""),"UJUNGBERUNG")</f>
        <v>UJUNGBERUNG</v>
      </c>
      <c r="H445" s="4" t="str">
        <f>IFERROR(__xludf.DUMMYFUNCTION("""COMPUTED_VALUE"""),"UZP")</f>
        <v>UZP</v>
      </c>
      <c r="I445" s="4" t="str">
        <f>IFERROR(__xludf.DUMMYFUNCTION("""COMPUTED_VALUE"""),"GH BNA - LBS CTW")</f>
        <v>GH BNA - LBS CTW</v>
      </c>
      <c r="J445" s="4" t="str">
        <f>IFERROR(__xludf.DUMMYFUNCTION("""COMPUTED_VALUE"""),"ZONA 2")</f>
        <v>ZONA 2</v>
      </c>
      <c r="K445" s="4" t="str">
        <f>IFERROR(__xludf.DUMMYFUNCTION("""COMPUTED_VALUE"""),"007")</f>
        <v>007</v>
      </c>
      <c r="L445" s="4" t="str">
        <f>IFERROR(__xludf.DUMMYFUNCTION("""COMPUTED_VALUE"""),"TM - 4B/H (Afspan)")</f>
        <v>TM - 4B/H (Afspan)</v>
      </c>
      <c r="M445" s="4" t="str">
        <f>IFERROR(__xludf.DUMMYFUNCTION("""COMPUTED_VALUE"""),"Tidak Ada")</f>
        <v>Tidak Ada</v>
      </c>
      <c r="N445" s="4"/>
      <c r="O445" s="4" t="str">
        <f>IFERROR(__xludf.DUMMYFUNCTION("""COMPUTED_VALUE"""),"PEMBANDING SEJENIS")</f>
        <v>PEMBANDING SEJENIS</v>
      </c>
      <c r="P445" s="4" t="str">
        <f>IFERROR(__xludf.DUMMYFUNCTION("""COMPUTED_VALUE"""),"KONEKTOR/JUMPER")</f>
        <v>KONEKTOR/JUMPER</v>
      </c>
      <c r="Q445" s="4">
        <f>IFERROR(__xludf.DUMMYFUNCTION("""COMPUTED_VALUE"""),19.0)</f>
        <v>19</v>
      </c>
      <c r="R445" s="4">
        <f>IFERROR(__xludf.DUMMYFUNCTION("""COMPUTED_VALUE"""),21.0)</f>
        <v>21</v>
      </c>
      <c r="S445" s="4">
        <f>IFERROR(__xludf.DUMMYFUNCTION("""COMPUTED_VALUE"""),20.0)</f>
        <v>20</v>
      </c>
      <c r="T445" s="4"/>
      <c r="U445" s="4" t="str">
        <f>IFERROR(__xludf.DUMMYFUNCTION("""COMPUTED_VALUE"""),"BAIK")</f>
        <v>BAIK</v>
      </c>
      <c r="V445" s="4" t="str">
        <f>IFERROR(__xludf.DUMMYFUNCTION("""COMPUTED_VALUE"""),"Tidak Ada")</f>
        <v>Tidak Ada</v>
      </c>
      <c r="W445" s="4"/>
      <c r="X445" s="4"/>
      <c r="Y445" s="4"/>
      <c r="Z445" s="4"/>
      <c r="AA445" s="4"/>
      <c r="AB445" s="4"/>
      <c r="AC445" s="4" t="str">
        <f>IFERROR(__xludf.DUMMYFUNCTION("""COMPUTED_VALUE"""),"INSPEKSI SUTM - T2_Images/f87bacda.FOTO.162248.jpg")</f>
        <v>INSPEKSI SUTM - T2_Images/f87bacda.FOTO.162248.jpg</v>
      </c>
      <c r="AD445" s="4"/>
      <c r="AE445" s="4"/>
      <c r="AF445" s="4" t="str">
        <f>IFERROR(__xludf.DUMMYFUNCTION("""COMPUTED_VALUE"""),"BELUM")</f>
        <v>BELUM</v>
      </c>
      <c r="AG445" s="6">
        <f>IFERROR(__xludf.DUMMYFUNCTION("""COMPUTED_VALUE"""),46073.0)</f>
        <v>46073</v>
      </c>
      <c r="AH445" s="4"/>
      <c r="AI445" s="4"/>
    </row>
    <row r="446" ht="15.75" customHeight="1">
      <c r="A446" s="4" t="str">
        <f>IFERROR(__xludf.DUMMYFUNCTION("""COMPUTED_VALUE"""),"7d42f88a")</f>
        <v>7d42f88a</v>
      </c>
      <c r="B446" s="5">
        <f>IFERROR(__xludf.DUMMYFUNCTION("""COMPUTED_VALUE"""),46073.975439814814)</f>
        <v>46073.97544</v>
      </c>
      <c r="C446" s="4" t="str">
        <f>IFERROR(__xludf.DUMMYFUNCTION("""COMPUTED_VALUE"""),"-6.915258, 107.688100")</f>
        <v>-6.915258, 107.688100</v>
      </c>
      <c r="D446" s="4" t="str">
        <f>IFERROR(__xludf.DUMMYFUNCTION("""COMPUTED_VALUE"""),"Canra heri")</f>
        <v>Canra heri</v>
      </c>
      <c r="E446" s="4" t="str">
        <f>IFERROR(__xludf.DUMMYFUNCTION("""COMPUTED_VALUE"""),"BANDUNG")</f>
        <v>BANDUNG</v>
      </c>
      <c r="F446" s="4" t="str">
        <f>IFERROR(__xludf.DUMMYFUNCTION("""COMPUTED_VALUE"""),"UJUNGBERUNG")</f>
        <v>UJUNGBERUNG</v>
      </c>
      <c r="G446" s="4" t="str">
        <f>IFERROR(__xludf.DUMMYFUNCTION("""COMPUTED_VALUE"""),"UJUNGBERUNG")</f>
        <v>UJUNGBERUNG</v>
      </c>
      <c r="H446" s="4" t="str">
        <f>IFERROR(__xludf.DUMMYFUNCTION("""COMPUTED_VALUE"""),"UZP")</f>
        <v>UZP</v>
      </c>
      <c r="I446" s="4" t="str">
        <f>IFERROR(__xludf.DUMMYFUNCTION("""COMPUTED_VALUE"""),"GH BNA - LBS CTW")</f>
        <v>GH BNA - LBS CTW</v>
      </c>
      <c r="J446" s="4" t="str">
        <f>IFERROR(__xludf.DUMMYFUNCTION("""COMPUTED_VALUE"""),"ZONA 2")</f>
        <v>ZONA 2</v>
      </c>
      <c r="K446" s="4" t="str">
        <f>IFERROR(__xludf.DUMMYFUNCTION("""COMPUTED_VALUE"""),"016")</f>
        <v>016</v>
      </c>
      <c r="L446" s="4" t="str">
        <f>IFERROR(__xludf.DUMMYFUNCTION("""COMPUTED_VALUE"""),"TM - 14B/H (Akhir)")</f>
        <v>TM - 14B/H (Akhir)</v>
      </c>
      <c r="M446" s="4" t="str">
        <f>IFERROR(__xludf.DUMMYFUNCTION("""COMPUTED_VALUE"""),"Tidak Ada")</f>
        <v>Tidak Ada</v>
      </c>
      <c r="N446" s="4"/>
      <c r="O446" s="4" t="str">
        <f>IFERROR(__xludf.DUMMYFUNCTION("""COMPUTED_VALUE"""),"PEMBANDING SEJENIS")</f>
        <v>PEMBANDING SEJENIS</v>
      </c>
      <c r="P446" s="4" t="str">
        <f>IFERROR(__xludf.DUMMYFUNCTION("""COMPUTED_VALUE"""),"KONEKTOR/JUMPER")</f>
        <v>KONEKTOR/JUMPER</v>
      </c>
      <c r="Q446" s="4">
        <f>IFERROR(__xludf.DUMMYFUNCTION("""COMPUTED_VALUE"""),22.0)</f>
        <v>22</v>
      </c>
      <c r="R446" s="4">
        <f>IFERROR(__xludf.DUMMYFUNCTION("""COMPUTED_VALUE"""),22.0)</f>
        <v>22</v>
      </c>
      <c r="S446" s="4">
        <f>IFERROR(__xludf.DUMMYFUNCTION("""COMPUTED_VALUE"""),23.0)</f>
        <v>23</v>
      </c>
      <c r="T446" s="4"/>
      <c r="U446" s="4" t="str">
        <f>IFERROR(__xludf.DUMMYFUNCTION("""COMPUTED_VALUE"""),"BAIK")</f>
        <v>BAIK</v>
      </c>
      <c r="V446" s="4" t="str">
        <f>IFERROR(__xludf.DUMMYFUNCTION("""COMPUTED_VALUE"""),"Tidak Ada")</f>
        <v>Tidak Ada</v>
      </c>
      <c r="W446" s="4"/>
      <c r="X446" s="4"/>
      <c r="Y446" s="4"/>
      <c r="Z446" s="4"/>
      <c r="AA446" s="4"/>
      <c r="AB446" s="4"/>
      <c r="AC446" s="4" t="str">
        <f>IFERROR(__xludf.DUMMYFUNCTION("""COMPUTED_VALUE"""),"INSPEKSI SUTM - T2_Images/7d42f88a.FOTO.162529.jpg")</f>
        <v>INSPEKSI SUTM - T2_Images/7d42f88a.FOTO.162529.jpg</v>
      </c>
      <c r="AD446" s="4"/>
      <c r="AE446" s="4"/>
      <c r="AF446" s="4" t="str">
        <f>IFERROR(__xludf.DUMMYFUNCTION("""COMPUTED_VALUE"""),"BELUM")</f>
        <v>BELUM</v>
      </c>
      <c r="AG446" s="6">
        <f>IFERROR(__xludf.DUMMYFUNCTION("""COMPUTED_VALUE"""),46073.0)</f>
        <v>46073</v>
      </c>
      <c r="AH446" s="4"/>
      <c r="AI446" s="4"/>
    </row>
    <row r="447" ht="15.75" customHeight="1">
      <c r="A447" s="4" t="str">
        <f>IFERROR(__xludf.DUMMYFUNCTION("""COMPUTED_VALUE"""),"1cb4018e")</f>
        <v>1cb4018e</v>
      </c>
      <c r="B447" s="5">
        <f>IFERROR(__xludf.DUMMYFUNCTION("""COMPUTED_VALUE"""),46073.97829861111)</f>
        <v>46073.9783</v>
      </c>
      <c r="C447" s="4" t="str">
        <f>IFERROR(__xludf.DUMMYFUNCTION("""COMPUTED_VALUE"""),"-6.920129, 107.688494")</f>
        <v>-6.920129, 107.688494</v>
      </c>
      <c r="D447" s="4" t="str">
        <f>IFERROR(__xludf.DUMMYFUNCTION("""COMPUTED_VALUE"""),"Canra heri")</f>
        <v>Canra heri</v>
      </c>
      <c r="E447" s="4" t="str">
        <f>IFERROR(__xludf.DUMMYFUNCTION("""COMPUTED_VALUE"""),"BANDUNG")</f>
        <v>BANDUNG</v>
      </c>
      <c r="F447" s="4" t="str">
        <f>IFERROR(__xludf.DUMMYFUNCTION("""COMPUTED_VALUE"""),"UJUNGBERUNG")</f>
        <v>UJUNGBERUNG</v>
      </c>
      <c r="G447" s="4" t="str">
        <f>IFERROR(__xludf.DUMMYFUNCTION("""COMPUTED_VALUE"""),"UJUNGBERUNG")</f>
        <v>UJUNGBERUNG</v>
      </c>
      <c r="H447" s="4" t="str">
        <f>IFERROR(__xludf.DUMMYFUNCTION("""COMPUTED_VALUE"""),"UZP")</f>
        <v>UZP</v>
      </c>
      <c r="I447" s="4" t="str">
        <f>IFERROR(__xludf.DUMMYFUNCTION("""COMPUTED_VALUE"""),"GH BNA - LBS CTW")</f>
        <v>GH BNA - LBS CTW</v>
      </c>
      <c r="J447" s="4" t="str">
        <f>IFERROR(__xludf.DUMMYFUNCTION("""COMPUTED_VALUE"""),"ZONA 2")</f>
        <v>ZONA 2</v>
      </c>
      <c r="K447" s="4" t="str">
        <f>IFERROR(__xludf.DUMMYFUNCTION("""COMPUTED_VALUE"""),"016L01")</f>
        <v>016L01</v>
      </c>
      <c r="L447" s="4" t="str">
        <f>IFERROR(__xludf.DUMMYFUNCTION("""COMPUTED_VALUE"""),"TM - 11B/H (Kabel Naik)")</f>
        <v>TM - 11B/H (Kabel Naik)</v>
      </c>
      <c r="M447" s="4" t="str">
        <f>IFERROR(__xludf.DUMMYFUNCTION("""COMPUTED_VALUE"""),"Tidak Ada")</f>
        <v>Tidak Ada</v>
      </c>
      <c r="N447" s="4"/>
      <c r="O447" s="4" t="str">
        <f>IFERROR(__xludf.DUMMYFUNCTION("""COMPUTED_VALUE"""),"PEMBANDING SEJENIS")</f>
        <v>PEMBANDING SEJENIS</v>
      </c>
      <c r="P447" s="4" t="str">
        <f>IFERROR(__xludf.DUMMYFUNCTION("""COMPUTED_VALUE"""),"KONEKTOR/JUMPER")</f>
        <v>KONEKTOR/JUMPER</v>
      </c>
      <c r="Q447" s="4">
        <f>IFERROR(__xludf.DUMMYFUNCTION("""COMPUTED_VALUE"""),23.0)</f>
        <v>23</v>
      </c>
      <c r="R447" s="4">
        <f>IFERROR(__xludf.DUMMYFUNCTION("""COMPUTED_VALUE"""),19.0)</f>
        <v>19</v>
      </c>
      <c r="S447" s="4">
        <f>IFERROR(__xludf.DUMMYFUNCTION("""COMPUTED_VALUE"""),16.0)</f>
        <v>16</v>
      </c>
      <c r="T447" s="4"/>
      <c r="U447" s="4" t="str">
        <f>IFERROR(__xludf.DUMMYFUNCTION("""COMPUTED_VALUE"""),"CUKUP")</f>
        <v>CUKUP</v>
      </c>
      <c r="V447" s="4" t="str">
        <f>IFERROR(__xludf.DUMMYFUNCTION("""COMPUTED_VALUE"""),"Tidak Ada")</f>
        <v>Tidak Ada</v>
      </c>
      <c r="W447" s="4"/>
      <c r="X447" s="4"/>
      <c r="Y447" s="4"/>
      <c r="Z447" s="4"/>
      <c r="AA447" s="4"/>
      <c r="AB447" s="4"/>
      <c r="AC447" s="4" t="str">
        <f>IFERROR(__xludf.DUMMYFUNCTION("""COMPUTED_VALUE"""),"INSPEKSI SUTM - T2_Images/1cb4018e.FOTO.162945.jpg")</f>
        <v>INSPEKSI SUTM - T2_Images/1cb4018e.FOTO.162945.jpg</v>
      </c>
      <c r="AD447" s="4"/>
      <c r="AE447" s="4"/>
      <c r="AF447" s="4" t="str">
        <f>IFERROR(__xludf.DUMMYFUNCTION("""COMPUTED_VALUE"""),"BELUM")</f>
        <v>BELUM</v>
      </c>
      <c r="AG447" s="6">
        <f>IFERROR(__xludf.DUMMYFUNCTION("""COMPUTED_VALUE"""),46073.0)</f>
        <v>46073</v>
      </c>
      <c r="AH447" s="4"/>
      <c r="AI447" s="4"/>
    </row>
    <row r="448" ht="15.75" customHeight="1">
      <c r="A448" s="4" t="str">
        <f>IFERROR(__xludf.DUMMYFUNCTION("""COMPUTED_VALUE"""),"cd7e3739")</f>
        <v>cd7e3739</v>
      </c>
      <c r="B448" s="5">
        <f>IFERROR(__xludf.DUMMYFUNCTION("""COMPUTED_VALUE"""),46073.980520833335)</f>
        <v>46073.98052</v>
      </c>
      <c r="C448" s="4" t="str">
        <f>IFERROR(__xludf.DUMMYFUNCTION("""COMPUTED_VALUE"""),"-6.920224, 107.689161")</f>
        <v>-6.920224, 107.689161</v>
      </c>
      <c r="D448" s="4" t="str">
        <f>IFERROR(__xludf.DUMMYFUNCTION("""COMPUTED_VALUE"""),"Vanra heri")</f>
        <v>Vanra heri</v>
      </c>
      <c r="E448" s="4" t="str">
        <f>IFERROR(__xludf.DUMMYFUNCTION("""COMPUTED_VALUE"""),"BANDUNG")</f>
        <v>BANDUNG</v>
      </c>
      <c r="F448" s="4" t="str">
        <f>IFERROR(__xludf.DUMMYFUNCTION("""COMPUTED_VALUE"""),"UJUNGBERUNG")</f>
        <v>UJUNGBERUNG</v>
      </c>
      <c r="G448" s="4" t="str">
        <f>IFERROR(__xludf.DUMMYFUNCTION("""COMPUTED_VALUE"""),"UJUNGBERUNG")</f>
        <v>UJUNGBERUNG</v>
      </c>
      <c r="H448" s="4" t="str">
        <f>IFERROR(__xludf.DUMMYFUNCTION("""COMPUTED_VALUE"""),"UZP")</f>
        <v>UZP</v>
      </c>
      <c r="I448" s="4" t="str">
        <f>IFERROR(__xludf.DUMMYFUNCTION("""COMPUTED_VALUE"""),"GH BNA - LBS CTW")</f>
        <v>GH BNA - LBS CTW</v>
      </c>
      <c r="J448" s="4" t="str">
        <f>IFERROR(__xludf.DUMMYFUNCTION("""COMPUTED_VALUE"""),"ZONA 2")</f>
        <v>ZONA 2</v>
      </c>
      <c r="K448" s="4" t="str">
        <f>IFERROR(__xludf.DUMMYFUNCTION("""COMPUTED_VALUE"""),"016L03")</f>
        <v>016L03</v>
      </c>
      <c r="L448" s="4" t="str">
        <f>IFERROR(__xludf.DUMMYFUNCTION("""COMPUTED_VALUE"""),"TM - 7B/H (Afspan 90 Derajat)")</f>
        <v>TM - 7B/H (Afspan 90 Derajat)</v>
      </c>
      <c r="M448" s="4" t="str">
        <f>IFERROR(__xludf.DUMMYFUNCTION("""COMPUTED_VALUE"""),"Tidak Ada")</f>
        <v>Tidak Ada</v>
      </c>
      <c r="N448" s="4"/>
      <c r="O448" s="4" t="str">
        <f>IFERROR(__xludf.DUMMYFUNCTION("""COMPUTED_VALUE"""),"PEMBANDING SEJENIS")</f>
        <v>PEMBANDING SEJENIS</v>
      </c>
      <c r="P448" s="4" t="str">
        <f>IFERROR(__xludf.DUMMYFUNCTION("""COMPUTED_VALUE"""),"KONEKTOR/JUMPER")</f>
        <v>KONEKTOR/JUMPER</v>
      </c>
      <c r="Q448" s="4">
        <f>IFERROR(__xludf.DUMMYFUNCTION("""COMPUTED_VALUE"""),15.0)</f>
        <v>15</v>
      </c>
      <c r="R448" s="4">
        <f>IFERROR(__xludf.DUMMYFUNCTION("""COMPUTED_VALUE"""),17.0)</f>
        <v>17</v>
      </c>
      <c r="S448" s="4">
        <f>IFERROR(__xludf.DUMMYFUNCTION("""COMPUTED_VALUE"""),18.0)</f>
        <v>18</v>
      </c>
      <c r="T448" s="4"/>
      <c r="U448" s="4" t="str">
        <f>IFERROR(__xludf.DUMMYFUNCTION("""COMPUTED_VALUE"""),"CUKUP")</f>
        <v>CUKUP</v>
      </c>
      <c r="V448" s="4" t="str">
        <f>IFERROR(__xludf.DUMMYFUNCTION("""COMPUTED_VALUE"""),"Tidak Ada")</f>
        <v>Tidak Ada</v>
      </c>
      <c r="W448" s="4"/>
      <c r="X448" s="4"/>
      <c r="Y448" s="4"/>
      <c r="Z448" s="4"/>
      <c r="AA448" s="4"/>
      <c r="AB448" s="4"/>
      <c r="AC448" s="4" t="str">
        <f>IFERROR(__xludf.DUMMYFUNCTION("""COMPUTED_VALUE"""),"INSPEKSI SUTM - T2_Images/cd7e3739.FOTO.163249.jpg")</f>
        <v>INSPEKSI SUTM - T2_Images/cd7e3739.FOTO.163249.jpg</v>
      </c>
      <c r="AD448" s="4"/>
      <c r="AE448" s="4"/>
      <c r="AF448" s="4" t="str">
        <f>IFERROR(__xludf.DUMMYFUNCTION("""COMPUTED_VALUE"""),"BELUM")</f>
        <v>BELUM</v>
      </c>
      <c r="AG448" s="6">
        <f>IFERROR(__xludf.DUMMYFUNCTION("""COMPUTED_VALUE"""),46073.0)</f>
        <v>46073</v>
      </c>
      <c r="AH448" s="4"/>
      <c r="AI448" s="4"/>
    </row>
    <row r="449" ht="15.75" customHeight="1">
      <c r="A449" s="4" t="str">
        <f>IFERROR(__xludf.DUMMYFUNCTION("""COMPUTED_VALUE"""),"f00d7383")</f>
        <v>f00d7383</v>
      </c>
      <c r="B449" s="5">
        <f>IFERROR(__xludf.DUMMYFUNCTION("""COMPUTED_VALUE"""),46073.98333333333)</f>
        <v>46073.98333</v>
      </c>
      <c r="C449" s="4" t="str">
        <f>IFERROR(__xludf.DUMMYFUNCTION("""COMPUTED_VALUE"""),"-6.924823, 107.688469")</f>
        <v>-6.924823, 107.688469</v>
      </c>
      <c r="D449" s="4" t="str">
        <f>IFERROR(__xludf.DUMMYFUNCTION("""COMPUTED_VALUE"""),"Canra heri")</f>
        <v>Canra heri</v>
      </c>
      <c r="E449" s="4" t="str">
        <f>IFERROR(__xludf.DUMMYFUNCTION("""COMPUTED_VALUE"""),"BANDUNG")</f>
        <v>BANDUNG</v>
      </c>
      <c r="F449" s="4" t="str">
        <f>IFERROR(__xludf.DUMMYFUNCTION("""COMPUTED_VALUE"""),"UJUNGBERUNG")</f>
        <v>UJUNGBERUNG</v>
      </c>
      <c r="G449" s="4" t="str">
        <f>IFERROR(__xludf.DUMMYFUNCTION("""COMPUTED_VALUE"""),"UJUNGBERUNG")</f>
        <v>UJUNGBERUNG</v>
      </c>
      <c r="H449" s="4" t="str">
        <f>IFERROR(__xludf.DUMMYFUNCTION("""COMPUTED_VALUE"""),"UZP")</f>
        <v>UZP</v>
      </c>
      <c r="I449" s="4" t="str">
        <f>IFERROR(__xludf.DUMMYFUNCTION("""COMPUTED_VALUE"""),"GH BNA - LBS CTW")</f>
        <v>GH BNA - LBS CTW</v>
      </c>
      <c r="J449" s="4" t="str">
        <f>IFERROR(__xludf.DUMMYFUNCTION("""COMPUTED_VALUE"""),"ZONA 2")</f>
        <v>ZONA 2</v>
      </c>
      <c r="K449" s="4" t="str">
        <f>IFERROR(__xludf.DUMMYFUNCTION("""COMPUTED_VALUE"""),"017")</f>
        <v>017</v>
      </c>
      <c r="L449" s="4" t="str">
        <f>IFERROR(__xludf.DUMMYFUNCTION("""COMPUTED_VALUE"""),"TM - 13B/H (Kabel Naik Pada Tiang Tumpu)")</f>
        <v>TM - 13B/H (Kabel Naik Pada Tiang Tumpu)</v>
      </c>
      <c r="M449" s="4" t="str">
        <f>IFERROR(__xludf.DUMMYFUNCTION("""COMPUTED_VALUE"""),"Tidak Ada")</f>
        <v>Tidak Ada</v>
      </c>
      <c r="N449" s="4"/>
      <c r="O449" s="4" t="str">
        <f>IFERROR(__xludf.DUMMYFUNCTION("""COMPUTED_VALUE"""),"PEMBANDING SEJENIS")</f>
        <v>PEMBANDING SEJENIS</v>
      </c>
      <c r="P449" s="4" t="str">
        <f>IFERROR(__xludf.DUMMYFUNCTION("""COMPUTED_VALUE"""),"KONEKTOR/JUMPER")</f>
        <v>KONEKTOR/JUMPER</v>
      </c>
      <c r="Q449" s="4">
        <f>IFERROR(__xludf.DUMMYFUNCTION("""COMPUTED_VALUE"""),20.0)</f>
        <v>20</v>
      </c>
      <c r="R449" s="4">
        <f>IFERROR(__xludf.DUMMYFUNCTION("""COMPUTED_VALUE"""),23.0)</f>
        <v>23</v>
      </c>
      <c r="S449" s="4">
        <f>IFERROR(__xludf.DUMMYFUNCTION("""COMPUTED_VALUE"""),23.0)</f>
        <v>23</v>
      </c>
      <c r="T449" s="4"/>
      <c r="U449" s="4" t="str">
        <f>IFERROR(__xludf.DUMMYFUNCTION("""COMPUTED_VALUE"""),"CUKUP")</f>
        <v>CUKUP</v>
      </c>
      <c r="V449" s="4" t="str">
        <f>IFERROR(__xludf.DUMMYFUNCTION("""COMPUTED_VALUE"""),"Tidak Ada")</f>
        <v>Tidak Ada</v>
      </c>
      <c r="W449" s="4"/>
      <c r="X449" s="4"/>
      <c r="Y449" s="4"/>
      <c r="Z449" s="4"/>
      <c r="AA449" s="4"/>
      <c r="AB449" s="4"/>
      <c r="AC449" s="4" t="str">
        <f>IFERROR(__xludf.DUMMYFUNCTION("""COMPUTED_VALUE"""),"INSPEKSI SUTM - T2_Images/f00d7383.FOTO.163656.jpg")</f>
        <v>INSPEKSI SUTM - T2_Images/f00d7383.FOTO.163656.jpg</v>
      </c>
      <c r="AD449" s="4"/>
      <c r="AE449" s="4"/>
      <c r="AF449" s="4" t="str">
        <f>IFERROR(__xludf.DUMMYFUNCTION("""COMPUTED_VALUE"""),"BELUM")</f>
        <v>BELUM</v>
      </c>
      <c r="AG449" s="6">
        <f>IFERROR(__xludf.DUMMYFUNCTION("""COMPUTED_VALUE"""),46073.0)</f>
        <v>46073</v>
      </c>
      <c r="AH449" s="4"/>
      <c r="AI449" s="4"/>
    </row>
    <row r="450" ht="15.75" customHeight="1">
      <c r="A450" s="4" t="str">
        <f>IFERROR(__xludf.DUMMYFUNCTION("""COMPUTED_VALUE"""),"99588aef")</f>
        <v>99588aef</v>
      </c>
      <c r="B450" s="5">
        <f>IFERROR(__xludf.DUMMYFUNCTION("""COMPUTED_VALUE"""),46073.985127314816)</f>
        <v>46073.98513</v>
      </c>
      <c r="C450" s="4" t="str">
        <f>IFERROR(__xludf.DUMMYFUNCTION("""COMPUTED_VALUE"""),"-6.924782, 107.688902")</f>
        <v>-6.924782, 107.688902</v>
      </c>
      <c r="D450" s="4" t="str">
        <f>IFERROR(__xludf.DUMMYFUNCTION("""COMPUTED_VALUE"""),"Canra heri")</f>
        <v>Canra heri</v>
      </c>
      <c r="E450" s="4" t="str">
        <f>IFERROR(__xludf.DUMMYFUNCTION("""COMPUTED_VALUE"""),"BANDUNG")</f>
        <v>BANDUNG</v>
      </c>
      <c r="F450" s="4" t="str">
        <f>IFERROR(__xludf.DUMMYFUNCTION("""COMPUTED_VALUE"""),"UJUNGBERUNG")</f>
        <v>UJUNGBERUNG</v>
      </c>
      <c r="G450" s="4" t="str">
        <f>IFERROR(__xludf.DUMMYFUNCTION("""COMPUTED_VALUE"""),"UJUNGBERUNG")</f>
        <v>UJUNGBERUNG</v>
      </c>
      <c r="H450" s="4" t="str">
        <f>IFERROR(__xludf.DUMMYFUNCTION("""COMPUTED_VALUE"""),"UZP")</f>
        <v>UZP</v>
      </c>
      <c r="I450" s="4" t="str">
        <f>IFERROR(__xludf.DUMMYFUNCTION("""COMPUTED_VALUE"""),"GH BNA - LBS CTW")</f>
        <v>GH BNA - LBS CTW</v>
      </c>
      <c r="J450" s="4" t="str">
        <f>IFERROR(__xludf.DUMMYFUNCTION("""COMPUTED_VALUE"""),"ZONA 2")</f>
        <v>ZONA 2</v>
      </c>
      <c r="K450" s="4" t="str">
        <f>IFERROR(__xludf.DUMMYFUNCTION("""COMPUTED_VALUE"""),"017L02")</f>
        <v>017L02</v>
      </c>
      <c r="L450" s="4" t="str">
        <f>IFERROR(__xludf.DUMMYFUNCTION("""COMPUTED_VALUE"""),"TM - 8BC/HC (Percabangan dengan CO)")</f>
        <v>TM - 8BC/HC (Percabangan dengan CO)</v>
      </c>
      <c r="M450" s="4" t="str">
        <f>IFERROR(__xludf.DUMMYFUNCTION("""COMPUTED_VALUE"""),"Gardu")</f>
        <v>Gardu</v>
      </c>
      <c r="N450" s="4" t="str">
        <f>IFERROR(__xludf.DUMMYFUNCTION("""COMPUTED_VALUE"""),"Mzna")</f>
        <v>Mzna</v>
      </c>
      <c r="O450" s="4" t="str">
        <f>IFERROR(__xludf.DUMMYFUNCTION("""COMPUTED_VALUE"""),"PEMBANDING SEJENIS")</f>
        <v>PEMBANDING SEJENIS</v>
      </c>
      <c r="P450" s="4" t="str">
        <f>IFERROR(__xludf.DUMMYFUNCTION("""COMPUTED_VALUE"""),"KONEKTOR/JUMPER")</f>
        <v>KONEKTOR/JUMPER</v>
      </c>
      <c r="Q450" s="4">
        <f>IFERROR(__xludf.DUMMYFUNCTION("""COMPUTED_VALUE"""),23.0)</f>
        <v>23</v>
      </c>
      <c r="R450" s="4">
        <f>IFERROR(__xludf.DUMMYFUNCTION("""COMPUTED_VALUE"""),24.0)</f>
        <v>24</v>
      </c>
      <c r="S450" s="4">
        <f>IFERROR(__xludf.DUMMYFUNCTION("""COMPUTED_VALUE"""),24.0)</f>
        <v>24</v>
      </c>
      <c r="T450" s="4"/>
      <c r="U450" s="4" t="str">
        <f>IFERROR(__xludf.DUMMYFUNCTION("""COMPUTED_VALUE"""),"BAIK")</f>
        <v>BAIK</v>
      </c>
      <c r="V450" s="4" t="str">
        <f>IFERROR(__xludf.DUMMYFUNCTION("""COMPUTED_VALUE"""),"Tidak Ada")</f>
        <v>Tidak Ada</v>
      </c>
      <c r="W450" s="4"/>
      <c r="X450" s="4"/>
      <c r="Y450" s="4"/>
      <c r="Z450" s="4"/>
      <c r="AA450" s="4"/>
      <c r="AB450" s="4"/>
      <c r="AC450" s="4" t="str">
        <f>IFERROR(__xludf.DUMMYFUNCTION("""COMPUTED_VALUE"""),"INSPEKSI SUTM - T2_Images/99588aef.FOTO.163929.jpg")</f>
        <v>INSPEKSI SUTM - T2_Images/99588aef.FOTO.163929.jpg</v>
      </c>
      <c r="AD450" s="4"/>
      <c r="AE450" s="4"/>
      <c r="AF450" s="4" t="str">
        <f>IFERROR(__xludf.DUMMYFUNCTION("""COMPUTED_VALUE"""),"BELUM")</f>
        <v>BELUM</v>
      </c>
      <c r="AG450" s="6">
        <f>IFERROR(__xludf.DUMMYFUNCTION("""COMPUTED_VALUE"""),46073.0)</f>
        <v>46073</v>
      </c>
      <c r="AH450" s="4"/>
      <c r="AI450" s="4"/>
    </row>
    <row r="451" ht="15.75" customHeight="1">
      <c r="A451" s="4" t="str">
        <f>IFERROR(__xludf.DUMMYFUNCTION("""COMPUTED_VALUE"""),"b8308a1f")</f>
        <v>b8308a1f</v>
      </c>
      <c r="B451" s="5">
        <f>IFERROR(__xludf.DUMMYFUNCTION("""COMPUTED_VALUE"""),46073.98752314815)</f>
        <v>46073.98752</v>
      </c>
      <c r="C451" s="4" t="str">
        <f>IFERROR(__xludf.DUMMYFUNCTION("""COMPUTED_VALUE"""),"-6.924759, 107.689142")</f>
        <v>-6.924759, 107.689142</v>
      </c>
      <c r="D451" s="4" t="str">
        <f>IFERROR(__xludf.DUMMYFUNCTION("""COMPUTED_VALUE"""),"Canra heri")</f>
        <v>Canra heri</v>
      </c>
      <c r="E451" s="4" t="str">
        <f>IFERROR(__xludf.DUMMYFUNCTION("""COMPUTED_VALUE"""),"BANDUNG")</f>
        <v>BANDUNG</v>
      </c>
      <c r="F451" s="4" t="str">
        <f>IFERROR(__xludf.DUMMYFUNCTION("""COMPUTED_VALUE"""),"UJUNGBERUNG")</f>
        <v>UJUNGBERUNG</v>
      </c>
      <c r="G451" s="4" t="str">
        <f>IFERROR(__xludf.DUMMYFUNCTION("""COMPUTED_VALUE"""),"UJUNGBERUNG")</f>
        <v>UJUNGBERUNG</v>
      </c>
      <c r="H451" s="4" t="str">
        <f>IFERROR(__xludf.DUMMYFUNCTION("""COMPUTED_VALUE"""),"UZP")</f>
        <v>UZP</v>
      </c>
      <c r="I451" s="4" t="str">
        <f>IFERROR(__xludf.DUMMYFUNCTION("""COMPUTED_VALUE"""),"GH BNA - LBS CTW")</f>
        <v>GH BNA - LBS CTW</v>
      </c>
      <c r="J451" s="4" t="str">
        <f>IFERROR(__xludf.DUMMYFUNCTION("""COMPUTED_VALUE"""),"ZONA 2")</f>
        <v>ZONA 2</v>
      </c>
      <c r="K451" s="4" t="str">
        <f>IFERROR(__xludf.DUMMYFUNCTION("""COMPUTED_VALUE"""),"017L03")</f>
        <v>017L03</v>
      </c>
      <c r="L451" s="4" t="str">
        <f>IFERROR(__xludf.DUMMYFUNCTION("""COMPUTED_VALUE"""),"TM - 8B/H (Percabangan)")</f>
        <v>TM - 8B/H (Percabangan)</v>
      </c>
      <c r="M451" s="4" t="str">
        <f>IFERROR(__xludf.DUMMYFUNCTION("""COMPUTED_VALUE"""),"Tidak Ada")</f>
        <v>Tidak Ada</v>
      </c>
      <c r="N451" s="4"/>
      <c r="O451" s="4" t="str">
        <f>IFERROR(__xludf.DUMMYFUNCTION("""COMPUTED_VALUE"""),"PEMBANDING SEJENIS")</f>
        <v>PEMBANDING SEJENIS</v>
      </c>
      <c r="P451" s="4" t="str">
        <f>IFERROR(__xludf.DUMMYFUNCTION("""COMPUTED_VALUE"""),"KONEKTOR/JUMPER")</f>
        <v>KONEKTOR/JUMPER</v>
      </c>
      <c r="Q451" s="4">
        <f>IFERROR(__xludf.DUMMYFUNCTION("""COMPUTED_VALUE"""),21.0)</f>
        <v>21</v>
      </c>
      <c r="R451" s="4">
        <f>IFERROR(__xludf.DUMMYFUNCTION("""COMPUTED_VALUE"""),21.0)</f>
        <v>21</v>
      </c>
      <c r="S451" s="4">
        <f>IFERROR(__xludf.DUMMYFUNCTION("""COMPUTED_VALUE"""),20.0)</f>
        <v>20</v>
      </c>
      <c r="T451" s="4"/>
      <c r="U451" s="4" t="str">
        <f>IFERROR(__xludf.DUMMYFUNCTION("""COMPUTED_VALUE"""),"BAIK")</f>
        <v>BAIK</v>
      </c>
      <c r="V451" s="4" t="str">
        <f>IFERROR(__xludf.DUMMYFUNCTION("""COMPUTED_VALUE"""),"Tidak Ada")</f>
        <v>Tidak Ada</v>
      </c>
      <c r="W451" s="4"/>
      <c r="X451" s="4"/>
      <c r="Y451" s="4"/>
      <c r="Z451" s="4"/>
      <c r="AA451" s="4"/>
      <c r="AB451" s="4"/>
      <c r="AC451" s="4" t="str">
        <f>IFERROR(__xludf.DUMMYFUNCTION("""COMPUTED_VALUE"""),"INSPEKSI SUTM - T2_Images/b8308a1f.FOTO.164255.jpg")</f>
        <v>INSPEKSI SUTM - T2_Images/b8308a1f.FOTO.164255.jpg</v>
      </c>
      <c r="AD451" s="4"/>
      <c r="AE451" s="4"/>
      <c r="AF451" s="4" t="str">
        <f>IFERROR(__xludf.DUMMYFUNCTION("""COMPUTED_VALUE"""),"BELUM")</f>
        <v>BELUM</v>
      </c>
      <c r="AG451" s="6">
        <f>IFERROR(__xludf.DUMMYFUNCTION("""COMPUTED_VALUE"""),46073.0)</f>
        <v>46073</v>
      </c>
      <c r="AH451" s="4"/>
      <c r="AI451" s="4"/>
    </row>
    <row r="452" ht="15.75" customHeight="1">
      <c r="A452" s="4" t="str">
        <f>IFERROR(__xludf.DUMMYFUNCTION("""COMPUTED_VALUE"""),"5915a482")</f>
        <v>5915a482</v>
      </c>
      <c r="B452" s="5">
        <f>IFERROR(__xludf.DUMMYFUNCTION("""COMPUTED_VALUE"""),46073.989340277774)</f>
        <v>46073.98934</v>
      </c>
      <c r="C452" s="4" t="str">
        <f>IFERROR(__xludf.DUMMYFUNCTION("""COMPUTED_VALUE"""),"-6.924767, 107.689798")</f>
        <v>-6.924767, 107.689798</v>
      </c>
      <c r="D452" s="4" t="str">
        <f>IFERROR(__xludf.DUMMYFUNCTION("""COMPUTED_VALUE"""),"Vanra heri")</f>
        <v>Vanra heri</v>
      </c>
      <c r="E452" s="4" t="str">
        <f>IFERROR(__xludf.DUMMYFUNCTION("""COMPUTED_VALUE"""),"BANDUNG")</f>
        <v>BANDUNG</v>
      </c>
      <c r="F452" s="4" t="str">
        <f>IFERROR(__xludf.DUMMYFUNCTION("""COMPUTED_VALUE"""),"UJUNGBERUNG")</f>
        <v>UJUNGBERUNG</v>
      </c>
      <c r="G452" s="4" t="str">
        <f>IFERROR(__xludf.DUMMYFUNCTION("""COMPUTED_VALUE"""),"UJUNGBERUNG")</f>
        <v>UJUNGBERUNG</v>
      </c>
      <c r="H452" s="4" t="str">
        <f>IFERROR(__xludf.DUMMYFUNCTION("""COMPUTED_VALUE"""),"UZP")</f>
        <v>UZP</v>
      </c>
      <c r="I452" s="4" t="str">
        <f>IFERROR(__xludf.DUMMYFUNCTION("""COMPUTED_VALUE"""),"GH BNA - LBS CTW")</f>
        <v>GH BNA - LBS CTW</v>
      </c>
      <c r="J452" s="4" t="str">
        <f>IFERROR(__xludf.DUMMYFUNCTION("""COMPUTED_VALUE"""),"ZONA 2")</f>
        <v>ZONA 2</v>
      </c>
      <c r="K452" s="4" t="str">
        <f>IFERROR(__xludf.DUMMYFUNCTION("""COMPUTED_VALUE"""),"017L05")</f>
        <v>017L05</v>
      </c>
      <c r="L452" s="4" t="str">
        <f>IFERROR(__xludf.DUMMYFUNCTION("""COMPUTED_VALUE"""),"TM - 7B/H (Afspan 90 Derajat)")</f>
        <v>TM - 7B/H (Afspan 90 Derajat)</v>
      </c>
      <c r="M452" s="4" t="str">
        <f>IFERROR(__xludf.DUMMYFUNCTION("""COMPUTED_VALUE"""),"Tidak Ada")</f>
        <v>Tidak Ada</v>
      </c>
      <c r="N452" s="4"/>
      <c r="O452" s="4" t="str">
        <f>IFERROR(__xludf.DUMMYFUNCTION("""COMPUTED_VALUE"""),"PEMBANDING SEJENIS")</f>
        <v>PEMBANDING SEJENIS</v>
      </c>
      <c r="P452" s="4" t="str">
        <f>IFERROR(__xludf.DUMMYFUNCTION("""COMPUTED_VALUE"""),"KONEKTOR/JUMPER")</f>
        <v>KONEKTOR/JUMPER</v>
      </c>
      <c r="Q452" s="4">
        <f>IFERROR(__xludf.DUMMYFUNCTION("""COMPUTED_VALUE"""),20.0)</f>
        <v>20</v>
      </c>
      <c r="R452" s="4">
        <f>IFERROR(__xludf.DUMMYFUNCTION("""COMPUTED_VALUE"""),19.0)</f>
        <v>19</v>
      </c>
      <c r="S452" s="4">
        <f>IFERROR(__xludf.DUMMYFUNCTION("""COMPUTED_VALUE"""),21.0)</f>
        <v>21</v>
      </c>
      <c r="T452" s="4"/>
      <c r="U452" s="4" t="str">
        <f>IFERROR(__xludf.DUMMYFUNCTION("""COMPUTED_VALUE"""),"BAIK")</f>
        <v>BAIK</v>
      </c>
      <c r="V452" s="4" t="str">
        <f>IFERROR(__xludf.DUMMYFUNCTION("""COMPUTED_VALUE"""),"Tidak Ada")</f>
        <v>Tidak Ada</v>
      </c>
      <c r="W452" s="4"/>
      <c r="X452" s="4"/>
      <c r="Y452" s="4"/>
      <c r="Z452" s="4"/>
      <c r="AA452" s="4"/>
      <c r="AB452" s="4"/>
      <c r="AC452" s="4" t="str">
        <f>IFERROR(__xludf.DUMMYFUNCTION("""COMPUTED_VALUE"""),"INSPEKSI SUTM - T2_Images/5915a482.FOTO.164528.jpg")</f>
        <v>INSPEKSI SUTM - T2_Images/5915a482.FOTO.164528.jpg</v>
      </c>
      <c r="AD452" s="4"/>
      <c r="AE452" s="4"/>
      <c r="AF452" s="4" t="str">
        <f>IFERROR(__xludf.DUMMYFUNCTION("""COMPUTED_VALUE"""),"BELUM")</f>
        <v>BELUM</v>
      </c>
      <c r="AG452" s="6">
        <f>IFERROR(__xludf.DUMMYFUNCTION("""COMPUTED_VALUE"""),46073.0)</f>
        <v>46073</v>
      </c>
      <c r="AH452" s="4"/>
      <c r="AI452" s="4"/>
    </row>
    <row r="453" ht="15.75" customHeight="1">
      <c r="A453" s="4" t="str">
        <f>IFERROR(__xludf.DUMMYFUNCTION("""COMPUTED_VALUE"""),"5652114f")</f>
        <v>5652114f</v>
      </c>
      <c r="B453" s="5">
        <f>IFERROR(__xludf.DUMMYFUNCTION("""COMPUTED_VALUE"""),46073.990625)</f>
        <v>46073.99063</v>
      </c>
      <c r="C453" s="4" t="str">
        <f>IFERROR(__xludf.DUMMYFUNCTION("""COMPUTED_VALUE"""),"-6.924341, 107.689756")</f>
        <v>-6.924341, 107.689756</v>
      </c>
      <c r="D453" s="4" t="str">
        <f>IFERROR(__xludf.DUMMYFUNCTION("""COMPUTED_VALUE"""),"Canra heei")</f>
        <v>Canra heei</v>
      </c>
      <c r="E453" s="4" t="str">
        <f>IFERROR(__xludf.DUMMYFUNCTION("""COMPUTED_VALUE"""),"BANDUNG")</f>
        <v>BANDUNG</v>
      </c>
      <c r="F453" s="4" t="str">
        <f>IFERROR(__xludf.DUMMYFUNCTION("""COMPUTED_VALUE"""),"UJUNGBERUNG")</f>
        <v>UJUNGBERUNG</v>
      </c>
      <c r="G453" s="4" t="str">
        <f>IFERROR(__xludf.DUMMYFUNCTION("""COMPUTED_VALUE"""),"UJUNGBERUNG")</f>
        <v>UJUNGBERUNG</v>
      </c>
      <c r="H453" s="4" t="str">
        <f>IFERROR(__xludf.DUMMYFUNCTION("""COMPUTED_VALUE"""),"UZP")</f>
        <v>UZP</v>
      </c>
      <c r="I453" s="4" t="str">
        <f>IFERROR(__xludf.DUMMYFUNCTION("""COMPUTED_VALUE"""),"GH BNA - LBS CTW")</f>
        <v>GH BNA - LBS CTW</v>
      </c>
      <c r="J453" s="4" t="str">
        <f>IFERROR(__xludf.DUMMYFUNCTION("""COMPUTED_VALUE"""),"ZONA 2")</f>
        <v>ZONA 2</v>
      </c>
      <c r="K453" s="4" t="str">
        <f>IFERROR(__xludf.DUMMYFUNCTION("""COMPUTED_VALUE"""),"017L07")</f>
        <v>017L07</v>
      </c>
      <c r="L453" s="4" t="str">
        <f>IFERROR(__xludf.DUMMYFUNCTION("""COMPUTED_VALUE"""),"TM - 7B/H (Afspan 90 Derajat)")</f>
        <v>TM - 7B/H (Afspan 90 Derajat)</v>
      </c>
      <c r="M453" s="4" t="str">
        <f>IFERROR(__xludf.DUMMYFUNCTION("""COMPUTED_VALUE"""),"Tidak Ada")</f>
        <v>Tidak Ada</v>
      </c>
      <c r="N453" s="4"/>
      <c r="O453" s="4" t="str">
        <f>IFERROR(__xludf.DUMMYFUNCTION("""COMPUTED_VALUE"""),"PEMBANDING SEJENIS")</f>
        <v>PEMBANDING SEJENIS</v>
      </c>
      <c r="P453" s="4" t="str">
        <f>IFERROR(__xludf.DUMMYFUNCTION("""COMPUTED_VALUE"""),"KONEKTOR/JUMPER")</f>
        <v>KONEKTOR/JUMPER</v>
      </c>
      <c r="Q453" s="4">
        <f>IFERROR(__xludf.DUMMYFUNCTION("""COMPUTED_VALUE"""),22.0)</f>
        <v>22</v>
      </c>
      <c r="R453" s="4">
        <f>IFERROR(__xludf.DUMMYFUNCTION("""COMPUTED_VALUE"""),22.0)</f>
        <v>22</v>
      </c>
      <c r="S453" s="4">
        <f>IFERROR(__xludf.DUMMYFUNCTION("""COMPUTED_VALUE"""),20.0)</f>
        <v>20</v>
      </c>
      <c r="T453" s="4"/>
      <c r="U453" s="4" t="str">
        <f>IFERROR(__xludf.DUMMYFUNCTION("""COMPUTED_VALUE"""),"BAIK")</f>
        <v>BAIK</v>
      </c>
      <c r="V453" s="4" t="str">
        <f>IFERROR(__xludf.DUMMYFUNCTION("""COMPUTED_VALUE"""),"Tidak Ada")</f>
        <v>Tidak Ada</v>
      </c>
      <c r="W453" s="4"/>
      <c r="X453" s="4"/>
      <c r="Y453" s="4"/>
      <c r="Z453" s="4"/>
      <c r="AA453" s="4"/>
      <c r="AB453" s="4"/>
      <c r="AC453" s="4" t="str">
        <f>IFERROR(__xludf.DUMMYFUNCTION("""COMPUTED_VALUE"""),"INSPEKSI SUTM - T2_Images/5652114f.FOTO.164720.jpg")</f>
        <v>INSPEKSI SUTM - T2_Images/5652114f.FOTO.164720.jpg</v>
      </c>
      <c r="AD453" s="4"/>
      <c r="AE453" s="4"/>
      <c r="AF453" s="4" t="str">
        <f>IFERROR(__xludf.DUMMYFUNCTION("""COMPUTED_VALUE"""),"BELUM")</f>
        <v>BELUM</v>
      </c>
      <c r="AG453" s="6">
        <f>IFERROR(__xludf.DUMMYFUNCTION("""COMPUTED_VALUE"""),46073.0)</f>
        <v>46073</v>
      </c>
      <c r="AH453" s="4"/>
      <c r="AI453" s="4"/>
    </row>
    <row r="454" ht="15.75" customHeight="1">
      <c r="A454" s="4" t="str">
        <f>IFERROR(__xludf.DUMMYFUNCTION("""COMPUTED_VALUE"""),"f6aae087")</f>
        <v>f6aae087</v>
      </c>
      <c r="B454" s="5">
        <f>IFERROR(__xludf.DUMMYFUNCTION("""COMPUTED_VALUE"""),46073.9921875)</f>
        <v>46073.99219</v>
      </c>
      <c r="C454" s="4" t="str">
        <f>IFERROR(__xludf.DUMMYFUNCTION("""COMPUTED_VALUE"""),"-6.924863, 107.688113")</f>
        <v>-6.924863, 107.688113</v>
      </c>
      <c r="D454" s="4" t="str">
        <f>IFERROR(__xludf.DUMMYFUNCTION("""COMPUTED_VALUE"""),"Canra heri")</f>
        <v>Canra heri</v>
      </c>
      <c r="E454" s="4" t="str">
        <f>IFERROR(__xludf.DUMMYFUNCTION("""COMPUTED_VALUE"""),"BANDUNG")</f>
        <v>BANDUNG</v>
      </c>
      <c r="F454" s="4" t="str">
        <f>IFERROR(__xludf.DUMMYFUNCTION("""COMPUTED_VALUE"""),"UJUNGBERUNG")</f>
        <v>UJUNGBERUNG</v>
      </c>
      <c r="G454" s="4" t="str">
        <f>IFERROR(__xludf.DUMMYFUNCTION("""COMPUTED_VALUE"""),"UJUNGBERUNG")</f>
        <v>UJUNGBERUNG</v>
      </c>
      <c r="H454" s="4" t="str">
        <f>IFERROR(__xludf.DUMMYFUNCTION("""COMPUTED_VALUE"""),"UZP")</f>
        <v>UZP</v>
      </c>
      <c r="I454" s="4" t="str">
        <f>IFERROR(__xludf.DUMMYFUNCTION("""COMPUTED_VALUE"""),"GH BNA - LBS CTW")</f>
        <v>GH BNA - LBS CTW</v>
      </c>
      <c r="J454" s="4" t="str">
        <f>IFERROR(__xludf.DUMMYFUNCTION("""COMPUTED_VALUE"""),"ZONA 2")</f>
        <v>ZONA 2</v>
      </c>
      <c r="K454" s="4" t="str">
        <f>IFERROR(__xludf.DUMMYFUNCTION("""COMPUTED_VALUE"""),"018")</f>
        <v>018</v>
      </c>
      <c r="L454" s="4" t="str">
        <f>IFERROR(__xludf.DUMMYFUNCTION("""COMPUTED_VALUE"""),"TM - 13B/H (Kabel Naik Pada Tiang Tumpu)")</f>
        <v>TM - 13B/H (Kabel Naik Pada Tiang Tumpu)</v>
      </c>
      <c r="M454" s="4" t="str">
        <f>IFERROR(__xludf.DUMMYFUNCTION("""COMPUTED_VALUE"""),"Tidak Ada")</f>
        <v>Tidak Ada</v>
      </c>
      <c r="N454" s="4"/>
      <c r="O454" s="4" t="str">
        <f>IFERROR(__xludf.DUMMYFUNCTION("""COMPUTED_VALUE"""),"PEMBANDING SEJENIS")</f>
        <v>PEMBANDING SEJENIS</v>
      </c>
      <c r="P454" s="4" t="str">
        <f>IFERROR(__xludf.DUMMYFUNCTION("""COMPUTED_VALUE"""),"TERMINASI")</f>
        <v>TERMINASI</v>
      </c>
      <c r="Q454" s="4">
        <f>IFERROR(__xludf.DUMMYFUNCTION("""COMPUTED_VALUE"""),21.0)</f>
        <v>21</v>
      </c>
      <c r="R454" s="4">
        <f>IFERROR(__xludf.DUMMYFUNCTION("""COMPUTED_VALUE"""),21.0)</f>
        <v>21</v>
      </c>
      <c r="S454" s="4">
        <f>IFERROR(__xludf.DUMMYFUNCTION("""COMPUTED_VALUE"""),22.0)</f>
        <v>22</v>
      </c>
      <c r="T454" s="4"/>
      <c r="U454" s="4" t="str">
        <f>IFERROR(__xludf.DUMMYFUNCTION("""COMPUTED_VALUE"""),"BAIK")</f>
        <v>BAIK</v>
      </c>
      <c r="V454" s="4" t="str">
        <f>IFERROR(__xludf.DUMMYFUNCTION("""COMPUTED_VALUE"""),"Tidak Ada")</f>
        <v>Tidak Ada</v>
      </c>
      <c r="W454" s="4"/>
      <c r="X454" s="4"/>
      <c r="Y454" s="4"/>
      <c r="Z454" s="4"/>
      <c r="AA454" s="4"/>
      <c r="AB454" s="4"/>
      <c r="AC454" s="4" t="str">
        <f>IFERROR(__xludf.DUMMYFUNCTION("""COMPUTED_VALUE"""),"INSPEKSI SUTM - T2_Images/f6aae087.FOTO.164942.jpg")</f>
        <v>INSPEKSI SUTM - T2_Images/f6aae087.FOTO.164942.jpg</v>
      </c>
      <c r="AD454" s="4"/>
      <c r="AE454" s="4"/>
      <c r="AF454" s="4" t="str">
        <f>IFERROR(__xludf.DUMMYFUNCTION("""COMPUTED_VALUE"""),"BELUM")</f>
        <v>BELUM</v>
      </c>
      <c r="AG454" s="6">
        <f>IFERROR(__xludf.DUMMYFUNCTION("""COMPUTED_VALUE"""),46073.0)</f>
        <v>46073</v>
      </c>
      <c r="AH454" s="4"/>
      <c r="AI454" s="4"/>
    </row>
    <row r="455" ht="15.75" customHeight="1">
      <c r="A455" s="4" t="str">
        <f>IFERROR(__xludf.DUMMYFUNCTION("""COMPUTED_VALUE"""),"fb6cd5b5")</f>
        <v>fb6cd5b5</v>
      </c>
      <c r="B455" s="5">
        <f>IFERROR(__xludf.DUMMYFUNCTION("""COMPUTED_VALUE"""),46073.9949537037)</f>
        <v>46073.99495</v>
      </c>
      <c r="C455" s="4" t="str">
        <f>IFERROR(__xludf.DUMMYFUNCTION("""COMPUTED_VALUE"""),"-6.924982, 107.685373")</f>
        <v>-6.924982, 107.685373</v>
      </c>
      <c r="D455" s="4" t="str">
        <f>IFERROR(__xludf.DUMMYFUNCTION("""COMPUTED_VALUE"""),"Canra heei")</f>
        <v>Canra heei</v>
      </c>
      <c r="E455" s="4" t="str">
        <f>IFERROR(__xludf.DUMMYFUNCTION("""COMPUTED_VALUE"""),"BANDUNG")</f>
        <v>BANDUNG</v>
      </c>
      <c r="F455" s="4" t="str">
        <f>IFERROR(__xludf.DUMMYFUNCTION("""COMPUTED_VALUE"""),"UJUNGBERUNG")</f>
        <v>UJUNGBERUNG</v>
      </c>
      <c r="G455" s="4" t="str">
        <f>IFERROR(__xludf.DUMMYFUNCTION("""COMPUTED_VALUE"""),"UJUNGBERUNG")</f>
        <v>UJUNGBERUNG</v>
      </c>
      <c r="H455" s="4" t="str">
        <f>IFERROR(__xludf.DUMMYFUNCTION("""COMPUTED_VALUE"""),"UZP")</f>
        <v>UZP</v>
      </c>
      <c r="I455" s="4" t="str">
        <f>IFERROR(__xludf.DUMMYFUNCTION("""COMPUTED_VALUE"""),"GH BNA - LBS CTW")</f>
        <v>GH BNA - LBS CTW</v>
      </c>
      <c r="J455" s="4" t="str">
        <f>IFERROR(__xludf.DUMMYFUNCTION("""COMPUTED_VALUE"""),"ZONA 2")</f>
        <v>ZONA 2</v>
      </c>
      <c r="K455" s="4" t="str">
        <f>IFERROR(__xludf.DUMMYFUNCTION("""COMPUTED_VALUE"""),"028")</f>
        <v>028</v>
      </c>
      <c r="L455" s="4" t="str">
        <f>IFERROR(__xludf.DUMMYFUNCTION("""COMPUTED_VALUE"""),"TM - 8B/H (Percabangan)")</f>
        <v>TM - 8B/H (Percabangan)</v>
      </c>
      <c r="M455" s="4" t="str">
        <f>IFERROR(__xludf.DUMMYFUNCTION("""COMPUTED_VALUE"""),"Tidak Ada")</f>
        <v>Tidak Ada</v>
      </c>
      <c r="N455" s="4"/>
      <c r="O455" s="4" t="str">
        <f>IFERROR(__xludf.DUMMYFUNCTION("""COMPUTED_VALUE"""),"PEMBANDING SEJENIS")</f>
        <v>PEMBANDING SEJENIS</v>
      </c>
      <c r="P455" s="4" t="str">
        <f>IFERROR(__xludf.DUMMYFUNCTION("""COMPUTED_VALUE"""),"KONEKTOR/JUMPER")</f>
        <v>KONEKTOR/JUMPER</v>
      </c>
      <c r="Q455" s="4">
        <f>IFERROR(__xludf.DUMMYFUNCTION("""COMPUTED_VALUE"""),21.0)</f>
        <v>21</v>
      </c>
      <c r="R455" s="4">
        <f>IFERROR(__xludf.DUMMYFUNCTION("""COMPUTED_VALUE"""),21.0)</f>
        <v>21</v>
      </c>
      <c r="S455" s="4">
        <f>IFERROR(__xludf.DUMMYFUNCTION("""COMPUTED_VALUE"""),19.0)</f>
        <v>19</v>
      </c>
      <c r="T455" s="4"/>
      <c r="U455" s="4" t="str">
        <f>IFERROR(__xludf.DUMMYFUNCTION("""COMPUTED_VALUE"""),"BAIK")</f>
        <v>BAIK</v>
      </c>
      <c r="V455" s="4" t="str">
        <f>IFERROR(__xludf.DUMMYFUNCTION("""COMPUTED_VALUE"""),"Tidak Ada")</f>
        <v>Tidak Ada</v>
      </c>
      <c r="W455" s="4"/>
      <c r="X455" s="4"/>
      <c r="Y455" s="4"/>
      <c r="Z455" s="4"/>
      <c r="AA455" s="4"/>
      <c r="AB455" s="4"/>
      <c r="AC455" s="4" t="str">
        <f>IFERROR(__xludf.DUMMYFUNCTION("""COMPUTED_VALUE"""),"INSPEKSI SUTM - T2_Images/fb6cd5b5.FOTO.165343.jpg")</f>
        <v>INSPEKSI SUTM - T2_Images/fb6cd5b5.FOTO.165343.jpg</v>
      </c>
      <c r="AD455" s="4"/>
      <c r="AE455" s="4"/>
      <c r="AF455" s="4" t="str">
        <f>IFERROR(__xludf.DUMMYFUNCTION("""COMPUTED_VALUE"""),"BELUM")</f>
        <v>BELUM</v>
      </c>
      <c r="AG455" s="6">
        <f>IFERROR(__xludf.DUMMYFUNCTION("""COMPUTED_VALUE"""),46073.0)</f>
        <v>46073</v>
      </c>
      <c r="AH455" s="4"/>
      <c r="AI455" s="4"/>
    </row>
    <row r="456" ht="15.75" customHeight="1">
      <c r="A456" s="4" t="str">
        <f>IFERROR(__xludf.DUMMYFUNCTION("""COMPUTED_VALUE"""),"9626f067")</f>
        <v>9626f067</v>
      </c>
      <c r="B456" s="5">
        <f>IFERROR(__xludf.DUMMYFUNCTION("""COMPUTED_VALUE"""),46073.99704861111)</f>
        <v>46073.99705</v>
      </c>
      <c r="C456" s="4" t="str">
        <f>IFERROR(__xludf.DUMMYFUNCTION("""COMPUTED_VALUE"""),"-6.925019, 107.685639")</f>
        <v>-6.925019, 107.685639</v>
      </c>
      <c r="D456" s="4" t="str">
        <f>IFERROR(__xludf.DUMMYFUNCTION("""COMPUTED_VALUE"""),"Canra heei")</f>
        <v>Canra heei</v>
      </c>
      <c r="E456" s="4" t="str">
        <f>IFERROR(__xludf.DUMMYFUNCTION("""COMPUTED_VALUE"""),"BANDUNG")</f>
        <v>BANDUNG</v>
      </c>
      <c r="F456" s="4" t="str">
        <f>IFERROR(__xludf.DUMMYFUNCTION("""COMPUTED_VALUE"""),"UJUNGBERUNG")</f>
        <v>UJUNGBERUNG</v>
      </c>
      <c r="G456" s="4" t="str">
        <f>IFERROR(__xludf.DUMMYFUNCTION("""COMPUTED_VALUE"""),"UJUNGBERUNG")</f>
        <v>UJUNGBERUNG</v>
      </c>
      <c r="H456" s="4" t="str">
        <f>IFERROR(__xludf.DUMMYFUNCTION("""COMPUTED_VALUE"""),"UZP")</f>
        <v>UZP</v>
      </c>
      <c r="I456" s="4" t="str">
        <f>IFERROR(__xludf.DUMMYFUNCTION("""COMPUTED_VALUE"""),"GH BNA - LBS CTW")</f>
        <v>GH BNA - LBS CTW</v>
      </c>
      <c r="J456" s="4" t="str">
        <f>IFERROR(__xludf.DUMMYFUNCTION("""COMPUTED_VALUE"""),"ZONA 2")</f>
        <v>ZONA 2</v>
      </c>
      <c r="K456" s="4" t="str">
        <f>IFERROR(__xludf.DUMMYFUNCTION("""COMPUTED_VALUE"""),"028L01")</f>
        <v>028L01</v>
      </c>
      <c r="L456" s="4" t="str">
        <f>IFERROR(__xludf.DUMMYFUNCTION("""COMPUTED_VALUE"""),"TM - 7B/H (Afspan 90 Derajat)")</f>
        <v>TM - 7B/H (Afspan 90 Derajat)</v>
      </c>
      <c r="M456" s="4" t="str">
        <f>IFERROR(__xludf.DUMMYFUNCTION("""COMPUTED_VALUE"""),"Tidak Ada")</f>
        <v>Tidak Ada</v>
      </c>
      <c r="N456" s="4"/>
      <c r="O456" s="4" t="str">
        <f>IFERROR(__xludf.DUMMYFUNCTION("""COMPUTED_VALUE"""),"PEMBANDING SEJENIS")</f>
        <v>PEMBANDING SEJENIS</v>
      </c>
      <c r="P456" s="4" t="str">
        <f>IFERROR(__xludf.DUMMYFUNCTION("""COMPUTED_VALUE"""),"KONEKTOR/JUMPER")</f>
        <v>KONEKTOR/JUMPER</v>
      </c>
      <c r="Q456" s="4">
        <f>IFERROR(__xludf.DUMMYFUNCTION("""COMPUTED_VALUE"""),21.0)</f>
        <v>21</v>
      </c>
      <c r="R456" s="4">
        <f>IFERROR(__xludf.DUMMYFUNCTION("""COMPUTED_VALUE"""),23.0)</f>
        <v>23</v>
      </c>
      <c r="S456" s="4">
        <f>IFERROR(__xludf.DUMMYFUNCTION("""COMPUTED_VALUE"""),22.0)</f>
        <v>22</v>
      </c>
      <c r="T456" s="4"/>
      <c r="U456" s="4" t="str">
        <f>IFERROR(__xludf.DUMMYFUNCTION("""COMPUTED_VALUE"""),"BAIK")</f>
        <v>BAIK</v>
      </c>
      <c r="V456" s="4" t="str">
        <f>IFERROR(__xludf.DUMMYFUNCTION("""COMPUTED_VALUE"""),"Tidak Ada")</f>
        <v>Tidak Ada</v>
      </c>
      <c r="W456" s="4"/>
      <c r="X456" s="4"/>
      <c r="Y456" s="4"/>
      <c r="Z456" s="4"/>
      <c r="AA456" s="4"/>
      <c r="AB456" s="4"/>
      <c r="AC456" s="4" t="str">
        <f>IFERROR(__xludf.DUMMYFUNCTION("""COMPUTED_VALUE"""),"INSPEKSI SUTM - T2_Images/9626f067.FOTO.165645.jpg")</f>
        <v>INSPEKSI SUTM - T2_Images/9626f067.FOTO.165645.jpg</v>
      </c>
      <c r="AD456" s="4"/>
      <c r="AE456" s="4"/>
      <c r="AF456" s="4" t="str">
        <f>IFERROR(__xludf.DUMMYFUNCTION("""COMPUTED_VALUE"""),"BELUM")</f>
        <v>BELUM</v>
      </c>
      <c r="AG456" s="6">
        <f>IFERROR(__xludf.DUMMYFUNCTION("""COMPUTED_VALUE"""),46073.0)</f>
        <v>46073</v>
      </c>
      <c r="AH456" s="4"/>
      <c r="AI456" s="4"/>
    </row>
    <row r="457" ht="15.75" customHeight="1">
      <c r="A457" s="4" t="str">
        <f>IFERROR(__xludf.DUMMYFUNCTION("""COMPUTED_VALUE"""),"c915ffec")</f>
        <v>c915ffec</v>
      </c>
      <c r="B457" s="5">
        <f>IFERROR(__xludf.DUMMYFUNCTION("""COMPUTED_VALUE"""),46074.00193287037)</f>
        <v>46074.00193</v>
      </c>
      <c r="C457" s="4" t="str">
        <f>IFERROR(__xludf.DUMMYFUNCTION("""COMPUTED_VALUE"""),"-6.924932, 107.683906")</f>
        <v>-6.924932, 107.683906</v>
      </c>
      <c r="D457" s="4" t="str">
        <f>IFERROR(__xludf.DUMMYFUNCTION("""COMPUTED_VALUE"""),"Canra heri")</f>
        <v>Canra heri</v>
      </c>
      <c r="E457" s="4" t="str">
        <f>IFERROR(__xludf.DUMMYFUNCTION("""COMPUTED_VALUE"""),"BANDUNG")</f>
        <v>BANDUNG</v>
      </c>
      <c r="F457" s="4" t="str">
        <f>IFERROR(__xludf.DUMMYFUNCTION("""COMPUTED_VALUE"""),"UJUNGBERUNG")</f>
        <v>UJUNGBERUNG</v>
      </c>
      <c r="G457" s="4" t="str">
        <f>IFERROR(__xludf.DUMMYFUNCTION("""COMPUTED_VALUE"""),"UJUNGBERUNG")</f>
        <v>UJUNGBERUNG</v>
      </c>
      <c r="H457" s="4" t="str">
        <f>IFERROR(__xludf.DUMMYFUNCTION("""COMPUTED_VALUE"""),"UZP")</f>
        <v>UZP</v>
      </c>
      <c r="I457" s="4" t="str">
        <f>IFERROR(__xludf.DUMMYFUNCTION("""COMPUTED_VALUE"""),"GH BNA - LBS CTW")</f>
        <v>GH BNA - LBS CTW</v>
      </c>
      <c r="J457" s="4" t="str">
        <f>IFERROR(__xludf.DUMMYFUNCTION("""COMPUTED_VALUE"""),"ZONA 2")</f>
        <v>ZONA 2</v>
      </c>
      <c r="K457" s="4" t="str">
        <f>IFERROR(__xludf.DUMMYFUNCTION("""COMPUTED_VALUE"""),"032")</f>
        <v>032</v>
      </c>
      <c r="L457" s="4" t="str">
        <f>IFERROR(__xludf.DUMMYFUNCTION("""COMPUTED_VALUE"""),"TM - 8B/H (Percabangan)")</f>
        <v>TM - 8B/H (Percabangan)</v>
      </c>
      <c r="M457" s="4" t="str">
        <f>IFERROR(__xludf.DUMMYFUNCTION("""COMPUTED_VALUE"""),"Tidak Ada")</f>
        <v>Tidak Ada</v>
      </c>
      <c r="N457" s="4"/>
      <c r="O457" s="4" t="str">
        <f>IFERROR(__xludf.DUMMYFUNCTION("""COMPUTED_VALUE"""),"PEMBANDING SEJENIS")</f>
        <v>PEMBANDING SEJENIS</v>
      </c>
      <c r="P457" s="4" t="str">
        <f>IFERROR(__xludf.DUMMYFUNCTION("""COMPUTED_VALUE"""),"KONEKTOR/JUMPER")</f>
        <v>KONEKTOR/JUMPER</v>
      </c>
      <c r="Q457" s="4">
        <f>IFERROR(__xludf.DUMMYFUNCTION("""COMPUTED_VALUE"""),20.0)</f>
        <v>20</v>
      </c>
      <c r="R457" s="4">
        <f>IFERROR(__xludf.DUMMYFUNCTION("""COMPUTED_VALUE"""),20.0)</f>
        <v>20</v>
      </c>
      <c r="S457" s="4">
        <f>IFERROR(__xludf.DUMMYFUNCTION("""COMPUTED_VALUE"""),21.0)</f>
        <v>21</v>
      </c>
      <c r="T457" s="4"/>
      <c r="U457" s="4" t="str">
        <f>IFERROR(__xludf.DUMMYFUNCTION("""COMPUTED_VALUE"""),"BAIK")</f>
        <v>BAIK</v>
      </c>
      <c r="V457" s="4" t="str">
        <f>IFERROR(__xludf.DUMMYFUNCTION("""COMPUTED_VALUE"""),"Tidak Ada")</f>
        <v>Tidak Ada</v>
      </c>
      <c r="W457" s="4"/>
      <c r="X457" s="4"/>
      <c r="Y457" s="4"/>
      <c r="Z457" s="4"/>
      <c r="AA457" s="4"/>
      <c r="AB457" s="4"/>
      <c r="AC457" s="4" t="str">
        <f>IFERROR(__xludf.DUMMYFUNCTION("""COMPUTED_VALUE"""),"INSPEKSI SUTM - T2_Images/c915ffec.FOTO.170352.jpg")</f>
        <v>INSPEKSI SUTM - T2_Images/c915ffec.FOTO.170352.jpg</v>
      </c>
      <c r="AD457" s="4"/>
      <c r="AE457" s="4"/>
      <c r="AF457" s="4" t="str">
        <f>IFERROR(__xludf.DUMMYFUNCTION("""COMPUTED_VALUE"""),"BELUM")</f>
        <v>BELUM</v>
      </c>
      <c r="AG457" s="6">
        <f>IFERROR(__xludf.DUMMYFUNCTION("""COMPUTED_VALUE"""),46074.0)</f>
        <v>46074</v>
      </c>
      <c r="AH457" s="4"/>
      <c r="AI457" s="4"/>
    </row>
    <row r="458" ht="15.75" customHeight="1">
      <c r="A458" s="4" t="str">
        <f>IFERROR(__xludf.DUMMYFUNCTION("""COMPUTED_VALUE"""),"2bee3445")</f>
        <v>2bee3445</v>
      </c>
      <c r="B458" s="5">
        <f>IFERROR(__xludf.DUMMYFUNCTION("""COMPUTED_VALUE"""),46074.004849537036)</f>
        <v>46074.00485</v>
      </c>
      <c r="C458" s="4" t="str">
        <f>IFERROR(__xludf.DUMMYFUNCTION("""COMPUTED_VALUE"""),"-6.922789, 107.684643")</f>
        <v>-6.922789, 107.684643</v>
      </c>
      <c r="D458" s="4" t="str">
        <f>IFERROR(__xludf.DUMMYFUNCTION("""COMPUTED_VALUE"""),"Csnra heri")</f>
        <v>Csnra heri</v>
      </c>
      <c r="E458" s="4" t="str">
        <f>IFERROR(__xludf.DUMMYFUNCTION("""COMPUTED_VALUE"""),"BANDUNG")</f>
        <v>BANDUNG</v>
      </c>
      <c r="F458" s="4" t="str">
        <f>IFERROR(__xludf.DUMMYFUNCTION("""COMPUTED_VALUE"""),"UJUNGBERUNG")</f>
        <v>UJUNGBERUNG</v>
      </c>
      <c r="G458" s="4" t="str">
        <f>IFERROR(__xludf.DUMMYFUNCTION("""COMPUTED_VALUE"""),"UJUNGBERUNG")</f>
        <v>UJUNGBERUNG</v>
      </c>
      <c r="H458" s="4" t="str">
        <f>IFERROR(__xludf.DUMMYFUNCTION("""COMPUTED_VALUE"""),"UZP")</f>
        <v>UZP</v>
      </c>
      <c r="I458" s="4" t="str">
        <f>IFERROR(__xludf.DUMMYFUNCTION("""COMPUTED_VALUE"""),"GH BNA - LBS CTW")</f>
        <v>GH BNA - LBS CTW</v>
      </c>
      <c r="J458" s="4" t="str">
        <f>IFERROR(__xludf.DUMMYFUNCTION("""COMPUTED_VALUE"""),"ZONA 2")</f>
        <v>ZONA 2</v>
      </c>
      <c r="K458" s="4" t="str">
        <f>IFERROR(__xludf.DUMMYFUNCTION("""COMPUTED_VALUE"""),"032R05")</f>
        <v>032R05</v>
      </c>
      <c r="L458" s="4" t="str">
        <f>IFERROR(__xludf.DUMMYFUNCTION("""COMPUTED_VALUE"""),"TM - 13B/H (Kabel Naik Pada Tiang Tumpu)")</f>
        <v>TM - 13B/H (Kabel Naik Pada Tiang Tumpu)</v>
      </c>
      <c r="M458" s="4" t="str">
        <f>IFERROR(__xludf.DUMMYFUNCTION("""COMPUTED_VALUE"""),"Tidak Ada")</f>
        <v>Tidak Ada</v>
      </c>
      <c r="N458" s="4"/>
      <c r="O458" s="4" t="str">
        <f>IFERROR(__xludf.DUMMYFUNCTION("""COMPUTED_VALUE"""),"PEMBANDING SEJENIS")</f>
        <v>PEMBANDING SEJENIS</v>
      </c>
      <c r="P458" s="4" t="str">
        <f>IFERROR(__xludf.DUMMYFUNCTION("""COMPUTED_VALUE"""),"TERMINASI")</f>
        <v>TERMINASI</v>
      </c>
      <c r="Q458" s="4">
        <f>IFERROR(__xludf.DUMMYFUNCTION("""COMPUTED_VALUE"""),25.0)</f>
        <v>25</v>
      </c>
      <c r="R458" s="4">
        <f>IFERROR(__xludf.DUMMYFUNCTION("""COMPUTED_VALUE"""),21.0)</f>
        <v>21</v>
      </c>
      <c r="S458" s="4">
        <f>IFERROR(__xludf.DUMMYFUNCTION("""COMPUTED_VALUE"""),19.0)</f>
        <v>19</v>
      </c>
      <c r="T458" s="4"/>
      <c r="U458" s="4" t="str">
        <f>IFERROR(__xludf.DUMMYFUNCTION("""COMPUTED_VALUE"""),"CUKUP")</f>
        <v>CUKUP</v>
      </c>
      <c r="V458" s="4" t="str">
        <f>IFERROR(__xludf.DUMMYFUNCTION("""COMPUTED_VALUE"""),"Tidak Ada")</f>
        <v>Tidak Ada</v>
      </c>
      <c r="W458" s="4"/>
      <c r="X458" s="4"/>
      <c r="Y458" s="4"/>
      <c r="Z458" s="4"/>
      <c r="AA458" s="4"/>
      <c r="AB458" s="4"/>
      <c r="AC458" s="4" t="str">
        <f>IFERROR(__xludf.DUMMYFUNCTION("""COMPUTED_VALUE"""),"INSPEKSI SUTM - T2_Images/2bee3445.FOTO.170806.jpg")</f>
        <v>INSPEKSI SUTM - T2_Images/2bee3445.FOTO.170806.jpg</v>
      </c>
      <c r="AD458" s="4"/>
      <c r="AE458" s="4"/>
      <c r="AF458" s="4" t="str">
        <f>IFERROR(__xludf.DUMMYFUNCTION("""COMPUTED_VALUE"""),"BELUM")</f>
        <v>BELUM</v>
      </c>
      <c r="AG458" s="6">
        <f>IFERROR(__xludf.DUMMYFUNCTION("""COMPUTED_VALUE"""),46074.0)</f>
        <v>46074</v>
      </c>
      <c r="AH458" s="4"/>
      <c r="AI458" s="4"/>
    </row>
    <row r="459" ht="15.75" customHeight="1">
      <c r="A459" s="4" t="str">
        <f>IFERROR(__xludf.DUMMYFUNCTION("""COMPUTED_VALUE"""),"9076b339")</f>
        <v>9076b339</v>
      </c>
      <c r="B459" s="5">
        <f>IFERROR(__xludf.DUMMYFUNCTION("""COMPUTED_VALUE"""),46074.00755787037)</f>
        <v>46074.00756</v>
      </c>
      <c r="C459" s="4" t="str">
        <f>IFERROR(__xludf.DUMMYFUNCTION("""COMPUTED_VALUE"""),"-6.924885, 107.683354")</f>
        <v>-6.924885, 107.683354</v>
      </c>
      <c r="D459" s="4" t="str">
        <f>IFERROR(__xludf.DUMMYFUNCTION("""COMPUTED_VALUE"""),"Canra heri")</f>
        <v>Canra heri</v>
      </c>
      <c r="E459" s="4" t="str">
        <f>IFERROR(__xludf.DUMMYFUNCTION("""COMPUTED_VALUE"""),"BANDUNG")</f>
        <v>BANDUNG</v>
      </c>
      <c r="F459" s="4" t="str">
        <f>IFERROR(__xludf.DUMMYFUNCTION("""COMPUTED_VALUE"""),"UJUNGBERUNG")</f>
        <v>UJUNGBERUNG</v>
      </c>
      <c r="G459" s="4" t="str">
        <f>IFERROR(__xludf.DUMMYFUNCTION("""COMPUTED_VALUE"""),"UJUNGBERUNG")</f>
        <v>UJUNGBERUNG</v>
      </c>
      <c r="H459" s="4" t="str">
        <f>IFERROR(__xludf.DUMMYFUNCTION("""COMPUTED_VALUE"""),"UZP")</f>
        <v>UZP</v>
      </c>
      <c r="I459" s="4" t="str">
        <f>IFERROR(__xludf.DUMMYFUNCTION("""COMPUTED_VALUE"""),"GH BNA - LBS CTW")</f>
        <v>GH BNA - LBS CTW</v>
      </c>
      <c r="J459" s="4" t="str">
        <f>IFERROR(__xludf.DUMMYFUNCTION("""COMPUTED_VALUE"""),"ZONA 2")</f>
        <v>ZONA 2</v>
      </c>
      <c r="K459" s="4" t="str">
        <f>IFERROR(__xludf.DUMMYFUNCTION("""COMPUTED_VALUE"""),"033")</f>
        <v>033</v>
      </c>
      <c r="L459" s="4" t="str">
        <f>IFERROR(__xludf.DUMMYFUNCTION("""COMPUTED_VALUE"""),"TM - 7B/H (Afspan 90 Derajat)")</f>
        <v>TM - 7B/H (Afspan 90 Derajat)</v>
      </c>
      <c r="M459" s="4" t="str">
        <f>IFERROR(__xludf.DUMMYFUNCTION("""COMPUTED_VALUE"""),"Tidak Ada")</f>
        <v>Tidak Ada</v>
      </c>
      <c r="N459" s="4"/>
      <c r="O459" s="4" t="str">
        <f>IFERROR(__xludf.DUMMYFUNCTION("""COMPUTED_VALUE"""),"PEMBANDING SEJENIS")</f>
        <v>PEMBANDING SEJENIS</v>
      </c>
      <c r="P459" s="4" t="str">
        <f>IFERROR(__xludf.DUMMYFUNCTION("""COMPUTED_VALUE"""),"KONEKTOR/JUMPER")</f>
        <v>KONEKTOR/JUMPER</v>
      </c>
      <c r="Q459" s="4">
        <f>IFERROR(__xludf.DUMMYFUNCTION("""COMPUTED_VALUE"""),22.0)</f>
        <v>22</v>
      </c>
      <c r="R459" s="4">
        <f>IFERROR(__xludf.DUMMYFUNCTION("""COMPUTED_VALUE"""),23.0)</f>
        <v>23</v>
      </c>
      <c r="S459" s="4">
        <f>IFERROR(__xludf.DUMMYFUNCTION("""COMPUTED_VALUE"""),24.0)</f>
        <v>24</v>
      </c>
      <c r="T459" s="4"/>
      <c r="U459" s="4" t="str">
        <f>IFERROR(__xludf.DUMMYFUNCTION("""COMPUTED_VALUE"""),"BAIK")</f>
        <v>BAIK</v>
      </c>
      <c r="V459" s="4" t="str">
        <f>IFERROR(__xludf.DUMMYFUNCTION("""COMPUTED_VALUE"""),"Tidak Ada")</f>
        <v>Tidak Ada</v>
      </c>
      <c r="W459" s="4"/>
      <c r="X459" s="4"/>
      <c r="Y459" s="4"/>
      <c r="Z459" s="4"/>
      <c r="AA459" s="4"/>
      <c r="AB459" s="4"/>
      <c r="AC459" s="4" t="str">
        <f>IFERROR(__xludf.DUMMYFUNCTION("""COMPUTED_VALUE"""),"INSPEKSI SUTM - T2_Images/9076b339.FOTO.171155.jpg")</f>
        <v>INSPEKSI SUTM - T2_Images/9076b339.FOTO.171155.jpg</v>
      </c>
      <c r="AD459" s="4"/>
      <c r="AE459" s="4"/>
      <c r="AF459" s="4" t="str">
        <f>IFERROR(__xludf.DUMMYFUNCTION("""COMPUTED_VALUE"""),"BELUM")</f>
        <v>BELUM</v>
      </c>
      <c r="AG459" s="6">
        <f>IFERROR(__xludf.DUMMYFUNCTION("""COMPUTED_VALUE"""),46074.0)</f>
        <v>46074</v>
      </c>
      <c r="AH459" s="4"/>
      <c r="AI459" s="4"/>
    </row>
    <row r="460" ht="15.75" customHeight="1">
      <c r="A460" s="4" t="str">
        <f>IFERROR(__xludf.DUMMYFUNCTION("""COMPUTED_VALUE"""),"a0b0b0d6")</f>
        <v>a0b0b0d6</v>
      </c>
      <c r="B460" s="5">
        <f>IFERROR(__xludf.DUMMYFUNCTION("""COMPUTED_VALUE"""),46074.00917824074)</f>
        <v>46074.00918</v>
      </c>
      <c r="C460" s="4" t="str">
        <f>IFERROR(__xludf.DUMMYFUNCTION("""COMPUTED_VALUE"""),"-6.926225, 107.682981")</f>
        <v>-6.926225, 107.682981</v>
      </c>
      <c r="D460" s="4" t="str">
        <f>IFERROR(__xludf.DUMMYFUNCTION("""COMPUTED_VALUE"""),"Canra heri")</f>
        <v>Canra heri</v>
      </c>
      <c r="E460" s="4" t="str">
        <f>IFERROR(__xludf.DUMMYFUNCTION("""COMPUTED_VALUE"""),"BANDUNG")</f>
        <v>BANDUNG</v>
      </c>
      <c r="F460" s="4" t="str">
        <f>IFERROR(__xludf.DUMMYFUNCTION("""COMPUTED_VALUE"""),"UJUNGBERUNG")</f>
        <v>UJUNGBERUNG</v>
      </c>
      <c r="G460" s="4" t="str">
        <f>IFERROR(__xludf.DUMMYFUNCTION("""COMPUTED_VALUE"""),"UJUNGBERUNG")</f>
        <v>UJUNGBERUNG</v>
      </c>
      <c r="H460" s="4" t="str">
        <f>IFERROR(__xludf.DUMMYFUNCTION("""COMPUTED_VALUE"""),"UZP")</f>
        <v>UZP</v>
      </c>
      <c r="I460" s="4" t="str">
        <f>IFERROR(__xludf.DUMMYFUNCTION("""COMPUTED_VALUE"""),"GH BNA - LBS CTW")</f>
        <v>GH BNA - LBS CTW</v>
      </c>
      <c r="J460" s="4" t="str">
        <f>IFERROR(__xludf.DUMMYFUNCTION("""COMPUTED_VALUE"""),"ZONA 2")</f>
        <v>ZONA 2</v>
      </c>
      <c r="K460" s="4" t="str">
        <f>IFERROR(__xludf.DUMMYFUNCTION("""COMPUTED_VALUE"""),"036")</f>
        <v>036</v>
      </c>
      <c r="L460" s="4" t="str">
        <f>IFERROR(__xludf.DUMMYFUNCTION("""COMPUTED_VALUE"""),"TM - 13B/H (Kabel Naik Pada Tiang Tumpu)")</f>
        <v>TM - 13B/H (Kabel Naik Pada Tiang Tumpu)</v>
      </c>
      <c r="M460" s="4" t="str">
        <f>IFERROR(__xludf.DUMMYFUNCTION("""COMPUTED_VALUE"""),"Tidak Ada")</f>
        <v>Tidak Ada</v>
      </c>
      <c r="N460" s="4"/>
      <c r="O460" s="4" t="str">
        <f>IFERROR(__xludf.DUMMYFUNCTION("""COMPUTED_VALUE"""),"PEMBANDING SEJENIS")</f>
        <v>PEMBANDING SEJENIS</v>
      </c>
      <c r="P460" s="4" t="str">
        <f>IFERROR(__xludf.DUMMYFUNCTION("""COMPUTED_VALUE"""),"TERMINASI")</f>
        <v>TERMINASI</v>
      </c>
      <c r="Q460" s="4">
        <f>IFERROR(__xludf.DUMMYFUNCTION("""COMPUTED_VALUE"""),23.0)</f>
        <v>23</v>
      </c>
      <c r="R460" s="4">
        <f>IFERROR(__xludf.DUMMYFUNCTION("""COMPUTED_VALUE"""),21.0)</f>
        <v>21</v>
      </c>
      <c r="S460" s="4">
        <f>IFERROR(__xludf.DUMMYFUNCTION("""COMPUTED_VALUE"""),22.0)</f>
        <v>22</v>
      </c>
      <c r="T460" s="4"/>
      <c r="U460" s="4" t="str">
        <f>IFERROR(__xludf.DUMMYFUNCTION("""COMPUTED_VALUE"""),"BAIK")</f>
        <v>BAIK</v>
      </c>
      <c r="V460" s="4" t="str">
        <f>IFERROR(__xludf.DUMMYFUNCTION("""COMPUTED_VALUE"""),"Tidak Ada")</f>
        <v>Tidak Ada</v>
      </c>
      <c r="W460" s="4"/>
      <c r="X460" s="4"/>
      <c r="Y460" s="4"/>
      <c r="Z460" s="4"/>
      <c r="AA460" s="4"/>
      <c r="AB460" s="4"/>
      <c r="AC460" s="4" t="str">
        <f>IFERROR(__xludf.DUMMYFUNCTION("""COMPUTED_VALUE"""),"INSPEKSI SUTM - T2_Images/a0b0b0d6.FOTO.171410.jpg")</f>
        <v>INSPEKSI SUTM - T2_Images/a0b0b0d6.FOTO.171410.jpg</v>
      </c>
      <c r="AD460" s="4"/>
      <c r="AE460" s="4"/>
      <c r="AF460" s="4" t="str">
        <f>IFERROR(__xludf.DUMMYFUNCTION("""COMPUTED_VALUE"""),"BELUM")</f>
        <v>BELUM</v>
      </c>
      <c r="AG460" s="6">
        <f>IFERROR(__xludf.DUMMYFUNCTION("""COMPUTED_VALUE"""),46074.0)</f>
        <v>46074</v>
      </c>
      <c r="AH460" s="4"/>
      <c r="AI460" s="4"/>
    </row>
    <row r="461" ht="15.75" customHeight="1">
      <c r="A461" s="4" t="str">
        <f>IFERROR(__xludf.DUMMYFUNCTION("""COMPUTED_VALUE"""),"0a2e7562")</f>
        <v>0a2e7562</v>
      </c>
      <c r="B461" s="5">
        <f>IFERROR(__xludf.DUMMYFUNCTION("""COMPUTED_VALUE"""),46074.011875)</f>
        <v>46074.01188</v>
      </c>
      <c r="C461" s="4" t="str">
        <f>IFERROR(__xludf.DUMMYFUNCTION("""COMPUTED_VALUE"""),"-6.926872, 107.682767")</f>
        <v>-6.926872, 107.682767</v>
      </c>
      <c r="D461" s="4" t="str">
        <f>IFERROR(__xludf.DUMMYFUNCTION("""COMPUTED_VALUE"""),"Canra heei")</f>
        <v>Canra heei</v>
      </c>
      <c r="E461" s="4" t="str">
        <f>IFERROR(__xludf.DUMMYFUNCTION("""COMPUTED_VALUE"""),"BANDUNG")</f>
        <v>BANDUNG</v>
      </c>
      <c r="F461" s="4" t="str">
        <f>IFERROR(__xludf.DUMMYFUNCTION("""COMPUTED_VALUE"""),"UJUNGBERUNG")</f>
        <v>UJUNGBERUNG</v>
      </c>
      <c r="G461" s="4" t="str">
        <f>IFERROR(__xludf.DUMMYFUNCTION("""COMPUTED_VALUE"""),"UJUNGBERUNG")</f>
        <v>UJUNGBERUNG</v>
      </c>
      <c r="H461" s="4" t="str">
        <f>IFERROR(__xludf.DUMMYFUNCTION("""COMPUTED_VALUE"""),"UZP")</f>
        <v>UZP</v>
      </c>
      <c r="I461" s="4" t="str">
        <f>IFERROR(__xludf.DUMMYFUNCTION("""COMPUTED_VALUE"""),"GH BNA - LBS CTW")</f>
        <v>GH BNA - LBS CTW</v>
      </c>
      <c r="J461" s="4" t="str">
        <f>IFERROR(__xludf.DUMMYFUNCTION("""COMPUTED_VALUE"""),"ZONA 2")</f>
        <v>ZONA 2</v>
      </c>
      <c r="K461" s="4" t="str">
        <f>IFERROR(__xludf.DUMMYFUNCTION("""COMPUTED_VALUE"""),"038")</f>
        <v>038</v>
      </c>
      <c r="L461" s="4" t="str">
        <f>IFERROR(__xludf.DUMMYFUNCTION("""COMPUTED_VALUE"""),"TM - 14B/H (Akhir)")</f>
        <v>TM - 14B/H (Akhir)</v>
      </c>
      <c r="M461" s="4" t="str">
        <f>IFERROR(__xludf.DUMMYFUNCTION("""COMPUTED_VALUE"""),"Tidak Ada")</f>
        <v>Tidak Ada</v>
      </c>
      <c r="N461" s="4"/>
      <c r="O461" s="4" t="str">
        <f>IFERROR(__xludf.DUMMYFUNCTION("""COMPUTED_VALUE"""),"PEMBANDING SEJENIS")</f>
        <v>PEMBANDING SEJENIS</v>
      </c>
      <c r="P461" s="4" t="str">
        <f>IFERROR(__xludf.DUMMYFUNCTION("""COMPUTED_VALUE"""),"TERMINASI")</f>
        <v>TERMINASI</v>
      </c>
      <c r="Q461" s="4">
        <f>IFERROR(__xludf.DUMMYFUNCTION("""COMPUTED_VALUE"""),22.0)</f>
        <v>22</v>
      </c>
      <c r="R461" s="4">
        <f>IFERROR(__xludf.DUMMYFUNCTION("""COMPUTED_VALUE"""),19.0)</f>
        <v>19</v>
      </c>
      <c r="S461" s="4">
        <f>IFERROR(__xludf.DUMMYFUNCTION("""COMPUTED_VALUE"""),23.0)</f>
        <v>23</v>
      </c>
      <c r="T461" s="4"/>
      <c r="U461" s="4" t="str">
        <f>IFERROR(__xludf.DUMMYFUNCTION("""COMPUTED_VALUE"""),"CUKUP")</f>
        <v>CUKUP</v>
      </c>
      <c r="V461" s="4" t="str">
        <f>IFERROR(__xludf.DUMMYFUNCTION("""COMPUTED_VALUE"""),"Tidak Ada")</f>
        <v>Tidak Ada</v>
      </c>
      <c r="W461" s="4"/>
      <c r="X461" s="4"/>
      <c r="Y461" s="4"/>
      <c r="Z461" s="4"/>
      <c r="AA461" s="4"/>
      <c r="AB461" s="4"/>
      <c r="AC461" s="4" t="str">
        <f>IFERROR(__xludf.DUMMYFUNCTION("""COMPUTED_VALUE"""),"INSPEKSI SUTM - T2_Images/0a2e7562.FOTO.171807.jpg")</f>
        <v>INSPEKSI SUTM - T2_Images/0a2e7562.FOTO.171807.jpg</v>
      </c>
      <c r="AD461" s="4"/>
      <c r="AE461" s="4"/>
      <c r="AF461" s="4" t="str">
        <f>IFERROR(__xludf.DUMMYFUNCTION("""COMPUTED_VALUE"""),"BELUM")</f>
        <v>BELUM</v>
      </c>
      <c r="AG461" s="6">
        <f>IFERROR(__xludf.DUMMYFUNCTION("""COMPUTED_VALUE"""),46074.0)</f>
        <v>46074</v>
      </c>
      <c r="AH461" s="4"/>
      <c r="AI461" s="4"/>
    </row>
    <row r="462" ht="15.75" customHeight="1">
      <c r="A462" s="4" t="str">
        <f>IFERROR(__xludf.DUMMYFUNCTION("""COMPUTED_VALUE"""),"b1d4e099")</f>
        <v>b1d4e099</v>
      </c>
      <c r="B462" s="5">
        <f>IFERROR(__xludf.DUMMYFUNCTION("""COMPUTED_VALUE"""),46074.013020833336)</f>
        <v>46074.01302</v>
      </c>
      <c r="C462" s="4" t="str">
        <f>IFERROR(__xludf.DUMMYFUNCTION("""COMPUTED_VALUE"""),"-6.927206, 107.682631")</f>
        <v>-6.927206, 107.682631</v>
      </c>
      <c r="D462" s="4" t="str">
        <f>IFERROR(__xludf.DUMMYFUNCTION("""COMPUTED_VALUE"""),"Canra heri")</f>
        <v>Canra heri</v>
      </c>
      <c r="E462" s="4" t="str">
        <f>IFERROR(__xludf.DUMMYFUNCTION("""COMPUTED_VALUE"""),"BANDUNG")</f>
        <v>BANDUNG</v>
      </c>
      <c r="F462" s="4" t="str">
        <f>IFERROR(__xludf.DUMMYFUNCTION("""COMPUTED_VALUE"""),"UJUNGBERUNG")</f>
        <v>UJUNGBERUNG</v>
      </c>
      <c r="G462" s="4" t="str">
        <f>IFERROR(__xludf.DUMMYFUNCTION("""COMPUTED_VALUE"""),"UJUNGBERUNG")</f>
        <v>UJUNGBERUNG</v>
      </c>
      <c r="H462" s="4" t="str">
        <f>IFERROR(__xludf.DUMMYFUNCTION("""COMPUTED_VALUE"""),"UZP")</f>
        <v>UZP</v>
      </c>
      <c r="I462" s="4" t="str">
        <f>IFERROR(__xludf.DUMMYFUNCTION("""COMPUTED_VALUE"""),"GH BNA - LBS CTW")</f>
        <v>GH BNA - LBS CTW</v>
      </c>
      <c r="J462" s="4" t="str">
        <f>IFERROR(__xludf.DUMMYFUNCTION("""COMPUTED_VALUE"""),"ZONA 2")</f>
        <v>ZONA 2</v>
      </c>
      <c r="K462" s="4" t="str">
        <f>IFERROR(__xludf.DUMMYFUNCTION("""COMPUTED_VALUE"""),"039")</f>
        <v>039</v>
      </c>
      <c r="L462" s="4" t="str">
        <f>IFERROR(__xludf.DUMMYFUNCTION("""COMPUTED_VALUE"""),"TM - 11B/H (Kabel Naik)")</f>
        <v>TM - 11B/H (Kabel Naik)</v>
      </c>
      <c r="M462" s="4" t="str">
        <f>IFERROR(__xludf.DUMMYFUNCTION("""COMPUTED_VALUE"""),"Tidak Ada")</f>
        <v>Tidak Ada</v>
      </c>
      <c r="N462" s="4"/>
      <c r="O462" s="4" t="str">
        <f>IFERROR(__xludf.DUMMYFUNCTION("""COMPUTED_VALUE"""),"PEMBANDING SEJENIS")</f>
        <v>PEMBANDING SEJENIS</v>
      </c>
      <c r="P462" s="4" t="str">
        <f>IFERROR(__xludf.DUMMYFUNCTION("""COMPUTED_VALUE"""),"KONEKTOR/JUMPER")</f>
        <v>KONEKTOR/JUMPER</v>
      </c>
      <c r="Q462" s="4">
        <f>IFERROR(__xludf.DUMMYFUNCTION("""COMPUTED_VALUE"""),22.0)</f>
        <v>22</v>
      </c>
      <c r="R462" s="4">
        <f>IFERROR(__xludf.DUMMYFUNCTION("""COMPUTED_VALUE"""),22.0)</f>
        <v>22</v>
      </c>
      <c r="S462" s="4">
        <f>IFERROR(__xludf.DUMMYFUNCTION("""COMPUTED_VALUE"""),22.0)</f>
        <v>22</v>
      </c>
      <c r="T462" s="4"/>
      <c r="U462" s="4" t="str">
        <f>IFERROR(__xludf.DUMMYFUNCTION("""COMPUTED_VALUE"""),"BAIK")</f>
        <v>BAIK</v>
      </c>
      <c r="V462" s="4" t="str">
        <f>IFERROR(__xludf.DUMMYFUNCTION("""COMPUTED_VALUE"""),"Tidak Ada")</f>
        <v>Tidak Ada</v>
      </c>
      <c r="W462" s="4"/>
      <c r="X462" s="4"/>
      <c r="Y462" s="4"/>
      <c r="Z462" s="4"/>
      <c r="AA462" s="4"/>
      <c r="AB462" s="4"/>
      <c r="AC462" s="4" t="str">
        <f>IFERROR(__xludf.DUMMYFUNCTION("""COMPUTED_VALUE"""),"INSPEKSI SUTM - T2_Images/b1d4e099.FOTO.171944.jpg")</f>
        <v>INSPEKSI SUTM - T2_Images/b1d4e099.FOTO.171944.jpg</v>
      </c>
      <c r="AD462" s="4"/>
      <c r="AE462" s="4"/>
      <c r="AF462" s="4" t="str">
        <f>IFERROR(__xludf.DUMMYFUNCTION("""COMPUTED_VALUE"""),"BELUM")</f>
        <v>BELUM</v>
      </c>
      <c r="AG462" s="6">
        <f>IFERROR(__xludf.DUMMYFUNCTION("""COMPUTED_VALUE"""),46074.0)</f>
        <v>46074</v>
      </c>
      <c r="AH462" s="4"/>
      <c r="AI462" s="4"/>
    </row>
    <row r="463" ht="15.75" customHeight="1">
      <c r="A463" s="4" t="str">
        <f>IFERROR(__xludf.DUMMYFUNCTION("""COMPUTED_VALUE"""),"5515dc61")</f>
        <v>5515dc61</v>
      </c>
      <c r="B463" s="5">
        <f>IFERROR(__xludf.DUMMYFUNCTION("""COMPUTED_VALUE"""),46074.014756944445)</f>
        <v>46074.01476</v>
      </c>
      <c r="C463" s="4" t="str">
        <f>IFERROR(__xludf.DUMMYFUNCTION("""COMPUTED_VALUE"""),"-6.927555, 107.682513")</f>
        <v>-6.927555, 107.682513</v>
      </c>
      <c r="D463" s="4" t="str">
        <f>IFERROR(__xludf.DUMMYFUNCTION("""COMPUTED_VALUE"""),"Vanra heri")</f>
        <v>Vanra heri</v>
      </c>
      <c r="E463" s="4" t="str">
        <f>IFERROR(__xludf.DUMMYFUNCTION("""COMPUTED_VALUE"""),"BANDUNG")</f>
        <v>BANDUNG</v>
      </c>
      <c r="F463" s="4" t="str">
        <f>IFERROR(__xludf.DUMMYFUNCTION("""COMPUTED_VALUE"""),"UJUNGBERUNG")</f>
        <v>UJUNGBERUNG</v>
      </c>
      <c r="G463" s="4" t="str">
        <f>IFERROR(__xludf.DUMMYFUNCTION("""COMPUTED_VALUE"""),"UJUNGBERUNG")</f>
        <v>UJUNGBERUNG</v>
      </c>
      <c r="H463" s="4" t="str">
        <f>IFERROR(__xludf.DUMMYFUNCTION("""COMPUTED_VALUE"""),"UZP")</f>
        <v>UZP</v>
      </c>
      <c r="I463" s="4" t="str">
        <f>IFERROR(__xludf.DUMMYFUNCTION("""COMPUTED_VALUE"""),"GH BNA - LBS CTW")</f>
        <v>GH BNA - LBS CTW</v>
      </c>
      <c r="J463" s="4" t="str">
        <f>IFERROR(__xludf.DUMMYFUNCTION("""COMPUTED_VALUE"""),"ZONA 2")</f>
        <v>ZONA 2</v>
      </c>
      <c r="K463" s="4" t="str">
        <f>IFERROR(__xludf.DUMMYFUNCTION("""COMPUTED_VALUE"""),"040")</f>
        <v>040</v>
      </c>
      <c r="L463" s="4" t="str">
        <f>IFERROR(__xludf.DUMMYFUNCTION("""COMPUTED_VALUE"""),"TM - 8BC/HC (Percabangan dengan CO)")</f>
        <v>TM - 8BC/HC (Percabangan dengan CO)</v>
      </c>
      <c r="M463" s="4" t="str">
        <f>IFERROR(__xludf.DUMMYFUNCTION("""COMPUTED_VALUE"""),"Tidak Ada")</f>
        <v>Tidak Ada</v>
      </c>
      <c r="N463" s="4"/>
      <c r="O463" s="4" t="str">
        <f>IFERROR(__xludf.DUMMYFUNCTION("""COMPUTED_VALUE"""),"PEMBANDING SEJENIS")</f>
        <v>PEMBANDING SEJENIS</v>
      </c>
      <c r="P463" s="4" t="str">
        <f>IFERROR(__xludf.DUMMYFUNCTION("""COMPUTED_VALUE"""),"KONEKTOR/JUMPER")</f>
        <v>KONEKTOR/JUMPER</v>
      </c>
      <c r="Q463" s="4">
        <f>IFERROR(__xludf.DUMMYFUNCTION("""COMPUTED_VALUE"""),23.0)</f>
        <v>23</v>
      </c>
      <c r="R463" s="4">
        <f>IFERROR(__xludf.DUMMYFUNCTION("""COMPUTED_VALUE"""),28.0)</f>
        <v>28</v>
      </c>
      <c r="S463" s="4">
        <f>IFERROR(__xludf.DUMMYFUNCTION("""COMPUTED_VALUE"""),23.0)</f>
        <v>23</v>
      </c>
      <c r="T463" s="4"/>
      <c r="U463" s="4" t="str">
        <f>IFERROR(__xludf.DUMMYFUNCTION("""COMPUTED_VALUE"""),"CUKUP")</f>
        <v>CUKUP</v>
      </c>
      <c r="V463" s="4" t="str">
        <f>IFERROR(__xludf.DUMMYFUNCTION("""COMPUTED_VALUE"""),"Tidak Ada")</f>
        <v>Tidak Ada</v>
      </c>
      <c r="W463" s="4"/>
      <c r="X463" s="4"/>
      <c r="Y463" s="4"/>
      <c r="Z463" s="4"/>
      <c r="AA463" s="4"/>
      <c r="AB463" s="4"/>
      <c r="AC463" s="4" t="str">
        <f>IFERROR(__xludf.DUMMYFUNCTION("""COMPUTED_VALUE"""),"INSPEKSI SUTM - T2_Images/5515dc61.FOTO.172206.jpg")</f>
        <v>INSPEKSI SUTM - T2_Images/5515dc61.FOTO.172206.jpg</v>
      </c>
      <c r="AD463" s="4"/>
      <c r="AE463" s="4"/>
      <c r="AF463" s="4" t="str">
        <f>IFERROR(__xludf.DUMMYFUNCTION("""COMPUTED_VALUE"""),"BELUM")</f>
        <v>BELUM</v>
      </c>
      <c r="AG463" s="6">
        <f>IFERROR(__xludf.DUMMYFUNCTION("""COMPUTED_VALUE"""),46074.0)</f>
        <v>46074</v>
      </c>
      <c r="AH463" s="4"/>
      <c r="AI463" s="4"/>
    </row>
    <row r="464" ht="15.75" customHeight="1">
      <c r="A464" s="4" t="str">
        <f>IFERROR(__xludf.DUMMYFUNCTION("""COMPUTED_VALUE"""),"7b7612b0")</f>
        <v>7b7612b0</v>
      </c>
      <c r="B464" s="5">
        <f>IFERROR(__xludf.DUMMYFUNCTION("""COMPUTED_VALUE"""),46074.01715277778)</f>
        <v>46074.01715</v>
      </c>
      <c r="C464" s="4" t="str">
        <f>IFERROR(__xludf.DUMMYFUNCTION("""COMPUTED_VALUE"""),"-6.927875, 107.682403")</f>
        <v>-6.927875, 107.682403</v>
      </c>
      <c r="D464" s="4" t="str">
        <f>IFERROR(__xludf.DUMMYFUNCTION("""COMPUTED_VALUE"""),"Canra heei")</f>
        <v>Canra heei</v>
      </c>
      <c r="E464" s="4" t="str">
        <f>IFERROR(__xludf.DUMMYFUNCTION("""COMPUTED_VALUE"""),"BANDUNG")</f>
        <v>BANDUNG</v>
      </c>
      <c r="F464" s="4" t="str">
        <f>IFERROR(__xludf.DUMMYFUNCTION("""COMPUTED_VALUE"""),"UJUNGBERUNG")</f>
        <v>UJUNGBERUNG</v>
      </c>
      <c r="G464" s="4" t="str">
        <f>IFERROR(__xludf.DUMMYFUNCTION("""COMPUTED_VALUE"""),"UJUNGBERUNG")</f>
        <v>UJUNGBERUNG</v>
      </c>
      <c r="H464" s="4" t="str">
        <f>IFERROR(__xludf.DUMMYFUNCTION("""COMPUTED_VALUE"""),"UZP")</f>
        <v>UZP</v>
      </c>
      <c r="I464" s="4" t="str">
        <f>IFERROR(__xludf.DUMMYFUNCTION("""COMPUTED_VALUE"""),"GH BNA - LBS CTW")</f>
        <v>GH BNA - LBS CTW</v>
      </c>
      <c r="J464" s="4" t="str">
        <f>IFERROR(__xludf.DUMMYFUNCTION("""COMPUTED_VALUE"""),"ZONA 2")</f>
        <v>ZONA 2</v>
      </c>
      <c r="K464" s="4" t="str">
        <f>IFERROR(__xludf.DUMMYFUNCTION("""COMPUTED_VALUE"""),"041")</f>
        <v>041</v>
      </c>
      <c r="L464" s="4" t="str">
        <f>IFERROR(__xludf.DUMMYFUNCTION("""COMPUTED_VALUE"""),"TM - 8B/H (Percabangan)")</f>
        <v>TM - 8B/H (Percabangan)</v>
      </c>
      <c r="M464" s="4" t="str">
        <f>IFERROR(__xludf.DUMMYFUNCTION("""COMPUTED_VALUE"""),"Tidak Ada")</f>
        <v>Tidak Ada</v>
      </c>
      <c r="N464" s="4"/>
      <c r="O464" s="4" t="str">
        <f>IFERROR(__xludf.DUMMYFUNCTION("""COMPUTED_VALUE"""),"PEMBANDING SEJENIS")</f>
        <v>PEMBANDING SEJENIS</v>
      </c>
      <c r="P464" s="4" t="str">
        <f>IFERROR(__xludf.DUMMYFUNCTION("""COMPUTED_VALUE"""),"KONEKTOR/JUMPER")</f>
        <v>KONEKTOR/JUMPER</v>
      </c>
      <c r="Q464" s="4">
        <f>IFERROR(__xludf.DUMMYFUNCTION("""COMPUTED_VALUE"""),18.0)</f>
        <v>18</v>
      </c>
      <c r="R464" s="4">
        <f>IFERROR(__xludf.DUMMYFUNCTION("""COMPUTED_VALUE"""),19.0)</f>
        <v>19</v>
      </c>
      <c r="S464" s="4">
        <f>IFERROR(__xludf.DUMMYFUNCTION("""COMPUTED_VALUE"""),16.0)</f>
        <v>16</v>
      </c>
      <c r="T464" s="4"/>
      <c r="U464" s="4" t="str">
        <f>IFERROR(__xludf.DUMMYFUNCTION("""COMPUTED_VALUE"""),"CUKUP")</f>
        <v>CUKUP</v>
      </c>
      <c r="V464" s="4" t="str">
        <f>IFERROR(__xludf.DUMMYFUNCTION("""COMPUTED_VALUE"""),"Tidak Ada")</f>
        <v>Tidak Ada</v>
      </c>
      <c r="W464" s="4"/>
      <c r="X464" s="4"/>
      <c r="Y464" s="4"/>
      <c r="Z464" s="4"/>
      <c r="AA464" s="4"/>
      <c r="AB464" s="4"/>
      <c r="AC464" s="4" t="str">
        <f>IFERROR(__xludf.DUMMYFUNCTION("""COMPUTED_VALUE"""),"INSPEKSI SUTM - T2_Images/7b7612b0.FOTO.172532.jpg")</f>
        <v>INSPEKSI SUTM - T2_Images/7b7612b0.FOTO.172532.jpg</v>
      </c>
      <c r="AD464" s="4"/>
      <c r="AE464" s="4"/>
      <c r="AF464" s="4" t="str">
        <f>IFERROR(__xludf.DUMMYFUNCTION("""COMPUTED_VALUE"""),"BELUM")</f>
        <v>BELUM</v>
      </c>
      <c r="AG464" s="6">
        <f>IFERROR(__xludf.DUMMYFUNCTION("""COMPUTED_VALUE"""),46074.0)</f>
        <v>46074</v>
      </c>
      <c r="AH464" s="4"/>
      <c r="AI464" s="4"/>
    </row>
    <row r="465" ht="15.75" customHeight="1">
      <c r="A465" s="4" t="str">
        <f>IFERROR(__xludf.DUMMYFUNCTION("""COMPUTED_VALUE"""),"80c660d3")</f>
        <v>80c660d3</v>
      </c>
      <c r="B465" s="5">
        <f>IFERROR(__xludf.DUMMYFUNCTION("""COMPUTED_VALUE"""),46074.01907407407)</f>
        <v>46074.01907</v>
      </c>
      <c r="C465" s="4" t="str">
        <f>IFERROR(__xludf.DUMMYFUNCTION("""COMPUTED_VALUE"""),"-6.928195, 107.682238")</f>
        <v>-6.928195, 107.682238</v>
      </c>
      <c r="D465" s="4" t="str">
        <f>IFERROR(__xludf.DUMMYFUNCTION("""COMPUTED_VALUE"""),"Canra heei")</f>
        <v>Canra heei</v>
      </c>
      <c r="E465" s="4" t="str">
        <f>IFERROR(__xludf.DUMMYFUNCTION("""COMPUTED_VALUE"""),"BANDUNG")</f>
        <v>BANDUNG</v>
      </c>
      <c r="F465" s="4" t="str">
        <f>IFERROR(__xludf.DUMMYFUNCTION("""COMPUTED_VALUE"""),"UJUNGBERUNG")</f>
        <v>UJUNGBERUNG</v>
      </c>
      <c r="G465" s="4" t="str">
        <f>IFERROR(__xludf.DUMMYFUNCTION("""COMPUTED_VALUE"""),"UJUNGBERUNG")</f>
        <v>UJUNGBERUNG</v>
      </c>
      <c r="H465" s="4" t="str">
        <f>IFERROR(__xludf.DUMMYFUNCTION("""COMPUTED_VALUE"""),"UZP")</f>
        <v>UZP</v>
      </c>
      <c r="I465" s="4" t="str">
        <f>IFERROR(__xludf.DUMMYFUNCTION("""COMPUTED_VALUE"""),"GH BNA - LBS CTW")</f>
        <v>GH BNA - LBS CTW</v>
      </c>
      <c r="J465" s="4" t="str">
        <f>IFERROR(__xludf.DUMMYFUNCTION("""COMPUTED_VALUE"""),"ZONA 2")</f>
        <v>ZONA 2</v>
      </c>
      <c r="K465" s="4" t="str">
        <f>IFERROR(__xludf.DUMMYFUNCTION("""COMPUTED_VALUE"""),"043")</f>
        <v>043</v>
      </c>
      <c r="L465" s="4" t="str">
        <f>IFERROR(__xludf.DUMMYFUNCTION("""COMPUTED_VALUE"""),"TM - 16B/H (REC/SSO/LBS)")</f>
        <v>TM - 16B/H (REC/SSO/LBS)</v>
      </c>
      <c r="M465" s="4" t="str">
        <f>IFERROR(__xludf.DUMMYFUNCTION("""COMPUTED_VALUE"""),"LBS")</f>
        <v>LBS</v>
      </c>
      <c r="N465" s="4" t="str">
        <f>IFERROR(__xludf.DUMMYFUNCTION("""COMPUTED_VALUE"""),"Dlr")</f>
        <v>Dlr</v>
      </c>
      <c r="O465" s="4" t="str">
        <f>IFERROR(__xludf.DUMMYFUNCTION("""COMPUTED_VALUE"""),"PEMBANDING SEJENIS")</f>
        <v>PEMBANDING SEJENIS</v>
      </c>
      <c r="P465" s="4" t="str">
        <f>IFERROR(__xludf.DUMMYFUNCTION("""COMPUTED_VALUE"""),"KONEKTOR/JUMPER")</f>
        <v>KONEKTOR/JUMPER</v>
      </c>
      <c r="Q465" s="4">
        <f>IFERROR(__xludf.DUMMYFUNCTION("""COMPUTED_VALUE"""),23.0)</f>
        <v>23</v>
      </c>
      <c r="R465" s="4">
        <f>IFERROR(__xludf.DUMMYFUNCTION("""COMPUTED_VALUE"""),23.0)</f>
        <v>23</v>
      </c>
      <c r="S465" s="4">
        <f>IFERROR(__xludf.DUMMYFUNCTION("""COMPUTED_VALUE"""),23.0)</f>
        <v>23</v>
      </c>
      <c r="T465" s="4"/>
      <c r="U465" s="4" t="str">
        <f>IFERROR(__xludf.DUMMYFUNCTION("""COMPUTED_VALUE"""),"BAIK")</f>
        <v>BAIK</v>
      </c>
      <c r="V465" s="4" t="str">
        <f>IFERROR(__xludf.DUMMYFUNCTION("""COMPUTED_VALUE"""),"Tidak Ada")</f>
        <v>Tidak Ada</v>
      </c>
      <c r="W465" s="4"/>
      <c r="X465" s="4"/>
      <c r="Y465" s="4"/>
      <c r="Z465" s="4"/>
      <c r="AA465" s="4"/>
      <c r="AB465" s="4"/>
      <c r="AC465" s="4" t="str">
        <f>IFERROR(__xludf.DUMMYFUNCTION("""COMPUTED_VALUE"""),"INSPEKSI SUTM - T2_Images/80c660d3.FOTO.173144.jpg")</f>
        <v>INSPEKSI SUTM - T2_Images/80c660d3.FOTO.173144.jpg</v>
      </c>
      <c r="AD465" s="4"/>
      <c r="AE465" s="4"/>
      <c r="AF465" s="4" t="str">
        <f>IFERROR(__xludf.DUMMYFUNCTION("""COMPUTED_VALUE"""),"BELUM")</f>
        <v>BELUM</v>
      </c>
      <c r="AG465" s="6">
        <f>IFERROR(__xludf.DUMMYFUNCTION("""COMPUTED_VALUE"""),46074.0)</f>
        <v>46074</v>
      </c>
      <c r="AH465" s="4"/>
      <c r="AI465" s="4"/>
    </row>
    <row r="466" ht="15.75" customHeight="1">
      <c r="A466" s="4" t="str">
        <f>IFERROR(__xludf.DUMMYFUNCTION("""COMPUTED_VALUE"""),"a83363c8")</f>
        <v>a83363c8</v>
      </c>
      <c r="B466" s="5">
        <f>IFERROR(__xludf.DUMMYFUNCTION("""COMPUTED_VALUE"""),46074.02663194444)</f>
        <v>46074.02663</v>
      </c>
      <c r="C466" s="4" t="str">
        <f>IFERROR(__xludf.DUMMYFUNCTION("""COMPUTED_VALUE"""),"-6.925580, 107.685473")</f>
        <v>-6.925580, 107.685473</v>
      </c>
      <c r="D466" s="4" t="str">
        <f>IFERROR(__xludf.DUMMYFUNCTION("""COMPUTED_VALUE"""),"Canra heri")</f>
        <v>Canra heri</v>
      </c>
      <c r="E466" s="4" t="str">
        <f>IFERROR(__xludf.DUMMYFUNCTION("""COMPUTED_VALUE"""),"BANDUNG")</f>
        <v>BANDUNG</v>
      </c>
      <c r="F466" s="4" t="str">
        <f>IFERROR(__xludf.DUMMYFUNCTION("""COMPUTED_VALUE"""),"UJUNGBERUNG")</f>
        <v>UJUNGBERUNG</v>
      </c>
      <c r="G466" s="4" t="str">
        <f>IFERROR(__xludf.DUMMYFUNCTION("""COMPUTED_VALUE"""),"UJUNGBERUNG")</f>
        <v>UJUNGBERUNG</v>
      </c>
      <c r="H466" s="4" t="str">
        <f>IFERROR(__xludf.DUMMYFUNCTION("""COMPUTED_VALUE"""),"UZP")</f>
        <v>UZP</v>
      </c>
      <c r="I466" s="4" t="str">
        <f>IFERROR(__xludf.DUMMYFUNCTION("""COMPUTED_VALUE"""),"GH BNA - LBS CTW")</f>
        <v>GH BNA - LBS CTW</v>
      </c>
      <c r="J466" s="4" t="str">
        <f>IFERROR(__xludf.DUMMYFUNCTION("""COMPUTED_VALUE"""),"ZONA 2")</f>
        <v>ZONA 2</v>
      </c>
      <c r="K466" s="4" t="str">
        <f>IFERROR(__xludf.DUMMYFUNCTION("""COMPUTED_VALUE"""),"028L04")</f>
        <v>028L04</v>
      </c>
      <c r="L466" s="4" t="str">
        <f>IFERROR(__xludf.DUMMYFUNCTION("""COMPUTED_VALUE"""),"TM - 7B/H (Afspan 90 Derajat)")</f>
        <v>TM - 7B/H (Afspan 90 Derajat)</v>
      </c>
      <c r="M466" s="4" t="str">
        <f>IFERROR(__xludf.DUMMYFUNCTION("""COMPUTED_VALUE"""),"Tidak Ada")</f>
        <v>Tidak Ada</v>
      </c>
      <c r="N466" s="4"/>
      <c r="O466" s="4" t="str">
        <f>IFERROR(__xludf.DUMMYFUNCTION("""COMPUTED_VALUE"""),"PEMBANDING SEJENIS")</f>
        <v>PEMBANDING SEJENIS</v>
      </c>
      <c r="P466" s="4" t="str">
        <f>IFERROR(__xludf.DUMMYFUNCTION("""COMPUTED_VALUE"""),"KONEKTOR/JUMPER")</f>
        <v>KONEKTOR/JUMPER</v>
      </c>
      <c r="Q466" s="4">
        <f>IFERROR(__xludf.DUMMYFUNCTION("""COMPUTED_VALUE"""),22.0)</f>
        <v>22</v>
      </c>
      <c r="R466" s="4">
        <f>IFERROR(__xludf.DUMMYFUNCTION("""COMPUTED_VALUE"""),21.0)</f>
        <v>21</v>
      </c>
      <c r="S466" s="4">
        <f>IFERROR(__xludf.DUMMYFUNCTION("""COMPUTED_VALUE"""),21.0)</f>
        <v>21</v>
      </c>
      <c r="T466" s="4"/>
      <c r="U466" s="4" t="str">
        <f>IFERROR(__xludf.DUMMYFUNCTION("""COMPUTED_VALUE"""),"BAIK")</f>
        <v>BAIK</v>
      </c>
      <c r="V466" s="4" t="str">
        <f>IFERROR(__xludf.DUMMYFUNCTION("""COMPUTED_VALUE"""),"Tidak Ada")</f>
        <v>Tidak Ada</v>
      </c>
      <c r="W466" s="4"/>
      <c r="X466" s="4"/>
      <c r="Y466" s="4"/>
      <c r="Z466" s="4"/>
      <c r="AA466" s="4"/>
      <c r="AB466" s="4"/>
      <c r="AC466" s="4" t="str">
        <f>IFERROR(__xludf.DUMMYFUNCTION("""COMPUTED_VALUE"""),"INSPEKSI SUTM - T2_Images/a83363c8.FOTO.173916.jpg")</f>
        <v>INSPEKSI SUTM - T2_Images/a83363c8.FOTO.173916.jpg</v>
      </c>
      <c r="AD466" s="4"/>
      <c r="AE466" s="4"/>
      <c r="AF466" s="4" t="str">
        <f>IFERROR(__xludf.DUMMYFUNCTION("""COMPUTED_VALUE"""),"BELUM")</f>
        <v>BELUM</v>
      </c>
      <c r="AG466" s="6">
        <f>IFERROR(__xludf.DUMMYFUNCTION("""COMPUTED_VALUE"""),46074.0)</f>
        <v>46074</v>
      </c>
      <c r="AH466" s="4"/>
      <c r="AI466" s="4"/>
    </row>
    <row r="467" ht="15.75" customHeight="1">
      <c r="A467" s="4" t="str">
        <f>IFERROR(__xludf.DUMMYFUNCTION("""COMPUTED_VALUE"""),"78430461")</f>
        <v>78430461</v>
      </c>
      <c r="B467" s="5">
        <f>IFERROR(__xludf.DUMMYFUNCTION("""COMPUTED_VALUE"""),46074.02774305556)</f>
        <v>46074.02774</v>
      </c>
      <c r="C467" s="4" t="str">
        <f>IFERROR(__xludf.DUMMYFUNCTION("""COMPUTED_VALUE"""),"-6.925584, 107.685459")</f>
        <v>-6.925584, 107.685459</v>
      </c>
      <c r="D467" s="4" t="str">
        <f>IFERROR(__xludf.DUMMYFUNCTION("""COMPUTED_VALUE"""),"Canra heri")</f>
        <v>Canra heri</v>
      </c>
      <c r="E467" s="4" t="str">
        <f>IFERROR(__xludf.DUMMYFUNCTION("""COMPUTED_VALUE"""),"BANDUNG")</f>
        <v>BANDUNG</v>
      </c>
      <c r="F467" s="4" t="str">
        <f>IFERROR(__xludf.DUMMYFUNCTION("""COMPUTED_VALUE"""),"UJUNGBERUNG")</f>
        <v>UJUNGBERUNG</v>
      </c>
      <c r="G467" s="4" t="str">
        <f>IFERROR(__xludf.DUMMYFUNCTION("""COMPUTED_VALUE"""),"UJUNGBERUNG")</f>
        <v>UJUNGBERUNG</v>
      </c>
      <c r="H467" s="4" t="str">
        <f>IFERROR(__xludf.DUMMYFUNCTION("""COMPUTED_VALUE"""),"UZP")</f>
        <v>UZP</v>
      </c>
      <c r="I467" s="4" t="str">
        <f>IFERROR(__xludf.DUMMYFUNCTION("""COMPUTED_VALUE"""),"GH BNA - LBS CTW")</f>
        <v>GH BNA - LBS CTW</v>
      </c>
      <c r="J467" s="4" t="str">
        <f>IFERROR(__xludf.DUMMYFUNCTION("""COMPUTED_VALUE"""),"ZONA 2")</f>
        <v>ZONA 2</v>
      </c>
      <c r="K467" s="4" t="str">
        <f>IFERROR(__xludf.DUMMYFUNCTION("""COMPUTED_VALUE"""),"028L04")</f>
        <v>028L04</v>
      </c>
      <c r="L467" s="4" t="str">
        <f>IFERROR(__xludf.DUMMYFUNCTION("""COMPUTED_VALUE"""),"TM - 7B/H (Afspan 90 Derajat)")</f>
        <v>TM - 7B/H (Afspan 90 Derajat)</v>
      </c>
      <c r="M467" s="4" t="str">
        <f>IFERROR(__xludf.DUMMYFUNCTION("""COMPUTED_VALUE"""),"Tidak Ada")</f>
        <v>Tidak Ada</v>
      </c>
      <c r="N467" s="4"/>
      <c r="O467" s="4" t="str">
        <f>IFERROR(__xludf.DUMMYFUNCTION("""COMPUTED_VALUE"""),"PEMBANDING SEJENIS")</f>
        <v>PEMBANDING SEJENIS</v>
      </c>
      <c r="P467" s="4" t="str">
        <f>IFERROR(__xludf.DUMMYFUNCTION("""COMPUTED_VALUE"""),"KONEKTOR/JUMPER")</f>
        <v>KONEKTOR/JUMPER</v>
      </c>
      <c r="Q467" s="4">
        <f>IFERROR(__xludf.DUMMYFUNCTION("""COMPUTED_VALUE"""),22.0)</f>
        <v>22</v>
      </c>
      <c r="R467" s="4">
        <f>IFERROR(__xludf.DUMMYFUNCTION("""COMPUTED_VALUE"""),21.0)</f>
        <v>21</v>
      </c>
      <c r="S467" s="4">
        <f>IFERROR(__xludf.DUMMYFUNCTION("""COMPUTED_VALUE"""),21.0)</f>
        <v>21</v>
      </c>
      <c r="T467" s="4"/>
      <c r="U467" s="4" t="str">
        <f>IFERROR(__xludf.DUMMYFUNCTION("""COMPUTED_VALUE"""),"BAIK")</f>
        <v>BAIK</v>
      </c>
      <c r="V467" s="4" t="str">
        <f>IFERROR(__xludf.DUMMYFUNCTION("""COMPUTED_VALUE"""),"Tidak Ada")</f>
        <v>Tidak Ada</v>
      </c>
      <c r="W467" s="4"/>
      <c r="X467" s="4"/>
      <c r="Y467" s="4"/>
      <c r="Z467" s="4"/>
      <c r="AA467" s="4"/>
      <c r="AB467" s="4"/>
      <c r="AC467" s="4" t="str">
        <f>IFERROR(__xludf.DUMMYFUNCTION("""COMPUTED_VALUE"""),"INSPEKSI SUTM - T2_Images/78430461.FOTO.174048.jpg")</f>
        <v>INSPEKSI SUTM - T2_Images/78430461.FOTO.174048.jpg</v>
      </c>
      <c r="AD467" s="4"/>
      <c r="AE467" s="4"/>
      <c r="AF467" s="4" t="str">
        <f>IFERROR(__xludf.DUMMYFUNCTION("""COMPUTED_VALUE"""),"BELUM")</f>
        <v>BELUM</v>
      </c>
      <c r="AG467" s="6">
        <f>IFERROR(__xludf.DUMMYFUNCTION("""COMPUTED_VALUE"""),46074.0)</f>
        <v>46074</v>
      </c>
      <c r="AH467" s="4"/>
      <c r="AI467" s="4"/>
    </row>
    <row r="468" ht="15.75" customHeight="1">
      <c r="A468" s="4" t="str">
        <f>IFERROR(__xludf.DUMMYFUNCTION("""COMPUTED_VALUE"""),"f14eeea6")</f>
        <v>f14eeea6</v>
      </c>
      <c r="B468" s="5">
        <f>IFERROR(__xludf.DUMMYFUNCTION("""COMPUTED_VALUE"""),46073.86613425926)</f>
        <v>46073.86613</v>
      </c>
      <c r="C468" s="4" t="str">
        <f>IFERROR(__xludf.DUMMYFUNCTION("""COMPUTED_VALUE"""),"-6.949056, 107.611929")</f>
        <v>-6.949056, 107.611929</v>
      </c>
      <c r="D468" s="4" t="str">
        <f>IFERROR(__xludf.DUMMYFUNCTION("""COMPUTED_VALUE"""),"Nugi Fuad")</f>
        <v>Nugi Fuad</v>
      </c>
      <c r="E468" s="4" t="str">
        <f>IFERROR(__xludf.DUMMYFUNCTION("""COMPUTED_VALUE"""),"BANDUNG")</f>
        <v>BANDUNG</v>
      </c>
      <c r="F468" s="4" t="str">
        <f>IFERROR(__xludf.DUMMYFUNCTION("""COMPUTED_VALUE"""),"BANDUNG SELATAN")</f>
        <v>BANDUNG SELATAN</v>
      </c>
      <c r="G468" s="4" t="str">
        <f>IFERROR(__xludf.DUMMYFUNCTION("""COMPUTED_VALUE"""),"CIGERELENG")</f>
        <v>CIGERELENG</v>
      </c>
      <c r="H468" s="4" t="str">
        <f>IFERROR(__xludf.DUMMYFUNCTION("""COMPUTED_VALUE"""),"PLSI")</f>
        <v>PLSI</v>
      </c>
      <c r="I468" s="4" t="str">
        <f>IFERROR(__xludf.DUMMYFUNCTION("""COMPUTED_VALUE"""),"PGDB MGHU- REC. CKU")</f>
        <v>PGDB MGHU- REC. CKU</v>
      </c>
      <c r="J468" s="4" t="str">
        <f>IFERROR(__xludf.DUMMYFUNCTION("""COMPUTED_VALUE"""),"ZONA 2")</f>
        <v>ZONA 2</v>
      </c>
      <c r="K468" s="4" t="str">
        <f>IFERROR(__xludf.DUMMYFUNCTION("""COMPUTED_VALUE"""),"001")</f>
        <v>001</v>
      </c>
      <c r="L468" s="4" t="str">
        <f>IFERROR(__xludf.DUMMYFUNCTION("""COMPUTED_VALUE"""),"TM - 11B/H (Kabel Naik)")</f>
        <v>TM - 11B/H (Kabel Naik)</v>
      </c>
      <c r="M468" s="4" t="str">
        <f>IFERROR(__xludf.DUMMYFUNCTION("""COMPUTED_VALUE"""),"Tidak Ada")</f>
        <v>Tidak Ada</v>
      </c>
      <c r="N468" s="4"/>
      <c r="O468" s="4" t="str">
        <f>IFERROR(__xludf.DUMMYFUNCTION("""COMPUTED_VALUE"""),"PEMBANDING SEJENIS")</f>
        <v>PEMBANDING SEJENIS</v>
      </c>
      <c r="P468" s="4" t="str">
        <f>IFERROR(__xludf.DUMMYFUNCTION("""COMPUTED_VALUE"""),"TERMINASI")</f>
        <v>TERMINASI</v>
      </c>
      <c r="Q468" s="4">
        <f>IFERROR(__xludf.DUMMYFUNCTION("""COMPUTED_VALUE"""),21.0)</f>
        <v>21</v>
      </c>
      <c r="R468" s="4">
        <f>IFERROR(__xludf.DUMMYFUNCTION("""COMPUTED_VALUE"""),21.0)</f>
        <v>21</v>
      </c>
      <c r="S468" s="4">
        <f>IFERROR(__xludf.DUMMYFUNCTION("""COMPUTED_VALUE"""),20.0)</f>
        <v>20</v>
      </c>
      <c r="T468" s="4"/>
      <c r="U468" s="4" t="str">
        <f>IFERROR(__xludf.DUMMYFUNCTION("""COMPUTED_VALUE"""),"BAIK")</f>
        <v>BAIK</v>
      </c>
      <c r="V468" s="4" t="str">
        <f>IFERROR(__xludf.DUMMYFUNCTION("""COMPUTED_VALUE"""),"Tidak Ada")</f>
        <v>Tidak Ada</v>
      </c>
      <c r="W468" s="4"/>
      <c r="X468" s="4"/>
      <c r="Y468" s="4"/>
      <c r="Z468" s="4"/>
      <c r="AA468" s="4"/>
      <c r="AB468" s="4"/>
      <c r="AC468" s="4" t="str">
        <f>IFERROR(__xludf.DUMMYFUNCTION("""COMPUTED_VALUE"""),"INSPEKSI SUTM - T2_Images/f14eeea6.FOTO.081803.jpg")</f>
        <v>INSPEKSI SUTM - T2_Images/f14eeea6.FOTO.081803.jpg</v>
      </c>
      <c r="AD468" s="4"/>
      <c r="AE468" s="4"/>
      <c r="AF468" s="4" t="str">
        <f>IFERROR(__xludf.DUMMYFUNCTION("""COMPUTED_VALUE"""),"BELUM")</f>
        <v>BELUM</v>
      </c>
      <c r="AG468" s="6">
        <f>IFERROR(__xludf.DUMMYFUNCTION("""COMPUTED_VALUE"""),46073.0)</f>
        <v>46073</v>
      </c>
      <c r="AH468" s="4"/>
      <c r="AI468" s="4"/>
    </row>
    <row r="469" ht="15.75" customHeight="1">
      <c r="A469" s="4" t="str">
        <f>IFERROR(__xludf.DUMMYFUNCTION("""COMPUTED_VALUE"""),"b34728db")</f>
        <v>b34728db</v>
      </c>
      <c r="B469" s="5">
        <f>IFERROR(__xludf.DUMMYFUNCTION("""COMPUTED_VALUE"""),46073.866736111115)</f>
        <v>46073.86674</v>
      </c>
      <c r="C469" s="4" t="str">
        <f>IFERROR(__xludf.DUMMYFUNCTION("""COMPUTED_VALUE"""),"-6.949056, 107.611929")</f>
        <v>-6.949056, 107.611929</v>
      </c>
      <c r="D469" s="4" t="str">
        <f>IFERROR(__xludf.DUMMYFUNCTION("""COMPUTED_VALUE"""),"Nugi fuad")</f>
        <v>Nugi fuad</v>
      </c>
      <c r="E469" s="4" t="str">
        <f>IFERROR(__xludf.DUMMYFUNCTION("""COMPUTED_VALUE"""),"BANDUNG")</f>
        <v>BANDUNG</v>
      </c>
      <c r="F469" s="4" t="str">
        <f>IFERROR(__xludf.DUMMYFUNCTION("""COMPUTED_VALUE"""),"BANDUNG SELATAN")</f>
        <v>BANDUNG SELATAN</v>
      </c>
      <c r="G469" s="4" t="str">
        <f>IFERROR(__xludf.DUMMYFUNCTION("""COMPUTED_VALUE"""),"CIGERELENG")</f>
        <v>CIGERELENG</v>
      </c>
      <c r="H469" s="4" t="str">
        <f>IFERROR(__xludf.DUMMYFUNCTION("""COMPUTED_VALUE"""),"PLSI")</f>
        <v>PLSI</v>
      </c>
      <c r="I469" s="4" t="str">
        <f>IFERROR(__xludf.DUMMYFUNCTION("""COMPUTED_VALUE"""),"PGDB MGHU- REC. CKU")</f>
        <v>PGDB MGHU- REC. CKU</v>
      </c>
      <c r="J469" s="4" t="str">
        <f>IFERROR(__xludf.DUMMYFUNCTION("""COMPUTED_VALUE"""),"ZONA 2")</f>
        <v>ZONA 2</v>
      </c>
      <c r="K469" s="4" t="str">
        <f>IFERROR(__xludf.DUMMYFUNCTION("""COMPUTED_VALUE"""),"002")</f>
        <v>002</v>
      </c>
      <c r="L469" s="4" t="str">
        <f>IFERROR(__xludf.DUMMYFUNCTION("""COMPUTED_VALUE"""),"TM - 7B/H (Afspan 90 Derajat)")</f>
        <v>TM - 7B/H (Afspan 90 Derajat)</v>
      </c>
      <c r="M469" s="4" t="str">
        <f>IFERROR(__xludf.DUMMYFUNCTION("""COMPUTED_VALUE"""),"Tidak Ada")</f>
        <v>Tidak Ada</v>
      </c>
      <c r="N469" s="4"/>
      <c r="O469" s="4" t="str">
        <f>IFERROR(__xludf.DUMMYFUNCTION("""COMPUTED_VALUE"""),"PEMBANDING SEJENIS")</f>
        <v>PEMBANDING SEJENIS</v>
      </c>
      <c r="P469" s="4" t="str">
        <f>IFERROR(__xludf.DUMMYFUNCTION("""COMPUTED_VALUE"""),"KONEKTOR/JUMPER")</f>
        <v>KONEKTOR/JUMPER</v>
      </c>
      <c r="Q469" s="4">
        <f>IFERROR(__xludf.DUMMYFUNCTION("""COMPUTED_VALUE"""),21.0)</f>
        <v>21</v>
      </c>
      <c r="R469" s="4">
        <f>IFERROR(__xludf.DUMMYFUNCTION("""COMPUTED_VALUE"""),20.0)</f>
        <v>20</v>
      </c>
      <c r="S469" s="4">
        <f>IFERROR(__xludf.DUMMYFUNCTION("""COMPUTED_VALUE"""),21.0)</f>
        <v>21</v>
      </c>
      <c r="T469" s="4"/>
      <c r="U469" s="4" t="str">
        <f>IFERROR(__xludf.DUMMYFUNCTION("""COMPUTED_VALUE"""),"BAIK")</f>
        <v>BAIK</v>
      </c>
      <c r="V469" s="4" t="str">
        <f>IFERROR(__xludf.DUMMYFUNCTION("""COMPUTED_VALUE"""),"Tidak Ada")</f>
        <v>Tidak Ada</v>
      </c>
      <c r="W469" s="4"/>
      <c r="X469" s="4"/>
      <c r="Y469" s="4"/>
      <c r="Z469" s="4"/>
      <c r="AA469" s="4"/>
      <c r="AB469" s="4"/>
      <c r="AC469" s="4" t="str">
        <f>IFERROR(__xludf.DUMMYFUNCTION("""COMPUTED_VALUE"""),"INSPEKSI SUTM - T2_Images/b34728db.FOTO.081808.jpg")</f>
        <v>INSPEKSI SUTM - T2_Images/b34728db.FOTO.081808.jpg</v>
      </c>
      <c r="AD469" s="4"/>
      <c r="AE469" s="4"/>
      <c r="AF469" s="4" t="str">
        <f>IFERROR(__xludf.DUMMYFUNCTION("""COMPUTED_VALUE"""),"BELUM")</f>
        <v>BELUM</v>
      </c>
      <c r="AG469" s="6">
        <f>IFERROR(__xludf.DUMMYFUNCTION("""COMPUTED_VALUE"""),46073.0)</f>
        <v>46073</v>
      </c>
      <c r="AH469" s="4"/>
      <c r="AI469" s="4"/>
    </row>
    <row r="470" ht="15.75" customHeight="1">
      <c r="A470" s="4" t="str">
        <f>IFERROR(__xludf.DUMMYFUNCTION("""COMPUTED_VALUE"""),"a4cc25d9")</f>
        <v>a4cc25d9</v>
      </c>
      <c r="B470" s="5">
        <f>IFERROR(__xludf.DUMMYFUNCTION("""COMPUTED_VALUE"""),46073.86736111111)</f>
        <v>46073.86736</v>
      </c>
      <c r="C470" s="4" t="str">
        <f>IFERROR(__xludf.DUMMYFUNCTION("""COMPUTED_VALUE"""),"-6.949056, 107.611929")</f>
        <v>-6.949056, 107.611929</v>
      </c>
      <c r="D470" s="4" t="str">
        <f>IFERROR(__xludf.DUMMYFUNCTION("""COMPUTED_VALUE"""),"Nugi fuad")</f>
        <v>Nugi fuad</v>
      </c>
      <c r="E470" s="4" t="str">
        <f>IFERROR(__xludf.DUMMYFUNCTION("""COMPUTED_VALUE"""),"BANDUNG")</f>
        <v>BANDUNG</v>
      </c>
      <c r="F470" s="4" t="str">
        <f>IFERROR(__xludf.DUMMYFUNCTION("""COMPUTED_VALUE"""),"BANDUNG SELATAN")</f>
        <v>BANDUNG SELATAN</v>
      </c>
      <c r="G470" s="4" t="str">
        <f>IFERROR(__xludf.DUMMYFUNCTION("""COMPUTED_VALUE"""),"CIGERELENG")</f>
        <v>CIGERELENG</v>
      </c>
      <c r="H470" s="4" t="str">
        <f>IFERROR(__xludf.DUMMYFUNCTION("""COMPUTED_VALUE"""),"PLSI")</f>
        <v>PLSI</v>
      </c>
      <c r="I470" s="4" t="str">
        <f>IFERROR(__xludf.DUMMYFUNCTION("""COMPUTED_VALUE"""),"PGDB MGHU- REC. CKU")</f>
        <v>PGDB MGHU- REC. CKU</v>
      </c>
      <c r="J470" s="4" t="str">
        <f>IFERROR(__xludf.DUMMYFUNCTION("""COMPUTED_VALUE"""),"ZONA 2")</f>
        <v>ZONA 2</v>
      </c>
      <c r="K470" s="4" t="str">
        <f>IFERROR(__xludf.DUMMYFUNCTION("""COMPUTED_VALUE"""),"004")</f>
        <v>004</v>
      </c>
      <c r="L470" s="4" t="str">
        <f>IFERROR(__xludf.DUMMYFUNCTION("""COMPUTED_VALUE"""),"TM - 1B/H (Tumpu)")</f>
        <v>TM - 1B/H (Tumpu)</v>
      </c>
      <c r="M470" s="4" t="str">
        <f>IFERROR(__xludf.DUMMYFUNCTION("""COMPUTED_VALUE"""),"Tidak Ada")</f>
        <v>Tidak Ada</v>
      </c>
      <c r="N470" s="4"/>
      <c r="O470" s="4" t="str">
        <f>IFERROR(__xludf.DUMMYFUNCTION("""COMPUTED_VALUE"""),"PEMBANDING SEJENIS")</f>
        <v>PEMBANDING SEJENIS</v>
      </c>
      <c r="P470" s="4" t="str">
        <f>IFERROR(__xludf.DUMMYFUNCTION("""COMPUTED_VALUE"""),"ARRESTER")</f>
        <v>ARRESTER</v>
      </c>
      <c r="Q470" s="4">
        <f>IFERROR(__xludf.DUMMYFUNCTION("""COMPUTED_VALUE"""),18.0)</f>
        <v>18</v>
      </c>
      <c r="R470" s="4">
        <f>IFERROR(__xludf.DUMMYFUNCTION("""COMPUTED_VALUE"""),19.0)</f>
        <v>19</v>
      </c>
      <c r="S470" s="4">
        <f>IFERROR(__xludf.DUMMYFUNCTION("""COMPUTED_VALUE"""),18.0)</f>
        <v>18</v>
      </c>
      <c r="T470" s="4"/>
      <c r="U470" s="4" t="str">
        <f>IFERROR(__xludf.DUMMYFUNCTION("""COMPUTED_VALUE"""),"BAIK")</f>
        <v>BAIK</v>
      </c>
      <c r="V470" s="4" t="str">
        <f>IFERROR(__xludf.DUMMYFUNCTION("""COMPUTED_VALUE"""),"Tidak Ada")</f>
        <v>Tidak Ada</v>
      </c>
      <c r="W470" s="4"/>
      <c r="X470" s="4"/>
      <c r="Y470" s="4"/>
      <c r="Z470" s="4"/>
      <c r="AA470" s="4"/>
      <c r="AB470" s="4"/>
      <c r="AC470" s="4" t="str">
        <f>IFERROR(__xludf.DUMMYFUNCTION("""COMPUTED_VALUE"""),"INSPEKSI SUTM - T2_Images/a4cc25d9.FOTO.081811.jpg")</f>
        <v>INSPEKSI SUTM - T2_Images/a4cc25d9.FOTO.081811.jpg</v>
      </c>
      <c r="AD470" s="4"/>
      <c r="AE470" s="4"/>
      <c r="AF470" s="4" t="str">
        <f>IFERROR(__xludf.DUMMYFUNCTION("""COMPUTED_VALUE"""),"BELUM")</f>
        <v>BELUM</v>
      </c>
      <c r="AG470" s="6">
        <f>IFERROR(__xludf.DUMMYFUNCTION("""COMPUTED_VALUE"""),46073.0)</f>
        <v>46073</v>
      </c>
      <c r="AH470" s="4"/>
      <c r="AI470" s="4"/>
    </row>
    <row r="471" ht="15.75" customHeight="1">
      <c r="A471" s="4" t="str">
        <f>IFERROR(__xludf.DUMMYFUNCTION("""COMPUTED_VALUE"""),"d029682a")</f>
        <v>d029682a</v>
      </c>
      <c r="B471" s="5">
        <f>IFERROR(__xludf.DUMMYFUNCTION("""COMPUTED_VALUE"""),46073.87002314815)</f>
        <v>46073.87002</v>
      </c>
      <c r="C471" s="4" t="str">
        <f>IFERROR(__xludf.DUMMYFUNCTION("""COMPUTED_VALUE"""),"-6.949056, 107.611929")</f>
        <v>-6.949056, 107.611929</v>
      </c>
      <c r="D471" s="4" t="str">
        <f>IFERROR(__xludf.DUMMYFUNCTION("""COMPUTED_VALUE"""),"Nugi fuad")</f>
        <v>Nugi fuad</v>
      </c>
      <c r="E471" s="4" t="str">
        <f>IFERROR(__xludf.DUMMYFUNCTION("""COMPUTED_VALUE"""),"BANDUNG")</f>
        <v>BANDUNG</v>
      </c>
      <c r="F471" s="4" t="str">
        <f>IFERROR(__xludf.DUMMYFUNCTION("""COMPUTED_VALUE"""),"BANDUNG SELATAN")</f>
        <v>BANDUNG SELATAN</v>
      </c>
      <c r="G471" s="4" t="str">
        <f>IFERROR(__xludf.DUMMYFUNCTION("""COMPUTED_VALUE"""),"CIGERELENG")</f>
        <v>CIGERELENG</v>
      </c>
      <c r="H471" s="4" t="str">
        <f>IFERROR(__xludf.DUMMYFUNCTION("""COMPUTED_VALUE"""),"PLSI")</f>
        <v>PLSI</v>
      </c>
      <c r="I471" s="4" t="str">
        <f>IFERROR(__xludf.DUMMYFUNCTION("""COMPUTED_VALUE"""),"PGDB MGHU- REC. CKU")</f>
        <v>PGDB MGHU- REC. CKU</v>
      </c>
      <c r="J471" s="4" t="str">
        <f>IFERROR(__xludf.DUMMYFUNCTION("""COMPUTED_VALUE"""),"ZONA 2")</f>
        <v>ZONA 2</v>
      </c>
      <c r="K471" s="4" t="str">
        <f>IFERROR(__xludf.DUMMYFUNCTION("""COMPUTED_VALUE"""),"003")</f>
        <v>003</v>
      </c>
      <c r="L471" s="4" t="str">
        <f>IFERROR(__xludf.DUMMYFUNCTION("""COMPUTED_VALUE"""),"TM - 1B/H (Tumpu)")</f>
        <v>TM - 1B/H (Tumpu)</v>
      </c>
      <c r="M471" s="4" t="str">
        <f>IFERROR(__xludf.DUMMYFUNCTION("""COMPUTED_VALUE"""),"Tidak Ada")</f>
        <v>Tidak Ada</v>
      </c>
      <c r="N471" s="4"/>
      <c r="O471" s="4" t="str">
        <f>IFERROR(__xludf.DUMMYFUNCTION("""COMPUTED_VALUE"""),"PEMBANDING SEJENIS")</f>
        <v>PEMBANDING SEJENIS</v>
      </c>
      <c r="P471" s="4" t="str">
        <f>IFERROR(__xludf.DUMMYFUNCTION("""COMPUTED_VALUE"""),"ARRESTER")</f>
        <v>ARRESTER</v>
      </c>
      <c r="Q471" s="4">
        <f>IFERROR(__xludf.DUMMYFUNCTION("""COMPUTED_VALUE"""),21.0)</f>
        <v>21</v>
      </c>
      <c r="R471" s="4">
        <f>IFERROR(__xludf.DUMMYFUNCTION("""COMPUTED_VALUE"""),20.0)</f>
        <v>20</v>
      </c>
      <c r="S471" s="4">
        <f>IFERROR(__xludf.DUMMYFUNCTION("""COMPUTED_VALUE"""),21.0)</f>
        <v>21</v>
      </c>
      <c r="T471" s="4"/>
      <c r="U471" s="4" t="str">
        <f>IFERROR(__xludf.DUMMYFUNCTION("""COMPUTED_VALUE"""),"BAIK")</f>
        <v>BAIK</v>
      </c>
      <c r="V471" s="4" t="str">
        <f>IFERROR(__xludf.DUMMYFUNCTION("""COMPUTED_VALUE"""),"Tidak Ada")</f>
        <v>Tidak Ada</v>
      </c>
      <c r="W471" s="4"/>
      <c r="X471" s="4"/>
      <c r="Y471" s="4"/>
      <c r="Z471" s="4"/>
      <c r="AA471" s="4"/>
      <c r="AB471" s="4"/>
      <c r="AC471" s="4" t="str">
        <f>IFERROR(__xludf.DUMMYFUNCTION("""COMPUTED_VALUE"""),"INSPEKSI SUTM - T2_Images/d029682a.FOTO.081819.jpg")</f>
        <v>INSPEKSI SUTM - T2_Images/d029682a.FOTO.081819.jpg</v>
      </c>
      <c r="AD471" s="4"/>
      <c r="AE471" s="4"/>
      <c r="AF471" s="4" t="str">
        <f>IFERROR(__xludf.DUMMYFUNCTION("""COMPUTED_VALUE"""),"BELUM")</f>
        <v>BELUM</v>
      </c>
      <c r="AG471" s="6">
        <f>IFERROR(__xludf.DUMMYFUNCTION("""COMPUTED_VALUE"""),46073.0)</f>
        <v>46073</v>
      </c>
      <c r="AH471" s="4"/>
      <c r="AI471" s="4"/>
    </row>
    <row r="472" ht="15.75" customHeight="1">
      <c r="A472" s="4" t="str">
        <f>IFERROR(__xludf.DUMMYFUNCTION("""COMPUTED_VALUE"""),"db563d20")</f>
        <v>db563d20</v>
      </c>
      <c r="B472" s="5">
        <f>IFERROR(__xludf.DUMMYFUNCTION("""COMPUTED_VALUE"""),46073.87143518519)</f>
        <v>46073.87144</v>
      </c>
      <c r="C472" s="4" t="str">
        <f>IFERROR(__xludf.DUMMYFUNCTION("""COMPUTED_VALUE"""),"-6.949056, 107.611929")</f>
        <v>-6.949056, 107.611929</v>
      </c>
      <c r="D472" s="4" t="str">
        <f>IFERROR(__xludf.DUMMYFUNCTION("""COMPUTED_VALUE"""),"Nugi fuad")</f>
        <v>Nugi fuad</v>
      </c>
      <c r="E472" s="4" t="str">
        <f>IFERROR(__xludf.DUMMYFUNCTION("""COMPUTED_VALUE"""),"BANDUNG")</f>
        <v>BANDUNG</v>
      </c>
      <c r="F472" s="4" t="str">
        <f>IFERROR(__xludf.DUMMYFUNCTION("""COMPUTED_VALUE"""),"BANDUNG SELATAN")</f>
        <v>BANDUNG SELATAN</v>
      </c>
      <c r="G472" s="4" t="str">
        <f>IFERROR(__xludf.DUMMYFUNCTION("""COMPUTED_VALUE"""),"CIGERELENG")</f>
        <v>CIGERELENG</v>
      </c>
      <c r="H472" s="4" t="str">
        <f>IFERROR(__xludf.DUMMYFUNCTION("""COMPUTED_VALUE"""),"PLSI")</f>
        <v>PLSI</v>
      </c>
      <c r="I472" s="4" t="str">
        <f>IFERROR(__xludf.DUMMYFUNCTION("""COMPUTED_VALUE"""),"PGDB MGHU- REC. CKU")</f>
        <v>PGDB MGHU- REC. CKU</v>
      </c>
      <c r="J472" s="4" t="str">
        <f>IFERROR(__xludf.DUMMYFUNCTION("""COMPUTED_VALUE"""),"ZONA 2")</f>
        <v>ZONA 2</v>
      </c>
      <c r="K472" s="4" t="str">
        <f>IFERROR(__xludf.DUMMYFUNCTION("""COMPUTED_VALUE"""),"005")</f>
        <v>005</v>
      </c>
      <c r="L472" s="4" t="str">
        <f>IFERROR(__xludf.DUMMYFUNCTION("""COMPUTED_VALUE"""),"TM - 1B/H (Tumpu)")</f>
        <v>TM - 1B/H (Tumpu)</v>
      </c>
      <c r="M472" s="4" t="str">
        <f>IFERROR(__xludf.DUMMYFUNCTION("""COMPUTED_VALUE"""),"Tidak Ada")</f>
        <v>Tidak Ada</v>
      </c>
      <c r="N472" s="4"/>
      <c r="O472" s="4" t="str">
        <f>IFERROR(__xludf.DUMMYFUNCTION("""COMPUTED_VALUE"""),"PEMBANDING SEJENIS")</f>
        <v>PEMBANDING SEJENIS</v>
      </c>
      <c r="P472" s="4" t="str">
        <f>IFERROR(__xludf.DUMMYFUNCTION("""COMPUTED_VALUE"""),"ARRESTER")</f>
        <v>ARRESTER</v>
      </c>
      <c r="Q472" s="4">
        <f>IFERROR(__xludf.DUMMYFUNCTION("""COMPUTED_VALUE"""),19.0)</f>
        <v>19</v>
      </c>
      <c r="R472" s="4">
        <f>IFERROR(__xludf.DUMMYFUNCTION("""COMPUTED_VALUE"""),20.0)</f>
        <v>20</v>
      </c>
      <c r="S472" s="4">
        <f>IFERROR(__xludf.DUMMYFUNCTION("""COMPUTED_VALUE"""),20.0)</f>
        <v>20</v>
      </c>
      <c r="T472" s="4"/>
      <c r="U472" s="4" t="str">
        <f>IFERROR(__xludf.DUMMYFUNCTION("""COMPUTED_VALUE"""),"BAIK")</f>
        <v>BAIK</v>
      </c>
      <c r="V472" s="4" t="str">
        <f>IFERROR(__xludf.DUMMYFUNCTION("""COMPUTED_VALUE"""),"Tidak Ada")</f>
        <v>Tidak Ada</v>
      </c>
      <c r="W472" s="4"/>
      <c r="X472" s="4"/>
      <c r="Y472" s="4"/>
      <c r="Z472" s="4"/>
      <c r="AA472" s="4"/>
      <c r="AB472" s="4"/>
      <c r="AC472" s="4" t="str">
        <f>IFERROR(__xludf.DUMMYFUNCTION("""COMPUTED_VALUE"""),"INSPEKSI SUTM - T2_Images/db563d20.FOTO.081825.jpg")</f>
        <v>INSPEKSI SUTM - T2_Images/db563d20.FOTO.081825.jpg</v>
      </c>
      <c r="AD472" s="4"/>
      <c r="AE472" s="4"/>
      <c r="AF472" s="4" t="str">
        <f>IFERROR(__xludf.DUMMYFUNCTION("""COMPUTED_VALUE"""),"BELUM")</f>
        <v>BELUM</v>
      </c>
      <c r="AG472" s="6">
        <f>IFERROR(__xludf.DUMMYFUNCTION("""COMPUTED_VALUE"""),46073.0)</f>
        <v>46073</v>
      </c>
      <c r="AH472" s="4"/>
      <c r="AI472" s="4"/>
    </row>
    <row r="473" ht="15.75" customHeight="1">
      <c r="A473" s="4" t="str">
        <f>IFERROR(__xludf.DUMMYFUNCTION("""COMPUTED_VALUE"""),"1d5121b5")</f>
        <v>1d5121b5</v>
      </c>
      <c r="B473" s="5">
        <f>IFERROR(__xludf.DUMMYFUNCTION("""COMPUTED_VALUE"""),46073.87206018518)</f>
        <v>46073.87206</v>
      </c>
      <c r="C473" s="4" t="str">
        <f>IFERROR(__xludf.DUMMYFUNCTION("""COMPUTED_VALUE"""),"-6.949056, 107.611929")</f>
        <v>-6.949056, 107.611929</v>
      </c>
      <c r="D473" s="4" t="str">
        <f>IFERROR(__xludf.DUMMYFUNCTION("""COMPUTED_VALUE"""),"Nugi Fuad")</f>
        <v>Nugi Fuad</v>
      </c>
      <c r="E473" s="4" t="str">
        <f>IFERROR(__xludf.DUMMYFUNCTION("""COMPUTED_VALUE"""),"BANDUNG")</f>
        <v>BANDUNG</v>
      </c>
      <c r="F473" s="4" t="str">
        <f>IFERROR(__xludf.DUMMYFUNCTION("""COMPUTED_VALUE"""),"BANDUNG SELATAN")</f>
        <v>BANDUNG SELATAN</v>
      </c>
      <c r="G473" s="4" t="str">
        <f>IFERROR(__xludf.DUMMYFUNCTION("""COMPUTED_VALUE"""),"CIGERELENG")</f>
        <v>CIGERELENG</v>
      </c>
      <c r="H473" s="4" t="str">
        <f>IFERROR(__xludf.DUMMYFUNCTION("""COMPUTED_VALUE"""),"PLSI")</f>
        <v>PLSI</v>
      </c>
      <c r="I473" s="4" t="str">
        <f>IFERROR(__xludf.DUMMYFUNCTION("""COMPUTED_VALUE"""),"PGDB MGHU- REC. CKU")</f>
        <v>PGDB MGHU- REC. CKU</v>
      </c>
      <c r="J473" s="4" t="str">
        <f>IFERROR(__xludf.DUMMYFUNCTION("""COMPUTED_VALUE"""),"ZONA 2")</f>
        <v>ZONA 2</v>
      </c>
      <c r="K473" s="4" t="str">
        <f>IFERROR(__xludf.DUMMYFUNCTION("""COMPUTED_VALUE"""),"006")</f>
        <v>006</v>
      </c>
      <c r="L473" s="4" t="str">
        <f>IFERROR(__xludf.DUMMYFUNCTION("""COMPUTED_VALUE"""),"TM - 16B/H (REC/SSO/LBS)")</f>
        <v>TM - 16B/H (REC/SSO/LBS)</v>
      </c>
      <c r="M473" s="4" t="str">
        <f>IFERROR(__xludf.DUMMYFUNCTION("""COMPUTED_VALUE"""),"SSO")</f>
        <v>SSO</v>
      </c>
      <c r="N473" s="4" t="str">
        <f>IFERROR(__xludf.DUMMYFUNCTION("""COMPUTED_VALUE"""),"DS")</f>
        <v>DS</v>
      </c>
      <c r="O473" s="4" t="str">
        <f>IFERROR(__xludf.DUMMYFUNCTION("""COMPUTED_VALUE"""),"PEMBANDING SEJENIS")</f>
        <v>PEMBANDING SEJENIS</v>
      </c>
      <c r="P473" s="4" t="str">
        <f>IFERROR(__xludf.DUMMYFUNCTION("""COMPUTED_VALUE"""),"KONEKTOR/JUMPER")</f>
        <v>KONEKTOR/JUMPER</v>
      </c>
      <c r="Q473" s="4">
        <f>IFERROR(__xludf.DUMMYFUNCTION("""COMPUTED_VALUE"""),20.0)</f>
        <v>20</v>
      </c>
      <c r="R473" s="4">
        <f>IFERROR(__xludf.DUMMYFUNCTION("""COMPUTED_VALUE"""),21.0)</f>
        <v>21</v>
      </c>
      <c r="S473" s="4">
        <f>IFERROR(__xludf.DUMMYFUNCTION("""COMPUTED_VALUE"""),21.0)</f>
        <v>21</v>
      </c>
      <c r="T473" s="4"/>
      <c r="U473" s="4" t="str">
        <f>IFERROR(__xludf.DUMMYFUNCTION("""COMPUTED_VALUE"""),"BAIK")</f>
        <v>BAIK</v>
      </c>
      <c r="V473" s="4" t="str">
        <f>IFERROR(__xludf.DUMMYFUNCTION("""COMPUTED_VALUE"""),"Tidak Ada")</f>
        <v>Tidak Ada</v>
      </c>
      <c r="W473" s="4"/>
      <c r="X473" s="4"/>
      <c r="Y473" s="4"/>
      <c r="Z473" s="4"/>
      <c r="AA473" s="4"/>
      <c r="AB473" s="4"/>
      <c r="AC473" s="4" t="str">
        <f>IFERROR(__xludf.DUMMYFUNCTION("""COMPUTED_VALUE"""),"INSPEKSI SUTM - T2_Images/1d5121b5.FOTO.081828.jpg")</f>
        <v>INSPEKSI SUTM - T2_Images/1d5121b5.FOTO.081828.jpg</v>
      </c>
      <c r="AD473" s="4"/>
      <c r="AE473" s="4"/>
      <c r="AF473" s="4" t="str">
        <f>IFERROR(__xludf.DUMMYFUNCTION("""COMPUTED_VALUE"""),"BELUM")</f>
        <v>BELUM</v>
      </c>
      <c r="AG473" s="6">
        <f>IFERROR(__xludf.DUMMYFUNCTION("""COMPUTED_VALUE"""),46073.0)</f>
        <v>46073</v>
      </c>
      <c r="AH473" s="4"/>
      <c r="AI473" s="4"/>
    </row>
    <row r="474" ht="15.75" customHeight="1">
      <c r="A474" s="4" t="str">
        <f>IFERROR(__xludf.DUMMYFUNCTION("""COMPUTED_VALUE"""),"0fcb8e9e")</f>
        <v>0fcb8e9e</v>
      </c>
      <c r="B474" s="5">
        <f>IFERROR(__xludf.DUMMYFUNCTION("""COMPUTED_VALUE"""),46073.87305555555)</f>
        <v>46073.87306</v>
      </c>
      <c r="C474" s="4" t="str">
        <f>IFERROR(__xludf.DUMMYFUNCTION("""COMPUTED_VALUE"""),"-6.949056, 107.611929")</f>
        <v>-6.949056, 107.611929</v>
      </c>
      <c r="D474" s="4" t="str">
        <f>IFERROR(__xludf.DUMMYFUNCTION("""COMPUTED_VALUE"""),"Nugi fuad")</f>
        <v>Nugi fuad</v>
      </c>
      <c r="E474" s="4" t="str">
        <f>IFERROR(__xludf.DUMMYFUNCTION("""COMPUTED_VALUE"""),"BANDUNG")</f>
        <v>BANDUNG</v>
      </c>
      <c r="F474" s="4" t="str">
        <f>IFERROR(__xludf.DUMMYFUNCTION("""COMPUTED_VALUE"""),"BANDUNG SELATAN")</f>
        <v>BANDUNG SELATAN</v>
      </c>
      <c r="G474" s="4" t="str">
        <f>IFERROR(__xludf.DUMMYFUNCTION("""COMPUTED_VALUE"""),"CIGERELENG")</f>
        <v>CIGERELENG</v>
      </c>
      <c r="H474" s="4" t="str">
        <f>IFERROR(__xludf.DUMMYFUNCTION("""COMPUTED_VALUE"""),"PLSI")</f>
        <v>PLSI</v>
      </c>
      <c r="I474" s="4" t="str">
        <f>IFERROR(__xludf.DUMMYFUNCTION("""COMPUTED_VALUE"""),"PGDB MGHU- REC. CKU")</f>
        <v>PGDB MGHU- REC. CKU</v>
      </c>
      <c r="J474" s="4" t="str">
        <f>IFERROR(__xludf.DUMMYFUNCTION("""COMPUTED_VALUE"""),"ZONA 2")</f>
        <v>ZONA 2</v>
      </c>
      <c r="K474" s="4" t="str">
        <f>IFERROR(__xludf.DUMMYFUNCTION("""COMPUTED_VALUE"""),"007")</f>
        <v>007</v>
      </c>
      <c r="L474" s="4" t="str">
        <f>IFERROR(__xludf.DUMMYFUNCTION("""COMPUTED_VALUE"""),"TM - 1B/H (Tumpu)")</f>
        <v>TM - 1B/H (Tumpu)</v>
      </c>
      <c r="M474" s="4" t="str">
        <f>IFERROR(__xludf.DUMMYFUNCTION("""COMPUTED_VALUE"""),"Tidak Ada")</f>
        <v>Tidak Ada</v>
      </c>
      <c r="N474" s="4"/>
      <c r="O474" s="4" t="str">
        <f>IFERROR(__xludf.DUMMYFUNCTION("""COMPUTED_VALUE"""),"PEMBANDING SEJENIS")</f>
        <v>PEMBANDING SEJENIS</v>
      </c>
      <c r="P474" s="4" t="str">
        <f>IFERROR(__xludf.DUMMYFUNCTION("""COMPUTED_VALUE"""),"ARRESTER")</f>
        <v>ARRESTER</v>
      </c>
      <c r="Q474" s="4">
        <f>IFERROR(__xludf.DUMMYFUNCTION("""COMPUTED_VALUE"""),18.0)</f>
        <v>18</v>
      </c>
      <c r="R474" s="4">
        <f>IFERROR(__xludf.DUMMYFUNCTION("""COMPUTED_VALUE"""),19.0)</f>
        <v>19</v>
      </c>
      <c r="S474" s="4">
        <f>IFERROR(__xludf.DUMMYFUNCTION("""COMPUTED_VALUE"""),19.0)</f>
        <v>19</v>
      </c>
      <c r="T474" s="4"/>
      <c r="U474" s="4" t="str">
        <f>IFERROR(__xludf.DUMMYFUNCTION("""COMPUTED_VALUE"""),"BAIK")</f>
        <v>BAIK</v>
      </c>
      <c r="V474" s="4" t="str">
        <f>IFERROR(__xludf.DUMMYFUNCTION("""COMPUTED_VALUE"""),"Tidak Ada")</f>
        <v>Tidak Ada</v>
      </c>
      <c r="W474" s="4"/>
      <c r="X474" s="4"/>
      <c r="Y474" s="4"/>
      <c r="Z474" s="4"/>
      <c r="AA474" s="4"/>
      <c r="AB474" s="4"/>
      <c r="AC474" s="4" t="str">
        <f>IFERROR(__xludf.DUMMYFUNCTION("""COMPUTED_VALUE"""),"INSPEKSI SUTM - T2_Images/0fcb8e9e.FOTO.081833.jpg")</f>
        <v>INSPEKSI SUTM - T2_Images/0fcb8e9e.FOTO.081833.jpg</v>
      </c>
      <c r="AD474" s="4"/>
      <c r="AE474" s="4"/>
      <c r="AF474" s="4" t="str">
        <f>IFERROR(__xludf.DUMMYFUNCTION("""COMPUTED_VALUE"""),"BELUM")</f>
        <v>BELUM</v>
      </c>
      <c r="AG474" s="6">
        <f>IFERROR(__xludf.DUMMYFUNCTION("""COMPUTED_VALUE"""),46073.0)</f>
        <v>46073</v>
      </c>
      <c r="AH474" s="4"/>
      <c r="AI474" s="4"/>
    </row>
    <row r="475" ht="15.75" customHeight="1">
      <c r="A475" s="4" t="str">
        <f>IFERROR(__xludf.DUMMYFUNCTION("""COMPUTED_VALUE"""),"75e7d4ca")</f>
        <v>75e7d4ca</v>
      </c>
      <c r="B475" s="5">
        <f>IFERROR(__xludf.DUMMYFUNCTION("""COMPUTED_VALUE"""),46073.87388888889)</f>
        <v>46073.87389</v>
      </c>
      <c r="C475" s="4" t="str">
        <f>IFERROR(__xludf.DUMMYFUNCTION("""COMPUTED_VALUE"""),"-6.949056, 107.611929")</f>
        <v>-6.949056, 107.611929</v>
      </c>
      <c r="D475" s="4" t="str">
        <f>IFERROR(__xludf.DUMMYFUNCTION("""COMPUTED_VALUE"""),"Nugi fuad")</f>
        <v>Nugi fuad</v>
      </c>
      <c r="E475" s="4" t="str">
        <f>IFERROR(__xludf.DUMMYFUNCTION("""COMPUTED_VALUE"""),"BANDUNG")</f>
        <v>BANDUNG</v>
      </c>
      <c r="F475" s="4" t="str">
        <f>IFERROR(__xludf.DUMMYFUNCTION("""COMPUTED_VALUE"""),"BANDUNG SELATAN")</f>
        <v>BANDUNG SELATAN</v>
      </c>
      <c r="G475" s="4" t="str">
        <f>IFERROR(__xludf.DUMMYFUNCTION("""COMPUTED_VALUE"""),"CIGERELENG")</f>
        <v>CIGERELENG</v>
      </c>
      <c r="H475" s="4" t="str">
        <f>IFERROR(__xludf.DUMMYFUNCTION("""COMPUTED_VALUE"""),"PLSI")</f>
        <v>PLSI</v>
      </c>
      <c r="I475" s="4" t="str">
        <f>IFERROR(__xludf.DUMMYFUNCTION("""COMPUTED_VALUE"""),"PGDB MGHU- REC. CKU")</f>
        <v>PGDB MGHU- REC. CKU</v>
      </c>
      <c r="J475" s="4" t="str">
        <f>IFERROR(__xludf.DUMMYFUNCTION("""COMPUTED_VALUE"""),"ZONA 2")</f>
        <v>ZONA 2</v>
      </c>
      <c r="K475" s="4" t="str">
        <f>IFERROR(__xludf.DUMMYFUNCTION("""COMPUTED_VALUE"""),"008")</f>
        <v>008</v>
      </c>
      <c r="L475" s="4" t="str">
        <f>IFERROR(__xludf.DUMMYFUNCTION("""COMPUTED_VALUE"""),"TM - 1B/H (Tumpu)")</f>
        <v>TM - 1B/H (Tumpu)</v>
      </c>
      <c r="M475" s="4" t="str">
        <f>IFERROR(__xludf.DUMMYFUNCTION("""COMPUTED_VALUE"""),"Tidak Ada")</f>
        <v>Tidak Ada</v>
      </c>
      <c r="N475" s="4"/>
      <c r="O475" s="4" t="str">
        <f>IFERROR(__xludf.DUMMYFUNCTION("""COMPUTED_VALUE"""),"PEMBANDING SEJENIS")</f>
        <v>PEMBANDING SEJENIS</v>
      </c>
      <c r="P475" s="4" t="str">
        <f>IFERROR(__xludf.DUMMYFUNCTION("""COMPUTED_VALUE"""),"ARRESTER")</f>
        <v>ARRESTER</v>
      </c>
      <c r="Q475" s="4">
        <f>IFERROR(__xludf.DUMMYFUNCTION("""COMPUTED_VALUE"""),20.0)</f>
        <v>20</v>
      </c>
      <c r="R475" s="4">
        <f>IFERROR(__xludf.DUMMYFUNCTION("""COMPUTED_VALUE"""),20.0)</f>
        <v>20</v>
      </c>
      <c r="S475" s="4">
        <f>IFERROR(__xludf.DUMMYFUNCTION("""COMPUTED_VALUE"""),21.0)</f>
        <v>21</v>
      </c>
      <c r="T475" s="4"/>
      <c r="U475" s="4" t="str">
        <f>IFERROR(__xludf.DUMMYFUNCTION("""COMPUTED_VALUE"""),"BAIK")</f>
        <v>BAIK</v>
      </c>
      <c r="V475" s="4" t="str">
        <f>IFERROR(__xludf.DUMMYFUNCTION("""COMPUTED_VALUE"""),"Tidak Ada")</f>
        <v>Tidak Ada</v>
      </c>
      <c r="W475" s="4"/>
      <c r="X475" s="4"/>
      <c r="Y475" s="4"/>
      <c r="Z475" s="4"/>
      <c r="AA475" s="4"/>
      <c r="AB475" s="4"/>
      <c r="AC475" s="4" t="str">
        <f>IFERROR(__xludf.DUMMYFUNCTION("""COMPUTED_VALUE"""),"INSPEKSI SUTM - T2_Images/75e7d4ca.FOTO.081838.jpg")</f>
        <v>INSPEKSI SUTM - T2_Images/75e7d4ca.FOTO.081838.jpg</v>
      </c>
      <c r="AD475" s="4"/>
      <c r="AE475" s="4"/>
      <c r="AF475" s="4" t="str">
        <f>IFERROR(__xludf.DUMMYFUNCTION("""COMPUTED_VALUE"""),"BELUM")</f>
        <v>BELUM</v>
      </c>
      <c r="AG475" s="6">
        <f>IFERROR(__xludf.DUMMYFUNCTION("""COMPUTED_VALUE"""),46073.0)</f>
        <v>46073</v>
      </c>
      <c r="AH475" s="4"/>
      <c r="AI475" s="4"/>
    </row>
    <row r="476" ht="15.75" customHeight="1">
      <c r="A476" s="4" t="str">
        <f>IFERROR(__xludf.DUMMYFUNCTION("""COMPUTED_VALUE"""),"9a7b79fa")</f>
        <v>9a7b79fa</v>
      </c>
      <c r="B476" s="5">
        <f>IFERROR(__xludf.DUMMYFUNCTION("""COMPUTED_VALUE"""),46073.87461805555)</f>
        <v>46073.87462</v>
      </c>
      <c r="C476" s="4" t="str">
        <f>IFERROR(__xludf.DUMMYFUNCTION("""COMPUTED_VALUE"""),"-6.949056, 107.611929")</f>
        <v>-6.949056, 107.611929</v>
      </c>
      <c r="D476" s="4" t="str">
        <f>IFERROR(__xludf.DUMMYFUNCTION("""COMPUTED_VALUE"""),"Nugi fuad")</f>
        <v>Nugi fuad</v>
      </c>
      <c r="E476" s="4" t="str">
        <f>IFERROR(__xludf.DUMMYFUNCTION("""COMPUTED_VALUE"""),"BANDUNG")</f>
        <v>BANDUNG</v>
      </c>
      <c r="F476" s="4" t="str">
        <f>IFERROR(__xludf.DUMMYFUNCTION("""COMPUTED_VALUE"""),"BANDUNG SELATAN")</f>
        <v>BANDUNG SELATAN</v>
      </c>
      <c r="G476" s="4" t="str">
        <f>IFERROR(__xludf.DUMMYFUNCTION("""COMPUTED_VALUE"""),"CIGERELENG")</f>
        <v>CIGERELENG</v>
      </c>
      <c r="H476" s="4" t="str">
        <f>IFERROR(__xludf.DUMMYFUNCTION("""COMPUTED_VALUE"""),"PLSI")</f>
        <v>PLSI</v>
      </c>
      <c r="I476" s="4" t="str">
        <f>IFERROR(__xludf.DUMMYFUNCTION("""COMPUTED_VALUE"""),"PGDB MGHU- REC. CKU")</f>
        <v>PGDB MGHU- REC. CKU</v>
      </c>
      <c r="J476" s="4" t="str">
        <f>IFERROR(__xludf.DUMMYFUNCTION("""COMPUTED_VALUE"""),"ZONA 2")</f>
        <v>ZONA 2</v>
      </c>
      <c r="K476" s="4" t="str">
        <f>IFERROR(__xludf.DUMMYFUNCTION("""COMPUTED_VALUE"""),"009")</f>
        <v>009</v>
      </c>
      <c r="L476" s="4" t="str">
        <f>IFERROR(__xludf.DUMMYFUNCTION("""COMPUTED_VALUE"""),"TM - 1B/H (Tumpu)")</f>
        <v>TM - 1B/H (Tumpu)</v>
      </c>
      <c r="M476" s="4" t="str">
        <f>IFERROR(__xludf.DUMMYFUNCTION("""COMPUTED_VALUE"""),"Tidak Ada")</f>
        <v>Tidak Ada</v>
      </c>
      <c r="N476" s="4"/>
      <c r="O476" s="4" t="str">
        <f>IFERROR(__xludf.DUMMYFUNCTION("""COMPUTED_VALUE"""),"PEMBANDING SEJENIS")</f>
        <v>PEMBANDING SEJENIS</v>
      </c>
      <c r="P476" s="4" t="str">
        <f>IFERROR(__xludf.DUMMYFUNCTION("""COMPUTED_VALUE"""),"ARRESTER")</f>
        <v>ARRESTER</v>
      </c>
      <c r="Q476" s="4">
        <f>IFERROR(__xludf.DUMMYFUNCTION("""COMPUTED_VALUE"""),19.0)</f>
        <v>19</v>
      </c>
      <c r="R476" s="4">
        <f>IFERROR(__xludf.DUMMYFUNCTION("""COMPUTED_VALUE"""),18.0)</f>
        <v>18</v>
      </c>
      <c r="S476" s="4">
        <f>IFERROR(__xludf.DUMMYFUNCTION("""COMPUTED_VALUE"""),19.0)</f>
        <v>19</v>
      </c>
      <c r="T476" s="4"/>
      <c r="U476" s="4" t="str">
        <f>IFERROR(__xludf.DUMMYFUNCTION("""COMPUTED_VALUE"""),"BAIK")</f>
        <v>BAIK</v>
      </c>
      <c r="V476" s="4" t="str">
        <f>IFERROR(__xludf.DUMMYFUNCTION("""COMPUTED_VALUE"""),"Tidak Ada")</f>
        <v>Tidak Ada</v>
      </c>
      <c r="W476" s="4"/>
      <c r="X476" s="4"/>
      <c r="Y476" s="4"/>
      <c r="Z476" s="4"/>
      <c r="AA476" s="4"/>
      <c r="AB476" s="4"/>
      <c r="AC476" s="4" t="str">
        <f>IFERROR(__xludf.DUMMYFUNCTION("""COMPUTED_VALUE"""),"INSPEKSI SUTM - T2_Images/9a7b79fa.FOTO.081841.jpg")</f>
        <v>INSPEKSI SUTM - T2_Images/9a7b79fa.FOTO.081841.jpg</v>
      </c>
      <c r="AD476" s="4"/>
      <c r="AE476" s="4"/>
      <c r="AF476" s="4" t="str">
        <f>IFERROR(__xludf.DUMMYFUNCTION("""COMPUTED_VALUE"""),"BELUM")</f>
        <v>BELUM</v>
      </c>
      <c r="AG476" s="6">
        <f>IFERROR(__xludf.DUMMYFUNCTION("""COMPUTED_VALUE"""),46073.0)</f>
        <v>46073</v>
      </c>
      <c r="AH476" s="4"/>
      <c r="AI476" s="4"/>
    </row>
    <row r="477" ht="15.75" customHeight="1">
      <c r="A477" s="4" t="str">
        <f>IFERROR(__xludf.DUMMYFUNCTION("""COMPUTED_VALUE"""),"9a57bbb2")</f>
        <v>9a57bbb2</v>
      </c>
      <c r="B477" s="5">
        <f>IFERROR(__xludf.DUMMYFUNCTION("""COMPUTED_VALUE"""),46073.87542824074)</f>
        <v>46073.87543</v>
      </c>
      <c r="C477" s="4" t="str">
        <f>IFERROR(__xludf.DUMMYFUNCTION("""COMPUTED_VALUE"""),"-6.949056, 107.611929")</f>
        <v>-6.949056, 107.611929</v>
      </c>
      <c r="D477" s="4" t="str">
        <f>IFERROR(__xludf.DUMMYFUNCTION("""COMPUTED_VALUE"""),"Nugi fuad")</f>
        <v>Nugi fuad</v>
      </c>
      <c r="E477" s="4" t="str">
        <f>IFERROR(__xludf.DUMMYFUNCTION("""COMPUTED_VALUE"""),"BANDUNG")</f>
        <v>BANDUNG</v>
      </c>
      <c r="F477" s="4" t="str">
        <f>IFERROR(__xludf.DUMMYFUNCTION("""COMPUTED_VALUE"""),"BANDUNG SELATAN")</f>
        <v>BANDUNG SELATAN</v>
      </c>
      <c r="G477" s="4" t="str">
        <f>IFERROR(__xludf.DUMMYFUNCTION("""COMPUTED_VALUE"""),"CIGERELENG")</f>
        <v>CIGERELENG</v>
      </c>
      <c r="H477" s="4" t="str">
        <f>IFERROR(__xludf.DUMMYFUNCTION("""COMPUTED_VALUE"""),"PLSI")</f>
        <v>PLSI</v>
      </c>
      <c r="I477" s="4" t="str">
        <f>IFERROR(__xludf.DUMMYFUNCTION("""COMPUTED_VALUE"""),"PGDB MGHU- REC. CKU")</f>
        <v>PGDB MGHU- REC. CKU</v>
      </c>
      <c r="J477" s="4" t="str">
        <f>IFERROR(__xludf.DUMMYFUNCTION("""COMPUTED_VALUE"""),"ZONA 2")</f>
        <v>ZONA 2</v>
      </c>
      <c r="K477" s="4" t="str">
        <f>IFERROR(__xludf.DUMMYFUNCTION("""COMPUTED_VALUE"""),"010")</f>
        <v>010</v>
      </c>
      <c r="L477" s="4" t="str">
        <f>IFERROR(__xludf.DUMMYFUNCTION("""COMPUTED_VALUE"""),"TM - 4B/H (Afspan)")</f>
        <v>TM - 4B/H (Afspan)</v>
      </c>
      <c r="M477" s="4" t="str">
        <f>IFERROR(__xludf.DUMMYFUNCTION("""COMPUTED_VALUE"""),"Tidak Ada")</f>
        <v>Tidak Ada</v>
      </c>
      <c r="N477" s="4"/>
      <c r="O477" s="4" t="str">
        <f>IFERROR(__xludf.DUMMYFUNCTION("""COMPUTED_VALUE"""),"PEMBANDING SEJENIS")</f>
        <v>PEMBANDING SEJENIS</v>
      </c>
      <c r="P477" s="4" t="str">
        <f>IFERROR(__xludf.DUMMYFUNCTION("""COMPUTED_VALUE"""),"KONEKTOR/JUMPER")</f>
        <v>KONEKTOR/JUMPER</v>
      </c>
      <c r="Q477" s="4">
        <f>IFERROR(__xludf.DUMMYFUNCTION("""COMPUTED_VALUE"""),20.0)</f>
        <v>20</v>
      </c>
      <c r="R477" s="4">
        <f>IFERROR(__xludf.DUMMYFUNCTION("""COMPUTED_VALUE"""),24.0)</f>
        <v>24</v>
      </c>
      <c r="S477" s="4">
        <f>IFERROR(__xludf.DUMMYFUNCTION("""COMPUTED_VALUE"""),21.0)</f>
        <v>21</v>
      </c>
      <c r="T477" s="4"/>
      <c r="U477" s="4" t="str">
        <f>IFERROR(__xludf.DUMMYFUNCTION("""COMPUTED_VALUE"""),"CUKUP")</f>
        <v>CUKUP</v>
      </c>
      <c r="V477" s="4" t="str">
        <f>IFERROR(__xludf.DUMMYFUNCTION("""COMPUTED_VALUE"""),"Tidak Ada")</f>
        <v>Tidak Ada</v>
      </c>
      <c r="W477" s="4"/>
      <c r="X477" s="4"/>
      <c r="Y477" s="4"/>
      <c r="Z477" s="4"/>
      <c r="AA477" s="4"/>
      <c r="AB477" s="4"/>
      <c r="AC477" s="4" t="str">
        <f>IFERROR(__xludf.DUMMYFUNCTION("""COMPUTED_VALUE"""),"INSPEKSI SUTM - T2_Images/9a57bbb2.FOTO.081846.jpg")</f>
        <v>INSPEKSI SUTM - T2_Images/9a57bbb2.FOTO.081846.jpg</v>
      </c>
      <c r="AD477" s="4"/>
      <c r="AE477" s="4"/>
      <c r="AF477" s="4" t="str">
        <f>IFERROR(__xludf.DUMMYFUNCTION("""COMPUTED_VALUE"""),"BELUM")</f>
        <v>BELUM</v>
      </c>
      <c r="AG477" s="6">
        <f>IFERROR(__xludf.DUMMYFUNCTION("""COMPUTED_VALUE"""),46073.0)</f>
        <v>46073</v>
      </c>
      <c r="AH477" s="4"/>
      <c r="AI477" s="4"/>
    </row>
    <row r="478" ht="15.75" customHeight="1">
      <c r="A478" s="4" t="str">
        <f>IFERROR(__xludf.DUMMYFUNCTION("""COMPUTED_VALUE"""),"98d2eedc")</f>
        <v>98d2eedc</v>
      </c>
      <c r="B478" s="5">
        <f>IFERROR(__xludf.DUMMYFUNCTION("""COMPUTED_VALUE"""),46073.87608796296)</f>
        <v>46073.87609</v>
      </c>
      <c r="C478" s="4" t="str">
        <f>IFERROR(__xludf.DUMMYFUNCTION("""COMPUTED_VALUE"""),"-6.949056, 107.611929")</f>
        <v>-6.949056, 107.611929</v>
      </c>
      <c r="D478" s="4" t="str">
        <f>IFERROR(__xludf.DUMMYFUNCTION("""COMPUTED_VALUE"""),"Nugi fuad")</f>
        <v>Nugi fuad</v>
      </c>
      <c r="E478" s="4" t="str">
        <f>IFERROR(__xludf.DUMMYFUNCTION("""COMPUTED_VALUE"""),"BANDUNG")</f>
        <v>BANDUNG</v>
      </c>
      <c r="F478" s="4" t="str">
        <f>IFERROR(__xludf.DUMMYFUNCTION("""COMPUTED_VALUE"""),"BANDUNG SELATAN")</f>
        <v>BANDUNG SELATAN</v>
      </c>
      <c r="G478" s="4" t="str">
        <f>IFERROR(__xludf.DUMMYFUNCTION("""COMPUTED_VALUE"""),"CIGERELENG")</f>
        <v>CIGERELENG</v>
      </c>
      <c r="H478" s="4" t="str">
        <f>IFERROR(__xludf.DUMMYFUNCTION("""COMPUTED_VALUE"""),"PLSI")</f>
        <v>PLSI</v>
      </c>
      <c r="I478" s="4" t="str">
        <f>IFERROR(__xludf.DUMMYFUNCTION("""COMPUTED_VALUE"""),"PGDB MGHU- REC. CKU")</f>
        <v>PGDB MGHU- REC. CKU</v>
      </c>
      <c r="J478" s="4" t="str">
        <f>IFERROR(__xludf.DUMMYFUNCTION("""COMPUTED_VALUE"""),"ZONA 2")</f>
        <v>ZONA 2</v>
      </c>
      <c r="K478" s="4" t="str">
        <f>IFERROR(__xludf.DUMMYFUNCTION("""COMPUTED_VALUE"""),"011")</f>
        <v>011</v>
      </c>
      <c r="L478" s="4" t="str">
        <f>IFERROR(__xludf.DUMMYFUNCTION("""COMPUTED_VALUE"""),"TM - 8B/H (Percabangan)")</f>
        <v>TM - 8B/H (Percabangan)</v>
      </c>
      <c r="M478" s="4" t="str">
        <f>IFERROR(__xludf.DUMMYFUNCTION("""COMPUTED_VALUE"""),"Tidak Ada")</f>
        <v>Tidak Ada</v>
      </c>
      <c r="N478" s="4"/>
      <c r="O478" s="4" t="str">
        <f>IFERROR(__xludf.DUMMYFUNCTION("""COMPUTED_VALUE"""),"PEMBANDING SEJENIS")</f>
        <v>PEMBANDING SEJENIS</v>
      </c>
      <c r="P478" s="4" t="str">
        <f>IFERROR(__xludf.DUMMYFUNCTION("""COMPUTED_VALUE"""),"KONEKTOR/JUMPER")</f>
        <v>KONEKTOR/JUMPER</v>
      </c>
      <c r="Q478" s="4">
        <f>IFERROR(__xludf.DUMMYFUNCTION("""COMPUTED_VALUE"""),19.0)</f>
        <v>19</v>
      </c>
      <c r="R478" s="4">
        <f>IFERROR(__xludf.DUMMYFUNCTION("""COMPUTED_VALUE"""),19.0)</f>
        <v>19</v>
      </c>
      <c r="S478" s="4">
        <f>IFERROR(__xludf.DUMMYFUNCTION("""COMPUTED_VALUE"""),19.0)</f>
        <v>19</v>
      </c>
      <c r="T478" s="4"/>
      <c r="U478" s="4" t="str">
        <f>IFERROR(__xludf.DUMMYFUNCTION("""COMPUTED_VALUE"""),"BAIK")</f>
        <v>BAIK</v>
      </c>
      <c r="V478" s="4" t="str">
        <f>IFERROR(__xludf.DUMMYFUNCTION("""COMPUTED_VALUE"""),"Tidak Ada")</f>
        <v>Tidak Ada</v>
      </c>
      <c r="W478" s="4"/>
      <c r="X478" s="4"/>
      <c r="Y478" s="4"/>
      <c r="Z478" s="4"/>
      <c r="AA478" s="4"/>
      <c r="AB478" s="4"/>
      <c r="AC478" s="4" t="str">
        <f>IFERROR(__xludf.DUMMYFUNCTION("""COMPUTED_VALUE"""),"INSPEKSI SUTM - T2_Images/98d2eedc.FOTO.081850.jpg")</f>
        <v>INSPEKSI SUTM - T2_Images/98d2eedc.FOTO.081850.jpg</v>
      </c>
      <c r="AD478" s="4"/>
      <c r="AE478" s="4"/>
      <c r="AF478" s="4" t="str">
        <f>IFERROR(__xludf.DUMMYFUNCTION("""COMPUTED_VALUE"""),"BELUM")</f>
        <v>BELUM</v>
      </c>
      <c r="AG478" s="6">
        <f>IFERROR(__xludf.DUMMYFUNCTION("""COMPUTED_VALUE"""),46073.0)</f>
        <v>46073</v>
      </c>
      <c r="AH478" s="4"/>
      <c r="AI478" s="4"/>
    </row>
    <row r="479" ht="15.75" customHeight="1">
      <c r="A479" s="4" t="str">
        <f>IFERROR(__xludf.DUMMYFUNCTION("""COMPUTED_VALUE"""),"8877cde4")</f>
        <v>8877cde4</v>
      </c>
      <c r="B479" s="5">
        <f>IFERROR(__xludf.DUMMYFUNCTION("""COMPUTED_VALUE"""),46073.87710648148)</f>
        <v>46073.87711</v>
      </c>
      <c r="C479" s="4" t="str">
        <f>IFERROR(__xludf.DUMMYFUNCTION("""COMPUTED_VALUE"""),"-6.949056, 107.611929")</f>
        <v>-6.949056, 107.611929</v>
      </c>
      <c r="D479" s="4" t="str">
        <f>IFERROR(__xludf.DUMMYFUNCTION("""COMPUTED_VALUE"""),"Nugi fuad")</f>
        <v>Nugi fuad</v>
      </c>
      <c r="E479" s="4" t="str">
        <f>IFERROR(__xludf.DUMMYFUNCTION("""COMPUTED_VALUE"""),"BANDUNG")</f>
        <v>BANDUNG</v>
      </c>
      <c r="F479" s="4" t="str">
        <f>IFERROR(__xludf.DUMMYFUNCTION("""COMPUTED_VALUE"""),"BANDUNG SELATAN")</f>
        <v>BANDUNG SELATAN</v>
      </c>
      <c r="G479" s="4" t="str">
        <f>IFERROR(__xludf.DUMMYFUNCTION("""COMPUTED_VALUE"""),"CIGERELENG")</f>
        <v>CIGERELENG</v>
      </c>
      <c r="H479" s="4" t="str">
        <f>IFERROR(__xludf.DUMMYFUNCTION("""COMPUTED_VALUE"""),"PLSI")</f>
        <v>PLSI</v>
      </c>
      <c r="I479" s="4" t="str">
        <f>IFERROR(__xludf.DUMMYFUNCTION("""COMPUTED_VALUE"""),"PGDB MGHU- REC. CKU")</f>
        <v>PGDB MGHU- REC. CKU</v>
      </c>
      <c r="J479" s="4" t="str">
        <f>IFERROR(__xludf.DUMMYFUNCTION("""COMPUTED_VALUE"""),"ZONA 2")</f>
        <v>ZONA 2</v>
      </c>
      <c r="K479" s="4" t="str">
        <f>IFERROR(__xludf.DUMMYFUNCTION("""COMPUTED_VALUE"""),"016")</f>
        <v>016</v>
      </c>
      <c r="L479" s="4" t="str">
        <f>IFERROR(__xludf.DUMMYFUNCTION("""COMPUTED_VALUE"""),"TM - 8B/H (Percabangan)")</f>
        <v>TM - 8B/H (Percabangan)</v>
      </c>
      <c r="M479" s="4" t="str">
        <f>IFERROR(__xludf.DUMMYFUNCTION("""COMPUTED_VALUE"""),"Tidak Ada")</f>
        <v>Tidak Ada</v>
      </c>
      <c r="N479" s="4"/>
      <c r="O479" s="4" t="str">
        <f>IFERROR(__xludf.DUMMYFUNCTION("""COMPUTED_VALUE"""),"PEMBANDING SEJENIS")</f>
        <v>PEMBANDING SEJENIS</v>
      </c>
      <c r="P479" s="4" t="str">
        <f>IFERROR(__xludf.DUMMYFUNCTION("""COMPUTED_VALUE"""),"KONEKTOR/JUMPER")</f>
        <v>KONEKTOR/JUMPER</v>
      </c>
      <c r="Q479" s="4">
        <f>IFERROR(__xludf.DUMMYFUNCTION("""COMPUTED_VALUE"""),18.0)</f>
        <v>18</v>
      </c>
      <c r="R479" s="4">
        <f>IFERROR(__xludf.DUMMYFUNCTION("""COMPUTED_VALUE"""),19.0)</f>
        <v>19</v>
      </c>
      <c r="S479" s="4">
        <f>IFERROR(__xludf.DUMMYFUNCTION("""COMPUTED_VALUE"""),20.0)</f>
        <v>20</v>
      </c>
      <c r="T479" s="4"/>
      <c r="U479" s="4" t="str">
        <f>IFERROR(__xludf.DUMMYFUNCTION("""COMPUTED_VALUE"""),"BAIK")</f>
        <v>BAIK</v>
      </c>
      <c r="V479" s="4" t="str">
        <f>IFERROR(__xludf.DUMMYFUNCTION("""COMPUTED_VALUE"""),"Tidak Ada")</f>
        <v>Tidak Ada</v>
      </c>
      <c r="W479" s="4"/>
      <c r="X479" s="4"/>
      <c r="Y479" s="4"/>
      <c r="Z479" s="4"/>
      <c r="AA479" s="4"/>
      <c r="AB479" s="4"/>
      <c r="AC479" s="4" t="str">
        <f>IFERROR(__xludf.DUMMYFUNCTION("""COMPUTED_VALUE"""),"INSPEKSI SUTM - T2_Images/8877cde4.FOTO.081853.jpg")</f>
        <v>INSPEKSI SUTM - T2_Images/8877cde4.FOTO.081853.jpg</v>
      </c>
      <c r="AD479" s="4"/>
      <c r="AE479" s="4"/>
      <c r="AF479" s="4" t="str">
        <f>IFERROR(__xludf.DUMMYFUNCTION("""COMPUTED_VALUE"""),"BELUM")</f>
        <v>BELUM</v>
      </c>
      <c r="AG479" s="6">
        <f>IFERROR(__xludf.DUMMYFUNCTION("""COMPUTED_VALUE"""),46073.0)</f>
        <v>46073</v>
      </c>
      <c r="AH479" s="4"/>
      <c r="AI479" s="4"/>
    </row>
    <row r="480" ht="15.75" customHeight="1">
      <c r="A480" s="4" t="str">
        <f>IFERROR(__xludf.DUMMYFUNCTION("""COMPUTED_VALUE"""),"ed1d6f13")</f>
        <v>ed1d6f13</v>
      </c>
      <c r="B480" s="5">
        <f>IFERROR(__xludf.DUMMYFUNCTION("""COMPUTED_VALUE"""),46073.87819444444)</f>
        <v>46073.87819</v>
      </c>
      <c r="C480" s="4" t="str">
        <f>IFERROR(__xludf.DUMMYFUNCTION("""COMPUTED_VALUE"""),"-6.949056, 107.611929")</f>
        <v>-6.949056, 107.611929</v>
      </c>
      <c r="D480" s="4" t="str">
        <f>IFERROR(__xludf.DUMMYFUNCTION("""COMPUTED_VALUE"""),"Nugi fuad")</f>
        <v>Nugi fuad</v>
      </c>
      <c r="E480" s="4" t="str">
        <f>IFERROR(__xludf.DUMMYFUNCTION("""COMPUTED_VALUE"""),"BANDUNG")</f>
        <v>BANDUNG</v>
      </c>
      <c r="F480" s="4" t="str">
        <f>IFERROR(__xludf.DUMMYFUNCTION("""COMPUTED_VALUE"""),"BANDUNG SELATAN")</f>
        <v>BANDUNG SELATAN</v>
      </c>
      <c r="G480" s="4" t="str">
        <f>IFERROR(__xludf.DUMMYFUNCTION("""COMPUTED_VALUE"""),"CIGERELENG")</f>
        <v>CIGERELENG</v>
      </c>
      <c r="H480" s="4" t="str">
        <f>IFERROR(__xludf.DUMMYFUNCTION("""COMPUTED_VALUE"""),"PLSI")</f>
        <v>PLSI</v>
      </c>
      <c r="I480" s="4" t="str">
        <f>IFERROR(__xludf.DUMMYFUNCTION("""COMPUTED_VALUE"""),"PGDB MGHU- REC. CKU")</f>
        <v>PGDB MGHU- REC. CKU</v>
      </c>
      <c r="J480" s="4" t="str">
        <f>IFERROR(__xludf.DUMMYFUNCTION("""COMPUTED_VALUE"""),"ZONA 2")</f>
        <v>ZONA 2</v>
      </c>
      <c r="K480" s="4" t="str">
        <f>IFERROR(__xludf.DUMMYFUNCTION("""COMPUTED_VALUE"""),"017")</f>
        <v>017</v>
      </c>
      <c r="L480" s="4" t="str">
        <f>IFERROR(__xludf.DUMMYFUNCTION("""COMPUTED_VALUE"""),"TM - 4B/H (Afspan)")</f>
        <v>TM - 4B/H (Afspan)</v>
      </c>
      <c r="M480" s="4" t="str">
        <f>IFERROR(__xludf.DUMMYFUNCTION("""COMPUTED_VALUE"""),"Tidak Ada")</f>
        <v>Tidak Ada</v>
      </c>
      <c r="N480" s="4"/>
      <c r="O480" s="4" t="str">
        <f>IFERROR(__xludf.DUMMYFUNCTION("""COMPUTED_VALUE"""),"PEMBANDING SEJENIS")</f>
        <v>PEMBANDING SEJENIS</v>
      </c>
      <c r="P480" s="4" t="str">
        <f>IFERROR(__xludf.DUMMYFUNCTION("""COMPUTED_VALUE"""),"KONEKTOR/JUMPER")</f>
        <v>KONEKTOR/JUMPER</v>
      </c>
      <c r="Q480" s="4">
        <f>IFERROR(__xludf.DUMMYFUNCTION("""COMPUTED_VALUE"""),19.0)</f>
        <v>19</v>
      </c>
      <c r="R480" s="4">
        <f>IFERROR(__xludf.DUMMYFUNCTION("""COMPUTED_VALUE"""),19.0)</f>
        <v>19</v>
      </c>
      <c r="S480" s="4">
        <f>IFERROR(__xludf.DUMMYFUNCTION("""COMPUTED_VALUE"""),18.0)</f>
        <v>18</v>
      </c>
      <c r="T480" s="4"/>
      <c r="U480" s="4" t="str">
        <f>IFERROR(__xludf.DUMMYFUNCTION("""COMPUTED_VALUE"""),"BAIK")</f>
        <v>BAIK</v>
      </c>
      <c r="V480" s="4" t="str">
        <f>IFERROR(__xludf.DUMMYFUNCTION("""COMPUTED_VALUE"""),"Tidak Ada")</f>
        <v>Tidak Ada</v>
      </c>
      <c r="W480" s="4"/>
      <c r="X480" s="4"/>
      <c r="Y480" s="4"/>
      <c r="Z480" s="4"/>
      <c r="AA480" s="4"/>
      <c r="AB480" s="4"/>
      <c r="AC480" s="4" t="str">
        <f>IFERROR(__xludf.DUMMYFUNCTION("""COMPUTED_VALUE"""),"INSPEKSI SUTM - T2_Images/ed1d6f13.FOTO.081856.jpg")</f>
        <v>INSPEKSI SUTM - T2_Images/ed1d6f13.FOTO.081856.jpg</v>
      </c>
      <c r="AD480" s="4"/>
      <c r="AE480" s="4"/>
      <c r="AF480" s="4" t="str">
        <f>IFERROR(__xludf.DUMMYFUNCTION("""COMPUTED_VALUE"""),"BELUM")</f>
        <v>BELUM</v>
      </c>
      <c r="AG480" s="6">
        <f>IFERROR(__xludf.DUMMYFUNCTION("""COMPUTED_VALUE"""),46073.0)</f>
        <v>46073</v>
      </c>
      <c r="AH480" s="4"/>
      <c r="AI480" s="4"/>
    </row>
    <row r="481" ht="15.75" customHeight="1">
      <c r="A481" s="4" t="str">
        <f>IFERROR(__xludf.DUMMYFUNCTION("""COMPUTED_VALUE"""),"e882bb45")</f>
        <v>e882bb45</v>
      </c>
      <c r="B481" s="5">
        <f>IFERROR(__xludf.DUMMYFUNCTION("""COMPUTED_VALUE"""),46073.878958333335)</f>
        <v>46073.87896</v>
      </c>
      <c r="C481" s="4" t="str">
        <f>IFERROR(__xludf.DUMMYFUNCTION("""COMPUTED_VALUE"""),"-6.949056, 107.611929")</f>
        <v>-6.949056, 107.611929</v>
      </c>
      <c r="D481" s="4" t="str">
        <f>IFERROR(__xludf.DUMMYFUNCTION("""COMPUTED_VALUE"""),"Nugi fuad")</f>
        <v>Nugi fuad</v>
      </c>
      <c r="E481" s="4" t="str">
        <f>IFERROR(__xludf.DUMMYFUNCTION("""COMPUTED_VALUE"""),"BANDUNG")</f>
        <v>BANDUNG</v>
      </c>
      <c r="F481" s="4" t="str">
        <f>IFERROR(__xludf.DUMMYFUNCTION("""COMPUTED_VALUE"""),"BANDUNG SELATAN")</f>
        <v>BANDUNG SELATAN</v>
      </c>
      <c r="G481" s="4" t="str">
        <f>IFERROR(__xludf.DUMMYFUNCTION("""COMPUTED_VALUE"""),"CIGERELENG")</f>
        <v>CIGERELENG</v>
      </c>
      <c r="H481" s="4" t="str">
        <f>IFERROR(__xludf.DUMMYFUNCTION("""COMPUTED_VALUE"""),"PLSI")</f>
        <v>PLSI</v>
      </c>
      <c r="I481" s="4" t="str">
        <f>IFERROR(__xludf.DUMMYFUNCTION("""COMPUTED_VALUE"""),"PGDB MGHU- REC. CKU")</f>
        <v>PGDB MGHU- REC. CKU</v>
      </c>
      <c r="J481" s="4" t="str">
        <f>IFERROR(__xludf.DUMMYFUNCTION("""COMPUTED_VALUE"""),"ZONA 2")</f>
        <v>ZONA 2</v>
      </c>
      <c r="K481" s="4" t="str">
        <f>IFERROR(__xludf.DUMMYFUNCTION("""COMPUTED_VALUE"""),"023")</f>
        <v>023</v>
      </c>
      <c r="L481" s="4" t="str">
        <f>IFERROR(__xludf.DUMMYFUNCTION("""COMPUTED_VALUE"""),"TM - 1B/H (Tumpu)")</f>
        <v>TM - 1B/H (Tumpu)</v>
      </c>
      <c r="M481" s="4" t="str">
        <f>IFERROR(__xludf.DUMMYFUNCTION("""COMPUTED_VALUE"""),"Tidak Ada")</f>
        <v>Tidak Ada</v>
      </c>
      <c r="N481" s="4"/>
      <c r="O481" s="4" t="str">
        <f>IFERROR(__xludf.DUMMYFUNCTION("""COMPUTED_VALUE"""),"PEMBANDING SEJENIS")</f>
        <v>PEMBANDING SEJENIS</v>
      </c>
      <c r="P481" s="4" t="str">
        <f>IFERROR(__xludf.DUMMYFUNCTION("""COMPUTED_VALUE"""),"ARRESTER")</f>
        <v>ARRESTER</v>
      </c>
      <c r="Q481" s="4">
        <f>IFERROR(__xludf.DUMMYFUNCTION("""COMPUTED_VALUE"""),18.0)</f>
        <v>18</v>
      </c>
      <c r="R481" s="4">
        <f>IFERROR(__xludf.DUMMYFUNCTION("""COMPUTED_VALUE"""),19.0)</f>
        <v>19</v>
      </c>
      <c r="S481" s="4">
        <f>IFERROR(__xludf.DUMMYFUNCTION("""COMPUTED_VALUE"""),18.0)</f>
        <v>18</v>
      </c>
      <c r="T481" s="4"/>
      <c r="U481" s="4" t="str">
        <f>IFERROR(__xludf.DUMMYFUNCTION("""COMPUTED_VALUE"""),"BAIK")</f>
        <v>BAIK</v>
      </c>
      <c r="V481" s="4" t="str">
        <f>IFERROR(__xludf.DUMMYFUNCTION("""COMPUTED_VALUE"""),"Tidak Ada")</f>
        <v>Tidak Ada</v>
      </c>
      <c r="W481" s="4"/>
      <c r="X481" s="4"/>
      <c r="Y481" s="4"/>
      <c r="Z481" s="4"/>
      <c r="AA481" s="4"/>
      <c r="AB481" s="4"/>
      <c r="AC481" s="4" t="str">
        <f>IFERROR(__xludf.DUMMYFUNCTION("""COMPUTED_VALUE"""),"INSPEKSI SUTM - T2_Images/e882bb45.FOTO.081901.jpg")</f>
        <v>INSPEKSI SUTM - T2_Images/e882bb45.FOTO.081901.jpg</v>
      </c>
      <c r="AD481" s="4"/>
      <c r="AE481" s="4"/>
      <c r="AF481" s="4" t="str">
        <f>IFERROR(__xludf.DUMMYFUNCTION("""COMPUTED_VALUE"""),"BELUM")</f>
        <v>BELUM</v>
      </c>
      <c r="AG481" s="6">
        <f>IFERROR(__xludf.DUMMYFUNCTION("""COMPUTED_VALUE"""),46073.0)</f>
        <v>46073</v>
      </c>
      <c r="AH481" s="4"/>
      <c r="AI481" s="4"/>
    </row>
    <row r="482" ht="15.75" customHeight="1">
      <c r="A482" s="4" t="str">
        <f>IFERROR(__xludf.DUMMYFUNCTION("""COMPUTED_VALUE"""),"9442977e")</f>
        <v>9442977e</v>
      </c>
      <c r="B482" s="5">
        <f>IFERROR(__xludf.DUMMYFUNCTION("""COMPUTED_VALUE"""),46074.89947916667)</f>
        <v>46074.89948</v>
      </c>
      <c r="C482" s="4" t="str">
        <f>IFERROR(__xludf.DUMMYFUNCTION("""COMPUTED_VALUE"""),"-6.912351, 107.684576")</f>
        <v>-6.912351, 107.684576</v>
      </c>
      <c r="D482" s="4" t="str">
        <f>IFERROR(__xludf.DUMMYFUNCTION("""COMPUTED_VALUE"""),"Heri xhandta")</f>
        <v>Heri xhandta</v>
      </c>
      <c r="E482" s="4" t="str">
        <f>IFERROR(__xludf.DUMMYFUNCTION("""COMPUTED_VALUE"""),"BANDUNG")</f>
        <v>BANDUNG</v>
      </c>
      <c r="F482" s="4" t="str">
        <f>IFERROR(__xludf.DUMMYFUNCTION("""COMPUTED_VALUE"""),"UJUNGBERUNG")</f>
        <v>UJUNGBERUNG</v>
      </c>
      <c r="G482" s="4" t="str">
        <f>IFERROR(__xludf.DUMMYFUNCTION("""COMPUTED_VALUE"""),"UJUNGBERUNG")</f>
        <v>UJUNGBERUNG</v>
      </c>
      <c r="H482" s="4" t="str">
        <f>IFERROR(__xludf.DUMMYFUNCTION("""COMPUTED_VALUE"""),"UZP")</f>
        <v>UZP</v>
      </c>
      <c r="I482" s="4" t="str">
        <f>IFERROR(__xludf.DUMMYFUNCTION("""COMPUTED_VALUE"""),"GH BNA-UJUNG SPT")</f>
        <v>GH BNA-UJUNG SPT</v>
      </c>
      <c r="J482" s="4" t="str">
        <f>IFERROR(__xludf.DUMMYFUNCTION("""COMPUTED_VALUE"""),"ZONA 2")</f>
        <v>ZONA 2</v>
      </c>
      <c r="K482" s="4" t="str">
        <f>IFERROR(__xludf.DUMMYFUNCTION("""COMPUTED_VALUE"""),"001")</f>
        <v>001</v>
      </c>
      <c r="L482" s="4" t="str">
        <f>IFERROR(__xludf.DUMMYFUNCTION("""COMPUTED_VALUE"""),"TM - 11B/H (Kabel Naik)")</f>
        <v>TM - 11B/H (Kabel Naik)</v>
      </c>
      <c r="M482" s="4" t="str">
        <f>IFERROR(__xludf.DUMMYFUNCTION("""COMPUTED_VALUE"""),"Tidak Ada")</f>
        <v>Tidak Ada</v>
      </c>
      <c r="N482" s="4"/>
      <c r="O482" s="4" t="str">
        <f>IFERROR(__xludf.DUMMYFUNCTION("""COMPUTED_VALUE"""),"PEMBANDING SEJENIS")</f>
        <v>PEMBANDING SEJENIS</v>
      </c>
      <c r="P482" s="4" t="str">
        <f>IFERROR(__xludf.DUMMYFUNCTION("""COMPUTED_VALUE"""),"TERMINASI")</f>
        <v>TERMINASI</v>
      </c>
      <c r="Q482" s="4">
        <f>IFERROR(__xludf.DUMMYFUNCTION("""COMPUTED_VALUE"""),23.1)</f>
        <v>23.1</v>
      </c>
      <c r="R482" s="4">
        <f>IFERROR(__xludf.DUMMYFUNCTION("""COMPUTED_VALUE"""),23.7)</f>
        <v>23.7</v>
      </c>
      <c r="S482" s="4">
        <f>IFERROR(__xludf.DUMMYFUNCTION("""COMPUTED_VALUE"""),24.5)</f>
        <v>24.5</v>
      </c>
      <c r="T482" s="4"/>
      <c r="U482" s="4" t="str">
        <f>IFERROR(__xludf.DUMMYFUNCTION("""COMPUTED_VALUE"""),"BAIK")</f>
        <v>BAIK</v>
      </c>
      <c r="V482" s="4" t="str">
        <f>IFERROR(__xludf.DUMMYFUNCTION("""COMPUTED_VALUE"""),"Tidak Ada")</f>
        <v>Tidak Ada</v>
      </c>
      <c r="W482" s="4"/>
      <c r="X482" s="4"/>
      <c r="Y482" s="4"/>
      <c r="Z482" s="4"/>
      <c r="AA482" s="4"/>
      <c r="AB482" s="4"/>
      <c r="AC482" s="4" t="str">
        <f>IFERROR(__xludf.DUMMYFUNCTION("""COMPUTED_VALUE"""),"INSPEKSI SUTM - T2_Images/9442977e.FOTO.143647.jpg")</f>
        <v>INSPEKSI SUTM - T2_Images/9442977e.FOTO.143647.jpg</v>
      </c>
      <c r="AD482" s="4"/>
      <c r="AE482" s="4"/>
      <c r="AF482" s="4" t="str">
        <f>IFERROR(__xludf.DUMMYFUNCTION("""COMPUTED_VALUE"""),"BELUM")</f>
        <v>BELUM</v>
      </c>
      <c r="AG482" s="6">
        <f>IFERROR(__xludf.DUMMYFUNCTION("""COMPUTED_VALUE"""),46074.0)</f>
        <v>46074</v>
      </c>
      <c r="AH482" s="4"/>
      <c r="AI482" s="4"/>
    </row>
    <row r="483" ht="15.75" customHeight="1">
      <c r="A483" s="4" t="str">
        <f>IFERROR(__xludf.DUMMYFUNCTION("""COMPUTED_VALUE"""),"cef252b3")</f>
        <v>cef252b3</v>
      </c>
      <c r="B483" s="5">
        <f>IFERROR(__xludf.DUMMYFUNCTION("""COMPUTED_VALUE"""),46074.90068287037)</f>
        <v>46074.90068</v>
      </c>
      <c r="C483" s="4" t="str">
        <f>IFERROR(__xludf.DUMMYFUNCTION("""COMPUTED_VALUE"""),"-6.912353, 107.684572")</f>
        <v>-6.912353, 107.684572</v>
      </c>
      <c r="D483" s="4" t="str">
        <f>IFERROR(__xludf.DUMMYFUNCTION("""COMPUTED_VALUE"""),"Heri chandta")</f>
        <v>Heri chandta</v>
      </c>
      <c r="E483" s="4" t="str">
        <f>IFERROR(__xludf.DUMMYFUNCTION("""COMPUTED_VALUE"""),"BANDUNG")</f>
        <v>BANDUNG</v>
      </c>
      <c r="F483" s="4" t="str">
        <f>IFERROR(__xludf.DUMMYFUNCTION("""COMPUTED_VALUE"""),"UJUNGBERUNG")</f>
        <v>UJUNGBERUNG</v>
      </c>
      <c r="G483" s="4" t="str">
        <f>IFERROR(__xludf.DUMMYFUNCTION("""COMPUTED_VALUE"""),"UJUNGBERUNG")</f>
        <v>UJUNGBERUNG</v>
      </c>
      <c r="H483" s="4" t="str">
        <f>IFERROR(__xludf.DUMMYFUNCTION("""COMPUTED_VALUE"""),"UZP")</f>
        <v>UZP</v>
      </c>
      <c r="I483" s="4" t="str">
        <f>IFERROR(__xludf.DUMMYFUNCTION("""COMPUTED_VALUE"""),"GH BNA-UJUNG SPT")</f>
        <v>GH BNA-UJUNG SPT</v>
      </c>
      <c r="J483" s="4" t="str">
        <f>IFERROR(__xludf.DUMMYFUNCTION("""COMPUTED_VALUE"""),"ZONA 2")</f>
        <v>ZONA 2</v>
      </c>
      <c r="K483" s="4" t="str">
        <f>IFERROR(__xludf.DUMMYFUNCTION("""COMPUTED_VALUE"""),"003")</f>
        <v>003</v>
      </c>
      <c r="L483" s="4" t="str">
        <f>IFERROR(__xludf.DUMMYFUNCTION("""COMPUTED_VALUE"""),"TM - 1B/H (Tumpu)")</f>
        <v>TM - 1B/H (Tumpu)</v>
      </c>
      <c r="M483" s="4" t="str">
        <f>IFERROR(__xludf.DUMMYFUNCTION("""COMPUTED_VALUE"""),"Tidak Ada")</f>
        <v>Tidak Ada</v>
      </c>
      <c r="N483" s="4"/>
      <c r="O483" s="4" t="str">
        <f>IFERROR(__xludf.DUMMYFUNCTION("""COMPUTED_VALUE"""),"PEMBANDING SEJENIS")</f>
        <v>PEMBANDING SEJENIS</v>
      </c>
      <c r="P483" s="4" t="str">
        <f>IFERROR(__xludf.DUMMYFUNCTION("""COMPUTED_VALUE"""),"ARRESTER")</f>
        <v>ARRESTER</v>
      </c>
      <c r="Q483" s="4">
        <f>IFERROR(__xludf.DUMMYFUNCTION("""COMPUTED_VALUE"""),23.0)</f>
        <v>23</v>
      </c>
      <c r="R483" s="4">
        <f>IFERROR(__xludf.DUMMYFUNCTION("""COMPUTED_VALUE"""),19.5)</f>
        <v>19.5</v>
      </c>
      <c r="S483" s="4">
        <f>IFERROR(__xludf.DUMMYFUNCTION("""COMPUTED_VALUE"""),19.2)</f>
        <v>19.2</v>
      </c>
      <c r="T483" s="4"/>
      <c r="U483" s="4" t="str">
        <f>IFERROR(__xludf.DUMMYFUNCTION("""COMPUTED_VALUE"""),"CUKUP")</f>
        <v>CUKUP</v>
      </c>
      <c r="V483" s="4" t="str">
        <f>IFERROR(__xludf.DUMMYFUNCTION("""COMPUTED_VALUE"""),"Tidak Ada")</f>
        <v>Tidak Ada</v>
      </c>
      <c r="W483" s="4"/>
      <c r="X483" s="4"/>
      <c r="Y483" s="4"/>
      <c r="Z483" s="4"/>
      <c r="AA483" s="4"/>
      <c r="AB483" s="4"/>
      <c r="AC483" s="4" t="str">
        <f>IFERROR(__xludf.DUMMYFUNCTION("""COMPUTED_VALUE"""),"INSPEKSI SUTM - T2_Images/cef252b3.FOTO.143737.jpg")</f>
        <v>INSPEKSI SUTM - T2_Images/cef252b3.FOTO.143737.jpg</v>
      </c>
      <c r="AD483" s="4"/>
      <c r="AE483" s="4"/>
      <c r="AF483" s="4" t="str">
        <f>IFERROR(__xludf.DUMMYFUNCTION("""COMPUTED_VALUE"""),"BELUM")</f>
        <v>BELUM</v>
      </c>
      <c r="AG483" s="6">
        <f>IFERROR(__xludf.DUMMYFUNCTION("""COMPUTED_VALUE"""),46074.0)</f>
        <v>46074</v>
      </c>
      <c r="AH483" s="4"/>
      <c r="AI483" s="4"/>
    </row>
    <row r="484" ht="15.75" customHeight="1">
      <c r="A484" s="4" t="str">
        <f>IFERROR(__xludf.DUMMYFUNCTION("""COMPUTED_VALUE"""),"1412d906")</f>
        <v>1412d906</v>
      </c>
      <c r="B484" s="5">
        <f>IFERROR(__xludf.DUMMYFUNCTION("""COMPUTED_VALUE"""),46074.90121527778)</f>
        <v>46074.90122</v>
      </c>
      <c r="C484" s="4" t="str">
        <f>IFERROR(__xludf.DUMMYFUNCTION("""COMPUTED_VALUE"""),"-6.912353, 107.684572")</f>
        <v>-6.912353, 107.684572</v>
      </c>
      <c r="D484" s="4" t="str">
        <f>IFERROR(__xludf.DUMMYFUNCTION("""COMPUTED_VALUE"""),"Herichandra")</f>
        <v>Herichandra</v>
      </c>
      <c r="E484" s="4" t="str">
        <f>IFERROR(__xludf.DUMMYFUNCTION("""COMPUTED_VALUE"""),"BANDUNG")</f>
        <v>BANDUNG</v>
      </c>
      <c r="F484" s="4" t="str">
        <f>IFERROR(__xludf.DUMMYFUNCTION("""COMPUTED_VALUE"""),"UJUNGBERUNG")</f>
        <v>UJUNGBERUNG</v>
      </c>
      <c r="G484" s="4" t="str">
        <f>IFERROR(__xludf.DUMMYFUNCTION("""COMPUTED_VALUE"""),"UJUNGBERUNG")</f>
        <v>UJUNGBERUNG</v>
      </c>
      <c r="H484" s="4" t="str">
        <f>IFERROR(__xludf.DUMMYFUNCTION("""COMPUTED_VALUE"""),"UZP")</f>
        <v>UZP</v>
      </c>
      <c r="I484" s="4" t="str">
        <f>IFERROR(__xludf.DUMMYFUNCTION("""COMPUTED_VALUE"""),"GH BNA-UJUNG SPT")</f>
        <v>GH BNA-UJUNG SPT</v>
      </c>
      <c r="J484" s="4" t="str">
        <f>IFERROR(__xludf.DUMMYFUNCTION("""COMPUTED_VALUE"""),"ZONA 2")</f>
        <v>ZONA 2</v>
      </c>
      <c r="K484" s="4" t="str">
        <f>IFERROR(__xludf.DUMMYFUNCTION("""COMPUTED_VALUE"""),"005")</f>
        <v>005</v>
      </c>
      <c r="L484" s="4" t="str">
        <f>IFERROR(__xludf.DUMMYFUNCTION("""COMPUTED_VALUE"""),"TM - 1B/H (Tumpu)")</f>
        <v>TM - 1B/H (Tumpu)</v>
      </c>
      <c r="M484" s="4" t="str">
        <f>IFERROR(__xludf.DUMMYFUNCTION("""COMPUTED_VALUE"""),"Tidak Ada")</f>
        <v>Tidak Ada</v>
      </c>
      <c r="N484" s="4"/>
      <c r="O484" s="4" t="str">
        <f>IFERROR(__xludf.DUMMYFUNCTION("""COMPUTED_VALUE"""),"PEMBANDING SEJENIS")</f>
        <v>PEMBANDING SEJENIS</v>
      </c>
      <c r="P484" s="4" t="str">
        <f>IFERROR(__xludf.DUMMYFUNCTION("""COMPUTED_VALUE"""),"ARRESTER")</f>
        <v>ARRESTER</v>
      </c>
      <c r="Q484" s="4">
        <f>IFERROR(__xludf.DUMMYFUNCTION("""COMPUTED_VALUE"""),18.2)</f>
        <v>18.2</v>
      </c>
      <c r="R484" s="4">
        <f>IFERROR(__xludf.DUMMYFUNCTION("""COMPUTED_VALUE"""),20.1)</f>
        <v>20.1</v>
      </c>
      <c r="S484" s="4">
        <f>IFERROR(__xludf.DUMMYFUNCTION("""COMPUTED_VALUE"""),19.7)</f>
        <v>19.7</v>
      </c>
      <c r="T484" s="4"/>
      <c r="U484" s="4" t="str">
        <f>IFERROR(__xludf.DUMMYFUNCTION("""COMPUTED_VALUE"""),"BAIK")</f>
        <v>BAIK</v>
      </c>
      <c r="V484" s="4" t="str">
        <f>IFERROR(__xludf.DUMMYFUNCTION("""COMPUTED_VALUE"""),"Tidak Ada")</f>
        <v>Tidak Ada</v>
      </c>
      <c r="W484" s="4"/>
      <c r="X484" s="4"/>
      <c r="Y484" s="4"/>
      <c r="Z484" s="4"/>
      <c r="AA484" s="4"/>
      <c r="AB484" s="4"/>
      <c r="AC484" s="4" t="str">
        <f>IFERROR(__xludf.DUMMYFUNCTION("""COMPUTED_VALUE"""),"INSPEKSI SUTM - T2_Images/1412d906.FOTO.143823.jpg")</f>
        <v>INSPEKSI SUTM - T2_Images/1412d906.FOTO.143823.jpg</v>
      </c>
      <c r="AD484" s="4"/>
      <c r="AE484" s="4"/>
      <c r="AF484" s="4" t="str">
        <f>IFERROR(__xludf.DUMMYFUNCTION("""COMPUTED_VALUE"""),"BELUM")</f>
        <v>BELUM</v>
      </c>
      <c r="AG484" s="6">
        <f>IFERROR(__xludf.DUMMYFUNCTION("""COMPUTED_VALUE"""),46074.0)</f>
        <v>46074</v>
      </c>
      <c r="AH484" s="4"/>
      <c r="AI484" s="4"/>
    </row>
    <row r="485" ht="15.75" customHeight="1">
      <c r="A485" s="4" t="str">
        <f>IFERROR(__xludf.DUMMYFUNCTION("""COMPUTED_VALUE"""),"ca8f5761")</f>
        <v>ca8f5761</v>
      </c>
      <c r="B485" s="5">
        <f>IFERROR(__xludf.DUMMYFUNCTION("""COMPUTED_VALUE"""),46074.901712962965)</f>
        <v>46074.90171</v>
      </c>
      <c r="C485" s="4" t="str">
        <f>IFERROR(__xludf.DUMMYFUNCTION("""COMPUTED_VALUE"""),"-6.913525, 107.685769")</f>
        <v>-6.913525, 107.685769</v>
      </c>
      <c r="D485" s="4" t="str">
        <f>IFERROR(__xludf.DUMMYFUNCTION("""COMPUTED_VALUE"""),"Heri chandra")</f>
        <v>Heri chandra</v>
      </c>
      <c r="E485" s="4" t="str">
        <f>IFERROR(__xludf.DUMMYFUNCTION("""COMPUTED_VALUE"""),"BANDUNG")</f>
        <v>BANDUNG</v>
      </c>
      <c r="F485" s="4" t="str">
        <f>IFERROR(__xludf.DUMMYFUNCTION("""COMPUTED_VALUE"""),"UJUNGBERUNG")</f>
        <v>UJUNGBERUNG</v>
      </c>
      <c r="G485" s="4" t="str">
        <f>IFERROR(__xludf.DUMMYFUNCTION("""COMPUTED_VALUE"""),"UJUNGBERUNG")</f>
        <v>UJUNGBERUNG</v>
      </c>
      <c r="H485" s="4" t="str">
        <f>IFERROR(__xludf.DUMMYFUNCTION("""COMPUTED_VALUE"""),"UZP")</f>
        <v>UZP</v>
      </c>
      <c r="I485" s="4" t="str">
        <f>IFERROR(__xludf.DUMMYFUNCTION("""COMPUTED_VALUE"""),"GH BNA-UJUNG SPT")</f>
        <v>GH BNA-UJUNG SPT</v>
      </c>
      <c r="J485" s="4" t="str">
        <f>IFERROR(__xludf.DUMMYFUNCTION("""COMPUTED_VALUE"""),"ZONA 2")</f>
        <v>ZONA 2</v>
      </c>
      <c r="K485" s="4" t="str">
        <f>IFERROR(__xludf.DUMMYFUNCTION("""COMPUTED_VALUE"""),"007")</f>
        <v>007</v>
      </c>
      <c r="L485" s="4" t="str">
        <f>IFERROR(__xludf.DUMMYFUNCTION("""COMPUTED_VALUE"""),"TM - 4B/H (Afspan)")</f>
        <v>TM - 4B/H (Afspan)</v>
      </c>
      <c r="M485" s="4" t="str">
        <f>IFERROR(__xludf.DUMMYFUNCTION("""COMPUTED_VALUE"""),"Tidak Ada")</f>
        <v>Tidak Ada</v>
      </c>
      <c r="N485" s="4"/>
      <c r="O485" s="4" t="str">
        <f>IFERROR(__xludf.DUMMYFUNCTION("""COMPUTED_VALUE"""),"PEMBANDING SEJENIS")</f>
        <v>PEMBANDING SEJENIS</v>
      </c>
      <c r="P485" s="4" t="str">
        <f>IFERROR(__xludf.DUMMYFUNCTION("""COMPUTED_VALUE"""),"KONEKTOR/JUMPER")</f>
        <v>KONEKTOR/JUMPER</v>
      </c>
      <c r="Q485" s="4">
        <f>IFERROR(__xludf.DUMMYFUNCTION("""COMPUTED_VALUE"""),19.7)</f>
        <v>19.7</v>
      </c>
      <c r="R485" s="4">
        <f>IFERROR(__xludf.DUMMYFUNCTION("""COMPUTED_VALUE"""),21.5)</f>
        <v>21.5</v>
      </c>
      <c r="S485" s="4">
        <f>IFERROR(__xludf.DUMMYFUNCTION("""COMPUTED_VALUE"""),20.7)</f>
        <v>20.7</v>
      </c>
      <c r="T485" s="4"/>
      <c r="U485" s="4" t="str">
        <f>IFERROR(__xludf.DUMMYFUNCTION("""COMPUTED_VALUE"""),"BAIK")</f>
        <v>BAIK</v>
      </c>
      <c r="V485" s="4" t="str">
        <f>IFERROR(__xludf.DUMMYFUNCTION("""COMPUTED_VALUE"""),"Tidak Ada")</f>
        <v>Tidak Ada</v>
      </c>
      <c r="W485" s="4"/>
      <c r="X485" s="4"/>
      <c r="Y485" s="4"/>
      <c r="Z485" s="4"/>
      <c r="AA485" s="4"/>
      <c r="AB485" s="4"/>
      <c r="AC485" s="4" t="str">
        <f>IFERROR(__xludf.DUMMYFUNCTION("""COMPUTED_VALUE"""),"INSPEKSI SUTM - T2_Images/ca8f5761.FOTO.143912.jpg")</f>
        <v>INSPEKSI SUTM - T2_Images/ca8f5761.FOTO.143912.jpg</v>
      </c>
      <c r="AD485" s="4"/>
      <c r="AE485" s="4"/>
      <c r="AF485" s="4" t="str">
        <f>IFERROR(__xludf.DUMMYFUNCTION("""COMPUTED_VALUE"""),"BELUM")</f>
        <v>BELUM</v>
      </c>
      <c r="AG485" s="6">
        <f>IFERROR(__xludf.DUMMYFUNCTION("""COMPUTED_VALUE"""),46074.0)</f>
        <v>46074</v>
      </c>
      <c r="AH485" s="4"/>
      <c r="AI485" s="4"/>
    </row>
    <row r="486" ht="15.75" customHeight="1">
      <c r="A486" s="4" t="str">
        <f>IFERROR(__xludf.DUMMYFUNCTION("""COMPUTED_VALUE"""),"f6509cd0")</f>
        <v>f6509cd0</v>
      </c>
      <c r="B486" s="5">
        <f>IFERROR(__xludf.DUMMYFUNCTION("""COMPUTED_VALUE"""),46074.90238425926)</f>
        <v>46074.90238</v>
      </c>
      <c r="C486" s="4" t="str">
        <f>IFERROR(__xludf.DUMMYFUNCTION("""COMPUTED_VALUE"""),"-6.915374, 107.688146")</f>
        <v>-6.915374, 107.688146</v>
      </c>
      <c r="D486" s="4" t="str">
        <f>IFERROR(__xludf.DUMMYFUNCTION("""COMPUTED_VALUE"""),"Heri xhandra")</f>
        <v>Heri xhandra</v>
      </c>
      <c r="E486" s="4" t="str">
        <f>IFERROR(__xludf.DUMMYFUNCTION("""COMPUTED_VALUE"""),"BANDUNG")</f>
        <v>BANDUNG</v>
      </c>
      <c r="F486" s="4" t="str">
        <f>IFERROR(__xludf.DUMMYFUNCTION("""COMPUTED_VALUE"""),"UJUNGBERUNG")</f>
        <v>UJUNGBERUNG</v>
      </c>
      <c r="G486" s="4" t="str">
        <f>IFERROR(__xludf.DUMMYFUNCTION("""COMPUTED_VALUE"""),"UJUNGBERUNG")</f>
        <v>UJUNGBERUNG</v>
      </c>
      <c r="H486" s="4" t="str">
        <f>IFERROR(__xludf.DUMMYFUNCTION("""COMPUTED_VALUE"""),"UZP")</f>
        <v>UZP</v>
      </c>
      <c r="I486" s="4" t="str">
        <f>IFERROR(__xludf.DUMMYFUNCTION("""COMPUTED_VALUE"""),"GH BNA-UJUNG SPT")</f>
        <v>GH BNA-UJUNG SPT</v>
      </c>
      <c r="J486" s="4" t="str">
        <f>IFERROR(__xludf.DUMMYFUNCTION("""COMPUTED_VALUE"""),"ZONA 2")</f>
        <v>ZONA 2</v>
      </c>
      <c r="K486" s="4" t="str">
        <f>IFERROR(__xludf.DUMMYFUNCTION("""COMPUTED_VALUE"""),"016")</f>
        <v>016</v>
      </c>
      <c r="L486" s="4" t="str">
        <f>IFERROR(__xludf.DUMMYFUNCTION("""COMPUTED_VALUE"""),"TM - 14B/H (Akhir)")</f>
        <v>TM - 14B/H (Akhir)</v>
      </c>
      <c r="M486" s="4" t="str">
        <f>IFERROR(__xludf.DUMMYFUNCTION("""COMPUTED_VALUE"""),"Tidak Ada")</f>
        <v>Tidak Ada</v>
      </c>
      <c r="N486" s="4"/>
      <c r="O486" s="4" t="str">
        <f>IFERROR(__xludf.DUMMYFUNCTION("""COMPUTED_VALUE"""),"PEMBANDING SEJENIS")</f>
        <v>PEMBANDING SEJENIS</v>
      </c>
      <c r="P486" s="4" t="str">
        <f>IFERROR(__xludf.DUMMYFUNCTION("""COMPUTED_VALUE"""),"TERMINASI")</f>
        <v>TERMINASI</v>
      </c>
      <c r="Q486" s="4">
        <f>IFERROR(__xludf.DUMMYFUNCTION("""COMPUTED_VALUE"""),22.2)</f>
        <v>22.2</v>
      </c>
      <c r="R486" s="4">
        <f>IFERROR(__xludf.DUMMYFUNCTION("""COMPUTED_VALUE"""),22.5)</f>
        <v>22.5</v>
      </c>
      <c r="S486" s="4">
        <f>IFERROR(__xludf.DUMMYFUNCTION("""COMPUTED_VALUE"""),23.3)</f>
        <v>23.3</v>
      </c>
      <c r="T486" s="4"/>
      <c r="U486" s="4" t="str">
        <f>IFERROR(__xludf.DUMMYFUNCTION("""COMPUTED_VALUE"""),"BAIK")</f>
        <v>BAIK</v>
      </c>
      <c r="V486" s="4" t="str">
        <f>IFERROR(__xludf.DUMMYFUNCTION("""COMPUTED_VALUE"""),"Tidak Ada")</f>
        <v>Tidak Ada</v>
      </c>
      <c r="W486" s="4"/>
      <c r="X486" s="4"/>
      <c r="Y486" s="4"/>
      <c r="Z486" s="4"/>
      <c r="AA486" s="4"/>
      <c r="AB486" s="4"/>
      <c r="AC486" s="4" t="str">
        <f>IFERROR(__xludf.DUMMYFUNCTION("""COMPUTED_VALUE"""),"INSPEKSI SUTM - T2_Images/f6509cd0.FOTO.144010.jpg")</f>
        <v>INSPEKSI SUTM - T2_Images/f6509cd0.FOTO.144010.jpg</v>
      </c>
      <c r="AD486" s="4"/>
      <c r="AE486" s="4"/>
      <c r="AF486" s="4" t="str">
        <f>IFERROR(__xludf.DUMMYFUNCTION("""COMPUTED_VALUE"""),"BELUM")</f>
        <v>BELUM</v>
      </c>
      <c r="AG486" s="6">
        <f>IFERROR(__xludf.DUMMYFUNCTION("""COMPUTED_VALUE"""),46074.0)</f>
        <v>46074</v>
      </c>
      <c r="AH486" s="4"/>
      <c r="AI486" s="4"/>
    </row>
    <row r="487" ht="15.75" customHeight="1">
      <c r="A487" s="4" t="str">
        <f>IFERROR(__xludf.DUMMYFUNCTION("""COMPUTED_VALUE"""),"2810d29b")</f>
        <v>2810d29b</v>
      </c>
      <c r="B487" s="5">
        <f>IFERROR(__xludf.DUMMYFUNCTION("""COMPUTED_VALUE"""),46076.86494212963)</f>
        <v>46076.86494</v>
      </c>
      <c r="C487" s="4" t="str">
        <f>IFERROR(__xludf.DUMMYFUNCTION("""COMPUTED_VALUE"""),"-6.949056, 107.611929")</f>
        <v>-6.949056, 107.611929</v>
      </c>
      <c r="D487" s="4" t="str">
        <f>IFERROR(__xludf.DUMMYFUNCTION("""COMPUTED_VALUE"""),"Nugi fuad")</f>
        <v>Nugi fuad</v>
      </c>
      <c r="E487" s="4" t="str">
        <f>IFERROR(__xludf.DUMMYFUNCTION("""COMPUTED_VALUE"""),"BANDUNG")</f>
        <v>BANDUNG</v>
      </c>
      <c r="F487" s="4" t="str">
        <f>IFERROR(__xludf.DUMMYFUNCTION("""COMPUTED_VALUE"""),"BANDUNG SELATAN")</f>
        <v>BANDUNG SELATAN</v>
      </c>
      <c r="G487" s="4" t="str">
        <f>IFERROR(__xludf.DUMMYFUNCTION("""COMPUTED_VALUE"""),"CIGERELENG")</f>
        <v>CIGERELENG</v>
      </c>
      <c r="H487" s="4" t="str">
        <f>IFERROR(__xludf.DUMMYFUNCTION("""COMPUTED_VALUE"""),"PLSI")</f>
        <v>PLSI</v>
      </c>
      <c r="I487" s="4" t="str">
        <f>IFERROR(__xludf.DUMMYFUNCTION("""COMPUTED_VALUE"""),"PGDB MGHU- REC. CKU")</f>
        <v>PGDB MGHU- REC. CKU</v>
      </c>
      <c r="J487" s="4" t="str">
        <f>IFERROR(__xludf.DUMMYFUNCTION("""COMPUTED_VALUE"""),"ZONA 2")</f>
        <v>ZONA 2</v>
      </c>
      <c r="K487" s="4" t="str">
        <f>IFERROR(__xludf.DUMMYFUNCTION("""COMPUTED_VALUE"""),"025")</f>
        <v>025</v>
      </c>
      <c r="L487" s="4" t="str">
        <f>IFERROR(__xludf.DUMMYFUNCTION("""COMPUTED_VALUE"""),"TM - 4B/H (Afspan)")</f>
        <v>TM - 4B/H (Afspan)</v>
      </c>
      <c r="M487" s="4" t="str">
        <f>IFERROR(__xludf.DUMMYFUNCTION("""COMPUTED_VALUE"""),"Tidak Ada")</f>
        <v>Tidak Ada</v>
      </c>
      <c r="N487" s="4"/>
      <c r="O487" s="4" t="str">
        <f>IFERROR(__xludf.DUMMYFUNCTION("""COMPUTED_VALUE"""),"PEMBANDING SEJENIS")</f>
        <v>PEMBANDING SEJENIS</v>
      </c>
      <c r="P487" s="4" t="str">
        <f>IFERROR(__xludf.DUMMYFUNCTION("""COMPUTED_VALUE"""),"KONEKTOR/JUMPER")</f>
        <v>KONEKTOR/JUMPER</v>
      </c>
      <c r="Q487" s="4">
        <f>IFERROR(__xludf.DUMMYFUNCTION("""COMPUTED_VALUE"""),20.0)</f>
        <v>20</v>
      </c>
      <c r="R487" s="4">
        <f>IFERROR(__xludf.DUMMYFUNCTION("""COMPUTED_VALUE"""),18.0)</f>
        <v>18</v>
      </c>
      <c r="S487" s="4">
        <f>IFERROR(__xludf.DUMMYFUNCTION("""COMPUTED_VALUE"""),20.0)</f>
        <v>20</v>
      </c>
      <c r="T487" s="4"/>
      <c r="U487" s="4" t="str">
        <f>IFERROR(__xludf.DUMMYFUNCTION("""COMPUTED_VALUE"""),"BAIK")</f>
        <v>BAIK</v>
      </c>
      <c r="V487" s="4" t="str">
        <f>IFERROR(__xludf.DUMMYFUNCTION("""COMPUTED_VALUE"""),"Tidak Ada")</f>
        <v>Tidak Ada</v>
      </c>
      <c r="W487" s="4"/>
      <c r="X487" s="4"/>
      <c r="Y487" s="4"/>
      <c r="Z487" s="4"/>
      <c r="AA487" s="4"/>
      <c r="AB487" s="4"/>
      <c r="AC487" s="4" t="str">
        <f>IFERROR(__xludf.DUMMYFUNCTION("""COMPUTED_VALUE"""),"INSPEKSI SUTM - T2_Images/2810d29b.FOTO.191529.jpg")</f>
        <v>INSPEKSI SUTM - T2_Images/2810d29b.FOTO.191529.jpg</v>
      </c>
      <c r="AD487" s="4"/>
      <c r="AE487" s="4"/>
      <c r="AF487" s="4" t="str">
        <f>IFERROR(__xludf.DUMMYFUNCTION("""COMPUTED_VALUE"""),"BELUM")</f>
        <v>BELUM</v>
      </c>
      <c r="AG487" s="6">
        <f>IFERROR(__xludf.DUMMYFUNCTION("""COMPUTED_VALUE"""),46076.0)</f>
        <v>46076</v>
      </c>
      <c r="AH487" s="4"/>
      <c r="AI487" s="4"/>
    </row>
    <row r="488" ht="15.75" customHeight="1">
      <c r="A488" s="4" t="str">
        <f>IFERROR(__xludf.DUMMYFUNCTION("""COMPUTED_VALUE"""),"0848b4bd")</f>
        <v>0848b4bd</v>
      </c>
      <c r="B488" s="5">
        <f>IFERROR(__xludf.DUMMYFUNCTION("""COMPUTED_VALUE"""),46076.8678125)</f>
        <v>46076.86781</v>
      </c>
      <c r="C488" s="4" t="str">
        <f>IFERROR(__xludf.DUMMYFUNCTION("""COMPUTED_VALUE"""),"-6.949056, 107.611929")</f>
        <v>-6.949056, 107.611929</v>
      </c>
      <c r="D488" s="4" t="str">
        <f>IFERROR(__xludf.DUMMYFUNCTION("""COMPUTED_VALUE"""),"Nugi fuad")</f>
        <v>Nugi fuad</v>
      </c>
      <c r="E488" s="4" t="str">
        <f>IFERROR(__xludf.DUMMYFUNCTION("""COMPUTED_VALUE"""),"BANDUNG")</f>
        <v>BANDUNG</v>
      </c>
      <c r="F488" s="4" t="str">
        <f>IFERROR(__xludf.DUMMYFUNCTION("""COMPUTED_VALUE"""),"BANDUNG SELATAN")</f>
        <v>BANDUNG SELATAN</v>
      </c>
      <c r="G488" s="4" t="str">
        <f>IFERROR(__xludf.DUMMYFUNCTION("""COMPUTED_VALUE"""),"CIGERELENG")</f>
        <v>CIGERELENG</v>
      </c>
      <c r="H488" s="4" t="str">
        <f>IFERROR(__xludf.DUMMYFUNCTION("""COMPUTED_VALUE"""),"PLSI")</f>
        <v>PLSI</v>
      </c>
      <c r="I488" s="4" t="str">
        <f>IFERROR(__xludf.DUMMYFUNCTION("""COMPUTED_VALUE"""),"PGDB MGHU- REC. CKU")</f>
        <v>PGDB MGHU- REC. CKU</v>
      </c>
      <c r="J488" s="4" t="str">
        <f>IFERROR(__xludf.DUMMYFUNCTION("""COMPUTED_VALUE"""),"ZONA 2")</f>
        <v>ZONA 2</v>
      </c>
      <c r="K488" s="4" t="str">
        <f>IFERROR(__xludf.DUMMYFUNCTION("""COMPUTED_VALUE"""),"027")</f>
        <v>027</v>
      </c>
      <c r="L488" s="4" t="str">
        <f>IFERROR(__xludf.DUMMYFUNCTION("""COMPUTED_VALUE"""),"TM - 4B/H (Afspan)")</f>
        <v>TM - 4B/H (Afspan)</v>
      </c>
      <c r="M488" s="4" t="str">
        <f>IFERROR(__xludf.DUMMYFUNCTION("""COMPUTED_VALUE"""),"Tidak Ada")</f>
        <v>Tidak Ada</v>
      </c>
      <c r="N488" s="4"/>
      <c r="O488" s="4" t="str">
        <f>IFERROR(__xludf.DUMMYFUNCTION("""COMPUTED_VALUE"""),"PEMBANDING SEJENIS")</f>
        <v>PEMBANDING SEJENIS</v>
      </c>
      <c r="P488" s="4" t="str">
        <f>IFERROR(__xludf.DUMMYFUNCTION("""COMPUTED_VALUE"""),"KONEKTOR/JUMPER")</f>
        <v>KONEKTOR/JUMPER</v>
      </c>
      <c r="Q488" s="4">
        <f>IFERROR(__xludf.DUMMYFUNCTION("""COMPUTED_VALUE"""),19.0)</f>
        <v>19</v>
      </c>
      <c r="R488" s="4">
        <f>IFERROR(__xludf.DUMMYFUNCTION("""COMPUTED_VALUE"""),21.0)</f>
        <v>21</v>
      </c>
      <c r="S488" s="4">
        <f>IFERROR(__xludf.DUMMYFUNCTION("""COMPUTED_VALUE"""),18.0)</f>
        <v>18</v>
      </c>
      <c r="T488" s="4"/>
      <c r="U488" s="4" t="str">
        <f>IFERROR(__xludf.DUMMYFUNCTION("""COMPUTED_VALUE"""),"CUKUP")</f>
        <v>CUKUP</v>
      </c>
      <c r="V488" s="4" t="str">
        <f>IFERROR(__xludf.DUMMYFUNCTION("""COMPUTED_VALUE"""),"Tidak Ada")</f>
        <v>Tidak Ada</v>
      </c>
      <c r="W488" s="4"/>
      <c r="X488" s="4"/>
      <c r="Y488" s="4"/>
      <c r="Z488" s="4"/>
      <c r="AA488" s="4"/>
      <c r="AB488" s="4"/>
      <c r="AC488" s="4" t="str">
        <f>IFERROR(__xludf.DUMMYFUNCTION("""COMPUTED_VALUE"""),"INSPEKSI SUTM - T2_Images/0848b4bd.FOTO.191537.jpg")</f>
        <v>INSPEKSI SUTM - T2_Images/0848b4bd.FOTO.191537.jpg</v>
      </c>
      <c r="AD488" s="4"/>
      <c r="AE488" s="4"/>
      <c r="AF488" s="4" t="str">
        <f>IFERROR(__xludf.DUMMYFUNCTION("""COMPUTED_VALUE"""),"BELUM")</f>
        <v>BELUM</v>
      </c>
      <c r="AG488" s="6">
        <f>IFERROR(__xludf.DUMMYFUNCTION("""COMPUTED_VALUE"""),46076.0)</f>
        <v>46076</v>
      </c>
      <c r="AH488" s="4"/>
      <c r="AI488" s="4"/>
    </row>
    <row r="489" ht="15.75" customHeight="1">
      <c r="A489" s="4" t="str">
        <f>IFERROR(__xludf.DUMMYFUNCTION("""COMPUTED_VALUE"""),"5cdfa96c")</f>
        <v>5cdfa96c</v>
      </c>
      <c r="B489" s="5">
        <f>IFERROR(__xludf.DUMMYFUNCTION("""COMPUTED_VALUE"""),46076.868622685186)</f>
        <v>46076.86862</v>
      </c>
      <c r="C489" s="4" t="str">
        <f>IFERROR(__xludf.DUMMYFUNCTION("""COMPUTED_VALUE"""),"-6.949056, 107.611929")</f>
        <v>-6.949056, 107.611929</v>
      </c>
      <c r="D489" s="4" t="str">
        <f>IFERROR(__xludf.DUMMYFUNCTION("""COMPUTED_VALUE"""),"Nugi fuad")</f>
        <v>Nugi fuad</v>
      </c>
      <c r="E489" s="4" t="str">
        <f>IFERROR(__xludf.DUMMYFUNCTION("""COMPUTED_VALUE"""),"BANDUNG")</f>
        <v>BANDUNG</v>
      </c>
      <c r="F489" s="4" t="str">
        <f>IFERROR(__xludf.DUMMYFUNCTION("""COMPUTED_VALUE"""),"BANDUNG SELATAN")</f>
        <v>BANDUNG SELATAN</v>
      </c>
      <c r="G489" s="4" t="str">
        <f>IFERROR(__xludf.DUMMYFUNCTION("""COMPUTED_VALUE"""),"CIGERELENG")</f>
        <v>CIGERELENG</v>
      </c>
      <c r="H489" s="4" t="str">
        <f>IFERROR(__xludf.DUMMYFUNCTION("""COMPUTED_VALUE"""),"PLSI")</f>
        <v>PLSI</v>
      </c>
      <c r="I489" s="4" t="str">
        <f>IFERROR(__xludf.DUMMYFUNCTION("""COMPUTED_VALUE"""),"PGDB MGHU- REC. CKU")</f>
        <v>PGDB MGHU- REC. CKU</v>
      </c>
      <c r="J489" s="4" t="str">
        <f>IFERROR(__xludf.DUMMYFUNCTION("""COMPUTED_VALUE"""),"ZONA 2")</f>
        <v>ZONA 2</v>
      </c>
      <c r="K489" s="4" t="str">
        <f>IFERROR(__xludf.DUMMYFUNCTION("""COMPUTED_VALUE"""),"029")</f>
        <v>029</v>
      </c>
      <c r="L489" s="4" t="str">
        <f>IFERROR(__xludf.DUMMYFUNCTION("""COMPUTED_VALUE"""),"TM - 7B/H (Afspan 90 Derajat)")</f>
        <v>TM - 7B/H (Afspan 90 Derajat)</v>
      </c>
      <c r="M489" s="4" t="str">
        <f>IFERROR(__xludf.DUMMYFUNCTION("""COMPUTED_VALUE"""),"Tidak Ada")</f>
        <v>Tidak Ada</v>
      </c>
      <c r="N489" s="4"/>
      <c r="O489" s="4" t="str">
        <f>IFERROR(__xludf.DUMMYFUNCTION("""COMPUTED_VALUE"""),"PEMBANDING SEJENIS")</f>
        <v>PEMBANDING SEJENIS</v>
      </c>
      <c r="P489" s="4" t="str">
        <f>IFERROR(__xludf.DUMMYFUNCTION("""COMPUTED_VALUE"""),"KONEKTOR/JUMPER")</f>
        <v>KONEKTOR/JUMPER</v>
      </c>
      <c r="Q489" s="4">
        <f>IFERROR(__xludf.DUMMYFUNCTION("""COMPUTED_VALUE"""),21.0)</f>
        <v>21</v>
      </c>
      <c r="R489" s="4">
        <f>IFERROR(__xludf.DUMMYFUNCTION("""COMPUTED_VALUE"""),21.0)</f>
        <v>21</v>
      </c>
      <c r="S489" s="4">
        <f>IFERROR(__xludf.DUMMYFUNCTION("""COMPUTED_VALUE"""),20.0)</f>
        <v>20</v>
      </c>
      <c r="T489" s="4"/>
      <c r="U489" s="4" t="str">
        <f>IFERROR(__xludf.DUMMYFUNCTION("""COMPUTED_VALUE"""),"BAIK")</f>
        <v>BAIK</v>
      </c>
      <c r="V489" s="4" t="str">
        <f>IFERROR(__xludf.DUMMYFUNCTION("""COMPUTED_VALUE"""),"Tidak Ada")</f>
        <v>Tidak Ada</v>
      </c>
      <c r="W489" s="4"/>
      <c r="X489" s="4"/>
      <c r="Y489" s="4"/>
      <c r="Z489" s="4"/>
      <c r="AA489" s="4"/>
      <c r="AB489" s="4"/>
      <c r="AC489" s="4" t="str">
        <f>IFERROR(__xludf.DUMMYFUNCTION("""COMPUTED_VALUE"""),"INSPEKSI SUTM - T2_Images/5cdfa96c.FOTO.191554.jpg")</f>
        <v>INSPEKSI SUTM - T2_Images/5cdfa96c.FOTO.191554.jpg</v>
      </c>
      <c r="AD489" s="4"/>
      <c r="AE489" s="4"/>
      <c r="AF489" s="4" t="str">
        <f>IFERROR(__xludf.DUMMYFUNCTION("""COMPUTED_VALUE"""),"BELUM")</f>
        <v>BELUM</v>
      </c>
      <c r="AG489" s="6">
        <f>IFERROR(__xludf.DUMMYFUNCTION("""COMPUTED_VALUE"""),46076.0)</f>
        <v>46076</v>
      </c>
      <c r="AH489" s="4"/>
      <c r="AI489" s="4"/>
    </row>
    <row r="490" ht="15.75" customHeight="1">
      <c r="A490" s="4" t="str">
        <f>IFERROR(__xludf.DUMMYFUNCTION("""COMPUTED_VALUE"""),"4bace78f")</f>
        <v>4bace78f</v>
      </c>
      <c r="B490" s="5">
        <f>IFERROR(__xludf.DUMMYFUNCTION("""COMPUTED_VALUE"""),46076.86934027778)</f>
        <v>46076.86934</v>
      </c>
      <c r="C490" s="4" t="str">
        <f>IFERROR(__xludf.DUMMYFUNCTION("""COMPUTED_VALUE"""),"-6.949056, 107.611929")</f>
        <v>-6.949056, 107.611929</v>
      </c>
      <c r="D490" s="4" t="str">
        <f>IFERROR(__xludf.DUMMYFUNCTION("""COMPUTED_VALUE"""),"Nugi fuad")</f>
        <v>Nugi fuad</v>
      </c>
      <c r="E490" s="4" t="str">
        <f>IFERROR(__xludf.DUMMYFUNCTION("""COMPUTED_VALUE"""),"BANDUNG")</f>
        <v>BANDUNG</v>
      </c>
      <c r="F490" s="4" t="str">
        <f>IFERROR(__xludf.DUMMYFUNCTION("""COMPUTED_VALUE"""),"BANDUNG SELATAN")</f>
        <v>BANDUNG SELATAN</v>
      </c>
      <c r="G490" s="4" t="str">
        <f>IFERROR(__xludf.DUMMYFUNCTION("""COMPUTED_VALUE"""),"CIGERELENG")</f>
        <v>CIGERELENG</v>
      </c>
      <c r="H490" s="4" t="str">
        <f>IFERROR(__xludf.DUMMYFUNCTION("""COMPUTED_VALUE"""),"PLSI")</f>
        <v>PLSI</v>
      </c>
      <c r="I490" s="4" t="str">
        <f>IFERROR(__xludf.DUMMYFUNCTION("""COMPUTED_VALUE"""),"PGDB MGHU- REC. CKU")</f>
        <v>PGDB MGHU- REC. CKU</v>
      </c>
      <c r="J490" s="4" t="str">
        <f>IFERROR(__xludf.DUMMYFUNCTION("""COMPUTED_VALUE"""),"ZONA 2")</f>
        <v>ZONA 2</v>
      </c>
      <c r="K490" s="4" t="str">
        <f>IFERROR(__xludf.DUMMYFUNCTION("""COMPUTED_VALUE"""),"031")</f>
        <v>031</v>
      </c>
      <c r="L490" s="4" t="str">
        <f>IFERROR(__xludf.DUMMYFUNCTION("""COMPUTED_VALUE"""),"TM - 1B/H (Tumpu)")</f>
        <v>TM - 1B/H (Tumpu)</v>
      </c>
      <c r="M490" s="4" t="str">
        <f>IFERROR(__xludf.DUMMYFUNCTION("""COMPUTED_VALUE"""),"Tidak Ada")</f>
        <v>Tidak Ada</v>
      </c>
      <c r="N490" s="4"/>
      <c r="O490" s="4" t="str">
        <f>IFERROR(__xludf.DUMMYFUNCTION("""COMPUTED_VALUE"""),"PEMBANDING SEJENIS")</f>
        <v>PEMBANDING SEJENIS</v>
      </c>
      <c r="P490" s="4" t="str">
        <f>IFERROR(__xludf.DUMMYFUNCTION("""COMPUTED_VALUE"""),"ARRESTER")</f>
        <v>ARRESTER</v>
      </c>
      <c r="Q490" s="4">
        <f>IFERROR(__xludf.DUMMYFUNCTION("""COMPUTED_VALUE"""),19.0)</f>
        <v>19</v>
      </c>
      <c r="R490" s="4">
        <f>IFERROR(__xludf.DUMMYFUNCTION("""COMPUTED_VALUE"""),20.0)</f>
        <v>20</v>
      </c>
      <c r="S490" s="4">
        <f>IFERROR(__xludf.DUMMYFUNCTION("""COMPUTED_VALUE"""),19.0)</f>
        <v>19</v>
      </c>
      <c r="T490" s="4"/>
      <c r="U490" s="4" t="str">
        <f>IFERROR(__xludf.DUMMYFUNCTION("""COMPUTED_VALUE"""),"BAIK")</f>
        <v>BAIK</v>
      </c>
      <c r="V490" s="4" t="str">
        <f>IFERROR(__xludf.DUMMYFUNCTION("""COMPUTED_VALUE"""),"Tidak Ada")</f>
        <v>Tidak Ada</v>
      </c>
      <c r="W490" s="4"/>
      <c r="X490" s="4"/>
      <c r="Y490" s="4"/>
      <c r="Z490" s="4"/>
      <c r="AA490" s="4"/>
      <c r="AB490" s="4"/>
      <c r="AC490" s="4" t="str">
        <f>IFERROR(__xludf.DUMMYFUNCTION("""COMPUTED_VALUE"""),"INSPEKSI SUTM - T2_Images/4bace78f.FOTO.191558.jpg")</f>
        <v>INSPEKSI SUTM - T2_Images/4bace78f.FOTO.191558.jpg</v>
      </c>
      <c r="AD490" s="4"/>
      <c r="AE490" s="4"/>
      <c r="AF490" s="4" t="str">
        <f>IFERROR(__xludf.DUMMYFUNCTION("""COMPUTED_VALUE"""),"BELUM")</f>
        <v>BELUM</v>
      </c>
      <c r="AG490" s="6">
        <f>IFERROR(__xludf.DUMMYFUNCTION("""COMPUTED_VALUE"""),46076.0)</f>
        <v>46076</v>
      </c>
      <c r="AH490" s="4"/>
      <c r="AI490" s="4"/>
    </row>
    <row r="491" ht="15.75" customHeight="1">
      <c r="A491" s="4" t="str">
        <f>IFERROR(__xludf.DUMMYFUNCTION("""COMPUTED_VALUE"""),"d088ad2c")</f>
        <v>d088ad2c</v>
      </c>
      <c r="B491" s="5">
        <f>IFERROR(__xludf.DUMMYFUNCTION("""COMPUTED_VALUE"""),46076.87099537037)</f>
        <v>46076.871</v>
      </c>
      <c r="C491" s="4" t="str">
        <f>IFERROR(__xludf.DUMMYFUNCTION("""COMPUTED_VALUE"""),"-6.949056, 107.611929")</f>
        <v>-6.949056, 107.611929</v>
      </c>
      <c r="D491" s="4" t="str">
        <f>IFERROR(__xludf.DUMMYFUNCTION("""COMPUTED_VALUE"""),"Nugi fuad")</f>
        <v>Nugi fuad</v>
      </c>
      <c r="E491" s="4" t="str">
        <f>IFERROR(__xludf.DUMMYFUNCTION("""COMPUTED_VALUE"""),"BANDUNG")</f>
        <v>BANDUNG</v>
      </c>
      <c r="F491" s="4" t="str">
        <f>IFERROR(__xludf.DUMMYFUNCTION("""COMPUTED_VALUE"""),"BANDUNG SELATAN")</f>
        <v>BANDUNG SELATAN</v>
      </c>
      <c r="G491" s="4" t="str">
        <f>IFERROR(__xludf.DUMMYFUNCTION("""COMPUTED_VALUE"""),"CIGERELENG")</f>
        <v>CIGERELENG</v>
      </c>
      <c r="H491" s="4" t="str">
        <f>IFERROR(__xludf.DUMMYFUNCTION("""COMPUTED_VALUE"""),"PLSI")</f>
        <v>PLSI</v>
      </c>
      <c r="I491" s="4" t="str">
        <f>IFERROR(__xludf.DUMMYFUNCTION("""COMPUTED_VALUE"""),"PGDB MGHU- REC. CKU")</f>
        <v>PGDB MGHU- REC. CKU</v>
      </c>
      <c r="J491" s="4" t="str">
        <f>IFERROR(__xludf.DUMMYFUNCTION("""COMPUTED_VALUE"""),"ZONA 2")</f>
        <v>ZONA 2</v>
      </c>
      <c r="K491" s="4" t="str">
        <f>IFERROR(__xludf.DUMMYFUNCTION("""COMPUTED_VALUE"""),"033")</f>
        <v>033</v>
      </c>
      <c r="L491" s="4" t="str">
        <f>IFERROR(__xludf.DUMMYFUNCTION("""COMPUTED_VALUE"""),"TM - 4B/H (Afspan)")</f>
        <v>TM - 4B/H (Afspan)</v>
      </c>
      <c r="M491" s="4" t="str">
        <f>IFERROR(__xludf.DUMMYFUNCTION("""COMPUTED_VALUE"""),"Tidak Ada")</f>
        <v>Tidak Ada</v>
      </c>
      <c r="N491" s="4"/>
      <c r="O491" s="4" t="str">
        <f>IFERROR(__xludf.DUMMYFUNCTION("""COMPUTED_VALUE"""),"PEMBANDING SEJENIS")</f>
        <v>PEMBANDING SEJENIS</v>
      </c>
      <c r="P491" s="4" t="str">
        <f>IFERROR(__xludf.DUMMYFUNCTION("""COMPUTED_VALUE"""),"KONEKTOR/JUMPER")</f>
        <v>KONEKTOR/JUMPER</v>
      </c>
      <c r="Q491" s="4">
        <f>IFERROR(__xludf.DUMMYFUNCTION("""COMPUTED_VALUE"""),19.0)</f>
        <v>19</v>
      </c>
      <c r="R491" s="4">
        <f>IFERROR(__xludf.DUMMYFUNCTION("""COMPUTED_VALUE"""),18.0)</f>
        <v>18</v>
      </c>
      <c r="S491" s="4">
        <f>IFERROR(__xludf.DUMMYFUNCTION("""COMPUTED_VALUE"""),19.0)</f>
        <v>19</v>
      </c>
      <c r="T491" s="4"/>
      <c r="U491" s="4" t="str">
        <f>IFERROR(__xludf.DUMMYFUNCTION("""COMPUTED_VALUE"""),"BAIK")</f>
        <v>BAIK</v>
      </c>
      <c r="V491" s="4" t="str">
        <f>IFERROR(__xludf.DUMMYFUNCTION("""COMPUTED_VALUE"""),"Tidak Ada")</f>
        <v>Tidak Ada</v>
      </c>
      <c r="W491" s="4"/>
      <c r="X491" s="4"/>
      <c r="Y491" s="4"/>
      <c r="Z491" s="4"/>
      <c r="AA491" s="4"/>
      <c r="AB491" s="4"/>
      <c r="AC491" s="4" t="str">
        <f>IFERROR(__xludf.DUMMYFUNCTION("""COMPUTED_VALUE"""),"INSPEKSI SUTM - T2_Images/d088ad2c.FOTO.191608.jpg")</f>
        <v>INSPEKSI SUTM - T2_Images/d088ad2c.FOTO.191608.jpg</v>
      </c>
      <c r="AD491" s="4"/>
      <c r="AE491" s="4"/>
      <c r="AF491" s="4" t="str">
        <f>IFERROR(__xludf.DUMMYFUNCTION("""COMPUTED_VALUE"""),"BELUM")</f>
        <v>BELUM</v>
      </c>
      <c r="AG491" s="6">
        <f>IFERROR(__xludf.DUMMYFUNCTION("""COMPUTED_VALUE"""),46076.0)</f>
        <v>46076</v>
      </c>
      <c r="AH491" s="4"/>
      <c r="AI491" s="4"/>
    </row>
    <row r="492" ht="15.75" customHeight="1">
      <c r="A492" s="4" t="str">
        <f>IFERROR(__xludf.DUMMYFUNCTION("""COMPUTED_VALUE"""),"70b7ed53")</f>
        <v>70b7ed53</v>
      </c>
      <c r="B492" s="5">
        <f>IFERROR(__xludf.DUMMYFUNCTION("""COMPUTED_VALUE"""),46076.87378472222)</f>
        <v>46076.87378</v>
      </c>
      <c r="C492" s="4" t="str">
        <f>IFERROR(__xludf.DUMMYFUNCTION("""COMPUTED_VALUE"""),"-6.949056, 107.611929")</f>
        <v>-6.949056, 107.611929</v>
      </c>
      <c r="D492" s="4" t="str">
        <f>IFERROR(__xludf.DUMMYFUNCTION("""COMPUTED_VALUE"""),"Nugi fuad")</f>
        <v>Nugi fuad</v>
      </c>
      <c r="E492" s="4" t="str">
        <f>IFERROR(__xludf.DUMMYFUNCTION("""COMPUTED_VALUE"""),"BANDUNG")</f>
        <v>BANDUNG</v>
      </c>
      <c r="F492" s="4" t="str">
        <f>IFERROR(__xludf.DUMMYFUNCTION("""COMPUTED_VALUE"""),"BANDUNG SELATAN")</f>
        <v>BANDUNG SELATAN</v>
      </c>
      <c r="G492" s="4" t="str">
        <f>IFERROR(__xludf.DUMMYFUNCTION("""COMPUTED_VALUE"""),"CIGERELENG")</f>
        <v>CIGERELENG</v>
      </c>
      <c r="H492" s="4" t="str">
        <f>IFERROR(__xludf.DUMMYFUNCTION("""COMPUTED_VALUE"""),"PLSI")</f>
        <v>PLSI</v>
      </c>
      <c r="I492" s="4" t="str">
        <f>IFERROR(__xludf.DUMMYFUNCTION("""COMPUTED_VALUE"""),"PGDB MGHU- REC. CKU")</f>
        <v>PGDB MGHU- REC. CKU</v>
      </c>
      <c r="J492" s="4" t="str">
        <f>IFERROR(__xludf.DUMMYFUNCTION("""COMPUTED_VALUE"""),"ZONA 2")</f>
        <v>ZONA 2</v>
      </c>
      <c r="K492" s="4" t="str">
        <f>IFERROR(__xludf.DUMMYFUNCTION("""COMPUTED_VALUE"""),"034")</f>
        <v>034</v>
      </c>
      <c r="L492" s="4" t="str">
        <f>IFERROR(__xludf.DUMMYFUNCTION("""COMPUTED_VALUE"""),"TM - 8B/H (Percabangan)")</f>
        <v>TM - 8B/H (Percabangan)</v>
      </c>
      <c r="M492" s="4" t="str">
        <f>IFERROR(__xludf.DUMMYFUNCTION("""COMPUTED_VALUE"""),"Tidak Ada")</f>
        <v>Tidak Ada</v>
      </c>
      <c r="N492" s="4"/>
      <c r="O492" s="4" t="str">
        <f>IFERROR(__xludf.DUMMYFUNCTION("""COMPUTED_VALUE"""),"PEMBANDING SEJENIS")</f>
        <v>PEMBANDING SEJENIS</v>
      </c>
      <c r="P492" s="4" t="str">
        <f>IFERROR(__xludf.DUMMYFUNCTION("""COMPUTED_VALUE"""),"KONEKTOR/JUMPER")</f>
        <v>KONEKTOR/JUMPER</v>
      </c>
      <c r="Q492" s="4">
        <f>IFERROR(__xludf.DUMMYFUNCTION("""COMPUTED_VALUE"""),19.0)</f>
        <v>19</v>
      </c>
      <c r="R492" s="4">
        <f>IFERROR(__xludf.DUMMYFUNCTION("""COMPUTED_VALUE"""),17.0)</f>
        <v>17</v>
      </c>
      <c r="S492" s="4">
        <f>IFERROR(__xludf.DUMMYFUNCTION("""COMPUTED_VALUE"""),18.0)</f>
        <v>18</v>
      </c>
      <c r="T492" s="4"/>
      <c r="U492" s="4" t="str">
        <f>IFERROR(__xludf.DUMMYFUNCTION("""COMPUTED_VALUE"""),"BAIK")</f>
        <v>BAIK</v>
      </c>
      <c r="V492" s="4" t="str">
        <f>IFERROR(__xludf.DUMMYFUNCTION("""COMPUTED_VALUE"""),"Tidak Ada")</f>
        <v>Tidak Ada</v>
      </c>
      <c r="W492" s="4"/>
      <c r="X492" s="4"/>
      <c r="Y492" s="4"/>
      <c r="Z492" s="4"/>
      <c r="AA492" s="4"/>
      <c r="AB492" s="4"/>
      <c r="AC492" s="4" t="str">
        <f>IFERROR(__xludf.DUMMYFUNCTION("""COMPUTED_VALUE"""),"INSPEKSI SUTM - T2_Images/70b7ed53.FOTO.191613.jpg")</f>
        <v>INSPEKSI SUTM - T2_Images/70b7ed53.FOTO.191613.jpg</v>
      </c>
      <c r="AD492" s="4"/>
      <c r="AE492" s="4"/>
      <c r="AF492" s="4" t="str">
        <f>IFERROR(__xludf.DUMMYFUNCTION("""COMPUTED_VALUE"""),"BELUM")</f>
        <v>BELUM</v>
      </c>
      <c r="AG492" s="6">
        <f>IFERROR(__xludf.DUMMYFUNCTION("""COMPUTED_VALUE"""),46076.0)</f>
        <v>46076</v>
      </c>
      <c r="AH492" s="4"/>
      <c r="AI492" s="4"/>
    </row>
    <row r="493" ht="15.75" customHeight="1">
      <c r="A493" s="4" t="str">
        <f>IFERROR(__xludf.DUMMYFUNCTION("""COMPUTED_VALUE"""),"9caed344")</f>
        <v>9caed344</v>
      </c>
      <c r="B493" s="5">
        <f>IFERROR(__xludf.DUMMYFUNCTION("""COMPUTED_VALUE"""),46076.87446759259)</f>
        <v>46076.87447</v>
      </c>
      <c r="C493" s="4" t="str">
        <f>IFERROR(__xludf.DUMMYFUNCTION("""COMPUTED_VALUE"""),"-6.949056, 107.611929")</f>
        <v>-6.949056, 107.611929</v>
      </c>
      <c r="D493" s="4" t="str">
        <f>IFERROR(__xludf.DUMMYFUNCTION("""COMPUTED_VALUE"""),"Nugi fuad")</f>
        <v>Nugi fuad</v>
      </c>
      <c r="E493" s="4" t="str">
        <f>IFERROR(__xludf.DUMMYFUNCTION("""COMPUTED_VALUE"""),"BANDUNG")</f>
        <v>BANDUNG</v>
      </c>
      <c r="F493" s="4" t="str">
        <f>IFERROR(__xludf.DUMMYFUNCTION("""COMPUTED_VALUE"""),"BANDUNG SELATAN")</f>
        <v>BANDUNG SELATAN</v>
      </c>
      <c r="G493" s="4" t="str">
        <f>IFERROR(__xludf.DUMMYFUNCTION("""COMPUTED_VALUE"""),"CIGERELENG")</f>
        <v>CIGERELENG</v>
      </c>
      <c r="H493" s="4" t="str">
        <f>IFERROR(__xludf.DUMMYFUNCTION("""COMPUTED_VALUE"""),"PLSI")</f>
        <v>PLSI</v>
      </c>
      <c r="I493" s="4" t="str">
        <f>IFERROR(__xludf.DUMMYFUNCTION("""COMPUTED_VALUE"""),"PGDB MGHU- REC. CKU")</f>
        <v>PGDB MGHU- REC. CKU</v>
      </c>
      <c r="J493" s="4" t="str">
        <f>IFERROR(__xludf.DUMMYFUNCTION("""COMPUTED_VALUE"""),"ZONA 2")</f>
        <v>ZONA 2</v>
      </c>
      <c r="K493" s="4" t="str">
        <f>IFERROR(__xludf.DUMMYFUNCTION("""COMPUTED_VALUE"""),"035")</f>
        <v>035</v>
      </c>
      <c r="L493" s="4" t="str">
        <f>IFERROR(__xludf.DUMMYFUNCTION("""COMPUTED_VALUE"""),"TM - 8B/H (Percabangan)")</f>
        <v>TM - 8B/H (Percabangan)</v>
      </c>
      <c r="M493" s="4" t="str">
        <f>IFERROR(__xludf.DUMMYFUNCTION("""COMPUTED_VALUE"""),"Tidak Ada")</f>
        <v>Tidak Ada</v>
      </c>
      <c r="N493" s="4"/>
      <c r="O493" s="4" t="str">
        <f>IFERROR(__xludf.DUMMYFUNCTION("""COMPUTED_VALUE"""),"PEMBANDING SEJENIS")</f>
        <v>PEMBANDING SEJENIS</v>
      </c>
      <c r="P493" s="4" t="str">
        <f>IFERROR(__xludf.DUMMYFUNCTION("""COMPUTED_VALUE"""),"KONEKTOR/JUMPER")</f>
        <v>KONEKTOR/JUMPER</v>
      </c>
      <c r="Q493" s="4">
        <f>IFERROR(__xludf.DUMMYFUNCTION("""COMPUTED_VALUE"""),18.0)</f>
        <v>18</v>
      </c>
      <c r="R493" s="4">
        <f>IFERROR(__xludf.DUMMYFUNCTION("""COMPUTED_VALUE"""),18.0)</f>
        <v>18</v>
      </c>
      <c r="S493" s="4">
        <f>IFERROR(__xludf.DUMMYFUNCTION("""COMPUTED_VALUE"""),17.0)</f>
        <v>17</v>
      </c>
      <c r="T493" s="4"/>
      <c r="U493" s="4" t="str">
        <f>IFERROR(__xludf.DUMMYFUNCTION("""COMPUTED_VALUE"""),"BAIK")</f>
        <v>BAIK</v>
      </c>
      <c r="V493" s="4" t="str">
        <f>IFERROR(__xludf.DUMMYFUNCTION("""COMPUTED_VALUE"""),"Tidak Ada")</f>
        <v>Tidak Ada</v>
      </c>
      <c r="W493" s="4"/>
      <c r="X493" s="4"/>
      <c r="Y493" s="4"/>
      <c r="Z493" s="4"/>
      <c r="AA493" s="4"/>
      <c r="AB493" s="4"/>
      <c r="AC493" s="4" t="str">
        <f>IFERROR(__xludf.DUMMYFUNCTION("""COMPUTED_VALUE"""),"INSPEKSI SUTM - T2_Images/9caed344.FOTO.191617.jpg")</f>
        <v>INSPEKSI SUTM - T2_Images/9caed344.FOTO.191617.jpg</v>
      </c>
      <c r="AD493" s="4"/>
      <c r="AE493" s="4"/>
      <c r="AF493" s="4" t="str">
        <f>IFERROR(__xludf.DUMMYFUNCTION("""COMPUTED_VALUE"""),"BELUM")</f>
        <v>BELUM</v>
      </c>
      <c r="AG493" s="6">
        <f>IFERROR(__xludf.DUMMYFUNCTION("""COMPUTED_VALUE"""),46076.0)</f>
        <v>46076</v>
      </c>
      <c r="AH493" s="4"/>
      <c r="AI493" s="4"/>
    </row>
    <row r="494" ht="15.75" customHeight="1">
      <c r="A494" s="4" t="str">
        <f>IFERROR(__xludf.DUMMYFUNCTION("""COMPUTED_VALUE"""),"10cb3d30")</f>
        <v>10cb3d30</v>
      </c>
      <c r="B494" s="5">
        <f>IFERROR(__xludf.DUMMYFUNCTION("""COMPUTED_VALUE"""),46076.87585648148)</f>
        <v>46076.87586</v>
      </c>
      <c r="C494" s="4" t="str">
        <f>IFERROR(__xludf.DUMMYFUNCTION("""COMPUTED_VALUE"""),"-6.949056, 107.611929")</f>
        <v>-6.949056, 107.611929</v>
      </c>
      <c r="D494" s="4" t="str">
        <f>IFERROR(__xludf.DUMMYFUNCTION("""COMPUTED_VALUE"""),"Nugi fuad")</f>
        <v>Nugi fuad</v>
      </c>
      <c r="E494" s="4" t="str">
        <f>IFERROR(__xludf.DUMMYFUNCTION("""COMPUTED_VALUE"""),"BANDUNG")</f>
        <v>BANDUNG</v>
      </c>
      <c r="F494" s="4" t="str">
        <f>IFERROR(__xludf.DUMMYFUNCTION("""COMPUTED_VALUE"""),"BANDUNG SELATAN")</f>
        <v>BANDUNG SELATAN</v>
      </c>
      <c r="G494" s="4" t="str">
        <f>IFERROR(__xludf.DUMMYFUNCTION("""COMPUTED_VALUE"""),"CIGERELENG")</f>
        <v>CIGERELENG</v>
      </c>
      <c r="H494" s="4" t="str">
        <f>IFERROR(__xludf.DUMMYFUNCTION("""COMPUTED_VALUE"""),"PLSI")</f>
        <v>PLSI</v>
      </c>
      <c r="I494" s="4" t="str">
        <f>IFERROR(__xludf.DUMMYFUNCTION("""COMPUTED_VALUE"""),"PGDB MGHU- REC. CKU")</f>
        <v>PGDB MGHU- REC. CKU</v>
      </c>
      <c r="J494" s="4" t="str">
        <f>IFERROR(__xludf.DUMMYFUNCTION("""COMPUTED_VALUE"""),"ZONA 2")</f>
        <v>ZONA 2</v>
      </c>
      <c r="K494" s="4" t="str">
        <f>IFERROR(__xludf.DUMMYFUNCTION("""COMPUTED_VALUE"""),"035L02")</f>
        <v>035L02</v>
      </c>
      <c r="L494" s="4" t="str">
        <f>IFERROR(__xludf.DUMMYFUNCTION("""COMPUTED_VALUE"""),"TM - 4B/H (Afspan)")</f>
        <v>TM - 4B/H (Afspan)</v>
      </c>
      <c r="M494" s="4" t="str">
        <f>IFERROR(__xludf.DUMMYFUNCTION("""COMPUTED_VALUE"""),"Tidak Ada")</f>
        <v>Tidak Ada</v>
      </c>
      <c r="N494" s="4"/>
      <c r="O494" s="4" t="str">
        <f>IFERROR(__xludf.DUMMYFUNCTION("""COMPUTED_VALUE"""),"PEMBANDING SEJENIS")</f>
        <v>PEMBANDING SEJENIS</v>
      </c>
      <c r="P494" s="4" t="str">
        <f>IFERROR(__xludf.DUMMYFUNCTION("""COMPUTED_VALUE"""),"KONEKTOR/JUMPER")</f>
        <v>KONEKTOR/JUMPER</v>
      </c>
      <c r="Q494" s="4">
        <f>IFERROR(__xludf.DUMMYFUNCTION("""COMPUTED_VALUE"""),19.0)</f>
        <v>19</v>
      </c>
      <c r="R494" s="4">
        <f>IFERROR(__xludf.DUMMYFUNCTION("""COMPUTED_VALUE"""),19.0)</f>
        <v>19</v>
      </c>
      <c r="S494" s="4">
        <f>IFERROR(__xludf.DUMMYFUNCTION("""COMPUTED_VALUE"""),18.0)</f>
        <v>18</v>
      </c>
      <c r="T494" s="4"/>
      <c r="U494" s="4" t="str">
        <f>IFERROR(__xludf.DUMMYFUNCTION("""COMPUTED_VALUE"""),"BAIK")</f>
        <v>BAIK</v>
      </c>
      <c r="V494" s="4" t="str">
        <f>IFERROR(__xludf.DUMMYFUNCTION("""COMPUTED_VALUE"""),"Tidak Ada")</f>
        <v>Tidak Ada</v>
      </c>
      <c r="W494" s="4"/>
      <c r="X494" s="4"/>
      <c r="Y494" s="4"/>
      <c r="Z494" s="4"/>
      <c r="AA494" s="4"/>
      <c r="AB494" s="4"/>
      <c r="AC494" s="4" t="str">
        <f>IFERROR(__xludf.DUMMYFUNCTION("""COMPUTED_VALUE"""),"INSPEKSI SUTM - T2_Images/10cb3d30.FOTO.191621.jpg")</f>
        <v>INSPEKSI SUTM - T2_Images/10cb3d30.FOTO.191621.jpg</v>
      </c>
      <c r="AD494" s="4"/>
      <c r="AE494" s="4"/>
      <c r="AF494" s="4" t="str">
        <f>IFERROR(__xludf.DUMMYFUNCTION("""COMPUTED_VALUE"""),"BELUM")</f>
        <v>BELUM</v>
      </c>
      <c r="AG494" s="6">
        <f>IFERROR(__xludf.DUMMYFUNCTION("""COMPUTED_VALUE"""),46076.0)</f>
        <v>46076</v>
      </c>
      <c r="AH494" s="4"/>
      <c r="AI494" s="4"/>
    </row>
    <row r="495" ht="15.75" customHeight="1">
      <c r="A495" s="4" t="str">
        <f>IFERROR(__xludf.DUMMYFUNCTION("""COMPUTED_VALUE"""),"b21038d7")</f>
        <v>b21038d7</v>
      </c>
      <c r="B495" s="5">
        <f>IFERROR(__xludf.DUMMYFUNCTION("""COMPUTED_VALUE"""),46076.87648148148)</f>
        <v>46076.87648</v>
      </c>
      <c r="C495" s="4" t="str">
        <f>IFERROR(__xludf.DUMMYFUNCTION("""COMPUTED_VALUE"""),"-6.949056, 107.611929")</f>
        <v>-6.949056, 107.611929</v>
      </c>
      <c r="D495" s="4" t="str">
        <f>IFERROR(__xludf.DUMMYFUNCTION("""COMPUTED_VALUE"""),"Nugi fuad")</f>
        <v>Nugi fuad</v>
      </c>
      <c r="E495" s="4" t="str">
        <f>IFERROR(__xludf.DUMMYFUNCTION("""COMPUTED_VALUE"""),"BANDUNG")</f>
        <v>BANDUNG</v>
      </c>
      <c r="F495" s="4" t="str">
        <f>IFERROR(__xludf.DUMMYFUNCTION("""COMPUTED_VALUE"""),"BANDUNG SELATAN")</f>
        <v>BANDUNG SELATAN</v>
      </c>
      <c r="G495" s="4" t="str">
        <f>IFERROR(__xludf.DUMMYFUNCTION("""COMPUTED_VALUE"""),"CIGERELENG")</f>
        <v>CIGERELENG</v>
      </c>
      <c r="H495" s="4" t="str">
        <f>IFERROR(__xludf.DUMMYFUNCTION("""COMPUTED_VALUE"""),"PLSI")</f>
        <v>PLSI</v>
      </c>
      <c r="I495" s="4" t="str">
        <f>IFERROR(__xludf.DUMMYFUNCTION("""COMPUTED_VALUE"""),"PGDB MGHU- REC. CKU")</f>
        <v>PGDB MGHU- REC. CKU</v>
      </c>
      <c r="J495" s="4" t="str">
        <f>IFERROR(__xludf.DUMMYFUNCTION("""COMPUTED_VALUE"""),"ZONA 2")</f>
        <v>ZONA 2</v>
      </c>
      <c r="K495" s="4" t="str">
        <f>IFERROR(__xludf.DUMMYFUNCTION("""COMPUTED_VALUE"""),"035L03")</f>
        <v>035L03</v>
      </c>
      <c r="L495" s="4" t="str">
        <f>IFERROR(__xludf.DUMMYFUNCTION("""COMPUTED_VALUE"""),"TM - 1B/H (Tumpu)")</f>
        <v>TM - 1B/H (Tumpu)</v>
      </c>
      <c r="M495" s="4" t="str">
        <f>IFERROR(__xludf.DUMMYFUNCTION("""COMPUTED_VALUE"""),"Tidak Ada")</f>
        <v>Tidak Ada</v>
      </c>
      <c r="N495" s="4"/>
      <c r="O495" s="4" t="str">
        <f>IFERROR(__xludf.DUMMYFUNCTION("""COMPUTED_VALUE"""),"PEMBANDING SEJENIS")</f>
        <v>PEMBANDING SEJENIS</v>
      </c>
      <c r="P495" s="4" t="str">
        <f>IFERROR(__xludf.DUMMYFUNCTION("""COMPUTED_VALUE"""),"ARRESTER")</f>
        <v>ARRESTER</v>
      </c>
      <c r="Q495" s="4">
        <f>IFERROR(__xludf.DUMMYFUNCTION("""COMPUTED_VALUE"""),19.0)</f>
        <v>19</v>
      </c>
      <c r="R495" s="4">
        <f>IFERROR(__xludf.DUMMYFUNCTION("""COMPUTED_VALUE"""),18.0)</f>
        <v>18</v>
      </c>
      <c r="S495" s="4">
        <f>IFERROR(__xludf.DUMMYFUNCTION("""COMPUTED_VALUE"""),18.0)</f>
        <v>18</v>
      </c>
      <c r="T495" s="4"/>
      <c r="U495" s="4" t="str">
        <f>IFERROR(__xludf.DUMMYFUNCTION("""COMPUTED_VALUE"""),"BAIK")</f>
        <v>BAIK</v>
      </c>
      <c r="V495" s="4" t="str">
        <f>IFERROR(__xludf.DUMMYFUNCTION("""COMPUTED_VALUE"""),"Tidak Ada")</f>
        <v>Tidak Ada</v>
      </c>
      <c r="W495" s="4"/>
      <c r="X495" s="4"/>
      <c r="Y495" s="4"/>
      <c r="Z495" s="4"/>
      <c r="AA495" s="4"/>
      <c r="AB495" s="4"/>
      <c r="AC495" s="4" t="str">
        <f>IFERROR(__xludf.DUMMYFUNCTION("""COMPUTED_VALUE"""),"INSPEKSI SUTM - T2_Images/b21038d7.FOTO.191625.jpg")</f>
        <v>INSPEKSI SUTM - T2_Images/b21038d7.FOTO.191625.jpg</v>
      </c>
      <c r="AD495" s="4"/>
      <c r="AE495" s="4"/>
      <c r="AF495" s="4" t="str">
        <f>IFERROR(__xludf.DUMMYFUNCTION("""COMPUTED_VALUE"""),"BELUM")</f>
        <v>BELUM</v>
      </c>
      <c r="AG495" s="6">
        <f>IFERROR(__xludf.DUMMYFUNCTION("""COMPUTED_VALUE"""),46076.0)</f>
        <v>46076</v>
      </c>
      <c r="AH495" s="4"/>
      <c r="AI495" s="4"/>
    </row>
    <row r="496" ht="15.75" customHeight="1">
      <c r="A496" s="4" t="str">
        <f>IFERROR(__xludf.DUMMYFUNCTION("""COMPUTED_VALUE"""),"0c93c795")</f>
        <v>0c93c795</v>
      </c>
      <c r="B496" s="5">
        <f>IFERROR(__xludf.DUMMYFUNCTION("""COMPUTED_VALUE"""),46076.87725694444)</f>
        <v>46076.87726</v>
      </c>
      <c r="C496" s="4" t="str">
        <f>IFERROR(__xludf.DUMMYFUNCTION("""COMPUTED_VALUE"""),"-6.949056, 107.611929")</f>
        <v>-6.949056, 107.611929</v>
      </c>
      <c r="D496" s="4" t="str">
        <f>IFERROR(__xludf.DUMMYFUNCTION("""COMPUTED_VALUE"""),"Nugi fuad")</f>
        <v>Nugi fuad</v>
      </c>
      <c r="E496" s="4" t="str">
        <f>IFERROR(__xludf.DUMMYFUNCTION("""COMPUTED_VALUE"""),"BANDUNG")</f>
        <v>BANDUNG</v>
      </c>
      <c r="F496" s="4" t="str">
        <f>IFERROR(__xludf.DUMMYFUNCTION("""COMPUTED_VALUE"""),"BANDUNG SELATAN")</f>
        <v>BANDUNG SELATAN</v>
      </c>
      <c r="G496" s="4" t="str">
        <f>IFERROR(__xludf.DUMMYFUNCTION("""COMPUTED_VALUE"""),"CIGERELENG")</f>
        <v>CIGERELENG</v>
      </c>
      <c r="H496" s="4" t="str">
        <f>IFERROR(__xludf.DUMMYFUNCTION("""COMPUTED_VALUE"""),"PLSI")</f>
        <v>PLSI</v>
      </c>
      <c r="I496" s="4" t="str">
        <f>IFERROR(__xludf.DUMMYFUNCTION("""COMPUTED_VALUE"""),"PGDB MGHU- REC. CKU")</f>
        <v>PGDB MGHU- REC. CKU</v>
      </c>
      <c r="J496" s="4" t="str">
        <f>IFERROR(__xludf.DUMMYFUNCTION("""COMPUTED_VALUE"""),"ZONA 2")</f>
        <v>ZONA 2</v>
      </c>
      <c r="K496" s="4" t="str">
        <f>IFERROR(__xludf.DUMMYFUNCTION("""COMPUTED_VALUE"""),"037")</f>
        <v>037</v>
      </c>
      <c r="L496" s="4" t="str">
        <f>IFERROR(__xludf.DUMMYFUNCTION("""COMPUTED_VALUE"""),"TM - 4B/H (Afspan)")</f>
        <v>TM - 4B/H (Afspan)</v>
      </c>
      <c r="M496" s="4" t="str">
        <f>IFERROR(__xludf.DUMMYFUNCTION("""COMPUTED_VALUE"""),"Tidak Ada")</f>
        <v>Tidak Ada</v>
      </c>
      <c r="N496" s="4"/>
      <c r="O496" s="4" t="str">
        <f>IFERROR(__xludf.DUMMYFUNCTION("""COMPUTED_VALUE"""),"PEMBANDING SEJENIS")</f>
        <v>PEMBANDING SEJENIS</v>
      </c>
      <c r="P496" s="4" t="str">
        <f>IFERROR(__xludf.DUMMYFUNCTION("""COMPUTED_VALUE"""),"KONEKTOR/JUMPER")</f>
        <v>KONEKTOR/JUMPER</v>
      </c>
      <c r="Q496" s="4">
        <f>IFERROR(__xludf.DUMMYFUNCTION("""COMPUTED_VALUE"""),20.0)</f>
        <v>20</v>
      </c>
      <c r="R496" s="4">
        <f>IFERROR(__xludf.DUMMYFUNCTION("""COMPUTED_VALUE"""),20.0)</f>
        <v>20</v>
      </c>
      <c r="S496" s="4">
        <f>IFERROR(__xludf.DUMMYFUNCTION("""COMPUTED_VALUE"""),18.0)</f>
        <v>18</v>
      </c>
      <c r="T496" s="4"/>
      <c r="U496" s="4" t="str">
        <f>IFERROR(__xludf.DUMMYFUNCTION("""COMPUTED_VALUE"""),"BAIK")</f>
        <v>BAIK</v>
      </c>
      <c r="V496" s="4" t="str">
        <f>IFERROR(__xludf.DUMMYFUNCTION("""COMPUTED_VALUE"""),"Tidak Ada")</f>
        <v>Tidak Ada</v>
      </c>
      <c r="W496" s="4"/>
      <c r="X496" s="4"/>
      <c r="Y496" s="4"/>
      <c r="Z496" s="4"/>
      <c r="AA496" s="4"/>
      <c r="AB496" s="4"/>
      <c r="AC496" s="4" t="str">
        <f>IFERROR(__xludf.DUMMYFUNCTION("""COMPUTED_VALUE"""),"INSPEKSI SUTM - T2_Images/0c93c795.FOTO.191629.jpg")</f>
        <v>INSPEKSI SUTM - T2_Images/0c93c795.FOTO.191629.jpg</v>
      </c>
      <c r="AD496" s="4"/>
      <c r="AE496" s="4"/>
      <c r="AF496" s="4" t="str">
        <f>IFERROR(__xludf.DUMMYFUNCTION("""COMPUTED_VALUE"""),"BELUM")</f>
        <v>BELUM</v>
      </c>
      <c r="AG496" s="6">
        <f>IFERROR(__xludf.DUMMYFUNCTION("""COMPUTED_VALUE"""),46076.0)</f>
        <v>46076</v>
      </c>
      <c r="AH496" s="4"/>
      <c r="AI496" s="4"/>
    </row>
    <row r="497" ht="15.75" customHeight="1">
      <c r="A497" s="4" t="str">
        <f>IFERROR(__xludf.DUMMYFUNCTION("""COMPUTED_VALUE"""),"b482c1cb")</f>
        <v>b482c1cb</v>
      </c>
      <c r="B497" s="5">
        <f>IFERROR(__xludf.DUMMYFUNCTION("""COMPUTED_VALUE"""),46076.87792824074)</f>
        <v>46076.87793</v>
      </c>
      <c r="C497" s="4" t="str">
        <f>IFERROR(__xludf.DUMMYFUNCTION("""COMPUTED_VALUE"""),"-6.949056, 107.611929")</f>
        <v>-6.949056, 107.611929</v>
      </c>
      <c r="D497" s="4" t="str">
        <f>IFERROR(__xludf.DUMMYFUNCTION("""COMPUTED_VALUE"""),"Nugi fuad")</f>
        <v>Nugi fuad</v>
      </c>
      <c r="E497" s="4" t="str">
        <f>IFERROR(__xludf.DUMMYFUNCTION("""COMPUTED_VALUE"""),"BANDUNG")</f>
        <v>BANDUNG</v>
      </c>
      <c r="F497" s="4" t="str">
        <f>IFERROR(__xludf.DUMMYFUNCTION("""COMPUTED_VALUE"""),"BANDUNG SELATAN")</f>
        <v>BANDUNG SELATAN</v>
      </c>
      <c r="G497" s="4" t="str">
        <f>IFERROR(__xludf.DUMMYFUNCTION("""COMPUTED_VALUE"""),"CIGERELENG")</f>
        <v>CIGERELENG</v>
      </c>
      <c r="H497" s="4" t="str">
        <f>IFERROR(__xludf.DUMMYFUNCTION("""COMPUTED_VALUE"""),"PLSI")</f>
        <v>PLSI</v>
      </c>
      <c r="I497" s="4" t="str">
        <f>IFERROR(__xludf.DUMMYFUNCTION("""COMPUTED_VALUE"""),"PGDB MGHU- REC. CKU")</f>
        <v>PGDB MGHU- REC. CKU</v>
      </c>
      <c r="J497" s="4" t="str">
        <f>IFERROR(__xludf.DUMMYFUNCTION("""COMPUTED_VALUE"""),"ZONA 2")</f>
        <v>ZONA 2</v>
      </c>
      <c r="K497" s="4" t="str">
        <f>IFERROR(__xludf.DUMMYFUNCTION("""COMPUTED_VALUE"""),"038")</f>
        <v>038</v>
      </c>
      <c r="L497" s="4" t="str">
        <f>IFERROR(__xludf.DUMMYFUNCTION("""COMPUTED_VALUE"""),"TM - 8B/H (Percabangan)")</f>
        <v>TM - 8B/H (Percabangan)</v>
      </c>
      <c r="M497" s="4" t="str">
        <f>IFERROR(__xludf.DUMMYFUNCTION("""COMPUTED_VALUE"""),"Tidak Ada")</f>
        <v>Tidak Ada</v>
      </c>
      <c r="N497" s="4"/>
      <c r="O497" s="4" t="str">
        <f>IFERROR(__xludf.DUMMYFUNCTION("""COMPUTED_VALUE"""),"PEMBANDING SEJENIS")</f>
        <v>PEMBANDING SEJENIS</v>
      </c>
      <c r="P497" s="4" t="str">
        <f>IFERROR(__xludf.DUMMYFUNCTION("""COMPUTED_VALUE"""),"KONEKTOR/JUMPER")</f>
        <v>KONEKTOR/JUMPER</v>
      </c>
      <c r="Q497" s="4">
        <f>IFERROR(__xludf.DUMMYFUNCTION("""COMPUTED_VALUE"""),18.0)</f>
        <v>18</v>
      </c>
      <c r="R497" s="4">
        <f>IFERROR(__xludf.DUMMYFUNCTION("""COMPUTED_VALUE"""),18.0)</f>
        <v>18</v>
      </c>
      <c r="S497" s="4">
        <f>IFERROR(__xludf.DUMMYFUNCTION("""COMPUTED_VALUE"""),18.0)</f>
        <v>18</v>
      </c>
      <c r="T497" s="4"/>
      <c r="U497" s="4" t="str">
        <f>IFERROR(__xludf.DUMMYFUNCTION("""COMPUTED_VALUE"""),"BAIK")</f>
        <v>BAIK</v>
      </c>
      <c r="V497" s="4" t="str">
        <f>IFERROR(__xludf.DUMMYFUNCTION("""COMPUTED_VALUE"""),"Tidak Ada")</f>
        <v>Tidak Ada</v>
      </c>
      <c r="W497" s="4"/>
      <c r="X497" s="4"/>
      <c r="Y497" s="4"/>
      <c r="Z497" s="4"/>
      <c r="AA497" s="4"/>
      <c r="AB497" s="4"/>
      <c r="AC497" s="4" t="str">
        <f>IFERROR(__xludf.DUMMYFUNCTION("""COMPUTED_VALUE"""),"INSPEKSI SUTM - T2_Images/b482c1cb.FOTO.191634.jpg")</f>
        <v>INSPEKSI SUTM - T2_Images/b482c1cb.FOTO.191634.jpg</v>
      </c>
      <c r="AD497" s="4"/>
      <c r="AE497" s="4"/>
      <c r="AF497" s="4" t="str">
        <f>IFERROR(__xludf.DUMMYFUNCTION("""COMPUTED_VALUE"""),"BELUM")</f>
        <v>BELUM</v>
      </c>
      <c r="AG497" s="6">
        <f>IFERROR(__xludf.DUMMYFUNCTION("""COMPUTED_VALUE"""),46076.0)</f>
        <v>46076</v>
      </c>
      <c r="AH497" s="4"/>
      <c r="AI497" s="4"/>
    </row>
    <row r="498" ht="15.75" customHeight="1">
      <c r="A498" s="4" t="str">
        <f>IFERROR(__xludf.DUMMYFUNCTION("""COMPUTED_VALUE"""),"f9813e17")</f>
        <v>f9813e17</v>
      </c>
      <c r="B498" s="5">
        <f>IFERROR(__xludf.DUMMYFUNCTION("""COMPUTED_VALUE"""),46076.878645833334)</f>
        <v>46076.87865</v>
      </c>
      <c r="C498" s="4" t="str">
        <f>IFERROR(__xludf.DUMMYFUNCTION("""COMPUTED_VALUE"""),"-6.949056, 107.611929")</f>
        <v>-6.949056, 107.611929</v>
      </c>
      <c r="D498" s="4" t="str">
        <f>IFERROR(__xludf.DUMMYFUNCTION("""COMPUTED_VALUE"""),"Nugi fuad")</f>
        <v>Nugi fuad</v>
      </c>
      <c r="E498" s="4" t="str">
        <f>IFERROR(__xludf.DUMMYFUNCTION("""COMPUTED_VALUE"""),"BANDUNG")</f>
        <v>BANDUNG</v>
      </c>
      <c r="F498" s="4" t="str">
        <f>IFERROR(__xludf.DUMMYFUNCTION("""COMPUTED_VALUE"""),"BANDUNG SELATAN")</f>
        <v>BANDUNG SELATAN</v>
      </c>
      <c r="G498" s="4" t="str">
        <f>IFERROR(__xludf.DUMMYFUNCTION("""COMPUTED_VALUE"""),"CIGERELENG")</f>
        <v>CIGERELENG</v>
      </c>
      <c r="H498" s="4" t="str">
        <f>IFERROR(__xludf.DUMMYFUNCTION("""COMPUTED_VALUE"""),"PLSI")</f>
        <v>PLSI</v>
      </c>
      <c r="I498" s="4" t="str">
        <f>IFERROR(__xludf.DUMMYFUNCTION("""COMPUTED_VALUE"""),"PGDB MGHU- REC. CKU")</f>
        <v>PGDB MGHU- REC. CKU</v>
      </c>
      <c r="J498" s="4" t="str">
        <f>IFERROR(__xludf.DUMMYFUNCTION("""COMPUTED_VALUE"""),"ZONA 2")</f>
        <v>ZONA 2</v>
      </c>
      <c r="K498" s="4" t="str">
        <f>IFERROR(__xludf.DUMMYFUNCTION("""COMPUTED_VALUE"""),"041")</f>
        <v>041</v>
      </c>
      <c r="L498" s="4" t="str">
        <f>IFERROR(__xludf.DUMMYFUNCTION("""COMPUTED_VALUE"""),"TM - 8B/H (Percabangan)")</f>
        <v>TM - 8B/H (Percabangan)</v>
      </c>
      <c r="M498" s="4" t="str">
        <f>IFERROR(__xludf.DUMMYFUNCTION("""COMPUTED_VALUE"""),"Tidak Ada")</f>
        <v>Tidak Ada</v>
      </c>
      <c r="N498" s="4"/>
      <c r="O498" s="4" t="str">
        <f>IFERROR(__xludf.DUMMYFUNCTION("""COMPUTED_VALUE"""),"PEMBANDING SEJENIS")</f>
        <v>PEMBANDING SEJENIS</v>
      </c>
      <c r="P498" s="4" t="str">
        <f>IFERROR(__xludf.DUMMYFUNCTION("""COMPUTED_VALUE"""),"KONEKTOR/JUMPER")</f>
        <v>KONEKTOR/JUMPER</v>
      </c>
      <c r="Q498" s="4">
        <f>IFERROR(__xludf.DUMMYFUNCTION("""COMPUTED_VALUE"""),18.0)</f>
        <v>18</v>
      </c>
      <c r="R498" s="4">
        <f>IFERROR(__xludf.DUMMYFUNCTION("""COMPUTED_VALUE"""),18.0)</f>
        <v>18</v>
      </c>
      <c r="S498" s="4">
        <f>IFERROR(__xludf.DUMMYFUNCTION("""COMPUTED_VALUE"""),17.0)</f>
        <v>17</v>
      </c>
      <c r="T498" s="4"/>
      <c r="U498" s="4" t="str">
        <f>IFERROR(__xludf.DUMMYFUNCTION("""COMPUTED_VALUE"""),"BAIK")</f>
        <v>BAIK</v>
      </c>
      <c r="V498" s="4" t="str">
        <f>IFERROR(__xludf.DUMMYFUNCTION("""COMPUTED_VALUE"""),"Tidak Ada")</f>
        <v>Tidak Ada</v>
      </c>
      <c r="W498" s="4"/>
      <c r="X498" s="4"/>
      <c r="Y498" s="4"/>
      <c r="Z498" s="4"/>
      <c r="AA498" s="4"/>
      <c r="AB498" s="4"/>
      <c r="AC498" s="4" t="str">
        <f>IFERROR(__xludf.DUMMYFUNCTION("""COMPUTED_VALUE"""),"INSPEKSI SUTM - T2_Images/f9813e17.FOTO.191637.jpg")</f>
        <v>INSPEKSI SUTM - T2_Images/f9813e17.FOTO.191637.jpg</v>
      </c>
      <c r="AD498" s="4"/>
      <c r="AE498" s="4"/>
      <c r="AF498" s="4" t="str">
        <f>IFERROR(__xludf.DUMMYFUNCTION("""COMPUTED_VALUE"""),"BELUM")</f>
        <v>BELUM</v>
      </c>
      <c r="AG498" s="6">
        <f>IFERROR(__xludf.DUMMYFUNCTION("""COMPUTED_VALUE"""),46076.0)</f>
        <v>46076</v>
      </c>
      <c r="AH498" s="4"/>
      <c r="AI498" s="4"/>
    </row>
    <row r="499" ht="15.75" customHeight="1">
      <c r="A499" s="4" t="str">
        <f>IFERROR(__xludf.DUMMYFUNCTION("""COMPUTED_VALUE"""),"c5fc7e53")</f>
        <v>c5fc7e53</v>
      </c>
      <c r="B499" s="5">
        <f>IFERROR(__xludf.DUMMYFUNCTION("""COMPUTED_VALUE"""),46076.87945601852)</f>
        <v>46076.87946</v>
      </c>
      <c r="C499" s="4" t="str">
        <f>IFERROR(__xludf.DUMMYFUNCTION("""COMPUTED_VALUE"""),"-6.949056, 107.611929")</f>
        <v>-6.949056, 107.611929</v>
      </c>
      <c r="D499" s="4" t="str">
        <f>IFERROR(__xludf.DUMMYFUNCTION("""COMPUTED_VALUE"""),"Nugi fuad")</f>
        <v>Nugi fuad</v>
      </c>
      <c r="E499" s="4" t="str">
        <f>IFERROR(__xludf.DUMMYFUNCTION("""COMPUTED_VALUE"""),"BANDUNG")</f>
        <v>BANDUNG</v>
      </c>
      <c r="F499" s="4" t="str">
        <f>IFERROR(__xludf.DUMMYFUNCTION("""COMPUTED_VALUE"""),"BANDUNG SELATAN")</f>
        <v>BANDUNG SELATAN</v>
      </c>
      <c r="G499" s="4" t="str">
        <f>IFERROR(__xludf.DUMMYFUNCTION("""COMPUTED_VALUE"""),"CIGERELENG")</f>
        <v>CIGERELENG</v>
      </c>
      <c r="H499" s="4" t="str">
        <f>IFERROR(__xludf.DUMMYFUNCTION("""COMPUTED_VALUE"""),"PLSI")</f>
        <v>PLSI</v>
      </c>
      <c r="I499" s="4" t="str">
        <f>IFERROR(__xludf.DUMMYFUNCTION("""COMPUTED_VALUE"""),"PGDB MGHU- REC. CKU")</f>
        <v>PGDB MGHU- REC. CKU</v>
      </c>
      <c r="J499" s="4" t="str">
        <f>IFERROR(__xludf.DUMMYFUNCTION("""COMPUTED_VALUE"""),"ZONA 2")</f>
        <v>ZONA 2</v>
      </c>
      <c r="K499" s="4" t="str">
        <f>IFERROR(__xludf.DUMMYFUNCTION("""COMPUTED_VALUE"""),"044")</f>
        <v>044</v>
      </c>
      <c r="L499" s="4" t="str">
        <f>IFERROR(__xludf.DUMMYFUNCTION("""COMPUTED_VALUE"""),"TM - 7B/H (Afspan 90 Derajat)")</f>
        <v>TM - 7B/H (Afspan 90 Derajat)</v>
      </c>
      <c r="M499" s="4" t="str">
        <f>IFERROR(__xludf.DUMMYFUNCTION("""COMPUTED_VALUE"""),"Tidak Ada")</f>
        <v>Tidak Ada</v>
      </c>
      <c r="N499" s="4"/>
      <c r="O499" s="4" t="str">
        <f>IFERROR(__xludf.DUMMYFUNCTION("""COMPUTED_VALUE"""),"PEMBANDING SEJENIS")</f>
        <v>PEMBANDING SEJENIS</v>
      </c>
      <c r="P499" s="4" t="str">
        <f>IFERROR(__xludf.DUMMYFUNCTION("""COMPUTED_VALUE"""),"KONEKTOR/JUMPER")</f>
        <v>KONEKTOR/JUMPER</v>
      </c>
      <c r="Q499" s="4">
        <f>IFERROR(__xludf.DUMMYFUNCTION("""COMPUTED_VALUE"""),18.0)</f>
        <v>18</v>
      </c>
      <c r="R499" s="4">
        <f>IFERROR(__xludf.DUMMYFUNCTION("""COMPUTED_VALUE"""),19.0)</f>
        <v>19</v>
      </c>
      <c r="S499" s="4">
        <f>IFERROR(__xludf.DUMMYFUNCTION("""COMPUTED_VALUE"""),19.0)</f>
        <v>19</v>
      </c>
      <c r="T499" s="4"/>
      <c r="U499" s="4" t="str">
        <f>IFERROR(__xludf.DUMMYFUNCTION("""COMPUTED_VALUE"""),"BAIK")</f>
        <v>BAIK</v>
      </c>
      <c r="V499" s="4" t="str">
        <f>IFERROR(__xludf.DUMMYFUNCTION("""COMPUTED_VALUE"""),"Tidak Ada")</f>
        <v>Tidak Ada</v>
      </c>
      <c r="W499" s="4"/>
      <c r="X499" s="4"/>
      <c r="Y499" s="4"/>
      <c r="Z499" s="4"/>
      <c r="AA499" s="4"/>
      <c r="AB499" s="4"/>
      <c r="AC499" s="4" t="str">
        <f>IFERROR(__xludf.DUMMYFUNCTION("""COMPUTED_VALUE"""),"INSPEKSI SUTM - T2_Images/c5fc7e53.FOTO.191648.jpg")</f>
        <v>INSPEKSI SUTM - T2_Images/c5fc7e53.FOTO.191648.jpg</v>
      </c>
      <c r="AD499" s="4"/>
      <c r="AE499" s="4"/>
      <c r="AF499" s="4" t="str">
        <f>IFERROR(__xludf.DUMMYFUNCTION("""COMPUTED_VALUE"""),"BELUM")</f>
        <v>BELUM</v>
      </c>
      <c r="AG499" s="6">
        <f>IFERROR(__xludf.DUMMYFUNCTION("""COMPUTED_VALUE"""),46076.0)</f>
        <v>46076</v>
      </c>
      <c r="AH499" s="4"/>
      <c r="AI499" s="4"/>
    </row>
    <row r="500" ht="15.75" customHeight="1">
      <c r="A500" s="4" t="str">
        <f>IFERROR(__xludf.DUMMYFUNCTION("""COMPUTED_VALUE"""),"00a19a09")</f>
        <v>00a19a09</v>
      </c>
      <c r="B500" s="5">
        <f>IFERROR(__xludf.DUMMYFUNCTION("""COMPUTED_VALUE"""),46076.88012731481)</f>
        <v>46076.88013</v>
      </c>
      <c r="C500" s="4" t="str">
        <f>IFERROR(__xludf.DUMMYFUNCTION("""COMPUTED_VALUE"""),"-6.949056, 107.611929")</f>
        <v>-6.949056, 107.611929</v>
      </c>
      <c r="D500" s="4" t="str">
        <f>IFERROR(__xludf.DUMMYFUNCTION("""COMPUTED_VALUE"""),"Nugi fuad")</f>
        <v>Nugi fuad</v>
      </c>
      <c r="E500" s="4" t="str">
        <f>IFERROR(__xludf.DUMMYFUNCTION("""COMPUTED_VALUE"""),"BANDUNG")</f>
        <v>BANDUNG</v>
      </c>
      <c r="F500" s="4" t="str">
        <f>IFERROR(__xludf.DUMMYFUNCTION("""COMPUTED_VALUE"""),"BANDUNG SELATAN")</f>
        <v>BANDUNG SELATAN</v>
      </c>
      <c r="G500" s="4" t="str">
        <f>IFERROR(__xludf.DUMMYFUNCTION("""COMPUTED_VALUE"""),"CIGERELENG")</f>
        <v>CIGERELENG</v>
      </c>
      <c r="H500" s="4" t="str">
        <f>IFERROR(__xludf.DUMMYFUNCTION("""COMPUTED_VALUE"""),"PLSI")</f>
        <v>PLSI</v>
      </c>
      <c r="I500" s="4" t="str">
        <f>IFERROR(__xludf.DUMMYFUNCTION("""COMPUTED_VALUE"""),"PGDB MGHU- REC. CKU")</f>
        <v>PGDB MGHU- REC. CKU</v>
      </c>
      <c r="J500" s="4" t="str">
        <f>IFERROR(__xludf.DUMMYFUNCTION("""COMPUTED_VALUE"""),"ZONA 2")</f>
        <v>ZONA 2</v>
      </c>
      <c r="K500" s="4" t="str">
        <f>IFERROR(__xludf.DUMMYFUNCTION("""COMPUTED_VALUE"""),"045")</f>
        <v>045</v>
      </c>
      <c r="L500" s="4" t="str">
        <f>IFERROR(__xludf.DUMMYFUNCTION("""COMPUTED_VALUE"""),"TM - 7B/H (Afspan 90 Derajat)")</f>
        <v>TM - 7B/H (Afspan 90 Derajat)</v>
      </c>
      <c r="M500" s="4" t="str">
        <f>IFERROR(__xludf.DUMMYFUNCTION("""COMPUTED_VALUE"""),"Tidak Ada")</f>
        <v>Tidak Ada</v>
      </c>
      <c r="N500" s="4"/>
      <c r="O500" s="4" t="str">
        <f>IFERROR(__xludf.DUMMYFUNCTION("""COMPUTED_VALUE"""),"PEMBANDING SEJENIS")</f>
        <v>PEMBANDING SEJENIS</v>
      </c>
      <c r="P500" s="4" t="str">
        <f>IFERROR(__xludf.DUMMYFUNCTION("""COMPUTED_VALUE"""),"KONEKTOR/JUMPER")</f>
        <v>KONEKTOR/JUMPER</v>
      </c>
      <c r="Q500" s="4">
        <f>IFERROR(__xludf.DUMMYFUNCTION("""COMPUTED_VALUE"""),20.0)</f>
        <v>20</v>
      </c>
      <c r="R500" s="4">
        <f>IFERROR(__xludf.DUMMYFUNCTION("""COMPUTED_VALUE"""),20.0)</f>
        <v>20</v>
      </c>
      <c r="S500" s="4">
        <f>IFERROR(__xludf.DUMMYFUNCTION("""COMPUTED_VALUE"""),19.0)</f>
        <v>19</v>
      </c>
      <c r="T500" s="4"/>
      <c r="U500" s="4" t="str">
        <f>IFERROR(__xludf.DUMMYFUNCTION("""COMPUTED_VALUE"""),"BAIK")</f>
        <v>BAIK</v>
      </c>
      <c r="V500" s="4" t="str">
        <f>IFERROR(__xludf.DUMMYFUNCTION("""COMPUTED_VALUE"""),"Tidak Ada")</f>
        <v>Tidak Ada</v>
      </c>
      <c r="W500" s="4"/>
      <c r="X500" s="4"/>
      <c r="Y500" s="4"/>
      <c r="Z500" s="4"/>
      <c r="AA500" s="4"/>
      <c r="AB500" s="4"/>
      <c r="AC500" s="4" t="str">
        <f>IFERROR(__xludf.DUMMYFUNCTION("""COMPUTED_VALUE"""),"INSPEKSI SUTM - T2_Images/00a19a09.FOTO.191653.jpg")</f>
        <v>INSPEKSI SUTM - T2_Images/00a19a09.FOTO.191653.jpg</v>
      </c>
      <c r="AD500" s="4"/>
      <c r="AE500" s="4"/>
      <c r="AF500" s="4" t="str">
        <f>IFERROR(__xludf.DUMMYFUNCTION("""COMPUTED_VALUE"""),"BELUM")</f>
        <v>BELUM</v>
      </c>
      <c r="AG500" s="6">
        <f>IFERROR(__xludf.DUMMYFUNCTION("""COMPUTED_VALUE"""),46076.0)</f>
        <v>46076</v>
      </c>
      <c r="AH500" s="4"/>
      <c r="AI500" s="4"/>
    </row>
    <row r="501" ht="15.75" customHeight="1">
      <c r="A501" s="4" t="str">
        <f>IFERROR(__xludf.DUMMYFUNCTION("""COMPUTED_VALUE"""),"4782192e")</f>
        <v>4782192e</v>
      </c>
      <c r="B501" s="5">
        <f>IFERROR(__xludf.DUMMYFUNCTION("""COMPUTED_VALUE"""),46076.88075231481)</f>
        <v>46076.88075</v>
      </c>
      <c r="C501" s="4" t="str">
        <f>IFERROR(__xludf.DUMMYFUNCTION("""COMPUTED_VALUE"""),"-6.949056, 107.611929")</f>
        <v>-6.949056, 107.611929</v>
      </c>
      <c r="D501" s="4" t="str">
        <f>IFERROR(__xludf.DUMMYFUNCTION("""COMPUTED_VALUE"""),"Nugi fuad")</f>
        <v>Nugi fuad</v>
      </c>
      <c r="E501" s="4" t="str">
        <f>IFERROR(__xludf.DUMMYFUNCTION("""COMPUTED_VALUE"""),"BANDUNG")</f>
        <v>BANDUNG</v>
      </c>
      <c r="F501" s="4" t="str">
        <f>IFERROR(__xludf.DUMMYFUNCTION("""COMPUTED_VALUE"""),"BANDUNG SELATAN")</f>
        <v>BANDUNG SELATAN</v>
      </c>
      <c r="G501" s="4" t="str">
        <f>IFERROR(__xludf.DUMMYFUNCTION("""COMPUTED_VALUE"""),"CIGERELENG")</f>
        <v>CIGERELENG</v>
      </c>
      <c r="H501" s="4" t="str">
        <f>IFERROR(__xludf.DUMMYFUNCTION("""COMPUTED_VALUE"""),"PLSI")</f>
        <v>PLSI</v>
      </c>
      <c r="I501" s="4" t="str">
        <f>IFERROR(__xludf.DUMMYFUNCTION("""COMPUTED_VALUE"""),"PGDB MGHU- REC. CKU")</f>
        <v>PGDB MGHU- REC. CKU</v>
      </c>
      <c r="J501" s="4" t="str">
        <f>IFERROR(__xludf.DUMMYFUNCTION("""COMPUTED_VALUE"""),"ZONA 2")</f>
        <v>ZONA 2</v>
      </c>
      <c r="K501" s="4" t="str">
        <f>IFERROR(__xludf.DUMMYFUNCTION("""COMPUTED_VALUE"""),"046")</f>
        <v>046</v>
      </c>
      <c r="L501" s="4" t="str">
        <f>IFERROR(__xludf.DUMMYFUNCTION("""COMPUTED_VALUE"""),"TM - 8B/H (Percabangan)")</f>
        <v>TM - 8B/H (Percabangan)</v>
      </c>
      <c r="M501" s="4" t="str">
        <f>IFERROR(__xludf.DUMMYFUNCTION("""COMPUTED_VALUE"""),"Tidak Ada")</f>
        <v>Tidak Ada</v>
      </c>
      <c r="N501" s="4"/>
      <c r="O501" s="4" t="str">
        <f>IFERROR(__xludf.DUMMYFUNCTION("""COMPUTED_VALUE"""),"PEMBANDING SEJENIS")</f>
        <v>PEMBANDING SEJENIS</v>
      </c>
      <c r="P501" s="4" t="str">
        <f>IFERROR(__xludf.DUMMYFUNCTION("""COMPUTED_VALUE"""),"KONEKTOR/JUMPER")</f>
        <v>KONEKTOR/JUMPER</v>
      </c>
      <c r="Q501" s="4">
        <f>IFERROR(__xludf.DUMMYFUNCTION("""COMPUTED_VALUE"""),18.0)</f>
        <v>18</v>
      </c>
      <c r="R501" s="4">
        <f>IFERROR(__xludf.DUMMYFUNCTION("""COMPUTED_VALUE"""),20.0)</f>
        <v>20</v>
      </c>
      <c r="S501" s="4">
        <f>IFERROR(__xludf.DUMMYFUNCTION("""COMPUTED_VALUE"""),19.0)</f>
        <v>19</v>
      </c>
      <c r="T501" s="4"/>
      <c r="U501" s="4" t="str">
        <f>IFERROR(__xludf.DUMMYFUNCTION("""COMPUTED_VALUE"""),"BAIK")</f>
        <v>BAIK</v>
      </c>
      <c r="V501" s="4" t="str">
        <f>IFERROR(__xludf.DUMMYFUNCTION("""COMPUTED_VALUE"""),"Tidak Ada")</f>
        <v>Tidak Ada</v>
      </c>
      <c r="W501" s="4"/>
      <c r="X501" s="4"/>
      <c r="Y501" s="4"/>
      <c r="Z501" s="4"/>
      <c r="AA501" s="4"/>
      <c r="AB501" s="4"/>
      <c r="AC501" s="4" t="str">
        <f>IFERROR(__xludf.DUMMYFUNCTION("""COMPUTED_VALUE"""),"INSPEKSI SUTM - T2_Images/4782192e.FOTO.191657.jpg")</f>
        <v>INSPEKSI SUTM - T2_Images/4782192e.FOTO.191657.jpg</v>
      </c>
      <c r="AD501" s="4"/>
      <c r="AE501" s="4"/>
      <c r="AF501" s="4" t="str">
        <f>IFERROR(__xludf.DUMMYFUNCTION("""COMPUTED_VALUE"""),"BELUM")</f>
        <v>BELUM</v>
      </c>
      <c r="AG501" s="6">
        <f>IFERROR(__xludf.DUMMYFUNCTION("""COMPUTED_VALUE"""),46076.0)</f>
        <v>46076</v>
      </c>
      <c r="AH501" s="4"/>
      <c r="AI501" s="4"/>
    </row>
    <row r="502" ht="15.75" customHeight="1">
      <c r="A502" s="4" t="str">
        <f>IFERROR(__xludf.DUMMYFUNCTION("""COMPUTED_VALUE"""),"015dae6e")</f>
        <v>015dae6e</v>
      </c>
      <c r="B502" s="5">
        <f>IFERROR(__xludf.DUMMYFUNCTION("""COMPUTED_VALUE"""),46076.88125)</f>
        <v>46076.88125</v>
      </c>
      <c r="C502" s="4" t="str">
        <f>IFERROR(__xludf.DUMMYFUNCTION("""COMPUTED_VALUE"""),"-6.949056, 107.611929")</f>
        <v>-6.949056, 107.611929</v>
      </c>
      <c r="D502" s="4" t="str">
        <f>IFERROR(__xludf.DUMMYFUNCTION("""COMPUTED_VALUE"""),"Nugi fuad")</f>
        <v>Nugi fuad</v>
      </c>
      <c r="E502" s="4" t="str">
        <f>IFERROR(__xludf.DUMMYFUNCTION("""COMPUTED_VALUE"""),"BANDUNG")</f>
        <v>BANDUNG</v>
      </c>
      <c r="F502" s="4" t="str">
        <f>IFERROR(__xludf.DUMMYFUNCTION("""COMPUTED_VALUE"""),"BANDUNG SELATAN")</f>
        <v>BANDUNG SELATAN</v>
      </c>
      <c r="G502" s="4" t="str">
        <f>IFERROR(__xludf.DUMMYFUNCTION("""COMPUTED_VALUE"""),"CIGERELENG")</f>
        <v>CIGERELENG</v>
      </c>
      <c r="H502" s="4" t="str">
        <f>IFERROR(__xludf.DUMMYFUNCTION("""COMPUTED_VALUE"""),"PLSI")</f>
        <v>PLSI</v>
      </c>
      <c r="I502" s="4" t="str">
        <f>IFERROR(__xludf.DUMMYFUNCTION("""COMPUTED_VALUE"""),"PGDB MGHU- REC. CKU")</f>
        <v>PGDB MGHU- REC. CKU</v>
      </c>
      <c r="J502" s="4" t="str">
        <f>IFERROR(__xludf.DUMMYFUNCTION("""COMPUTED_VALUE"""),"ZONA 2")</f>
        <v>ZONA 2</v>
      </c>
      <c r="K502" s="4" t="str">
        <f>IFERROR(__xludf.DUMMYFUNCTION("""COMPUTED_VALUE"""),"046R01")</f>
        <v>046R01</v>
      </c>
      <c r="L502" s="4" t="str">
        <f>IFERROR(__xludf.DUMMYFUNCTION("""COMPUTED_VALUE"""),"TM - 7B/H (Afspan 90 Derajat)")</f>
        <v>TM - 7B/H (Afspan 90 Derajat)</v>
      </c>
      <c r="M502" s="4" t="str">
        <f>IFERROR(__xludf.DUMMYFUNCTION("""COMPUTED_VALUE"""),"Tidak Ada")</f>
        <v>Tidak Ada</v>
      </c>
      <c r="N502" s="4"/>
      <c r="O502" s="4" t="str">
        <f>IFERROR(__xludf.DUMMYFUNCTION("""COMPUTED_VALUE"""),"PEMBANDING SEJENIS")</f>
        <v>PEMBANDING SEJENIS</v>
      </c>
      <c r="P502" s="4" t="str">
        <f>IFERROR(__xludf.DUMMYFUNCTION("""COMPUTED_VALUE"""),"KONEKTOR/JUMPER")</f>
        <v>KONEKTOR/JUMPER</v>
      </c>
      <c r="Q502" s="4">
        <f>IFERROR(__xludf.DUMMYFUNCTION("""COMPUTED_VALUE"""),19.0)</f>
        <v>19</v>
      </c>
      <c r="R502" s="4">
        <f>IFERROR(__xludf.DUMMYFUNCTION("""COMPUTED_VALUE"""),18.0)</f>
        <v>18</v>
      </c>
      <c r="S502" s="4">
        <f>IFERROR(__xludf.DUMMYFUNCTION("""COMPUTED_VALUE"""),18.0)</f>
        <v>18</v>
      </c>
      <c r="T502" s="4"/>
      <c r="U502" s="4" t="str">
        <f>IFERROR(__xludf.DUMMYFUNCTION("""COMPUTED_VALUE"""),"BAIK")</f>
        <v>BAIK</v>
      </c>
      <c r="V502" s="4" t="str">
        <f>IFERROR(__xludf.DUMMYFUNCTION("""COMPUTED_VALUE"""),"Tidak Ada")</f>
        <v>Tidak Ada</v>
      </c>
      <c r="W502" s="4"/>
      <c r="X502" s="4"/>
      <c r="Y502" s="4"/>
      <c r="Z502" s="4"/>
      <c r="AA502" s="4"/>
      <c r="AB502" s="4"/>
      <c r="AC502" s="4" t="str">
        <f>IFERROR(__xludf.DUMMYFUNCTION("""COMPUTED_VALUE"""),"INSPEKSI SUTM - T2_Images/015dae6e.FOTO.191701.jpg")</f>
        <v>INSPEKSI SUTM - T2_Images/015dae6e.FOTO.191701.jpg</v>
      </c>
      <c r="AD502" s="4"/>
      <c r="AE502" s="4"/>
      <c r="AF502" s="4" t="str">
        <f>IFERROR(__xludf.DUMMYFUNCTION("""COMPUTED_VALUE"""),"BELUM")</f>
        <v>BELUM</v>
      </c>
      <c r="AG502" s="6">
        <f>IFERROR(__xludf.DUMMYFUNCTION("""COMPUTED_VALUE"""),46076.0)</f>
        <v>46076</v>
      </c>
      <c r="AH502" s="4"/>
      <c r="AI502" s="4"/>
    </row>
    <row r="503" ht="15.75" customHeight="1">
      <c r="A503" s="4" t="str">
        <f>IFERROR(__xludf.DUMMYFUNCTION("""COMPUTED_VALUE"""),"68b861fb")</f>
        <v>68b861fb</v>
      </c>
      <c r="B503" s="5">
        <f>IFERROR(__xludf.DUMMYFUNCTION("""COMPUTED_VALUE"""),46076.88267361111)</f>
        <v>46076.88267</v>
      </c>
      <c r="C503" s="4" t="str">
        <f>IFERROR(__xludf.DUMMYFUNCTION("""COMPUTED_VALUE"""),"-6.949056, 107.611929")</f>
        <v>-6.949056, 107.611929</v>
      </c>
      <c r="D503" s="4" t="str">
        <f>IFERROR(__xludf.DUMMYFUNCTION("""COMPUTED_VALUE"""),"Nugi fuad")</f>
        <v>Nugi fuad</v>
      </c>
      <c r="E503" s="4" t="str">
        <f>IFERROR(__xludf.DUMMYFUNCTION("""COMPUTED_VALUE"""),"BANDUNG")</f>
        <v>BANDUNG</v>
      </c>
      <c r="F503" s="4" t="str">
        <f>IFERROR(__xludf.DUMMYFUNCTION("""COMPUTED_VALUE"""),"BANDUNG SELATAN")</f>
        <v>BANDUNG SELATAN</v>
      </c>
      <c r="G503" s="4" t="str">
        <f>IFERROR(__xludf.DUMMYFUNCTION("""COMPUTED_VALUE"""),"CIGERELENG")</f>
        <v>CIGERELENG</v>
      </c>
      <c r="H503" s="4" t="str">
        <f>IFERROR(__xludf.DUMMYFUNCTION("""COMPUTED_VALUE"""),"PLSI")</f>
        <v>PLSI</v>
      </c>
      <c r="I503" s="4" t="str">
        <f>IFERROR(__xludf.DUMMYFUNCTION("""COMPUTED_VALUE"""),"PGDB MGHU- REC. CKU")</f>
        <v>PGDB MGHU- REC. CKU</v>
      </c>
      <c r="J503" s="4" t="str">
        <f>IFERROR(__xludf.DUMMYFUNCTION("""COMPUTED_VALUE"""),"ZONA 2")</f>
        <v>ZONA 2</v>
      </c>
      <c r="K503" s="4" t="str">
        <f>IFERROR(__xludf.DUMMYFUNCTION("""COMPUTED_VALUE"""),"053")</f>
        <v>053</v>
      </c>
      <c r="L503" s="4" t="str">
        <f>IFERROR(__xludf.DUMMYFUNCTION("""COMPUTED_VALUE"""),"TM - 8B/H (Percabangan)")</f>
        <v>TM - 8B/H (Percabangan)</v>
      </c>
      <c r="M503" s="4" t="str">
        <f>IFERROR(__xludf.DUMMYFUNCTION("""COMPUTED_VALUE"""),"Tidak Ada")</f>
        <v>Tidak Ada</v>
      </c>
      <c r="N503" s="4"/>
      <c r="O503" s="4" t="str">
        <f>IFERROR(__xludf.DUMMYFUNCTION("""COMPUTED_VALUE"""),"PEMBANDING SEJENIS")</f>
        <v>PEMBANDING SEJENIS</v>
      </c>
      <c r="P503" s="4" t="str">
        <f>IFERROR(__xludf.DUMMYFUNCTION("""COMPUTED_VALUE"""),"KONEKTOR/JUMPER")</f>
        <v>KONEKTOR/JUMPER</v>
      </c>
      <c r="Q503" s="4">
        <f>IFERROR(__xludf.DUMMYFUNCTION("""COMPUTED_VALUE"""),20.0)</f>
        <v>20</v>
      </c>
      <c r="R503" s="4">
        <f>IFERROR(__xludf.DUMMYFUNCTION("""COMPUTED_VALUE"""),20.0)</f>
        <v>20</v>
      </c>
      <c r="S503" s="4">
        <f>IFERROR(__xludf.DUMMYFUNCTION("""COMPUTED_VALUE"""),20.0)</f>
        <v>20</v>
      </c>
      <c r="T503" s="4"/>
      <c r="U503" s="4" t="str">
        <f>IFERROR(__xludf.DUMMYFUNCTION("""COMPUTED_VALUE"""),"BAIK")</f>
        <v>BAIK</v>
      </c>
      <c r="V503" s="4" t="str">
        <f>IFERROR(__xludf.DUMMYFUNCTION("""COMPUTED_VALUE"""),"Tidak Ada")</f>
        <v>Tidak Ada</v>
      </c>
      <c r="W503" s="4"/>
      <c r="X503" s="4"/>
      <c r="Y503" s="4"/>
      <c r="Z503" s="4"/>
      <c r="AA503" s="4"/>
      <c r="AB503" s="4"/>
      <c r="AC503" s="4" t="str">
        <f>IFERROR(__xludf.DUMMYFUNCTION("""COMPUTED_VALUE"""),"INSPEKSI SUTM - T2_Images/68b861fb.FOTO.191709.jpg")</f>
        <v>INSPEKSI SUTM - T2_Images/68b861fb.FOTO.191709.jpg</v>
      </c>
      <c r="AD503" s="4"/>
      <c r="AE503" s="4"/>
      <c r="AF503" s="4" t="str">
        <f>IFERROR(__xludf.DUMMYFUNCTION("""COMPUTED_VALUE"""),"BELUM")</f>
        <v>BELUM</v>
      </c>
      <c r="AG503" s="6">
        <f>IFERROR(__xludf.DUMMYFUNCTION("""COMPUTED_VALUE"""),46076.0)</f>
        <v>46076</v>
      </c>
      <c r="AH503" s="4"/>
      <c r="AI503" s="4"/>
    </row>
    <row r="504" ht="15.75" customHeight="1">
      <c r="A504" s="4" t="str">
        <f>IFERROR(__xludf.DUMMYFUNCTION("""COMPUTED_VALUE"""),"fed7d730")</f>
        <v>fed7d730</v>
      </c>
      <c r="B504" s="5">
        <f>IFERROR(__xludf.DUMMYFUNCTION("""COMPUTED_VALUE"""),46076.883888888886)</f>
        <v>46076.88389</v>
      </c>
      <c r="C504" s="4" t="str">
        <f>IFERROR(__xludf.DUMMYFUNCTION("""COMPUTED_VALUE"""),"-6.949056, 107.611929")</f>
        <v>-6.949056, 107.611929</v>
      </c>
      <c r="D504" s="4" t="str">
        <f>IFERROR(__xludf.DUMMYFUNCTION("""COMPUTED_VALUE"""),"Nugi fuad")</f>
        <v>Nugi fuad</v>
      </c>
      <c r="E504" s="4" t="str">
        <f>IFERROR(__xludf.DUMMYFUNCTION("""COMPUTED_VALUE"""),"BANDUNG")</f>
        <v>BANDUNG</v>
      </c>
      <c r="F504" s="4" t="str">
        <f>IFERROR(__xludf.DUMMYFUNCTION("""COMPUTED_VALUE"""),"BANDUNG SELATAN")</f>
        <v>BANDUNG SELATAN</v>
      </c>
      <c r="G504" s="4" t="str">
        <f>IFERROR(__xludf.DUMMYFUNCTION("""COMPUTED_VALUE"""),"CIGERELENG")</f>
        <v>CIGERELENG</v>
      </c>
      <c r="H504" s="4" t="str">
        <f>IFERROR(__xludf.DUMMYFUNCTION("""COMPUTED_VALUE"""),"PLSI")</f>
        <v>PLSI</v>
      </c>
      <c r="I504" s="4" t="str">
        <f>IFERROR(__xludf.DUMMYFUNCTION("""COMPUTED_VALUE"""),"PGDB MGHU- REC. CKU")</f>
        <v>PGDB MGHU- REC. CKU</v>
      </c>
      <c r="J504" s="4" t="str">
        <f>IFERROR(__xludf.DUMMYFUNCTION("""COMPUTED_VALUE"""),"ZONA 2")</f>
        <v>ZONA 2</v>
      </c>
      <c r="K504" s="4" t="str">
        <f>IFERROR(__xludf.DUMMYFUNCTION("""COMPUTED_VALUE"""),"053L04")</f>
        <v>053L04</v>
      </c>
      <c r="L504" s="4" t="str">
        <f>IFERROR(__xludf.DUMMYFUNCTION("""COMPUTED_VALUE"""),"TM - 13B/H (Kabel Naik Pada Tiang Tumpu)")</f>
        <v>TM - 13B/H (Kabel Naik Pada Tiang Tumpu)</v>
      </c>
      <c r="M504" s="4" t="str">
        <f>IFERROR(__xludf.DUMMYFUNCTION("""COMPUTED_VALUE"""),"Tidak Ada")</f>
        <v>Tidak Ada</v>
      </c>
      <c r="N504" s="4"/>
      <c r="O504" s="4" t="str">
        <f>IFERROR(__xludf.DUMMYFUNCTION("""COMPUTED_VALUE"""),"PEMBANDING SEJENIS")</f>
        <v>PEMBANDING SEJENIS</v>
      </c>
      <c r="P504" s="4" t="str">
        <f>IFERROR(__xludf.DUMMYFUNCTION("""COMPUTED_VALUE"""),"KONEKTOR/JUMPER")</f>
        <v>KONEKTOR/JUMPER</v>
      </c>
      <c r="Q504" s="4">
        <f>IFERROR(__xludf.DUMMYFUNCTION("""COMPUTED_VALUE"""),19.0)</f>
        <v>19</v>
      </c>
      <c r="R504" s="4">
        <f>IFERROR(__xludf.DUMMYFUNCTION("""COMPUTED_VALUE"""),19.0)</f>
        <v>19</v>
      </c>
      <c r="S504" s="4">
        <f>IFERROR(__xludf.DUMMYFUNCTION("""COMPUTED_VALUE"""),17.0)</f>
        <v>17</v>
      </c>
      <c r="T504" s="4"/>
      <c r="U504" s="4" t="str">
        <f>IFERROR(__xludf.DUMMYFUNCTION("""COMPUTED_VALUE"""),"BAIK")</f>
        <v>BAIK</v>
      </c>
      <c r="V504" s="4" t="str">
        <f>IFERROR(__xludf.DUMMYFUNCTION("""COMPUTED_VALUE"""),"Tidak Ada")</f>
        <v>Tidak Ada</v>
      </c>
      <c r="W504" s="4"/>
      <c r="X504" s="4"/>
      <c r="Y504" s="4"/>
      <c r="Z504" s="4"/>
      <c r="AA504" s="4"/>
      <c r="AB504" s="4"/>
      <c r="AC504" s="4" t="str">
        <f>IFERROR(__xludf.DUMMYFUNCTION("""COMPUTED_VALUE"""),"INSPEKSI SUTM - T2_Images/fed7d730.FOTO.191714.jpg")</f>
        <v>INSPEKSI SUTM - T2_Images/fed7d730.FOTO.191714.jpg</v>
      </c>
      <c r="AD504" s="4"/>
      <c r="AE504" s="4"/>
      <c r="AF504" s="4" t="str">
        <f>IFERROR(__xludf.DUMMYFUNCTION("""COMPUTED_VALUE"""),"BELUM")</f>
        <v>BELUM</v>
      </c>
      <c r="AG504" s="6">
        <f>IFERROR(__xludf.DUMMYFUNCTION("""COMPUTED_VALUE"""),46076.0)</f>
        <v>46076</v>
      </c>
      <c r="AH504" s="4"/>
      <c r="AI504" s="4"/>
    </row>
    <row r="505" ht="15.75" customHeight="1">
      <c r="A505" s="4" t="str">
        <f>IFERROR(__xludf.DUMMYFUNCTION("""COMPUTED_VALUE"""),"458e60e4")</f>
        <v>458e60e4</v>
      </c>
      <c r="B505" s="5">
        <f>IFERROR(__xludf.DUMMYFUNCTION("""COMPUTED_VALUE"""),46080.8215625)</f>
        <v>46080.82156</v>
      </c>
      <c r="C505" s="4" t="str">
        <f>IFERROR(__xludf.DUMMYFUNCTION("""COMPUTED_VALUE"""),"-6.947378, 107.663557")</f>
        <v>-6.947378, 107.663557</v>
      </c>
      <c r="D505" s="4" t="str">
        <f>IFERROR(__xludf.DUMMYFUNCTION("""COMPUTED_VALUE"""),"Jihan kiki")</f>
        <v>Jihan kiki</v>
      </c>
      <c r="E505" s="4" t="str">
        <f>IFERROR(__xludf.DUMMYFUNCTION("""COMPUTED_VALUE"""),"BANDUNG")</f>
        <v>BANDUNG</v>
      </c>
      <c r="F505" s="4" t="str">
        <f>IFERROR(__xludf.DUMMYFUNCTION("""COMPUTED_VALUE"""),"CIJAWURA")</f>
        <v>CIJAWURA</v>
      </c>
      <c r="G505" s="4" t="str">
        <f>IFERROR(__xludf.DUMMYFUNCTION("""COMPUTED_VALUE"""),"GIS KIARACONDONG")</f>
        <v>GIS KIARACONDONG</v>
      </c>
      <c r="H505" s="4" t="str">
        <f>IFERROR(__xludf.DUMMYFUNCTION("""COMPUTED_VALUE"""),"CWRA")</f>
        <v>CWRA</v>
      </c>
      <c r="I505" s="4" t="str">
        <f>IFERROR(__xludf.DUMMYFUNCTION("""COMPUTED_VALUE"""),"LBS RCGF - UJUNG")</f>
        <v>LBS RCGF - UJUNG</v>
      </c>
      <c r="J505" s="4" t="str">
        <f>IFERROR(__xludf.DUMMYFUNCTION("""COMPUTED_VALUE"""),"ZONA 2")</f>
        <v>ZONA 2</v>
      </c>
      <c r="K505" s="4" t="str">
        <f>IFERROR(__xludf.DUMMYFUNCTION("""COMPUTED_VALUE"""),"081R03")</f>
        <v>081R03</v>
      </c>
      <c r="L505" s="4" t="str">
        <f>IFERROR(__xludf.DUMMYFUNCTION("""COMPUTED_VALUE"""),"TM - 16B/H (REC/SSO/LBS)")</f>
        <v>TM - 16B/H (REC/SSO/LBS)</v>
      </c>
      <c r="M505" s="4" t="str">
        <f>IFERROR(__xludf.DUMMYFUNCTION("""COMPUTED_VALUE"""),"LBS")</f>
        <v>LBS</v>
      </c>
      <c r="N505" s="4" t="str">
        <f>IFERROR(__xludf.DUMMYFUNCTION("""COMPUTED_VALUE"""),"RCGF")</f>
        <v>RCGF</v>
      </c>
      <c r="O505" s="4" t="str">
        <f>IFERROR(__xludf.DUMMYFUNCTION("""COMPUTED_VALUE"""),"PEMBANDING SEJENIS")</f>
        <v>PEMBANDING SEJENIS</v>
      </c>
      <c r="P505" s="4" t="str">
        <f>IFERROR(__xludf.DUMMYFUNCTION("""COMPUTED_VALUE"""),"KONEKTOR/JUMPER")</f>
        <v>KONEKTOR/JUMPER</v>
      </c>
      <c r="Q505" s="4">
        <f>IFERROR(__xludf.DUMMYFUNCTION("""COMPUTED_VALUE"""),21.0)</f>
        <v>21</v>
      </c>
      <c r="R505" s="4">
        <f>IFERROR(__xludf.DUMMYFUNCTION("""COMPUTED_VALUE"""),20.0)</f>
        <v>20</v>
      </c>
      <c r="S505" s="4">
        <f>IFERROR(__xludf.DUMMYFUNCTION("""COMPUTED_VALUE"""),21.0)</f>
        <v>21</v>
      </c>
      <c r="T505" s="4"/>
      <c r="U505" s="4" t="str">
        <f>IFERROR(__xludf.DUMMYFUNCTION("""COMPUTED_VALUE"""),"BAIK")</f>
        <v>BAIK</v>
      </c>
      <c r="V505" s="4" t="str">
        <f>IFERROR(__xludf.DUMMYFUNCTION("""COMPUTED_VALUE"""),"Tidak Ada")</f>
        <v>Tidak Ada</v>
      </c>
      <c r="W505" s="4"/>
      <c r="X505" s="4"/>
      <c r="Y505" s="4"/>
      <c r="Z505" s="4"/>
      <c r="AA505" s="4"/>
      <c r="AB505" s="4"/>
      <c r="AC505" s="4" t="str">
        <f>IFERROR(__xludf.DUMMYFUNCTION("""COMPUTED_VALUE"""),"INSPEKSI SUTM - T2_Images/458e60e4.FOTO.124418.jpg")</f>
        <v>INSPEKSI SUTM - T2_Images/458e60e4.FOTO.124418.jpg</v>
      </c>
      <c r="AD505" s="4"/>
      <c r="AE505" s="4"/>
      <c r="AF505" s="4" t="str">
        <f>IFERROR(__xludf.DUMMYFUNCTION("""COMPUTED_VALUE"""),"BELUM")</f>
        <v>BELUM</v>
      </c>
      <c r="AG505" s="6">
        <f>IFERROR(__xludf.DUMMYFUNCTION("""COMPUTED_VALUE"""),46080.0)</f>
        <v>46080</v>
      </c>
      <c r="AH505" s="4"/>
      <c r="AI505" s="4"/>
    </row>
    <row r="506" ht="15.75" customHeight="1">
      <c r="A506" s="4" t="str">
        <f>IFERROR(__xludf.DUMMYFUNCTION("""COMPUTED_VALUE"""),"7ba70c15")</f>
        <v>7ba70c15</v>
      </c>
      <c r="B506" s="5">
        <f>IFERROR(__xludf.DUMMYFUNCTION("""COMPUTED_VALUE"""),46080.82244212963)</f>
        <v>46080.82244</v>
      </c>
      <c r="C506" s="4" t="str">
        <f>IFERROR(__xludf.DUMMYFUNCTION("""COMPUTED_VALUE"""),"-6.947262, 107.662633")</f>
        <v>-6.947262, 107.662633</v>
      </c>
      <c r="D506" s="4" t="str">
        <f>IFERROR(__xludf.DUMMYFUNCTION("""COMPUTED_VALUE"""),"Jihan kiki")</f>
        <v>Jihan kiki</v>
      </c>
      <c r="E506" s="4" t="str">
        <f>IFERROR(__xludf.DUMMYFUNCTION("""COMPUTED_VALUE"""),"BANDUNG")</f>
        <v>BANDUNG</v>
      </c>
      <c r="F506" s="4" t="str">
        <f>IFERROR(__xludf.DUMMYFUNCTION("""COMPUTED_VALUE"""),"CIJAWURA")</f>
        <v>CIJAWURA</v>
      </c>
      <c r="G506" s="4" t="str">
        <f>IFERROR(__xludf.DUMMYFUNCTION("""COMPUTED_VALUE"""),"GIS KIARACONDONG")</f>
        <v>GIS KIARACONDONG</v>
      </c>
      <c r="H506" s="4" t="str">
        <f>IFERROR(__xludf.DUMMYFUNCTION("""COMPUTED_VALUE"""),"CWRA")</f>
        <v>CWRA</v>
      </c>
      <c r="I506" s="4" t="str">
        <f>IFERROR(__xludf.DUMMYFUNCTION("""COMPUTED_VALUE"""),"LBS RCGF - UJUNG")</f>
        <v>LBS RCGF - UJUNG</v>
      </c>
      <c r="J506" s="4" t="str">
        <f>IFERROR(__xludf.DUMMYFUNCTION("""COMPUTED_VALUE"""),"ZONA 2")</f>
        <v>ZONA 2</v>
      </c>
      <c r="K506" s="4" t="str">
        <f>IFERROR(__xludf.DUMMYFUNCTION("""COMPUTED_VALUE"""),"081R06")</f>
        <v>081R06</v>
      </c>
      <c r="L506" s="4" t="str">
        <f>IFERROR(__xludf.DUMMYFUNCTION("""COMPUTED_VALUE"""),"TM - 8B/H (Percabangan)")</f>
        <v>TM - 8B/H (Percabangan)</v>
      </c>
      <c r="M506" s="4" t="str">
        <f>IFERROR(__xludf.DUMMYFUNCTION("""COMPUTED_VALUE"""),"Tidak Ada")</f>
        <v>Tidak Ada</v>
      </c>
      <c r="N506" s="4"/>
      <c r="O506" s="4" t="str">
        <f>IFERROR(__xludf.DUMMYFUNCTION("""COMPUTED_VALUE"""),"PEMBANDING SEJENIS")</f>
        <v>PEMBANDING SEJENIS</v>
      </c>
      <c r="P506" s="4" t="str">
        <f>IFERROR(__xludf.DUMMYFUNCTION("""COMPUTED_VALUE"""),"KONEKTOR/JUMPER")</f>
        <v>KONEKTOR/JUMPER</v>
      </c>
      <c r="Q506" s="4">
        <f>IFERROR(__xludf.DUMMYFUNCTION("""COMPUTED_VALUE"""),22.0)</f>
        <v>22</v>
      </c>
      <c r="R506" s="4">
        <f>IFERROR(__xludf.DUMMYFUNCTION("""COMPUTED_VALUE"""),22.0)</f>
        <v>22</v>
      </c>
      <c r="S506" s="4">
        <f>IFERROR(__xludf.DUMMYFUNCTION("""COMPUTED_VALUE"""),21.0)</f>
        <v>21</v>
      </c>
      <c r="T506" s="4"/>
      <c r="U506" s="4" t="str">
        <f>IFERROR(__xludf.DUMMYFUNCTION("""COMPUTED_VALUE"""),"BAIK")</f>
        <v>BAIK</v>
      </c>
      <c r="V506" s="4" t="str">
        <f>IFERROR(__xludf.DUMMYFUNCTION("""COMPUTED_VALUE"""),"Tidak Ada")</f>
        <v>Tidak Ada</v>
      </c>
      <c r="W506" s="4"/>
      <c r="X506" s="4"/>
      <c r="Y506" s="4"/>
      <c r="Z506" s="4"/>
      <c r="AA506" s="4"/>
      <c r="AB506" s="4"/>
      <c r="AC506" s="4" t="str">
        <f>IFERROR(__xludf.DUMMYFUNCTION("""COMPUTED_VALUE"""),"INSPEKSI SUTM - T2_Images/7ba70c15.FOTO.124459.jpg")</f>
        <v>INSPEKSI SUTM - T2_Images/7ba70c15.FOTO.124459.jpg</v>
      </c>
      <c r="AD506" s="4"/>
      <c r="AE506" s="4"/>
      <c r="AF506" s="4" t="str">
        <f>IFERROR(__xludf.DUMMYFUNCTION("""COMPUTED_VALUE"""),"BELUM")</f>
        <v>BELUM</v>
      </c>
      <c r="AG506" s="6">
        <f>IFERROR(__xludf.DUMMYFUNCTION("""COMPUTED_VALUE"""),46080.0)</f>
        <v>46080</v>
      </c>
      <c r="AH506" s="4"/>
      <c r="AI506" s="4"/>
    </row>
    <row r="507" ht="15.75" customHeight="1">
      <c r="A507" s="4" t="str">
        <f>IFERROR(__xludf.DUMMYFUNCTION("""COMPUTED_VALUE"""),"3f804fc3")</f>
        <v>3f804fc3</v>
      </c>
      <c r="B507" s="5">
        <f>IFERROR(__xludf.DUMMYFUNCTION("""COMPUTED_VALUE"""),46080.82303240741)</f>
        <v>46080.82303</v>
      </c>
      <c r="C507" s="4" t="str">
        <f>IFERROR(__xludf.DUMMYFUNCTION("""COMPUTED_VALUE"""),"-6.946740, 107.662645")</f>
        <v>-6.946740, 107.662645</v>
      </c>
      <c r="D507" s="4" t="str">
        <f>IFERROR(__xludf.DUMMYFUNCTION("""COMPUTED_VALUE"""),"Jihan kiki")</f>
        <v>Jihan kiki</v>
      </c>
      <c r="E507" s="4" t="str">
        <f>IFERROR(__xludf.DUMMYFUNCTION("""COMPUTED_VALUE"""),"BANDUNG")</f>
        <v>BANDUNG</v>
      </c>
      <c r="F507" s="4" t="str">
        <f>IFERROR(__xludf.DUMMYFUNCTION("""COMPUTED_VALUE"""),"CIJAWURA")</f>
        <v>CIJAWURA</v>
      </c>
      <c r="G507" s="4" t="str">
        <f>IFERROR(__xludf.DUMMYFUNCTION("""COMPUTED_VALUE"""),"GIS KIARACONDONG")</f>
        <v>GIS KIARACONDONG</v>
      </c>
      <c r="H507" s="4" t="str">
        <f>IFERROR(__xludf.DUMMYFUNCTION("""COMPUTED_VALUE"""),"CWRA")</f>
        <v>CWRA</v>
      </c>
      <c r="I507" s="4" t="str">
        <f>IFERROR(__xludf.DUMMYFUNCTION("""COMPUTED_VALUE"""),"LBS RCGF - UJUNG")</f>
        <v>LBS RCGF - UJUNG</v>
      </c>
      <c r="J507" s="4" t="str">
        <f>IFERROR(__xludf.DUMMYFUNCTION("""COMPUTED_VALUE"""),"ZONA 2")</f>
        <v>ZONA 2</v>
      </c>
      <c r="K507" s="4" t="str">
        <f>IFERROR(__xludf.DUMMYFUNCTION("""COMPUTED_VALUE"""),"081R06R04")</f>
        <v>081R06R04</v>
      </c>
      <c r="L507" s="4" t="str">
        <f>IFERROR(__xludf.DUMMYFUNCTION("""COMPUTED_VALUE"""),"TM - 11B/H (Kabel Naik)")</f>
        <v>TM - 11B/H (Kabel Naik)</v>
      </c>
      <c r="M507" s="4" t="str">
        <f>IFERROR(__xludf.DUMMYFUNCTION("""COMPUTED_VALUE"""),"Tidak Ada")</f>
        <v>Tidak Ada</v>
      </c>
      <c r="N507" s="4"/>
      <c r="O507" s="4" t="str">
        <f>IFERROR(__xludf.DUMMYFUNCTION("""COMPUTED_VALUE"""),"PEMBANDING SEJENIS")</f>
        <v>PEMBANDING SEJENIS</v>
      </c>
      <c r="P507" s="4" t="str">
        <f>IFERROR(__xludf.DUMMYFUNCTION("""COMPUTED_VALUE"""),"KONEKTOR/JUMPER")</f>
        <v>KONEKTOR/JUMPER</v>
      </c>
      <c r="Q507" s="4">
        <f>IFERROR(__xludf.DUMMYFUNCTION("""COMPUTED_VALUE"""),22.0)</f>
        <v>22</v>
      </c>
      <c r="R507" s="4">
        <f>IFERROR(__xludf.DUMMYFUNCTION("""COMPUTED_VALUE"""),21.0)</f>
        <v>21</v>
      </c>
      <c r="S507" s="4">
        <f>IFERROR(__xludf.DUMMYFUNCTION("""COMPUTED_VALUE"""),21.0)</f>
        <v>21</v>
      </c>
      <c r="T507" s="4"/>
      <c r="U507" s="4" t="str">
        <f>IFERROR(__xludf.DUMMYFUNCTION("""COMPUTED_VALUE"""),"BAIK")</f>
        <v>BAIK</v>
      </c>
      <c r="V507" s="4" t="str">
        <f>IFERROR(__xludf.DUMMYFUNCTION("""COMPUTED_VALUE"""),"Tidak Ada")</f>
        <v>Tidak Ada</v>
      </c>
      <c r="W507" s="4"/>
      <c r="X507" s="4"/>
      <c r="Y507" s="4"/>
      <c r="Z507" s="4"/>
      <c r="AA507" s="4"/>
      <c r="AB507" s="4"/>
      <c r="AC507" s="4" t="str">
        <f>IFERROR(__xludf.DUMMYFUNCTION("""COMPUTED_VALUE"""),"INSPEKSI SUTM - T2_Images/3f804fc3.FOTO.124552.jpg")</f>
        <v>INSPEKSI SUTM - T2_Images/3f804fc3.FOTO.124552.jpg</v>
      </c>
      <c r="AD507" s="4"/>
      <c r="AE507" s="4"/>
      <c r="AF507" s="4" t="str">
        <f>IFERROR(__xludf.DUMMYFUNCTION("""COMPUTED_VALUE"""),"BELUM")</f>
        <v>BELUM</v>
      </c>
      <c r="AG507" s="6">
        <f>IFERROR(__xludf.DUMMYFUNCTION("""COMPUTED_VALUE"""),46080.0)</f>
        <v>46080</v>
      </c>
      <c r="AH507" s="4"/>
      <c r="AI507" s="4"/>
    </row>
    <row r="508" ht="15.75" customHeight="1">
      <c r="A508" s="4" t="str">
        <f>IFERROR(__xludf.DUMMYFUNCTION("""COMPUTED_VALUE"""),"fa7cc33e")</f>
        <v>fa7cc33e</v>
      </c>
      <c r="B508" s="5">
        <f>IFERROR(__xludf.DUMMYFUNCTION("""COMPUTED_VALUE"""),46080.82356481482)</f>
        <v>46080.82356</v>
      </c>
      <c r="C508" s="4" t="str">
        <f>IFERROR(__xludf.DUMMYFUNCTION("""COMPUTED_VALUE"""),"-6.946441, 107.662685")</f>
        <v>-6.946441, 107.662685</v>
      </c>
      <c r="D508" s="4" t="str">
        <f>IFERROR(__xludf.DUMMYFUNCTION("""COMPUTED_VALUE"""),"Jihan kiki")</f>
        <v>Jihan kiki</v>
      </c>
      <c r="E508" s="4" t="str">
        <f>IFERROR(__xludf.DUMMYFUNCTION("""COMPUTED_VALUE"""),"BANDUNG")</f>
        <v>BANDUNG</v>
      </c>
      <c r="F508" s="4" t="str">
        <f>IFERROR(__xludf.DUMMYFUNCTION("""COMPUTED_VALUE"""),"CIJAWURA")</f>
        <v>CIJAWURA</v>
      </c>
      <c r="G508" s="4" t="str">
        <f>IFERROR(__xludf.DUMMYFUNCTION("""COMPUTED_VALUE"""),"GIS KIARACONDONG")</f>
        <v>GIS KIARACONDONG</v>
      </c>
      <c r="H508" s="4" t="str">
        <f>IFERROR(__xludf.DUMMYFUNCTION("""COMPUTED_VALUE"""),"CWRA")</f>
        <v>CWRA</v>
      </c>
      <c r="I508" s="4" t="str">
        <f>IFERROR(__xludf.DUMMYFUNCTION("""COMPUTED_VALUE"""),"LBS RCGF - UJUNG")</f>
        <v>LBS RCGF - UJUNG</v>
      </c>
      <c r="J508" s="4" t="str">
        <f>IFERROR(__xludf.DUMMYFUNCTION("""COMPUTED_VALUE"""),"ZONA 2")</f>
        <v>ZONA 2</v>
      </c>
      <c r="K508" s="4" t="str">
        <f>IFERROR(__xludf.DUMMYFUNCTION("""COMPUTED_VALUE"""),"081R06R05")</f>
        <v>081R06R05</v>
      </c>
      <c r="L508" s="4" t="str">
        <f>IFERROR(__xludf.DUMMYFUNCTION("""COMPUTED_VALUE"""),"TM - 11B/H (Kabel Naik)")</f>
        <v>TM - 11B/H (Kabel Naik)</v>
      </c>
      <c r="M508" s="4" t="str">
        <f>IFERROR(__xludf.DUMMYFUNCTION("""COMPUTED_VALUE"""),"Tidak Ada")</f>
        <v>Tidak Ada</v>
      </c>
      <c r="N508" s="4"/>
      <c r="O508" s="4" t="str">
        <f>IFERROR(__xludf.DUMMYFUNCTION("""COMPUTED_VALUE"""),"PEMBANDING SEJENIS")</f>
        <v>PEMBANDING SEJENIS</v>
      </c>
      <c r="P508" s="4" t="str">
        <f>IFERROR(__xludf.DUMMYFUNCTION("""COMPUTED_VALUE"""),"KONEKTOR/JUMPER")</f>
        <v>KONEKTOR/JUMPER</v>
      </c>
      <c r="Q508" s="4">
        <f>IFERROR(__xludf.DUMMYFUNCTION("""COMPUTED_VALUE"""),22.0)</f>
        <v>22</v>
      </c>
      <c r="R508" s="4">
        <f>IFERROR(__xludf.DUMMYFUNCTION("""COMPUTED_VALUE"""),22.0)</f>
        <v>22</v>
      </c>
      <c r="S508" s="4">
        <f>IFERROR(__xludf.DUMMYFUNCTION("""COMPUTED_VALUE"""),22.0)</f>
        <v>22</v>
      </c>
      <c r="T508" s="4"/>
      <c r="U508" s="4" t="str">
        <f>IFERROR(__xludf.DUMMYFUNCTION("""COMPUTED_VALUE"""),"BAIK")</f>
        <v>BAIK</v>
      </c>
      <c r="V508" s="4" t="str">
        <f>IFERROR(__xludf.DUMMYFUNCTION("""COMPUTED_VALUE"""),"Tidak Ada")</f>
        <v>Tidak Ada</v>
      </c>
      <c r="W508" s="4"/>
      <c r="X508" s="4"/>
      <c r="Y508" s="4"/>
      <c r="Z508" s="4"/>
      <c r="AA508" s="4"/>
      <c r="AB508" s="4"/>
      <c r="AC508" s="4" t="str">
        <f>IFERROR(__xludf.DUMMYFUNCTION("""COMPUTED_VALUE"""),"INSPEKSI SUTM - T2_Images/fa7cc33e.FOTO.124635.jpg")</f>
        <v>INSPEKSI SUTM - T2_Images/fa7cc33e.FOTO.124635.jpg</v>
      </c>
      <c r="AD508" s="4"/>
      <c r="AE508" s="4"/>
      <c r="AF508" s="4" t="str">
        <f>IFERROR(__xludf.DUMMYFUNCTION("""COMPUTED_VALUE"""),"BELUM")</f>
        <v>BELUM</v>
      </c>
      <c r="AG508" s="6">
        <f>IFERROR(__xludf.DUMMYFUNCTION("""COMPUTED_VALUE"""),46080.0)</f>
        <v>46080</v>
      </c>
      <c r="AH508" s="4"/>
      <c r="AI508" s="4"/>
    </row>
    <row r="509" ht="15.75" customHeight="1">
      <c r="A509" s="4" t="str">
        <f>IFERROR(__xludf.DUMMYFUNCTION("""COMPUTED_VALUE"""),"44b3a9ef")</f>
        <v>44b3a9ef</v>
      </c>
      <c r="B509" s="5">
        <f>IFERROR(__xludf.DUMMYFUNCTION("""COMPUTED_VALUE"""),46080.824224537035)</f>
        <v>46080.82422</v>
      </c>
      <c r="C509" s="4" t="str">
        <f>IFERROR(__xludf.DUMMYFUNCTION("""COMPUTED_VALUE"""),"-6.945759, 107.662828")</f>
        <v>-6.945759, 107.662828</v>
      </c>
      <c r="D509" s="4" t="str">
        <f>IFERROR(__xludf.DUMMYFUNCTION("""COMPUTED_VALUE"""),"Jihan kiki")</f>
        <v>Jihan kiki</v>
      </c>
      <c r="E509" s="4" t="str">
        <f>IFERROR(__xludf.DUMMYFUNCTION("""COMPUTED_VALUE"""),"BANDUNG")</f>
        <v>BANDUNG</v>
      </c>
      <c r="F509" s="4" t="str">
        <f>IFERROR(__xludf.DUMMYFUNCTION("""COMPUTED_VALUE"""),"CIJAWURA")</f>
        <v>CIJAWURA</v>
      </c>
      <c r="G509" s="4" t="str">
        <f>IFERROR(__xludf.DUMMYFUNCTION("""COMPUTED_VALUE"""),"GIS KIARACONDONG")</f>
        <v>GIS KIARACONDONG</v>
      </c>
      <c r="H509" s="4" t="str">
        <f>IFERROR(__xludf.DUMMYFUNCTION("""COMPUTED_VALUE"""),"CWRA")</f>
        <v>CWRA</v>
      </c>
      <c r="I509" s="4" t="str">
        <f>IFERROR(__xludf.DUMMYFUNCTION("""COMPUTED_VALUE"""),"LBS RCGF - UJUNG")</f>
        <v>LBS RCGF - UJUNG</v>
      </c>
      <c r="J509" s="4" t="str">
        <f>IFERROR(__xludf.DUMMYFUNCTION("""COMPUTED_VALUE"""),"ZONA 2")</f>
        <v>ZONA 2</v>
      </c>
      <c r="K509" s="4" t="str">
        <f>IFERROR(__xludf.DUMMYFUNCTION("""COMPUTED_VALUE"""),"081R06R07")</f>
        <v>081R06R07</v>
      </c>
      <c r="L509" s="4" t="str">
        <f>IFERROR(__xludf.DUMMYFUNCTION("""COMPUTED_VALUE"""),"TM - 8B/H (Percabangan)")</f>
        <v>TM - 8B/H (Percabangan)</v>
      </c>
      <c r="M509" s="4" t="str">
        <f>IFERROR(__xludf.DUMMYFUNCTION("""COMPUTED_VALUE"""),"Tidak Ada")</f>
        <v>Tidak Ada</v>
      </c>
      <c r="N509" s="4"/>
      <c r="O509" s="4" t="str">
        <f>IFERROR(__xludf.DUMMYFUNCTION("""COMPUTED_VALUE"""),"PEMBANDING SEJENIS")</f>
        <v>PEMBANDING SEJENIS</v>
      </c>
      <c r="P509" s="4" t="str">
        <f>IFERROR(__xludf.DUMMYFUNCTION("""COMPUTED_VALUE"""),"KONEKTOR/JUMPER")</f>
        <v>KONEKTOR/JUMPER</v>
      </c>
      <c r="Q509" s="4">
        <f>IFERROR(__xludf.DUMMYFUNCTION("""COMPUTED_VALUE"""),20.0)</f>
        <v>20</v>
      </c>
      <c r="R509" s="4">
        <f>IFERROR(__xludf.DUMMYFUNCTION("""COMPUTED_VALUE"""),19.0)</f>
        <v>19</v>
      </c>
      <c r="S509" s="4">
        <f>IFERROR(__xludf.DUMMYFUNCTION("""COMPUTED_VALUE"""),20.0)</f>
        <v>20</v>
      </c>
      <c r="T509" s="4"/>
      <c r="U509" s="4" t="str">
        <f>IFERROR(__xludf.DUMMYFUNCTION("""COMPUTED_VALUE"""),"BAIK")</f>
        <v>BAIK</v>
      </c>
      <c r="V509" s="4" t="str">
        <f>IFERROR(__xludf.DUMMYFUNCTION("""COMPUTED_VALUE"""),"Tidak Ada")</f>
        <v>Tidak Ada</v>
      </c>
      <c r="W509" s="4"/>
      <c r="X509" s="4"/>
      <c r="Y509" s="4"/>
      <c r="Z509" s="4"/>
      <c r="AA509" s="4"/>
      <c r="AB509" s="4"/>
      <c r="AC509" s="4" t="str">
        <f>IFERROR(__xludf.DUMMYFUNCTION("""COMPUTED_VALUE"""),"INSPEKSI SUTM - T2_Images/44b3a9ef.FOTO.124729.jpg")</f>
        <v>INSPEKSI SUTM - T2_Images/44b3a9ef.FOTO.124729.jpg</v>
      </c>
      <c r="AD509" s="4"/>
      <c r="AE509" s="4"/>
      <c r="AF509" s="4" t="str">
        <f>IFERROR(__xludf.DUMMYFUNCTION("""COMPUTED_VALUE"""),"BELUM")</f>
        <v>BELUM</v>
      </c>
      <c r="AG509" s="6">
        <f>IFERROR(__xludf.DUMMYFUNCTION("""COMPUTED_VALUE"""),46080.0)</f>
        <v>46080</v>
      </c>
      <c r="AH509" s="4"/>
      <c r="AI509" s="4"/>
    </row>
    <row r="510" ht="15.75" customHeight="1">
      <c r="A510" s="4" t="str">
        <f>IFERROR(__xludf.DUMMYFUNCTION("""COMPUTED_VALUE"""),"34d02b70")</f>
        <v>34d02b70</v>
      </c>
      <c r="B510" s="5">
        <f>IFERROR(__xludf.DUMMYFUNCTION("""COMPUTED_VALUE"""),46080.824907407405)</f>
        <v>46080.82491</v>
      </c>
      <c r="C510" s="4" t="str">
        <f>IFERROR(__xludf.DUMMYFUNCTION("""COMPUTED_VALUE"""),"-6.947592, 107.662578")</f>
        <v>-6.947592, 107.662578</v>
      </c>
      <c r="D510" s="4" t="str">
        <f>IFERROR(__xludf.DUMMYFUNCTION("""COMPUTED_VALUE"""),"Jihan kiki")</f>
        <v>Jihan kiki</v>
      </c>
      <c r="E510" s="4" t="str">
        <f>IFERROR(__xludf.DUMMYFUNCTION("""COMPUTED_VALUE"""),"BANDUNG")</f>
        <v>BANDUNG</v>
      </c>
      <c r="F510" s="4" t="str">
        <f>IFERROR(__xludf.DUMMYFUNCTION("""COMPUTED_VALUE"""),"CIJAWURA")</f>
        <v>CIJAWURA</v>
      </c>
      <c r="G510" s="4" t="str">
        <f>IFERROR(__xludf.DUMMYFUNCTION("""COMPUTED_VALUE"""),"GIS KIARACONDONG")</f>
        <v>GIS KIARACONDONG</v>
      </c>
      <c r="H510" s="4" t="str">
        <f>IFERROR(__xludf.DUMMYFUNCTION("""COMPUTED_VALUE"""),"CWRA")</f>
        <v>CWRA</v>
      </c>
      <c r="I510" s="4" t="str">
        <f>IFERROR(__xludf.DUMMYFUNCTION("""COMPUTED_VALUE"""),"LBS RCGF - UJUNG")</f>
        <v>LBS RCGF - UJUNG</v>
      </c>
      <c r="J510" s="4" t="str">
        <f>IFERROR(__xludf.DUMMYFUNCTION("""COMPUTED_VALUE"""),"ZONA 2")</f>
        <v>ZONA 2</v>
      </c>
      <c r="K510" s="4" t="str">
        <f>IFERROR(__xludf.DUMMYFUNCTION("""COMPUTED_VALUE"""),"081R07")</f>
        <v>081R07</v>
      </c>
      <c r="L510" s="4" t="str">
        <f>IFERROR(__xludf.DUMMYFUNCTION("""COMPUTED_VALUE"""),"TM - 7B/H (Afspan 90 Derajat)")</f>
        <v>TM - 7B/H (Afspan 90 Derajat)</v>
      </c>
      <c r="M510" s="4" t="str">
        <f>IFERROR(__xludf.DUMMYFUNCTION("""COMPUTED_VALUE"""),"Tidak Ada")</f>
        <v>Tidak Ada</v>
      </c>
      <c r="N510" s="4"/>
      <c r="O510" s="4" t="str">
        <f>IFERROR(__xludf.DUMMYFUNCTION("""COMPUTED_VALUE"""),"PEMBANDING SEJENIS")</f>
        <v>PEMBANDING SEJENIS</v>
      </c>
      <c r="P510" s="4" t="str">
        <f>IFERROR(__xludf.DUMMYFUNCTION("""COMPUTED_VALUE"""),"KONEKTOR/JUMPER")</f>
        <v>KONEKTOR/JUMPER</v>
      </c>
      <c r="Q510" s="4">
        <f>IFERROR(__xludf.DUMMYFUNCTION("""COMPUTED_VALUE"""),22.0)</f>
        <v>22</v>
      </c>
      <c r="R510" s="4">
        <f>IFERROR(__xludf.DUMMYFUNCTION("""COMPUTED_VALUE"""),22.0)</f>
        <v>22</v>
      </c>
      <c r="S510" s="4">
        <f>IFERROR(__xludf.DUMMYFUNCTION("""COMPUTED_VALUE"""),22.0)</f>
        <v>22</v>
      </c>
      <c r="T510" s="4"/>
      <c r="U510" s="4" t="str">
        <f>IFERROR(__xludf.DUMMYFUNCTION("""COMPUTED_VALUE"""),"BAIK")</f>
        <v>BAIK</v>
      </c>
      <c r="V510" s="4" t="str">
        <f>IFERROR(__xludf.DUMMYFUNCTION("""COMPUTED_VALUE"""),"Tidak Ada")</f>
        <v>Tidak Ada</v>
      </c>
      <c r="W510" s="4"/>
      <c r="X510" s="4"/>
      <c r="Y510" s="4"/>
      <c r="Z510" s="4"/>
      <c r="AA510" s="4"/>
      <c r="AB510" s="4"/>
      <c r="AC510" s="4" t="str">
        <f>IFERROR(__xludf.DUMMYFUNCTION("""COMPUTED_VALUE"""),"INSPEKSI SUTM - T2_Images/34d02b70.FOTO.125234.jpg")</f>
        <v>INSPEKSI SUTM - T2_Images/34d02b70.FOTO.125234.jpg</v>
      </c>
      <c r="AD510" s="4"/>
      <c r="AE510" s="4"/>
      <c r="AF510" s="4" t="str">
        <f>IFERROR(__xludf.DUMMYFUNCTION("""COMPUTED_VALUE"""),"BELUM")</f>
        <v>BELUM</v>
      </c>
      <c r="AG510" s="6">
        <f>IFERROR(__xludf.DUMMYFUNCTION("""COMPUTED_VALUE"""),46080.0)</f>
        <v>46080</v>
      </c>
      <c r="AH510" s="4"/>
      <c r="AI510" s="4"/>
    </row>
    <row r="511" ht="15.75" customHeight="1">
      <c r="A511" s="4" t="str">
        <f>IFERROR(__xludf.DUMMYFUNCTION("""COMPUTED_VALUE"""),"f632822f")</f>
        <v>f632822f</v>
      </c>
      <c r="B511" s="5">
        <f>IFERROR(__xludf.DUMMYFUNCTION("""COMPUTED_VALUE"""),46080.82545138889)</f>
        <v>46080.82545</v>
      </c>
      <c r="C511" s="4" t="str">
        <f>IFERROR(__xludf.DUMMYFUNCTION("""COMPUTED_VALUE"""),"-6.947469, 107.661848")</f>
        <v>-6.947469, 107.661848</v>
      </c>
      <c r="D511" s="4" t="str">
        <f>IFERROR(__xludf.DUMMYFUNCTION("""COMPUTED_VALUE"""),"Jihan kiki")</f>
        <v>Jihan kiki</v>
      </c>
      <c r="E511" s="4" t="str">
        <f>IFERROR(__xludf.DUMMYFUNCTION("""COMPUTED_VALUE"""),"BANDUNG")</f>
        <v>BANDUNG</v>
      </c>
      <c r="F511" s="4" t="str">
        <f>IFERROR(__xludf.DUMMYFUNCTION("""COMPUTED_VALUE"""),"CIJAWURA")</f>
        <v>CIJAWURA</v>
      </c>
      <c r="G511" s="4" t="str">
        <f>IFERROR(__xludf.DUMMYFUNCTION("""COMPUTED_VALUE"""),"GIS KIARACONDONG")</f>
        <v>GIS KIARACONDONG</v>
      </c>
      <c r="H511" s="4" t="str">
        <f>IFERROR(__xludf.DUMMYFUNCTION("""COMPUTED_VALUE"""),"CWRA")</f>
        <v>CWRA</v>
      </c>
      <c r="I511" s="4" t="str">
        <f>IFERROR(__xludf.DUMMYFUNCTION("""COMPUTED_VALUE"""),"LBS RCGF - UJUNG")</f>
        <v>LBS RCGF - UJUNG</v>
      </c>
      <c r="J511" s="4" t="str">
        <f>IFERROR(__xludf.DUMMYFUNCTION("""COMPUTED_VALUE"""),"ZONA 2")</f>
        <v>ZONA 2</v>
      </c>
      <c r="K511" s="4" t="str">
        <f>IFERROR(__xludf.DUMMYFUNCTION("""COMPUTED_VALUE"""),"081R10")</f>
        <v>081R10</v>
      </c>
      <c r="L511" s="4" t="str">
        <f>IFERROR(__xludf.DUMMYFUNCTION("""COMPUTED_VALUE"""),"TM - 13B/H (Kabel Naik Pada Tiang Tumpu)")</f>
        <v>TM - 13B/H (Kabel Naik Pada Tiang Tumpu)</v>
      </c>
      <c r="M511" s="4" t="str">
        <f>IFERROR(__xludf.DUMMYFUNCTION("""COMPUTED_VALUE"""),"Tidak Ada")</f>
        <v>Tidak Ada</v>
      </c>
      <c r="N511" s="4"/>
      <c r="O511" s="4" t="str">
        <f>IFERROR(__xludf.DUMMYFUNCTION("""COMPUTED_VALUE"""),"PEMBANDING SEJENIS")</f>
        <v>PEMBANDING SEJENIS</v>
      </c>
      <c r="P511" s="4" t="str">
        <f>IFERROR(__xludf.DUMMYFUNCTION("""COMPUTED_VALUE"""),"KONEKTOR/JUMPER")</f>
        <v>KONEKTOR/JUMPER</v>
      </c>
      <c r="Q511" s="4">
        <f>IFERROR(__xludf.DUMMYFUNCTION("""COMPUTED_VALUE"""),19.0)</f>
        <v>19</v>
      </c>
      <c r="R511" s="4">
        <f>IFERROR(__xludf.DUMMYFUNCTION("""COMPUTED_VALUE"""),19.0)</f>
        <v>19</v>
      </c>
      <c r="S511" s="4">
        <f>IFERROR(__xludf.DUMMYFUNCTION("""COMPUTED_VALUE"""),20.0)</f>
        <v>20</v>
      </c>
      <c r="T511" s="4"/>
      <c r="U511" s="4" t="str">
        <f>IFERROR(__xludf.DUMMYFUNCTION("""COMPUTED_VALUE"""),"BAIK")</f>
        <v>BAIK</v>
      </c>
      <c r="V511" s="4" t="str">
        <f>IFERROR(__xludf.DUMMYFUNCTION("""COMPUTED_VALUE"""),"Tidak Ada")</f>
        <v>Tidak Ada</v>
      </c>
      <c r="W511" s="4"/>
      <c r="X511" s="4"/>
      <c r="Y511" s="4"/>
      <c r="Z511" s="4"/>
      <c r="AA511" s="4"/>
      <c r="AB511" s="4"/>
      <c r="AC511" s="4" t="str">
        <f>IFERROR(__xludf.DUMMYFUNCTION("""COMPUTED_VALUE"""),"INSPEKSI SUTM - T2_Images/f632822f.FOTO.125239.jpg")</f>
        <v>INSPEKSI SUTM - T2_Images/f632822f.FOTO.125239.jpg</v>
      </c>
      <c r="AD511" s="4"/>
      <c r="AE511" s="4"/>
      <c r="AF511" s="4" t="str">
        <f>IFERROR(__xludf.DUMMYFUNCTION("""COMPUTED_VALUE"""),"BELUM")</f>
        <v>BELUM</v>
      </c>
      <c r="AG511" s="6">
        <f>IFERROR(__xludf.DUMMYFUNCTION("""COMPUTED_VALUE"""),46080.0)</f>
        <v>46080</v>
      </c>
      <c r="AH511" s="4"/>
      <c r="AI511" s="4"/>
    </row>
    <row r="512" ht="15.75" customHeight="1">
      <c r="A512" s="4" t="str">
        <f>IFERROR(__xludf.DUMMYFUNCTION("""COMPUTED_VALUE"""),"a843bfc4")</f>
        <v>a843bfc4</v>
      </c>
      <c r="B512" s="5">
        <f>IFERROR(__xludf.DUMMYFUNCTION("""COMPUTED_VALUE"""),46080.826215277775)</f>
        <v>46080.82622</v>
      </c>
      <c r="C512" s="4" t="str">
        <f>IFERROR(__xludf.DUMMYFUNCTION("""COMPUTED_VALUE"""),"-6.947439, 107.661502")</f>
        <v>-6.947439, 107.661502</v>
      </c>
      <c r="D512" s="4" t="str">
        <f>IFERROR(__xludf.DUMMYFUNCTION("""COMPUTED_VALUE"""),"Jihan kiki")</f>
        <v>Jihan kiki</v>
      </c>
      <c r="E512" s="4" t="str">
        <f>IFERROR(__xludf.DUMMYFUNCTION("""COMPUTED_VALUE"""),"BANDUNG")</f>
        <v>BANDUNG</v>
      </c>
      <c r="F512" s="4" t="str">
        <f>IFERROR(__xludf.DUMMYFUNCTION("""COMPUTED_VALUE"""),"CIJAWURA")</f>
        <v>CIJAWURA</v>
      </c>
      <c r="G512" s="4" t="str">
        <f>IFERROR(__xludf.DUMMYFUNCTION("""COMPUTED_VALUE"""),"GIS KIARACONDONG")</f>
        <v>GIS KIARACONDONG</v>
      </c>
      <c r="H512" s="4" t="str">
        <f>IFERROR(__xludf.DUMMYFUNCTION("""COMPUTED_VALUE"""),"CWRA")</f>
        <v>CWRA</v>
      </c>
      <c r="I512" s="4" t="str">
        <f>IFERROR(__xludf.DUMMYFUNCTION("""COMPUTED_VALUE"""),"LBS RCGF - UJUNG")</f>
        <v>LBS RCGF - UJUNG</v>
      </c>
      <c r="J512" s="4" t="str">
        <f>IFERROR(__xludf.DUMMYFUNCTION("""COMPUTED_VALUE"""),"ZONA 2")</f>
        <v>ZONA 2</v>
      </c>
      <c r="K512" s="4" t="str">
        <f>IFERROR(__xludf.DUMMYFUNCTION("""COMPUTED_VALUE"""),"081R11")</f>
        <v>081R11</v>
      </c>
      <c r="L512" s="4" t="str">
        <f>IFERROR(__xludf.DUMMYFUNCTION("""COMPUTED_VALUE"""),"TM - 8B/H (Percabangan)")</f>
        <v>TM - 8B/H (Percabangan)</v>
      </c>
      <c r="M512" s="4" t="str">
        <f>IFERROR(__xludf.DUMMYFUNCTION("""COMPUTED_VALUE"""),"Tidak Ada")</f>
        <v>Tidak Ada</v>
      </c>
      <c r="N512" s="4"/>
      <c r="O512" s="4" t="str">
        <f>IFERROR(__xludf.DUMMYFUNCTION("""COMPUTED_VALUE"""),"PEMBANDING SEJENIS")</f>
        <v>PEMBANDING SEJENIS</v>
      </c>
      <c r="P512" s="4" t="str">
        <f>IFERROR(__xludf.DUMMYFUNCTION("""COMPUTED_VALUE"""),"KONEKTOR/JUMPER")</f>
        <v>KONEKTOR/JUMPER</v>
      </c>
      <c r="Q512" s="4">
        <f>IFERROR(__xludf.DUMMYFUNCTION("""COMPUTED_VALUE"""),20.0)</f>
        <v>20</v>
      </c>
      <c r="R512" s="4">
        <f>IFERROR(__xludf.DUMMYFUNCTION("""COMPUTED_VALUE"""),22.0)</f>
        <v>22</v>
      </c>
      <c r="S512" s="4">
        <f>IFERROR(__xludf.DUMMYFUNCTION("""COMPUTED_VALUE"""),21.0)</f>
        <v>21</v>
      </c>
      <c r="T512" s="4"/>
      <c r="U512" s="4" t="str">
        <f>IFERROR(__xludf.DUMMYFUNCTION("""COMPUTED_VALUE"""),"BAIK")</f>
        <v>BAIK</v>
      </c>
      <c r="V512" s="4" t="str">
        <f>IFERROR(__xludf.DUMMYFUNCTION("""COMPUTED_VALUE"""),"Tidak Ada")</f>
        <v>Tidak Ada</v>
      </c>
      <c r="W512" s="4"/>
      <c r="X512" s="4"/>
      <c r="Y512" s="4"/>
      <c r="Z512" s="4"/>
      <c r="AA512" s="4"/>
      <c r="AB512" s="4"/>
      <c r="AC512" s="4" t="str">
        <f>IFERROR(__xludf.DUMMYFUNCTION("""COMPUTED_VALUE"""),"INSPEKSI SUTM - T2_Images/a843bfc4.FOTO.125243.jpg")</f>
        <v>INSPEKSI SUTM - T2_Images/a843bfc4.FOTO.125243.jpg</v>
      </c>
      <c r="AD512" s="4"/>
      <c r="AE512" s="4"/>
      <c r="AF512" s="4" t="str">
        <f>IFERROR(__xludf.DUMMYFUNCTION("""COMPUTED_VALUE"""),"BELUM")</f>
        <v>BELUM</v>
      </c>
      <c r="AG512" s="6">
        <f>IFERROR(__xludf.DUMMYFUNCTION("""COMPUTED_VALUE"""),46080.0)</f>
        <v>46080</v>
      </c>
      <c r="AH512" s="4"/>
      <c r="AI512" s="4"/>
    </row>
    <row r="513" ht="15.75" customHeight="1">
      <c r="A513" s="4" t="str">
        <f>IFERROR(__xludf.DUMMYFUNCTION("""COMPUTED_VALUE"""),"7c22a2dc")</f>
        <v>7c22a2dc</v>
      </c>
      <c r="B513" s="5">
        <f>IFERROR(__xludf.DUMMYFUNCTION("""COMPUTED_VALUE"""),46080.82679398148)</f>
        <v>46080.82679</v>
      </c>
      <c r="C513" s="4" t="str">
        <f>IFERROR(__xludf.DUMMYFUNCTION("""COMPUTED_VALUE"""),"-6.947301, 107.659568")</f>
        <v>-6.947301, 107.659568</v>
      </c>
      <c r="D513" s="4" t="str">
        <f>IFERROR(__xludf.DUMMYFUNCTION("""COMPUTED_VALUE"""),"Jihan kiki")</f>
        <v>Jihan kiki</v>
      </c>
      <c r="E513" s="4" t="str">
        <f>IFERROR(__xludf.DUMMYFUNCTION("""COMPUTED_VALUE"""),"BANDUNG")</f>
        <v>BANDUNG</v>
      </c>
      <c r="F513" s="4" t="str">
        <f>IFERROR(__xludf.DUMMYFUNCTION("""COMPUTED_VALUE"""),"CIJAWURA")</f>
        <v>CIJAWURA</v>
      </c>
      <c r="G513" s="4" t="str">
        <f>IFERROR(__xludf.DUMMYFUNCTION("""COMPUTED_VALUE"""),"GIS KIARACONDONG")</f>
        <v>GIS KIARACONDONG</v>
      </c>
      <c r="H513" s="4" t="str">
        <f>IFERROR(__xludf.DUMMYFUNCTION("""COMPUTED_VALUE"""),"CWRA")</f>
        <v>CWRA</v>
      </c>
      <c r="I513" s="4" t="str">
        <f>IFERROR(__xludf.DUMMYFUNCTION("""COMPUTED_VALUE"""),"LBS RCGF - UJUNG")</f>
        <v>LBS RCGF - UJUNG</v>
      </c>
      <c r="J513" s="4" t="str">
        <f>IFERROR(__xludf.DUMMYFUNCTION("""COMPUTED_VALUE"""),"ZONA 2")</f>
        <v>ZONA 2</v>
      </c>
      <c r="K513" s="4" t="str">
        <f>IFERROR(__xludf.DUMMYFUNCTION("""COMPUTED_VALUE"""),"081R18")</f>
        <v>081R18</v>
      </c>
      <c r="L513" s="4" t="str">
        <f>IFERROR(__xludf.DUMMYFUNCTION("""COMPUTED_VALUE"""),"TM - 11B/H (Kabel Naik)")</f>
        <v>TM - 11B/H (Kabel Naik)</v>
      </c>
      <c r="M513" s="4" t="str">
        <f>IFERROR(__xludf.DUMMYFUNCTION("""COMPUTED_VALUE"""),"Tidak Ada")</f>
        <v>Tidak Ada</v>
      </c>
      <c r="N513" s="4"/>
      <c r="O513" s="4" t="str">
        <f>IFERROR(__xludf.DUMMYFUNCTION("""COMPUTED_VALUE"""),"PEMBANDING SEJENIS")</f>
        <v>PEMBANDING SEJENIS</v>
      </c>
      <c r="P513" s="4" t="str">
        <f>IFERROR(__xludf.DUMMYFUNCTION("""COMPUTED_VALUE"""),"KONEKTOR/JUMPER")</f>
        <v>KONEKTOR/JUMPER</v>
      </c>
      <c r="Q513" s="4">
        <f>IFERROR(__xludf.DUMMYFUNCTION("""COMPUTED_VALUE"""),25.0)</f>
        <v>25</v>
      </c>
      <c r="R513" s="4">
        <f>IFERROR(__xludf.DUMMYFUNCTION("""COMPUTED_VALUE"""),31.0)</f>
        <v>31</v>
      </c>
      <c r="S513" s="4">
        <f>IFERROR(__xludf.DUMMYFUNCTION("""COMPUTED_VALUE"""),23.0)</f>
        <v>23</v>
      </c>
      <c r="T513" s="4"/>
      <c r="U513" s="4" t="str">
        <f>IFERROR(__xludf.DUMMYFUNCTION("""COMPUTED_VALUE"""),"CUKUP")</f>
        <v>CUKUP</v>
      </c>
      <c r="V513" s="4" t="str">
        <f>IFERROR(__xludf.DUMMYFUNCTION("""COMPUTED_VALUE"""),"Tidak Ada")</f>
        <v>Tidak Ada</v>
      </c>
      <c r="W513" s="4"/>
      <c r="X513" s="4"/>
      <c r="Y513" s="4"/>
      <c r="Z513" s="4"/>
      <c r="AA513" s="4"/>
      <c r="AB513" s="4"/>
      <c r="AC513" s="4" t="str">
        <f>IFERROR(__xludf.DUMMYFUNCTION("""COMPUTED_VALUE"""),"INSPEKSI SUTM - T2_Images/7c22a2dc.FOTO.125252.jpg")</f>
        <v>INSPEKSI SUTM - T2_Images/7c22a2dc.FOTO.125252.jpg</v>
      </c>
      <c r="AD513" s="4"/>
      <c r="AE513" s="4"/>
      <c r="AF513" s="4" t="str">
        <f>IFERROR(__xludf.DUMMYFUNCTION("""COMPUTED_VALUE"""),"BELUM")</f>
        <v>BELUM</v>
      </c>
      <c r="AG513" s="6">
        <f>IFERROR(__xludf.DUMMYFUNCTION("""COMPUTED_VALUE"""),46080.0)</f>
        <v>46080</v>
      </c>
      <c r="AH513" s="4"/>
      <c r="AI513" s="4"/>
    </row>
    <row r="514" ht="15.75" customHeight="1">
      <c r="A514" s="4" t="str">
        <f>IFERROR(__xludf.DUMMYFUNCTION("""COMPUTED_VALUE"""),"1d692831")</f>
        <v>1d692831</v>
      </c>
      <c r="B514" s="5">
        <f>IFERROR(__xludf.DUMMYFUNCTION("""COMPUTED_VALUE"""),46080.8275)</f>
        <v>46080.8275</v>
      </c>
      <c r="C514" s="4" t="str">
        <f>IFERROR(__xludf.DUMMYFUNCTION("""COMPUTED_VALUE"""),"-6.947026, 107.659391")</f>
        <v>-6.947026, 107.659391</v>
      </c>
      <c r="D514" s="4" t="str">
        <f>IFERROR(__xludf.DUMMYFUNCTION("""COMPUTED_VALUE"""),"Jihan kiki")</f>
        <v>Jihan kiki</v>
      </c>
      <c r="E514" s="4" t="str">
        <f>IFERROR(__xludf.DUMMYFUNCTION("""COMPUTED_VALUE"""),"BANDUNG")</f>
        <v>BANDUNG</v>
      </c>
      <c r="F514" s="4" t="str">
        <f>IFERROR(__xludf.DUMMYFUNCTION("""COMPUTED_VALUE"""),"CIJAWURA")</f>
        <v>CIJAWURA</v>
      </c>
      <c r="G514" s="4" t="str">
        <f>IFERROR(__xludf.DUMMYFUNCTION("""COMPUTED_VALUE"""),"GIS KIARACONDONG")</f>
        <v>GIS KIARACONDONG</v>
      </c>
      <c r="H514" s="4" t="str">
        <f>IFERROR(__xludf.DUMMYFUNCTION("""COMPUTED_VALUE"""),"CWRA")</f>
        <v>CWRA</v>
      </c>
      <c r="I514" s="4" t="str">
        <f>IFERROR(__xludf.DUMMYFUNCTION("""COMPUTED_VALUE"""),"LBS RCGF - UJUNG")</f>
        <v>LBS RCGF - UJUNG</v>
      </c>
      <c r="J514" s="4" t="str">
        <f>IFERROR(__xludf.DUMMYFUNCTION("""COMPUTED_VALUE"""),"ZONA 2")</f>
        <v>ZONA 2</v>
      </c>
      <c r="K514" s="4" t="str">
        <f>IFERROR(__xludf.DUMMYFUNCTION("""COMPUTED_VALUE"""),"081R19")</f>
        <v>081R19</v>
      </c>
      <c r="L514" s="4" t="str">
        <f>IFERROR(__xludf.DUMMYFUNCTION("""COMPUTED_VALUE"""),"TM - 11B/H (Kabel Naik)")</f>
        <v>TM - 11B/H (Kabel Naik)</v>
      </c>
      <c r="M514" s="4" t="str">
        <f>IFERROR(__xludf.DUMMYFUNCTION("""COMPUTED_VALUE"""),"Tidak Ada")</f>
        <v>Tidak Ada</v>
      </c>
      <c r="N514" s="4"/>
      <c r="O514" s="4" t="str">
        <f>IFERROR(__xludf.DUMMYFUNCTION("""COMPUTED_VALUE"""),"PEMBANDING SEJENIS")</f>
        <v>PEMBANDING SEJENIS</v>
      </c>
      <c r="P514" s="4" t="str">
        <f>IFERROR(__xludf.DUMMYFUNCTION("""COMPUTED_VALUE"""),"KONEKTOR/JUMPER")</f>
        <v>KONEKTOR/JUMPER</v>
      </c>
      <c r="Q514" s="4">
        <f>IFERROR(__xludf.DUMMYFUNCTION("""COMPUTED_VALUE"""),21.0)</f>
        <v>21</v>
      </c>
      <c r="R514" s="4">
        <f>IFERROR(__xludf.DUMMYFUNCTION("""COMPUTED_VALUE"""),20.0)</f>
        <v>20</v>
      </c>
      <c r="S514" s="4">
        <f>IFERROR(__xludf.DUMMYFUNCTION("""COMPUTED_VALUE"""),20.0)</f>
        <v>20</v>
      </c>
      <c r="T514" s="4"/>
      <c r="U514" s="4" t="str">
        <f>IFERROR(__xludf.DUMMYFUNCTION("""COMPUTED_VALUE"""),"BAIK")</f>
        <v>BAIK</v>
      </c>
      <c r="V514" s="4" t="str">
        <f>IFERROR(__xludf.DUMMYFUNCTION("""COMPUTED_VALUE"""),"Tidak Ada")</f>
        <v>Tidak Ada</v>
      </c>
      <c r="W514" s="4"/>
      <c r="X514" s="4"/>
      <c r="Y514" s="4"/>
      <c r="Z514" s="4"/>
      <c r="AA514" s="4"/>
      <c r="AB514" s="4"/>
      <c r="AC514" s="4" t="str">
        <f>IFERROR(__xludf.DUMMYFUNCTION("""COMPUTED_VALUE"""),"INSPEKSI SUTM - T2_Images/1d692831.FOTO.125259.jpg")</f>
        <v>INSPEKSI SUTM - T2_Images/1d692831.FOTO.125259.jpg</v>
      </c>
      <c r="AD514" s="4"/>
      <c r="AE514" s="4"/>
      <c r="AF514" s="4" t="str">
        <f>IFERROR(__xludf.DUMMYFUNCTION("""COMPUTED_VALUE"""),"BELUM")</f>
        <v>BELUM</v>
      </c>
      <c r="AG514" s="6">
        <f>IFERROR(__xludf.DUMMYFUNCTION("""COMPUTED_VALUE"""),46080.0)</f>
        <v>46080</v>
      </c>
      <c r="AH514" s="4"/>
      <c r="AI514" s="4"/>
    </row>
    <row r="515" ht="15.75" customHeight="1">
      <c r="A515" s="4" t="str">
        <f>IFERROR(__xludf.DUMMYFUNCTION("""COMPUTED_VALUE"""),"26d5501e")</f>
        <v>26d5501e</v>
      </c>
      <c r="B515" s="5">
        <f>IFERROR(__xludf.DUMMYFUNCTION("""COMPUTED_VALUE"""),46080.828194444446)</f>
        <v>46080.82819</v>
      </c>
      <c r="C515" s="4" t="str">
        <f>IFERROR(__xludf.DUMMYFUNCTION("""COMPUTED_VALUE"""),"-6.946038, 107.659462")</f>
        <v>-6.946038, 107.659462</v>
      </c>
      <c r="D515" s="4" t="str">
        <f>IFERROR(__xludf.DUMMYFUNCTION("""COMPUTED_VALUE"""),"Jihan kiki")</f>
        <v>Jihan kiki</v>
      </c>
      <c r="E515" s="4" t="str">
        <f>IFERROR(__xludf.DUMMYFUNCTION("""COMPUTED_VALUE"""),"BANDUNG")</f>
        <v>BANDUNG</v>
      </c>
      <c r="F515" s="4" t="str">
        <f>IFERROR(__xludf.DUMMYFUNCTION("""COMPUTED_VALUE"""),"CIJAWURA")</f>
        <v>CIJAWURA</v>
      </c>
      <c r="G515" s="4" t="str">
        <f>IFERROR(__xludf.DUMMYFUNCTION("""COMPUTED_VALUE"""),"GIS KIARACONDONG")</f>
        <v>GIS KIARACONDONG</v>
      </c>
      <c r="H515" s="4" t="str">
        <f>IFERROR(__xludf.DUMMYFUNCTION("""COMPUTED_VALUE"""),"CWRA")</f>
        <v>CWRA</v>
      </c>
      <c r="I515" s="4" t="str">
        <f>IFERROR(__xludf.DUMMYFUNCTION("""COMPUTED_VALUE"""),"LBS RCGF - UJUNG")</f>
        <v>LBS RCGF - UJUNG</v>
      </c>
      <c r="J515" s="4" t="str">
        <f>IFERROR(__xludf.DUMMYFUNCTION("""COMPUTED_VALUE"""),"ZONA 2")</f>
        <v>ZONA 2</v>
      </c>
      <c r="K515" s="4" t="str">
        <f>IFERROR(__xludf.DUMMYFUNCTION("""COMPUTED_VALUE"""),"081R19R03")</f>
        <v>081R19R03</v>
      </c>
      <c r="L515" s="4" t="str">
        <f>IFERROR(__xludf.DUMMYFUNCTION("""COMPUTED_VALUE"""),"TM - 8B/H (Percabangan)")</f>
        <v>TM - 8B/H (Percabangan)</v>
      </c>
      <c r="M515" s="4" t="str">
        <f>IFERROR(__xludf.DUMMYFUNCTION("""COMPUTED_VALUE"""),"Tidak Ada")</f>
        <v>Tidak Ada</v>
      </c>
      <c r="N515" s="4"/>
      <c r="O515" s="4" t="str">
        <f>IFERROR(__xludf.DUMMYFUNCTION("""COMPUTED_VALUE"""),"PEMBANDING SEJENIS")</f>
        <v>PEMBANDING SEJENIS</v>
      </c>
      <c r="P515" s="4" t="str">
        <f>IFERROR(__xludf.DUMMYFUNCTION("""COMPUTED_VALUE"""),"KONEKTOR/JUMPER")</f>
        <v>KONEKTOR/JUMPER</v>
      </c>
      <c r="Q515" s="4">
        <f>IFERROR(__xludf.DUMMYFUNCTION("""COMPUTED_VALUE"""),20.0)</f>
        <v>20</v>
      </c>
      <c r="R515" s="4">
        <f>IFERROR(__xludf.DUMMYFUNCTION("""COMPUTED_VALUE"""),19.0)</f>
        <v>19</v>
      </c>
      <c r="S515" s="4">
        <f>IFERROR(__xludf.DUMMYFUNCTION("""COMPUTED_VALUE"""),19.0)</f>
        <v>19</v>
      </c>
      <c r="T515" s="4"/>
      <c r="U515" s="4" t="str">
        <f>IFERROR(__xludf.DUMMYFUNCTION("""COMPUTED_VALUE"""),"BAIK")</f>
        <v>BAIK</v>
      </c>
      <c r="V515" s="4" t="str">
        <f>IFERROR(__xludf.DUMMYFUNCTION("""COMPUTED_VALUE"""),"Tidak Ada")</f>
        <v>Tidak Ada</v>
      </c>
      <c r="W515" s="4"/>
      <c r="X515" s="4"/>
      <c r="Y515" s="4"/>
      <c r="Z515" s="4"/>
      <c r="AA515" s="4"/>
      <c r="AB515" s="4"/>
      <c r="AC515" s="4" t="str">
        <f>IFERROR(__xludf.DUMMYFUNCTION("""COMPUTED_VALUE"""),"INSPEKSI SUTM - T2_Images/26d5501e.FOTO.125313.jpg")</f>
        <v>INSPEKSI SUTM - T2_Images/26d5501e.FOTO.125313.jpg</v>
      </c>
      <c r="AD515" s="4"/>
      <c r="AE515" s="4"/>
      <c r="AF515" s="4" t="str">
        <f>IFERROR(__xludf.DUMMYFUNCTION("""COMPUTED_VALUE"""),"BELUM")</f>
        <v>BELUM</v>
      </c>
      <c r="AG515" s="6">
        <f>IFERROR(__xludf.DUMMYFUNCTION("""COMPUTED_VALUE"""),46080.0)</f>
        <v>46080</v>
      </c>
      <c r="AH515" s="4"/>
      <c r="AI515" s="4"/>
    </row>
    <row r="516" ht="15.75" customHeight="1">
      <c r="A516" s="4" t="str">
        <f>IFERROR(__xludf.DUMMYFUNCTION("""COMPUTED_VALUE"""),"cd7e4ecb")</f>
        <v>cd7e4ecb</v>
      </c>
      <c r="B516" s="5">
        <f>IFERROR(__xludf.DUMMYFUNCTION("""COMPUTED_VALUE"""),46080.82881944445)</f>
        <v>46080.82882</v>
      </c>
      <c r="C516" s="4" t="str">
        <f>IFERROR(__xludf.DUMMYFUNCTION("""COMPUTED_VALUE"""),"-6.945921, 107.658023")</f>
        <v>-6.945921, 107.658023</v>
      </c>
      <c r="D516" s="4" t="str">
        <f>IFERROR(__xludf.DUMMYFUNCTION("""COMPUTED_VALUE"""),"Jihan kiki")</f>
        <v>Jihan kiki</v>
      </c>
      <c r="E516" s="4" t="str">
        <f>IFERROR(__xludf.DUMMYFUNCTION("""COMPUTED_VALUE"""),"BANDUNG")</f>
        <v>BANDUNG</v>
      </c>
      <c r="F516" s="4" t="str">
        <f>IFERROR(__xludf.DUMMYFUNCTION("""COMPUTED_VALUE"""),"CIJAWURA")</f>
        <v>CIJAWURA</v>
      </c>
      <c r="G516" s="4" t="str">
        <f>IFERROR(__xludf.DUMMYFUNCTION("""COMPUTED_VALUE"""),"GIS KIARACONDONG")</f>
        <v>GIS KIARACONDONG</v>
      </c>
      <c r="H516" s="4" t="str">
        <f>IFERROR(__xludf.DUMMYFUNCTION("""COMPUTED_VALUE"""),"CWRA")</f>
        <v>CWRA</v>
      </c>
      <c r="I516" s="4" t="str">
        <f>IFERROR(__xludf.DUMMYFUNCTION("""COMPUTED_VALUE"""),"LBS RCGF - UJUNG")</f>
        <v>LBS RCGF - UJUNG</v>
      </c>
      <c r="J516" s="4" t="str">
        <f>IFERROR(__xludf.DUMMYFUNCTION("""COMPUTED_VALUE"""),"ZONA 2")</f>
        <v>ZONA 2</v>
      </c>
      <c r="K516" s="4" t="str">
        <f>IFERROR(__xludf.DUMMYFUNCTION("""COMPUTED_VALUE"""),"081R19R03L06")</f>
        <v>081R19R03L06</v>
      </c>
      <c r="L516" s="4" t="str">
        <f>IFERROR(__xludf.DUMMYFUNCTION("""COMPUTED_VALUE"""),"TM - 14B/H (Akhir)")</f>
        <v>TM - 14B/H (Akhir)</v>
      </c>
      <c r="M516" s="4" t="str">
        <f>IFERROR(__xludf.DUMMYFUNCTION("""COMPUTED_VALUE"""),"Tidak Ada")</f>
        <v>Tidak Ada</v>
      </c>
      <c r="N516" s="4"/>
      <c r="O516" s="4" t="str">
        <f>IFERROR(__xludf.DUMMYFUNCTION("""COMPUTED_VALUE"""),"PEMBANDING SEJENIS")</f>
        <v>PEMBANDING SEJENIS</v>
      </c>
      <c r="P516" s="4" t="str">
        <f>IFERROR(__xludf.DUMMYFUNCTION("""COMPUTED_VALUE"""),"KONEKTOR/JUMPER")</f>
        <v>KONEKTOR/JUMPER</v>
      </c>
      <c r="Q516" s="4">
        <f>IFERROR(__xludf.DUMMYFUNCTION("""COMPUTED_VALUE"""),20.0)</f>
        <v>20</v>
      </c>
      <c r="R516" s="4">
        <f>IFERROR(__xludf.DUMMYFUNCTION("""COMPUTED_VALUE"""),20.0)</f>
        <v>20</v>
      </c>
      <c r="S516" s="4">
        <f>IFERROR(__xludf.DUMMYFUNCTION("""COMPUTED_VALUE"""),20.0)</f>
        <v>20</v>
      </c>
      <c r="T516" s="4"/>
      <c r="U516" s="4" t="str">
        <f>IFERROR(__xludf.DUMMYFUNCTION("""COMPUTED_VALUE"""),"BAIK")</f>
        <v>BAIK</v>
      </c>
      <c r="V516" s="4" t="str">
        <f>IFERROR(__xludf.DUMMYFUNCTION("""COMPUTED_VALUE"""),"Tidak Ada")</f>
        <v>Tidak Ada</v>
      </c>
      <c r="W516" s="4"/>
      <c r="X516" s="4"/>
      <c r="Y516" s="4"/>
      <c r="Z516" s="4"/>
      <c r="AA516" s="4"/>
      <c r="AB516" s="4"/>
      <c r="AC516" s="4" t="str">
        <f>IFERROR(__xludf.DUMMYFUNCTION("""COMPUTED_VALUE"""),"INSPEKSI SUTM - T2_Images/cd7e4ecb.FOTO.125406.jpg")</f>
        <v>INSPEKSI SUTM - T2_Images/cd7e4ecb.FOTO.125406.jpg</v>
      </c>
      <c r="AD516" s="4"/>
      <c r="AE516" s="4"/>
      <c r="AF516" s="4" t="str">
        <f>IFERROR(__xludf.DUMMYFUNCTION("""COMPUTED_VALUE"""),"BELUM")</f>
        <v>BELUM</v>
      </c>
      <c r="AG516" s="6">
        <f>IFERROR(__xludf.DUMMYFUNCTION("""COMPUTED_VALUE"""),46080.0)</f>
        <v>46080</v>
      </c>
      <c r="AH516" s="4"/>
      <c r="AI516" s="4"/>
    </row>
    <row r="517" ht="15.75" customHeight="1">
      <c r="A517" s="4" t="str">
        <f>IFERROR(__xludf.DUMMYFUNCTION("""COMPUTED_VALUE"""),"32022b34")</f>
        <v>32022b34</v>
      </c>
      <c r="B517" s="5">
        <f>IFERROR(__xludf.DUMMYFUNCTION("""COMPUTED_VALUE"""),46080.829409722224)</f>
        <v>46080.82941</v>
      </c>
      <c r="C517" s="4" t="str">
        <f>IFERROR(__xludf.DUMMYFUNCTION("""COMPUTED_VALUE"""),"-6.943638, 107.658455")</f>
        <v>-6.943638, 107.658455</v>
      </c>
      <c r="D517" s="4" t="str">
        <f>IFERROR(__xludf.DUMMYFUNCTION("""COMPUTED_VALUE"""),"Jihan kiki")</f>
        <v>Jihan kiki</v>
      </c>
      <c r="E517" s="4" t="str">
        <f>IFERROR(__xludf.DUMMYFUNCTION("""COMPUTED_VALUE"""),"BANDUNG")</f>
        <v>BANDUNG</v>
      </c>
      <c r="F517" s="4" t="str">
        <f>IFERROR(__xludf.DUMMYFUNCTION("""COMPUTED_VALUE"""),"CIJAWURA")</f>
        <v>CIJAWURA</v>
      </c>
      <c r="G517" s="4" t="str">
        <f>IFERROR(__xludf.DUMMYFUNCTION("""COMPUTED_VALUE"""),"GIS KIARACONDONG")</f>
        <v>GIS KIARACONDONG</v>
      </c>
      <c r="H517" s="4" t="str">
        <f>IFERROR(__xludf.DUMMYFUNCTION("""COMPUTED_VALUE"""),"CWRA")</f>
        <v>CWRA</v>
      </c>
      <c r="I517" s="4" t="str">
        <f>IFERROR(__xludf.DUMMYFUNCTION("""COMPUTED_VALUE"""),"LBS RCGF - UJUNG")</f>
        <v>LBS RCGF - UJUNG</v>
      </c>
      <c r="J517" s="4" t="str">
        <f>IFERROR(__xludf.DUMMYFUNCTION("""COMPUTED_VALUE"""),"ZONA 2")</f>
        <v>ZONA 2</v>
      </c>
      <c r="K517" s="4" t="str">
        <f>IFERROR(__xludf.DUMMYFUNCTION("""COMPUTED_VALUE"""),"081R19R11")</f>
        <v>081R19R11</v>
      </c>
      <c r="L517" s="4" t="str">
        <f>IFERROR(__xludf.DUMMYFUNCTION("""COMPUTED_VALUE"""),"TM - 7B/H (Afspan 90 Derajat)")</f>
        <v>TM - 7B/H (Afspan 90 Derajat)</v>
      </c>
      <c r="M517" s="4" t="str">
        <f>IFERROR(__xludf.DUMMYFUNCTION("""COMPUTED_VALUE"""),"Tidak Ada")</f>
        <v>Tidak Ada</v>
      </c>
      <c r="N517" s="4"/>
      <c r="O517" s="4" t="str">
        <f>IFERROR(__xludf.DUMMYFUNCTION("""COMPUTED_VALUE"""),"PEMBANDING SEJENIS")</f>
        <v>PEMBANDING SEJENIS</v>
      </c>
      <c r="P517" s="4" t="str">
        <f>IFERROR(__xludf.DUMMYFUNCTION("""COMPUTED_VALUE"""),"KONEKTOR/JUMPER")</f>
        <v>KONEKTOR/JUMPER</v>
      </c>
      <c r="Q517" s="4">
        <f>IFERROR(__xludf.DUMMYFUNCTION("""COMPUTED_VALUE"""),21.0)</f>
        <v>21</v>
      </c>
      <c r="R517" s="4">
        <f>IFERROR(__xludf.DUMMYFUNCTION("""COMPUTED_VALUE"""),19.0)</f>
        <v>19</v>
      </c>
      <c r="S517" s="4">
        <f>IFERROR(__xludf.DUMMYFUNCTION("""COMPUTED_VALUE"""),18.0)</f>
        <v>18</v>
      </c>
      <c r="T517" s="4"/>
      <c r="U517" s="4" t="str">
        <f>IFERROR(__xludf.DUMMYFUNCTION("""COMPUTED_VALUE"""),"CUKUP")</f>
        <v>CUKUP</v>
      </c>
      <c r="V517" s="4" t="str">
        <f>IFERROR(__xludf.DUMMYFUNCTION("""COMPUTED_VALUE"""),"Tidak Ada")</f>
        <v>Tidak Ada</v>
      </c>
      <c r="W517" s="4"/>
      <c r="X517" s="4"/>
      <c r="Y517" s="4"/>
      <c r="Z517" s="4"/>
      <c r="AA517" s="4"/>
      <c r="AB517" s="4"/>
      <c r="AC517" s="4" t="str">
        <f>IFERROR(__xludf.DUMMYFUNCTION("""COMPUTED_VALUE"""),"INSPEKSI SUTM - T2_Images/32022b34.FOTO.125508.jpg")</f>
        <v>INSPEKSI SUTM - T2_Images/32022b34.FOTO.125508.jpg</v>
      </c>
      <c r="AD517" s="4"/>
      <c r="AE517" s="4"/>
      <c r="AF517" s="4" t="str">
        <f>IFERROR(__xludf.DUMMYFUNCTION("""COMPUTED_VALUE"""),"BELUM")</f>
        <v>BELUM</v>
      </c>
      <c r="AG517" s="6">
        <f>IFERROR(__xludf.DUMMYFUNCTION("""COMPUTED_VALUE"""),46080.0)</f>
        <v>46080</v>
      </c>
      <c r="AH517" s="4"/>
      <c r="AI517" s="4"/>
    </row>
    <row r="518" ht="15.75" customHeight="1">
      <c r="A518" s="4" t="str">
        <f>IFERROR(__xludf.DUMMYFUNCTION("""COMPUTED_VALUE"""),"76064da7")</f>
        <v>76064da7</v>
      </c>
      <c r="B518" s="5">
        <f>IFERROR(__xludf.DUMMYFUNCTION("""COMPUTED_VALUE"""),46080.8302662037)</f>
        <v>46080.83027</v>
      </c>
      <c r="C518" s="4" t="str">
        <f>IFERROR(__xludf.DUMMYFUNCTION("""COMPUTED_VALUE"""),"-6.948764, 107.658386")</f>
        <v>-6.948764, 107.658386</v>
      </c>
      <c r="D518" s="4" t="str">
        <f>IFERROR(__xludf.DUMMYFUNCTION("""COMPUTED_VALUE"""),"Jihan kiki")</f>
        <v>Jihan kiki</v>
      </c>
      <c r="E518" s="4" t="str">
        <f>IFERROR(__xludf.DUMMYFUNCTION("""COMPUTED_VALUE"""),"BANDUNG")</f>
        <v>BANDUNG</v>
      </c>
      <c r="F518" s="4" t="str">
        <f>IFERROR(__xludf.DUMMYFUNCTION("""COMPUTED_VALUE"""),"CIJAWURA")</f>
        <v>CIJAWURA</v>
      </c>
      <c r="G518" s="4" t="str">
        <f>IFERROR(__xludf.DUMMYFUNCTION("""COMPUTED_VALUE"""),"GIS KIARACONDONG")</f>
        <v>GIS KIARACONDONG</v>
      </c>
      <c r="H518" s="4" t="str">
        <f>IFERROR(__xludf.DUMMYFUNCTION("""COMPUTED_VALUE"""),"CWRA")</f>
        <v>CWRA</v>
      </c>
      <c r="I518" s="4" t="str">
        <f>IFERROR(__xludf.DUMMYFUNCTION("""COMPUTED_VALUE"""),"LBS RCGF - UJUNG")</f>
        <v>LBS RCGF - UJUNG</v>
      </c>
      <c r="J518" s="4" t="str">
        <f>IFERROR(__xludf.DUMMYFUNCTION("""COMPUTED_VALUE"""),"ZONA 2")</f>
        <v>ZONA 2</v>
      </c>
      <c r="K518" s="4" t="str">
        <f>IFERROR(__xludf.DUMMYFUNCTION("""COMPUTED_VALUE"""),"081R26")</f>
        <v>081R26</v>
      </c>
      <c r="L518" s="4" t="str">
        <f>IFERROR(__xludf.DUMMYFUNCTION("""COMPUTED_VALUE"""),"TM - 8B/H (Percabangan)")</f>
        <v>TM - 8B/H (Percabangan)</v>
      </c>
      <c r="M518" s="4" t="str">
        <f>IFERROR(__xludf.DUMMYFUNCTION("""COMPUTED_VALUE"""),"Tidak Ada")</f>
        <v>Tidak Ada</v>
      </c>
      <c r="N518" s="4"/>
      <c r="O518" s="4" t="str">
        <f>IFERROR(__xludf.DUMMYFUNCTION("""COMPUTED_VALUE"""),"PEMBANDING SEJENIS")</f>
        <v>PEMBANDING SEJENIS</v>
      </c>
      <c r="P518" s="4" t="str">
        <f>IFERROR(__xludf.DUMMYFUNCTION("""COMPUTED_VALUE"""),"KONEKTOR/JUMPER")</f>
        <v>KONEKTOR/JUMPER</v>
      </c>
      <c r="Q518" s="4">
        <f>IFERROR(__xludf.DUMMYFUNCTION("""COMPUTED_VALUE"""),20.0)</f>
        <v>20</v>
      </c>
      <c r="R518" s="4">
        <f>IFERROR(__xludf.DUMMYFUNCTION("""COMPUTED_VALUE"""),20.0)</f>
        <v>20</v>
      </c>
      <c r="S518" s="4">
        <f>IFERROR(__xludf.DUMMYFUNCTION("""COMPUTED_VALUE"""),20.0)</f>
        <v>20</v>
      </c>
      <c r="T518" s="4"/>
      <c r="U518" s="4" t="str">
        <f>IFERROR(__xludf.DUMMYFUNCTION("""COMPUTED_VALUE"""),"BAIK")</f>
        <v>BAIK</v>
      </c>
      <c r="V518" s="4" t="str">
        <f>IFERROR(__xludf.DUMMYFUNCTION("""COMPUTED_VALUE"""),"Tidak Ada")</f>
        <v>Tidak Ada</v>
      </c>
      <c r="W518" s="4"/>
      <c r="X518" s="4"/>
      <c r="Y518" s="4"/>
      <c r="Z518" s="4"/>
      <c r="AA518" s="4"/>
      <c r="AB518" s="4"/>
      <c r="AC518" s="4" t="str">
        <f>IFERROR(__xludf.DUMMYFUNCTION("""COMPUTED_VALUE"""),"INSPEKSI SUTM - T2_Images/76064da7.FOTO.130023.jpg")</f>
        <v>INSPEKSI SUTM - T2_Images/76064da7.FOTO.130023.jpg</v>
      </c>
      <c r="AD518" s="4"/>
      <c r="AE518" s="4"/>
      <c r="AF518" s="4" t="str">
        <f>IFERROR(__xludf.DUMMYFUNCTION("""COMPUTED_VALUE"""),"BELUM")</f>
        <v>BELUM</v>
      </c>
      <c r="AG518" s="6">
        <f>IFERROR(__xludf.DUMMYFUNCTION("""COMPUTED_VALUE"""),46080.0)</f>
        <v>46080</v>
      </c>
      <c r="AH518" s="4"/>
      <c r="AI518" s="4"/>
    </row>
    <row r="519" ht="15.75" customHeight="1">
      <c r="A519" s="4" t="str">
        <f>IFERROR(__xludf.DUMMYFUNCTION("""COMPUTED_VALUE"""),"970be982")</f>
        <v>970be982</v>
      </c>
      <c r="B519" s="5">
        <f>IFERROR(__xludf.DUMMYFUNCTION("""COMPUTED_VALUE"""),46080.832337962966)</f>
        <v>46080.83234</v>
      </c>
      <c r="C519" s="4" t="str">
        <f>IFERROR(__xludf.DUMMYFUNCTION("""COMPUTED_VALUE"""),"-6.949438, 107.657962")</f>
        <v>-6.949438, 107.657962</v>
      </c>
      <c r="D519" s="4" t="str">
        <f>IFERROR(__xludf.DUMMYFUNCTION("""COMPUTED_VALUE"""),"Jihan kiki")</f>
        <v>Jihan kiki</v>
      </c>
      <c r="E519" s="4" t="str">
        <f>IFERROR(__xludf.DUMMYFUNCTION("""COMPUTED_VALUE"""),"BANDUNG")</f>
        <v>BANDUNG</v>
      </c>
      <c r="F519" s="4" t="str">
        <f>IFERROR(__xludf.DUMMYFUNCTION("""COMPUTED_VALUE"""),"CIJAWURA")</f>
        <v>CIJAWURA</v>
      </c>
      <c r="G519" s="4" t="str">
        <f>IFERROR(__xludf.DUMMYFUNCTION("""COMPUTED_VALUE"""),"GIS KIARACONDONG")</f>
        <v>GIS KIARACONDONG</v>
      </c>
      <c r="H519" s="4" t="str">
        <f>IFERROR(__xludf.DUMMYFUNCTION("""COMPUTED_VALUE"""),"CWRA")</f>
        <v>CWRA</v>
      </c>
      <c r="I519" s="4" t="str">
        <f>IFERROR(__xludf.DUMMYFUNCTION("""COMPUTED_VALUE"""),"LBS RCGF - UJUNG")</f>
        <v>LBS RCGF - UJUNG</v>
      </c>
      <c r="J519" s="4" t="str">
        <f>IFERROR(__xludf.DUMMYFUNCTION("""COMPUTED_VALUE"""),"ZONA 2")</f>
        <v>ZONA 2</v>
      </c>
      <c r="K519" s="4" t="str">
        <f>IFERROR(__xludf.DUMMYFUNCTION("""COMPUTED_VALUE"""),"081R29")</f>
        <v>081R29</v>
      </c>
      <c r="L519" s="4" t="str">
        <f>IFERROR(__xludf.DUMMYFUNCTION("""COMPUTED_VALUE"""),"TM - 11B/H (Kabel Naik)")</f>
        <v>TM - 11B/H (Kabel Naik)</v>
      </c>
      <c r="M519" s="4" t="str">
        <f>IFERROR(__xludf.DUMMYFUNCTION("""COMPUTED_VALUE"""),"Tidak Ada")</f>
        <v>Tidak Ada</v>
      </c>
      <c r="N519" s="4"/>
      <c r="O519" s="4" t="str">
        <f>IFERROR(__xludf.DUMMYFUNCTION("""COMPUTED_VALUE"""),"PEMBANDING SEJENIS")</f>
        <v>PEMBANDING SEJENIS</v>
      </c>
      <c r="P519" s="4" t="str">
        <f>IFERROR(__xludf.DUMMYFUNCTION("""COMPUTED_VALUE"""),"KONEKTOR/JUMPER")</f>
        <v>KONEKTOR/JUMPER</v>
      </c>
      <c r="Q519" s="4">
        <f>IFERROR(__xludf.DUMMYFUNCTION("""COMPUTED_VALUE"""),22.0)</f>
        <v>22</v>
      </c>
      <c r="R519" s="4">
        <f>IFERROR(__xludf.DUMMYFUNCTION("""COMPUTED_VALUE"""),21.0)</f>
        <v>21</v>
      </c>
      <c r="S519" s="4">
        <f>IFERROR(__xludf.DUMMYFUNCTION("""COMPUTED_VALUE"""),22.0)</f>
        <v>22</v>
      </c>
      <c r="T519" s="4"/>
      <c r="U519" s="4" t="str">
        <f>IFERROR(__xludf.DUMMYFUNCTION("""COMPUTED_VALUE"""),"BAIK")</f>
        <v>BAIK</v>
      </c>
      <c r="V519" s="4" t="str">
        <f>IFERROR(__xludf.DUMMYFUNCTION("""COMPUTED_VALUE"""),"Tidak Ada")</f>
        <v>Tidak Ada</v>
      </c>
      <c r="W519" s="4"/>
      <c r="X519" s="4"/>
      <c r="Y519" s="4"/>
      <c r="Z519" s="4"/>
      <c r="AA519" s="4"/>
      <c r="AB519" s="4"/>
      <c r="AC519" s="4" t="str">
        <f>IFERROR(__xludf.DUMMYFUNCTION("""COMPUTED_VALUE"""),"INSPEKSI SUTM - T2_Images/970be982.FOTO.130030.jpg")</f>
        <v>INSPEKSI SUTM - T2_Images/970be982.FOTO.130030.jpg</v>
      </c>
      <c r="AD519" s="4"/>
      <c r="AE519" s="4"/>
      <c r="AF519" s="4" t="str">
        <f>IFERROR(__xludf.DUMMYFUNCTION("""COMPUTED_VALUE"""),"BELUM")</f>
        <v>BELUM</v>
      </c>
      <c r="AG519" s="6">
        <f>IFERROR(__xludf.DUMMYFUNCTION("""COMPUTED_VALUE"""),46080.0)</f>
        <v>46080</v>
      </c>
      <c r="AH519" s="4"/>
      <c r="AI519" s="4"/>
    </row>
    <row r="520" ht="15.75" customHeight="1">
      <c r="A520" s="4" t="str">
        <f>IFERROR(__xludf.DUMMYFUNCTION("""COMPUTED_VALUE"""),"4fe8afc5")</f>
        <v>4fe8afc5</v>
      </c>
      <c r="B520" s="5">
        <f>IFERROR(__xludf.DUMMYFUNCTION("""COMPUTED_VALUE"""),46080.83293981481)</f>
        <v>46080.83294</v>
      </c>
      <c r="C520" s="4" t="str">
        <f>IFERROR(__xludf.DUMMYFUNCTION("""COMPUTED_VALUE"""),"-6.949812, 107.657995")</f>
        <v>-6.949812, 107.657995</v>
      </c>
      <c r="D520" s="4" t="str">
        <f>IFERROR(__xludf.DUMMYFUNCTION("""COMPUTED_VALUE"""),"Jihan kiki")</f>
        <v>Jihan kiki</v>
      </c>
      <c r="E520" s="4" t="str">
        <f>IFERROR(__xludf.DUMMYFUNCTION("""COMPUTED_VALUE"""),"BANDUNG")</f>
        <v>BANDUNG</v>
      </c>
      <c r="F520" s="4" t="str">
        <f>IFERROR(__xludf.DUMMYFUNCTION("""COMPUTED_VALUE"""),"CIJAWURA")</f>
        <v>CIJAWURA</v>
      </c>
      <c r="G520" s="4" t="str">
        <f>IFERROR(__xludf.DUMMYFUNCTION("""COMPUTED_VALUE"""),"GIS KIARACONDONG")</f>
        <v>GIS KIARACONDONG</v>
      </c>
      <c r="H520" s="4" t="str">
        <f>IFERROR(__xludf.DUMMYFUNCTION("""COMPUTED_VALUE"""),"CWRA")</f>
        <v>CWRA</v>
      </c>
      <c r="I520" s="4" t="str">
        <f>IFERROR(__xludf.DUMMYFUNCTION("""COMPUTED_VALUE"""),"LBS RCGF - UJUNG")</f>
        <v>LBS RCGF - UJUNG</v>
      </c>
      <c r="J520" s="4" t="str">
        <f>IFERROR(__xludf.DUMMYFUNCTION("""COMPUTED_VALUE"""),"ZONA 2")</f>
        <v>ZONA 2</v>
      </c>
      <c r="K520" s="4" t="str">
        <f>IFERROR(__xludf.DUMMYFUNCTION("""COMPUTED_VALUE"""),"081R30")</f>
        <v>081R30</v>
      </c>
      <c r="L520" s="4" t="str">
        <f>IFERROR(__xludf.DUMMYFUNCTION("""COMPUTED_VALUE"""),"TM - 11B/H (Kabel Naik)")</f>
        <v>TM - 11B/H (Kabel Naik)</v>
      </c>
      <c r="M520" s="4" t="str">
        <f>IFERROR(__xludf.DUMMYFUNCTION("""COMPUTED_VALUE"""),"Tidak Ada")</f>
        <v>Tidak Ada</v>
      </c>
      <c r="N520" s="4"/>
      <c r="O520" s="4" t="str">
        <f>IFERROR(__xludf.DUMMYFUNCTION("""COMPUTED_VALUE"""),"PEMBANDING SEJENIS")</f>
        <v>PEMBANDING SEJENIS</v>
      </c>
      <c r="P520" s="4" t="str">
        <f>IFERROR(__xludf.DUMMYFUNCTION("""COMPUTED_VALUE"""),"KONEKTOR/JUMPER")</f>
        <v>KONEKTOR/JUMPER</v>
      </c>
      <c r="Q520" s="4">
        <f>IFERROR(__xludf.DUMMYFUNCTION("""COMPUTED_VALUE"""),20.0)</f>
        <v>20</v>
      </c>
      <c r="R520" s="4">
        <f>IFERROR(__xludf.DUMMYFUNCTION("""COMPUTED_VALUE"""),21.0)</f>
        <v>21</v>
      </c>
      <c r="S520" s="4">
        <f>IFERROR(__xludf.DUMMYFUNCTION("""COMPUTED_VALUE"""),20.0)</f>
        <v>20</v>
      </c>
      <c r="T520" s="4"/>
      <c r="U520" s="4" t="str">
        <f>IFERROR(__xludf.DUMMYFUNCTION("""COMPUTED_VALUE"""),"BAIK")</f>
        <v>BAIK</v>
      </c>
      <c r="V520" s="4" t="str">
        <f>IFERROR(__xludf.DUMMYFUNCTION("""COMPUTED_VALUE"""),"Tidak Ada")</f>
        <v>Tidak Ada</v>
      </c>
      <c r="W520" s="4"/>
      <c r="X520" s="4"/>
      <c r="Y520" s="4"/>
      <c r="Z520" s="4"/>
      <c r="AA520" s="4"/>
      <c r="AB520" s="4"/>
      <c r="AC520" s="4" t="str">
        <f>IFERROR(__xludf.DUMMYFUNCTION("""COMPUTED_VALUE"""),"INSPEKSI SUTM - T2_Images/4fe8afc5.FOTO.130035.jpg")</f>
        <v>INSPEKSI SUTM - T2_Images/4fe8afc5.FOTO.130035.jpg</v>
      </c>
      <c r="AD520" s="4"/>
      <c r="AE520" s="4"/>
      <c r="AF520" s="4" t="str">
        <f>IFERROR(__xludf.DUMMYFUNCTION("""COMPUTED_VALUE"""),"BELUM")</f>
        <v>BELUM</v>
      </c>
      <c r="AG520" s="6">
        <f>IFERROR(__xludf.DUMMYFUNCTION("""COMPUTED_VALUE"""),46080.0)</f>
        <v>46080</v>
      </c>
      <c r="AH520" s="4"/>
      <c r="AI520" s="4"/>
    </row>
    <row r="521" ht="15.75" customHeight="1">
      <c r="A521" s="4" t="str">
        <f>IFERROR(__xludf.DUMMYFUNCTION("""COMPUTED_VALUE"""),"30eaf87b")</f>
        <v>30eaf87b</v>
      </c>
      <c r="B521" s="5">
        <f>IFERROR(__xludf.DUMMYFUNCTION("""COMPUTED_VALUE"""),46080.83351851852)</f>
        <v>46080.83352</v>
      </c>
      <c r="C521" s="4" t="str">
        <f>IFERROR(__xludf.DUMMYFUNCTION("""COMPUTED_VALUE"""),"-6.951060, 107.657817")</f>
        <v>-6.951060, 107.657817</v>
      </c>
      <c r="D521" s="4" t="str">
        <f>IFERROR(__xludf.DUMMYFUNCTION("""COMPUTED_VALUE"""),"Jihan kiki")</f>
        <v>Jihan kiki</v>
      </c>
      <c r="E521" s="4" t="str">
        <f>IFERROR(__xludf.DUMMYFUNCTION("""COMPUTED_VALUE"""),"BANDUNG")</f>
        <v>BANDUNG</v>
      </c>
      <c r="F521" s="4" t="str">
        <f>IFERROR(__xludf.DUMMYFUNCTION("""COMPUTED_VALUE"""),"CIJAWURA")</f>
        <v>CIJAWURA</v>
      </c>
      <c r="G521" s="4" t="str">
        <f>IFERROR(__xludf.DUMMYFUNCTION("""COMPUTED_VALUE"""),"GIS KIARACONDONG")</f>
        <v>GIS KIARACONDONG</v>
      </c>
      <c r="H521" s="4" t="str">
        <f>IFERROR(__xludf.DUMMYFUNCTION("""COMPUTED_VALUE"""),"CWRA")</f>
        <v>CWRA</v>
      </c>
      <c r="I521" s="4" t="str">
        <f>IFERROR(__xludf.DUMMYFUNCTION("""COMPUTED_VALUE"""),"LBS RCGF - UJUNG")</f>
        <v>LBS RCGF - UJUNG</v>
      </c>
      <c r="J521" s="4" t="str">
        <f>IFERROR(__xludf.DUMMYFUNCTION("""COMPUTED_VALUE"""),"ZONA 2")</f>
        <v>ZONA 2</v>
      </c>
      <c r="K521" s="4" t="str">
        <f>IFERROR(__xludf.DUMMYFUNCTION("""COMPUTED_VALUE"""),"081R33")</f>
        <v>081R33</v>
      </c>
      <c r="L521" s="4" t="str">
        <f>IFERROR(__xludf.DUMMYFUNCTION("""COMPUTED_VALUE"""),"TM - 14B/H (Akhir)")</f>
        <v>TM - 14B/H (Akhir)</v>
      </c>
      <c r="M521" s="4" t="str">
        <f>IFERROR(__xludf.DUMMYFUNCTION("""COMPUTED_VALUE"""),"Tidak Ada")</f>
        <v>Tidak Ada</v>
      </c>
      <c r="N521" s="4"/>
      <c r="O521" s="4" t="str">
        <f>IFERROR(__xludf.DUMMYFUNCTION("""COMPUTED_VALUE"""),"PEMBANDING SEJENIS")</f>
        <v>PEMBANDING SEJENIS</v>
      </c>
      <c r="P521" s="4" t="str">
        <f>IFERROR(__xludf.DUMMYFUNCTION("""COMPUTED_VALUE"""),"KONEKTOR/JUMPER")</f>
        <v>KONEKTOR/JUMPER</v>
      </c>
      <c r="Q521" s="4">
        <f>IFERROR(__xludf.DUMMYFUNCTION("""COMPUTED_VALUE"""),20.0)</f>
        <v>20</v>
      </c>
      <c r="R521" s="4">
        <f>IFERROR(__xludf.DUMMYFUNCTION("""COMPUTED_VALUE"""),20.0)</f>
        <v>20</v>
      </c>
      <c r="S521" s="4">
        <f>IFERROR(__xludf.DUMMYFUNCTION("""COMPUTED_VALUE"""),20.0)</f>
        <v>20</v>
      </c>
      <c r="T521" s="4"/>
      <c r="U521" s="4" t="str">
        <f>IFERROR(__xludf.DUMMYFUNCTION("""COMPUTED_VALUE"""),"BAIK")</f>
        <v>BAIK</v>
      </c>
      <c r="V521" s="4" t="str">
        <f>IFERROR(__xludf.DUMMYFUNCTION("""COMPUTED_VALUE"""),"Tidak Ada")</f>
        <v>Tidak Ada</v>
      </c>
      <c r="W521" s="4"/>
      <c r="X521" s="4"/>
      <c r="Y521" s="4"/>
      <c r="Z521" s="4"/>
      <c r="AA521" s="4"/>
      <c r="AB521" s="4"/>
      <c r="AC521" s="4" t="str">
        <f>IFERROR(__xludf.DUMMYFUNCTION("""COMPUTED_VALUE"""),"INSPEKSI SUTM - T2_Images/30eaf87b.FOTO.130053.jpg")</f>
        <v>INSPEKSI SUTM - T2_Images/30eaf87b.FOTO.130053.jpg</v>
      </c>
      <c r="AD521" s="4"/>
      <c r="AE521" s="4"/>
      <c r="AF521" s="4" t="str">
        <f>IFERROR(__xludf.DUMMYFUNCTION("""COMPUTED_VALUE"""),"BELUM")</f>
        <v>BELUM</v>
      </c>
      <c r="AG521" s="6">
        <f>IFERROR(__xludf.DUMMYFUNCTION("""COMPUTED_VALUE"""),46080.0)</f>
        <v>46080</v>
      </c>
      <c r="AH521" s="4"/>
      <c r="AI521" s="4"/>
    </row>
    <row r="522" ht="15.75" customHeight="1">
      <c r="A522" s="4" t="str">
        <f>IFERROR(__xludf.DUMMYFUNCTION("""COMPUTED_VALUE"""),"4cb1e443")</f>
        <v>4cb1e443</v>
      </c>
      <c r="B522" s="5">
        <f>IFERROR(__xludf.DUMMYFUNCTION("""COMPUTED_VALUE"""),46080.83634259259)</f>
        <v>46080.83634</v>
      </c>
      <c r="C522" s="4" t="str">
        <f>IFERROR(__xludf.DUMMYFUNCTION("""COMPUTED_VALUE"""),"-6.948748, 107.656737")</f>
        <v>-6.948748, 107.656737</v>
      </c>
      <c r="D522" s="4" t="str">
        <f>IFERROR(__xludf.DUMMYFUNCTION("""COMPUTED_VALUE"""),"Jihan kiki")</f>
        <v>Jihan kiki</v>
      </c>
      <c r="E522" s="4" t="str">
        <f>IFERROR(__xludf.DUMMYFUNCTION("""COMPUTED_VALUE"""),"BANDUNG")</f>
        <v>BANDUNG</v>
      </c>
      <c r="F522" s="4" t="str">
        <f>IFERROR(__xludf.DUMMYFUNCTION("""COMPUTED_VALUE"""),"CIJAWURA")</f>
        <v>CIJAWURA</v>
      </c>
      <c r="G522" s="4" t="str">
        <f>IFERROR(__xludf.DUMMYFUNCTION("""COMPUTED_VALUE"""),"GIS KIARACONDONG")</f>
        <v>GIS KIARACONDONG</v>
      </c>
      <c r="H522" s="4" t="str">
        <f>IFERROR(__xludf.DUMMYFUNCTION("""COMPUTED_VALUE"""),"CWRA")</f>
        <v>CWRA</v>
      </c>
      <c r="I522" s="4" t="str">
        <f>IFERROR(__xludf.DUMMYFUNCTION("""COMPUTED_VALUE"""),"LBS RCGF - UJUNG")</f>
        <v>LBS RCGF - UJUNG</v>
      </c>
      <c r="J522" s="4" t="str">
        <f>IFERROR(__xludf.DUMMYFUNCTION("""COMPUTED_VALUE"""),"ZONA 2")</f>
        <v>ZONA 2</v>
      </c>
      <c r="K522" s="4" t="str">
        <f>IFERROR(__xludf.DUMMYFUNCTION("""COMPUTED_VALUE"""),"081R26R04")</f>
        <v>081R26R04</v>
      </c>
      <c r="L522" s="4" t="str">
        <f>IFERROR(__xludf.DUMMYFUNCTION("""COMPUTED_VALUE"""),"TM - 8B/H (Percabangan)")</f>
        <v>TM - 8B/H (Percabangan)</v>
      </c>
      <c r="M522" s="4" t="str">
        <f>IFERROR(__xludf.DUMMYFUNCTION("""COMPUTED_VALUE"""),"Tidak Ada")</f>
        <v>Tidak Ada</v>
      </c>
      <c r="N522" s="4"/>
      <c r="O522" s="4" t="str">
        <f>IFERROR(__xludf.DUMMYFUNCTION("""COMPUTED_VALUE"""),"PEMBANDING SEJENIS")</f>
        <v>PEMBANDING SEJENIS</v>
      </c>
      <c r="P522" s="4" t="str">
        <f>IFERROR(__xludf.DUMMYFUNCTION("""COMPUTED_VALUE"""),"KONEKTOR/JUMPER")</f>
        <v>KONEKTOR/JUMPER</v>
      </c>
      <c r="Q522" s="4">
        <f>IFERROR(__xludf.DUMMYFUNCTION("""COMPUTED_VALUE"""),19.0)</f>
        <v>19</v>
      </c>
      <c r="R522" s="4">
        <f>IFERROR(__xludf.DUMMYFUNCTION("""COMPUTED_VALUE"""),18.0)</f>
        <v>18</v>
      </c>
      <c r="S522" s="4">
        <f>IFERROR(__xludf.DUMMYFUNCTION("""COMPUTED_VALUE"""),17.0)</f>
        <v>17</v>
      </c>
      <c r="T522" s="4"/>
      <c r="U522" s="4" t="str">
        <f>IFERROR(__xludf.DUMMYFUNCTION("""COMPUTED_VALUE"""),"BAIK")</f>
        <v>BAIK</v>
      </c>
      <c r="V522" s="4" t="str">
        <f>IFERROR(__xludf.DUMMYFUNCTION("""COMPUTED_VALUE"""),"Tidak Ada")</f>
        <v>Tidak Ada</v>
      </c>
      <c r="W522" s="4"/>
      <c r="X522" s="4"/>
      <c r="Y522" s="4"/>
      <c r="Z522" s="4"/>
      <c r="AA522" s="4"/>
      <c r="AB522" s="4"/>
      <c r="AC522" s="4" t="str">
        <f>IFERROR(__xludf.DUMMYFUNCTION("""COMPUTED_VALUE"""),"INSPEKSI SUTM - T2_Images/4cb1e443.FOTO.130658.jpg")</f>
        <v>INSPEKSI SUTM - T2_Images/4cb1e443.FOTO.130658.jpg</v>
      </c>
      <c r="AD522" s="4"/>
      <c r="AE522" s="4"/>
      <c r="AF522" s="4" t="str">
        <f>IFERROR(__xludf.DUMMYFUNCTION("""COMPUTED_VALUE"""),"BELUM")</f>
        <v>BELUM</v>
      </c>
      <c r="AG522" s="6">
        <f>IFERROR(__xludf.DUMMYFUNCTION("""COMPUTED_VALUE"""),46080.0)</f>
        <v>46080</v>
      </c>
      <c r="AH522" s="4"/>
      <c r="AI522" s="4"/>
    </row>
    <row r="523" ht="15.75" customHeight="1">
      <c r="A523" s="4" t="str">
        <f>IFERROR(__xludf.DUMMYFUNCTION("""COMPUTED_VALUE"""),"ad8107aa")</f>
        <v>ad8107aa</v>
      </c>
      <c r="B523" s="5">
        <f>IFERROR(__xludf.DUMMYFUNCTION("""COMPUTED_VALUE"""),46080.838530092595)</f>
        <v>46080.83853</v>
      </c>
      <c r="C523" s="4" t="str">
        <f>IFERROR(__xludf.DUMMYFUNCTION("""COMPUTED_VALUE"""),"-6.948932, 107.656713")</f>
        <v>-6.948932, 107.656713</v>
      </c>
      <c r="D523" s="4" t="str">
        <f>IFERROR(__xludf.DUMMYFUNCTION("""COMPUTED_VALUE"""),"Jihan kiki")</f>
        <v>Jihan kiki</v>
      </c>
      <c r="E523" s="4" t="str">
        <f>IFERROR(__xludf.DUMMYFUNCTION("""COMPUTED_VALUE"""),"BANDUNG")</f>
        <v>BANDUNG</v>
      </c>
      <c r="F523" s="4" t="str">
        <f>IFERROR(__xludf.DUMMYFUNCTION("""COMPUTED_VALUE"""),"CIJAWURA")</f>
        <v>CIJAWURA</v>
      </c>
      <c r="G523" s="4" t="str">
        <f>IFERROR(__xludf.DUMMYFUNCTION("""COMPUTED_VALUE"""),"GIS KIARACONDONG")</f>
        <v>GIS KIARACONDONG</v>
      </c>
      <c r="H523" s="4" t="str">
        <f>IFERROR(__xludf.DUMMYFUNCTION("""COMPUTED_VALUE"""),"CWRA")</f>
        <v>CWRA</v>
      </c>
      <c r="I523" s="4" t="str">
        <f>IFERROR(__xludf.DUMMYFUNCTION("""COMPUTED_VALUE"""),"LBS RCGF - UJUNG")</f>
        <v>LBS RCGF - UJUNG</v>
      </c>
      <c r="J523" s="4" t="str">
        <f>IFERROR(__xludf.DUMMYFUNCTION("""COMPUTED_VALUE"""),"ZONA 2")</f>
        <v>ZONA 2</v>
      </c>
      <c r="K523" s="4" t="str">
        <f>IFERROR(__xludf.DUMMYFUNCTION("""COMPUTED_VALUE"""),"081R26R04L01")</f>
        <v>081R26R04L01</v>
      </c>
      <c r="L523" s="4" t="str">
        <f>IFERROR(__xludf.DUMMYFUNCTION("""COMPUTED_VALUE"""),"TM - 7B/H (Afspan 90 Derajat)")</f>
        <v>TM - 7B/H (Afspan 90 Derajat)</v>
      </c>
      <c r="M523" s="4" t="str">
        <f>IFERROR(__xludf.DUMMYFUNCTION("""COMPUTED_VALUE"""),"Tidak Ada")</f>
        <v>Tidak Ada</v>
      </c>
      <c r="N523" s="4"/>
      <c r="O523" s="4" t="str">
        <f>IFERROR(__xludf.DUMMYFUNCTION("""COMPUTED_VALUE"""),"PEMBANDING SEJENIS")</f>
        <v>PEMBANDING SEJENIS</v>
      </c>
      <c r="P523" s="4" t="str">
        <f>IFERROR(__xludf.DUMMYFUNCTION("""COMPUTED_VALUE"""),"KONEKTOR/JUMPER")</f>
        <v>KONEKTOR/JUMPER</v>
      </c>
      <c r="Q523" s="4">
        <f>IFERROR(__xludf.DUMMYFUNCTION("""COMPUTED_VALUE"""),19.0)</f>
        <v>19</v>
      </c>
      <c r="R523" s="4">
        <f>IFERROR(__xludf.DUMMYFUNCTION("""COMPUTED_VALUE"""),20.0)</f>
        <v>20</v>
      </c>
      <c r="S523" s="4">
        <f>IFERROR(__xludf.DUMMYFUNCTION("""COMPUTED_VALUE"""),19.0)</f>
        <v>19</v>
      </c>
      <c r="T523" s="4"/>
      <c r="U523" s="4" t="str">
        <f>IFERROR(__xludf.DUMMYFUNCTION("""COMPUTED_VALUE"""),"BAIK")</f>
        <v>BAIK</v>
      </c>
      <c r="V523" s="4" t="str">
        <f>IFERROR(__xludf.DUMMYFUNCTION("""COMPUTED_VALUE"""),"Tidak Ada")</f>
        <v>Tidak Ada</v>
      </c>
      <c r="W523" s="4"/>
      <c r="X523" s="4"/>
      <c r="Y523" s="4"/>
      <c r="Z523" s="4"/>
      <c r="AA523" s="4"/>
      <c r="AB523" s="4"/>
      <c r="AC523" s="4" t="str">
        <f>IFERROR(__xludf.DUMMYFUNCTION("""COMPUTED_VALUE"""),"INSPEKSI SUTM - T2_Images/ad8107aa.FOTO.130809.jpg")</f>
        <v>INSPEKSI SUTM - T2_Images/ad8107aa.FOTO.130809.jpg</v>
      </c>
      <c r="AD523" s="4"/>
      <c r="AE523" s="4"/>
      <c r="AF523" s="4" t="str">
        <f>IFERROR(__xludf.DUMMYFUNCTION("""COMPUTED_VALUE"""),"BELUM")</f>
        <v>BELUM</v>
      </c>
      <c r="AG523" s="6">
        <f>IFERROR(__xludf.DUMMYFUNCTION("""COMPUTED_VALUE"""),46080.0)</f>
        <v>46080</v>
      </c>
      <c r="AH523" s="4"/>
      <c r="AI523" s="4"/>
    </row>
    <row r="524" ht="15.75" customHeight="1">
      <c r="A524" s="4" t="str">
        <f>IFERROR(__xludf.DUMMYFUNCTION("""COMPUTED_VALUE"""),"bb704486")</f>
        <v>bb704486</v>
      </c>
      <c r="B524" s="5">
        <f>IFERROR(__xludf.DUMMYFUNCTION("""COMPUTED_VALUE"""),46080.83981481481)</f>
        <v>46080.83981</v>
      </c>
      <c r="C524" s="4" t="str">
        <f>IFERROR(__xludf.DUMMYFUNCTION("""COMPUTED_VALUE"""),"-6.949005, 107.657255")</f>
        <v>-6.949005, 107.657255</v>
      </c>
      <c r="D524" s="4" t="str">
        <f>IFERROR(__xludf.DUMMYFUNCTION("""COMPUTED_VALUE"""),"Jihan kiki")</f>
        <v>Jihan kiki</v>
      </c>
      <c r="E524" s="4" t="str">
        <f>IFERROR(__xludf.DUMMYFUNCTION("""COMPUTED_VALUE"""),"BANDUNG")</f>
        <v>BANDUNG</v>
      </c>
      <c r="F524" s="4" t="str">
        <f>IFERROR(__xludf.DUMMYFUNCTION("""COMPUTED_VALUE"""),"CIJAWURA")</f>
        <v>CIJAWURA</v>
      </c>
      <c r="G524" s="4" t="str">
        <f>IFERROR(__xludf.DUMMYFUNCTION("""COMPUTED_VALUE"""),"GIS KIARACONDONG")</f>
        <v>GIS KIARACONDONG</v>
      </c>
      <c r="H524" s="4" t="str">
        <f>IFERROR(__xludf.DUMMYFUNCTION("""COMPUTED_VALUE"""),"CWRA")</f>
        <v>CWRA</v>
      </c>
      <c r="I524" s="4" t="str">
        <f>IFERROR(__xludf.DUMMYFUNCTION("""COMPUTED_VALUE"""),"LBS RCGF - UJUNG")</f>
        <v>LBS RCGF - UJUNG</v>
      </c>
      <c r="J524" s="4" t="str">
        <f>IFERROR(__xludf.DUMMYFUNCTION("""COMPUTED_VALUE"""),"ZONA 2")</f>
        <v>ZONA 2</v>
      </c>
      <c r="K524" s="4" t="str">
        <f>IFERROR(__xludf.DUMMYFUNCTION("""COMPUTED_VALUE"""),"081R26R04L03")</f>
        <v>081R26R04L03</v>
      </c>
      <c r="L524" s="4" t="str">
        <f>IFERROR(__xludf.DUMMYFUNCTION("""COMPUTED_VALUE"""),"TM - 7B/H (Afspan 90 Derajat)")</f>
        <v>TM - 7B/H (Afspan 90 Derajat)</v>
      </c>
      <c r="M524" s="4" t="str">
        <f>IFERROR(__xludf.DUMMYFUNCTION("""COMPUTED_VALUE"""),"Tidak Ada")</f>
        <v>Tidak Ada</v>
      </c>
      <c r="N524" s="4"/>
      <c r="O524" s="4" t="str">
        <f>IFERROR(__xludf.DUMMYFUNCTION("""COMPUTED_VALUE"""),"PEMBANDING SEJENIS")</f>
        <v>PEMBANDING SEJENIS</v>
      </c>
      <c r="P524" s="4" t="str">
        <f>IFERROR(__xludf.DUMMYFUNCTION("""COMPUTED_VALUE"""),"KONEKTOR/JUMPER")</f>
        <v>KONEKTOR/JUMPER</v>
      </c>
      <c r="Q524" s="4">
        <f>IFERROR(__xludf.DUMMYFUNCTION("""COMPUTED_VALUE"""),19.0)</f>
        <v>19</v>
      </c>
      <c r="R524" s="4">
        <f>IFERROR(__xludf.DUMMYFUNCTION("""COMPUTED_VALUE"""),21.0)</f>
        <v>21</v>
      </c>
      <c r="S524" s="4">
        <f>IFERROR(__xludf.DUMMYFUNCTION("""COMPUTED_VALUE"""),21.0)</f>
        <v>21</v>
      </c>
      <c r="T524" s="4"/>
      <c r="U524" s="4" t="str">
        <f>IFERROR(__xludf.DUMMYFUNCTION("""COMPUTED_VALUE"""),"BAIK")</f>
        <v>BAIK</v>
      </c>
      <c r="V524" s="4" t="str">
        <f>IFERROR(__xludf.DUMMYFUNCTION("""COMPUTED_VALUE"""),"Tidak Ada")</f>
        <v>Tidak Ada</v>
      </c>
      <c r="W524" s="4"/>
      <c r="X524" s="4"/>
      <c r="Y524" s="4"/>
      <c r="Z524" s="4"/>
      <c r="AA524" s="4"/>
      <c r="AB524" s="4"/>
      <c r="AC524" s="4" t="str">
        <f>IFERROR(__xludf.DUMMYFUNCTION("""COMPUTED_VALUE"""),"INSPEKSI SUTM - T2_Images/bb704486.FOTO.131323.jpg")</f>
        <v>INSPEKSI SUTM - T2_Images/bb704486.FOTO.131323.jpg</v>
      </c>
      <c r="AD524" s="4"/>
      <c r="AE524" s="4"/>
      <c r="AF524" s="4" t="str">
        <f>IFERROR(__xludf.DUMMYFUNCTION("""COMPUTED_VALUE"""),"BELUM")</f>
        <v>BELUM</v>
      </c>
      <c r="AG524" s="6">
        <f>IFERROR(__xludf.DUMMYFUNCTION("""COMPUTED_VALUE"""),46080.0)</f>
        <v>46080</v>
      </c>
      <c r="AH524" s="4"/>
      <c r="AI524" s="4"/>
    </row>
    <row r="525" ht="15.75" customHeight="1">
      <c r="A525" s="4" t="str">
        <f>IFERROR(__xludf.DUMMYFUNCTION("""COMPUTED_VALUE"""),"1cdab399")</f>
        <v>1cdab399</v>
      </c>
      <c r="B525" s="5">
        <f>IFERROR(__xludf.DUMMYFUNCTION("""COMPUTED_VALUE"""),46080.84061342593)</f>
        <v>46080.84061</v>
      </c>
      <c r="C525" s="4" t="str">
        <f>IFERROR(__xludf.DUMMYFUNCTION("""COMPUTED_VALUE"""),"-6.950116, 107.657177")</f>
        <v>-6.950116, 107.657177</v>
      </c>
      <c r="D525" s="4" t="str">
        <f>IFERROR(__xludf.DUMMYFUNCTION("""COMPUTED_VALUE"""),"Jihan kiki")</f>
        <v>Jihan kiki</v>
      </c>
      <c r="E525" s="4" t="str">
        <f>IFERROR(__xludf.DUMMYFUNCTION("""COMPUTED_VALUE"""),"BANDUNG")</f>
        <v>BANDUNG</v>
      </c>
      <c r="F525" s="4" t="str">
        <f>IFERROR(__xludf.DUMMYFUNCTION("""COMPUTED_VALUE"""),"CIJAWURA")</f>
        <v>CIJAWURA</v>
      </c>
      <c r="G525" s="4" t="str">
        <f>IFERROR(__xludf.DUMMYFUNCTION("""COMPUTED_VALUE"""),"GIS KIARACONDONG")</f>
        <v>GIS KIARACONDONG</v>
      </c>
      <c r="H525" s="4" t="str">
        <f>IFERROR(__xludf.DUMMYFUNCTION("""COMPUTED_VALUE"""),"CWRA")</f>
        <v>CWRA</v>
      </c>
      <c r="I525" s="4" t="str">
        <f>IFERROR(__xludf.DUMMYFUNCTION("""COMPUTED_VALUE"""),"LBS RCGF - UJUNG")</f>
        <v>LBS RCGF - UJUNG</v>
      </c>
      <c r="J525" s="4" t="str">
        <f>IFERROR(__xludf.DUMMYFUNCTION("""COMPUTED_VALUE"""),"ZONA 2")</f>
        <v>ZONA 2</v>
      </c>
      <c r="K525" s="4" t="str">
        <f>IFERROR(__xludf.DUMMYFUNCTION("""COMPUTED_VALUE"""),"081R26R04L08")</f>
        <v>081R26R04L08</v>
      </c>
      <c r="L525" s="4" t="str">
        <f>IFERROR(__xludf.DUMMYFUNCTION("""COMPUTED_VALUE"""),"TM - 7B/H (Afspan 90 Derajat)")</f>
        <v>TM - 7B/H (Afspan 90 Derajat)</v>
      </c>
      <c r="M525" s="4" t="str">
        <f>IFERROR(__xludf.DUMMYFUNCTION("""COMPUTED_VALUE"""),"Tidak Ada")</f>
        <v>Tidak Ada</v>
      </c>
      <c r="N525" s="4"/>
      <c r="O525" s="4" t="str">
        <f>IFERROR(__xludf.DUMMYFUNCTION("""COMPUTED_VALUE"""),"PEMBANDING SEJENIS")</f>
        <v>PEMBANDING SEJENIS</v>
      </c>
      <c r="P525" s="4" t="str">
        <f>IFERROR(__xludf.DUMMYFUNCTION("""COMPUTED_VALUE"""),"KONEKTOR/JUMPER")</f>
        <v>KONEKTOR/JUMPER</v>
      </c>
      <c r="Q525" s="4">
        <f>IFERROR(__xludf.DUMMYFUNCTION("""COMPUTED_VALUE"""),19.0)</f>
        <v>19</v>
      </c>
      <c r="R525" s="4">
        <f>IFERROR(__xludf.DUMMYFUNCTION("""COMPUTED_VALUE"""),21.0)</f>
        <v>21</v>
      </c>
      <c r="S525" s="4">
        <f>IFERROR(__xludf.DUMMYFUNCTION("""COMPUTED_VALUE"""),19.0)</f>
        <v>19</v>
      </c>
      <c r="T525" s="4"/>
      <c r="U525" s="4" t="str">
        <f>IFERROR(__xludf.DUMMYFUNCTION("""COMPUTED_VALUE"""),"BAIK")</f>
        <v>BAIK</v>
      </c>
      <c r="V525" s="4" t="str">
        <f>IFERROR(__xludf.DUMMYFUNCTION("""COMPUTED_VALUE"""),"Tidak Ada")</f>
        <v>Tidak Ada</v>
      </c>
      <c r="W525" s="4"/>
      <c r="X525" s="4"/>
      <c r="Y525" s="4"/>
      <c r="Z525" s="4"/>
      <c r="AA525" s="4"/>
      <c r="AB525" s="4"/>
      <c r="AC525" s="4" t="str">
        <f>IFERROR(__xludf.DUMMYFUNCTION("""COMPUTED_VALUE"""),"INSPEKSI SUTM - T2_Images/1cdab399.FOTO.131328.jpg")</f>
        <v>INSPEKSI SUTM - T2_Images/1cdab399.FOTO.131328.jpg</v>
      </c>
      <c r="AD525" s="4"/>
      <c r="AE525" s="4"/>
      <c r="AF525" s="4" t="str">
        <f>IFERROR(__xludf.DUMMYFUNCTION("""COMPUTED_VALUE"""),"BELUM")</f>
        <v>BELUM</v>
      </c>
      <c r="AG525" s="6">
        <f>IFERROR(__xludf.DUMMYFUNCTION("""COMPUTED_VALUE"""),46080.0)</f>
        <v>46080</v>
      </c>
      <c r="AH525" s="4"/>
      <c r="AI525" s="4"/>
    </row>
    <row r="526" ht="15.75" customHeight="1">
      <c r="A526" s="4" t="str">
        <f>IFERROR(__xludf.DUMMYFUNCTION("""COMPUTED_VALUE"""),"aefc5b8d")</f>
        <v>aefc5b8d</v>
      </c>
      <c r="B526" s="5">
        <f>IFERROR(__xludf.DUMMYFUNCTION("""COMPUTED_VALUE"""),46080.841261574074)</f>
        <v>46080.84126</v>
      </c>
      <c r="C526" s="4" t="str">
        <f>IFERROR(__xludf.DUMMYFUNCTION("""COMPUTED_VALUE"""),"-6.949768, 107.655339")</f>
        <v>-6.949768, 107.655339</v>
      </c>
      <c r="D526" s="4" t="str">
        <f>IFERROR(__xludf.DUMMYFUNCTION("""COMPUTED_VALUE"""),"Jihan kiki")</f>
        <v>Jihan kiki</v>
      </c>
      <c r="E526" s="4" t="str">
        <f>IFERROR(__xludf.DUMMYFUNCTION("""COMPUTED_VALUE"""),"BANDUNG")</f>
        <v>BANDUNG</v>
      </c>
      <c r="F526" s="4" t="str">
        <f>IFERROR(__xludf.DUMMYFUNCTION("""COMPUTED_VALUE"""),"CIJAWURA")</f>
        <v>CIJAWURA</v>
      </c>
      <c r="G526" s="4" t="str">
        <f>IFERROR(__xludf.DUMMYFUNCTION("""COMPUTED_VALUE"""),"GIS KIARACONDONG")</f>
        <v>GIS KIARACONDONG</v>
      </c>
      <c r="H526" s="4" t="str">
        <f>IFERROR(__xludf.DUMMYFUNCTION("""COMPUTED_VALUE"""),"CWRA")</f>
        <v>CWRA</v>
      </c>
      <c r="I526" s="4" t="str">
        <f>IFERROR(__xludf.DUMMYFUNCTION("""COMPUTED_VALUE"""),"LBS RCGF - UJUNG")</f>
        <v>LBS RCGF - UJUNG</v>
      </c>
      <c r="J526" s="4" t="str">
        <f>IFERROR(__xludf.DUMMYFUNCTION("""COMPUTED_VALUE"""),"ZONA 2")</f>
        <v>ZONA 2</v>
      </c>
      <c r="K526" s="4" t="str">
        <f>IFERROR(__xludf.DUMMYFUNCTION("""COMPUTED_VALUE"""),"081R26R04L13")</f>
        <v>081R26R04L13</v>
      </c>
      <c r="L526" s="4" t="str">
        <f>IFERROR(__xludf.DUMMYFUNCTION("""COMPUTED_VALUE"""),"TM - 7B/H (Afspan 90 Derajat)")</f>
        <v>TM - 7B/H (Afspan 90 Derajat)</v>
      </c>
      <c r="M526" s="4" t="str">
        <f>IFERROR(__xludf.DUMMYFUNCTION("""COMPUTED_VALUE"""),"Tidak Ada")</f>
        <v>Tidak Ada</v>
      </c>
      <c r="N526" s="4"/>
      <c r="O526" s="4" t="str">
        <f>IFERROR(__xludf.DUMMYFUNCTION("""COMPUTED_VALUE"""),"PEMBANDING SEJENIS")</f>
        <v>PEMBANDING SEJENIS</v>
      </c>
      <c r="P526" s="4" t="str">
        <f>IFERROR(__xludf.DUMMYFUNCTION("""COMPUTED_VALUE"""),"KONEKTOR/JUMPER")</f>
        <v>KONEKTOR/JUMPER</v>
      </c>
      <c r="Q526" s="4">
        <f>IFERROR(__xludf.DUMMYFUNCTION("""COMPUTED_VALUE"""),18.0)</f>
        <v>18</v>
      </c>
      <c r="R526" s="4">
        <f>IFERROR(__xludf.DUMMYFUNCTION("""COMPUTED_VALUE"""),19.0)</f>
        <v>19</v>
      </c>
      <c r="S526" s="4">
        <f>IFERROR(__xludf.DUMMYFUNCTION("""COMPUTED_VALUE"""),18.0)</f>
        <v>18</v>
      </c>
      <c r="T526" s="4"/>
      <c r="U526" s="4" t="str">
        <f>IFERROR(__xludf.DUMMYFUNCTION("""COMPUTED_VALUE"""),"BAIK")</f>
        <v>BAIK</v>
      </c>
      <c r="V526" s="4" t="str">
        <f>IFERROR(__xludf.DUMMYFUNCTION("""COMPUTED_VALUE"""),"Tidak Ada")</f>
        <v>Tidak Ada</v>
      </c>
      <c r="W526" s="4"/>
      <c r="X526" s="4"/>
      <c r="Y526" s="4"/>
      <c r="Z526" s="4"/>
      <c r="AA526" s="4"/>
      <c r="AB526" s="4"/>
      <c r="AC526" s="4" t="str">
        <f>IFERROR(__xludf.DUMMYFUNCTION("""COMPUTED_VALUE"""),"INSPEKSI SUTM - T2_Images/aefc5b8d.FOTO.131332.jpg")</f>
        <v>INSPEKSI SUTM - T2_Images/aefc5b8d.FOTO.131332.jpg</v>
      </c>
      <c r="AD526" s="4"/>
      <c r="AE526" s="4"/>
      <c r="AF526" s="4" t="str">
        <f>IFERROR(__xludf.DUMMYFUNCTION("""COMPUTED_VALUE"""),"BELUM")</f>
        <v>BELUM</v>
      </c>
      <c r="AG526" s="6">
        <f>IFERROR(__xludf.DUMMYFUNCTION("""COMPUTED_VALUE"""),46080.0)</f>
        <v>46080</v>
      </c>
      <c r="AH526" s="4"/>
      <c r="AI526" s="4"/>
    </row>
    <row r="527" ht="15.75" customHeight="1">
      <c r="A527" s="4" t="str">
        <f>IFERROR(__xludf.DUMMYFUNCTION("""COMPUTED_VALUE"""),"c3877e12")</f>
        <v>c3877e12</v>
      </c>
      <c r="B527" s="5">
        <f>IFERROR(__xludf.DUMMYFUNCTION("""COMPUTED_VALUE"""),46080.84234953704)</f>
        <v>46080.84235</v>
      </c>
      <c r="C527" s="4" t="str">
        <f>IFERROR(__xludf.DUMMYFUNCTION("""COMPUTED_VALUE"""),"-6.950584, 107.655211")</f>
        <v>-6.950584, 107.655211</v>
      </c>
      <c r="D527" s="4" t="str">
        <f>IFERROR(__xludf.DUMMYFUNCTION("""COMPUTED_VALUE"""),"Jihan kiki")</f>
        <v>Jihan kiki</v>
      </c>
      <c r="E527" s="4" t="str">
        <f>IFERROR(__xludf.DUMMYFUNCTION("""COMPUTED_VALUE"""),"BANDUNG")</f>
        <v>BANDUNG</v>
      </c>
      <c r="F527" s="4" t="str">
        <f>IFERROR(__xludf.DUMMYFUNCTION("""COMPUTED_VALUE"""),"CIJAWURA")</f>
        <v>CIJAWURA</v>
      </c>
      <c r="G527" s="4" t="str">
        <f>IFERROR(__xludf.DUMMYFUNCTION("""COMPUTED_VALUE"""),"GIS KIARACONDONG")</f>
        <v>GIS KIARACONDONG</v>
      </c>
      <c r="H527" s="4" t="str">
        <f>IFERROR(__xludf.DUMMYFUNCTION("""COMPUTED_VALUE"""),"CWRA")</f>
        <v>CWRA</v>
      </c>
      <c r="I527" s="4" t="str">
        <f>IFERROR(__xludf.DUMMYFUNCTION("""COMPUTED_VALUE"""),"LBS RCGF - UJUNG")</f>
        <v>LBS RCGF - UJUNG</v>
      </c>
      <c r="J527" s="4" t="str">
        <f>IFERROR(__xludf.DUMMYFUNCTION("""COMPUTED_VALUE"""),"ZONA 2")</f>
        <v>ZONA 2</v>
      </c>
      <c r="K527" s="4" t="str">
        <f>IFERROR(__xludf.DUMMYFUNCTION("""COMPUTED_VALUE"""),"081R26R04L16")</f>
        <v>081R26R04L16</v>
      </c>
      <c r="L527" s="4" t="str">
        <f>IFERROR(__xludf.DUMMYFUNCTION("""COMPUTED_VALUE"""),"TM - 14B/H (Akhir)")</f>
        <v>TM - 14B/H (Akhir)</v>
      </c>
      <c r="M527" s="4" t="str">
        <f>IFERROR(__xludf.DUMMYFUNCTION("""COMPUTED_VALUE"""),"Tidak Ada")</f>
        <v>Tidak Ada</v>
      </c>
      <c r="N527" s="4"/>
      <c r="O527" s="4" t="str">
        <f>IFERROR(__xludf.DUMMYFUNCTION("""COMPUTED_VALUE"""),"PEMBANDING SEJENIS")</f>
        <v>PEMBANDING SEJENIS</v>
      </c>
      <c r="P527" s="4" t="str">
        <f>IFERROR(__xludf.DUMMYFUNCTION("""COMPUTED_VALUE"""),"KONEKTOR/JUMPER")</f>
        <v>KONEKTOR/JUMPER</v>
      </c>
      <c r="Q527" s="4">
        <f>IFERROR(__xludf.DUMMYFUNCTION("""COMPUTED_VALUE"""),19.0)</f>
        <v>19</v>
      </c>
      <c r="R527" s="4">
        <f>IFERROR(__xludf.DUMMYFUNCTION("""COMPUTED_VALUE"""),18.0)</f>
        <v>18</v>
      </c>
      <c r="S527" s="4">
        <f>IFERROR(__xludf.DUMMYFUNCTION("""COMPUTED_VALUE"""),20.0)</f>
        <v>20</v>
      </c>
      <c r="T527" s="4"/>
      <c r="U527" s="4" t="str">
        <f>IFERROR(__xludf.DUMMYFUNCTION("""COMPUTED_VALUE"""),"BAIK")</f>
        <v>BAIK</v>
      </c>
      <c r="V527" s="4" t="str">
        <f>IFERROR(__xludf.DUMMYFUNCTION("""COMPUTED_VALUE"""),"Tidak Ada")</f>
        <v>Tidak Ada</v>
      </c>
      <c r="W527" s="4"/>
      <c r="X527" s="4"/>
      <c r="Y527" s="4"/>
      <c r="Z527" s="4"/>
      <c r="AA527" s="4"/>
      <c r="AB527" s="4"/>
      <c r="AC527" s="4" t="str">
        <f>IFERROR(__xludf.DUMMYFUNCTION("""COMPUTED_VALUE"""),"INSPEKSI SUTM - T2_Images/c3877e12.FOTO.131337.jpg")</f>
        <v>INSPEKSI SUTM - T2_Images/c3877e12.FOTO.131337.jpg</v>
      </c>
      <c r="AD527" s="4"/>
      <c r="AE527" s="4"/>
      <c r="AF527" s="4" t="str">
        <f>IFERROR(__xludf.DUMMYFUNCTION("""COMPUTED_VALUE"""),"BELUM")</f>
        <v>BELUM</v>
      </c>
      <c r="AG527" s="6">
        <f>IFERROR(__xludf.DUMMYFUNCTION("""COMPUTED_VALUE"""),46080.0)</f>
        <v>46080</v>
      </c>
      <c r="AH527" s="4"/>
      <c r="AI527" s="4"/>
    </row>
    <row r="528" ht="15.75" customHeight="1">
      <c r="A528" s="4" t="str">
        <f>IFERROR(__xludf.DUMMYFUNCTION("""COMPUTED_VALUE"""),"9edeba75")</f>
        <v>9edeba75</v>
      </c>
      <c r="B528" s="5">
        <f>IFERROR(__xludf.DUMMYFUNCTION("""COMPUTED_VALUE"""),46080.843043981484)</f>
        <v>46080.84304</v>
      </c>
      <c r="C528" s="4" t="str">
        <f>IFERROR(__xludf.DUMMYFUNCTION("""COMPUTED_VALUE"""),"-6.948376, 107.655837")</f>
        <v>-6.948376, 107.655837</v>
      </c>
      <c r="D528" s="4" t="str">
        <f>IFERROR(__xludf.DUMMYFUNCTION("""COMPUTED_VALUE"""),"Jihan kiki")</f>
        <v>Jihan kiki</v>
      </c>
      <c r="E528" s="4" t="str">
        <f>IFERROR(__xludf.DUMMYFUNCTION("""COMPUTED_VALUE"""),"BANDUNG")</f>
        <v>BANDUNG</v>
      </c>
      <c r="F528" s="4" t="str">
        <f>IFERROR(__xludf.DUMMYFUNCTION("""COMPUTED_VALUE"""),"CIJAWURA")</f>
        <v>CIJAWURA</v>
      </c>
      <c r="G528" s="4" t="str">
        <f>IFERROR(__xludf.DUMMYFUNCTION("""COMPUTED_VALUE"""),"GIS KIARACONDONG")</f>
        <v>GIS KIARACONDONG</v>
      </c>
      <c r="H528" s="4" t="str">
        <f>IFERROR(__xludf.DUMMYFUNCTION("""COMPUTED_VALUE"""),"CWRA")</f>
        <v>CWRA</v>
      </c>
      <c r="I528" s="4" t="str">
        <f>IFERROR(__xludf.DUMMYFUNCTION("""COMPUTED_VALUE"""),"LBS RCGF - UJUNG")</f>
        <v>LBS RCGF - UJUNG</v>
      </c>
      <c r="J528" s="4" t="str">
        <f>IFERROR(__xludf.DUMMYFUNCTION("""COMPUTED_VALUE"""),"ZONA 2")</f>
        <v>ZONA 2</v>
      </c>
      <c r="K528" s="4" t="str">
        <f>IFERROR(__xludf.DUMMYFUNCTION("""COMPUTED_VALUE"""),"081R26R07")</f>
        <v>081R26R07</v>
      </c>
      <c r="L528" s="4" t="str">
        <f>IFERROR(__xludf.DUMMYFUNCTION("""COMPUTED_VALUE"""),"TM - 7B/H (Afspan 90 Derajat)")</f>
        <v>TM - 7B/H (Afspan 90 Derajat)</v>
      </c>
      <c r="M528" s="4" t="str">
        <f>IFERROR(__xludf.DUMMYFUNCTION("""COMPUTED_VALUE"""),"Tidak Ada")</f>
        <v>Tidak Ada</v>
      </c>
      <c r="N528" s="4"/>
      <c r="O528" s="4" t="str">
        <f>IFERROR(__xludf.DUMMYFUNCTION("""COMPUTED_VALUE"""),"PEMBANDING SEJENIS")</f>
        <v>PEMBANDING SEJENIS</v>
      </c>
      <c r="P528" s="4" t="str">
        <f>IFERROR(__xludf.DUMMYFUNCTION("""COMPUTED_VALUE"""),"KONEKTOR/JUMPER")</f>
        <v>KONEKTOR/JUMPER</v>
      </c>
      <c r="Q528" s="4">
        <f>IFERROR(__xludf.DUMMYFUNCTION("""COMPUTED_VALUE"""),20.0)</f>
        <v>20</v>
      </c>
      <c r="R528" s="4">
        <f>IFERROR(__xludf.DUMMYFUNCTION("""COMPUTED_VALUE"""),20.0)</f>
        <v>20</v>
      </c>
      <c r="S528" s="4">
        <f>IFERROR(__xludf.DUMMYFUNCTION("""COMPUTED_VALUE"""),21.0)</f>
        <v>21</v>
      </c>
      <c r="T528" s="4"/>
      <c r="U528" s="4" t="str">
        <f>IFERROR(__xludf.DUMMYFUNCTION("""COMPUTED_VALUE"""),"BAIK")</f>
        <v>BAIK</v>
      </c>
      <c r="V528" s="4" t="str">
        <f>IFERROR(__xludf.DUMMYFUNCTION("""COMPUTED_VALUE"""),"Tidak Ada")</f>
        <v>Tidak Ada</v>
      </c>
      <c r="W528" s="4"/>
      <c r="X528" s="4"/>
      <c r="Y528" s="4"/>
      <c r="Z528" s="4"/>
      <c r="AA528" s="4"/>
      <c r="AB528" s="4"/>
      <c r="AC528" s="4" t="str">
        <f>IFERROR(__xludf.DUMMYFUNCTION("""COMPUTED_VALUE"""),"INSPEKSI SUTM - T2_Images/9edeba75.FOTO.131436.jpg")</f>
        <v>INSPEKSI SUTM - T2_Images/9edeba75.FOTO.131436.jpg</v>
      </c>
      <c r="AD528" s="4"/>
      <c r="AE528" s="4"/>
      <c r="AF528" s="4" t="str">
        <f>IFERROR(__xludf.DUMMYFUNCTION("""COMPUTED_VALUE"""),"BELUM")</f>
        <v>BELUM</v>
      </c>
      <c r="AG528" s="6">
        <f>IFERROR(__xludf.DUMMYFUNCTION("""COMPUTED_VALUE"""),46080.0)</f>
        <v>46080</v>
      </c>
      <c r="AH528" s="4"/>
      <c r="AI528" s="4"/>
    </row>
    <row r="529" ht="15.75" customHeight="1">
      <c r="A529" s="4" t="str">
        <f>IFERROR(__xludf.DUMMYFUNCTION("""COMPUTED_VALUE"""),"b32e57d4")</f>
        <v>b32e57d4</v>
      </c>
      <c r="B529" s="5">
        <f>IFERROR(__xludf.DUMMYFUNCTION("""COMPUTED_VALUE"""),46080.84363425926)</f>
        <v>46080.84363</v>
      </c>
      <c r="C529" s="4" t="str">
        <f>IFERROR(__xludf.DUMMYFUNCTION("""COMPUTED_VALUE"""),"-6.948055, 107.655903")</f>
        <v>-6.948055, 107.655903</v>
      </c>
      <c r="D529" s="4" t="str">
        <f>IFERROR(__xludf.DUMMYFUNCTION("""COMPUTED_VALUE"""),"Jihan kiki")</f>
        <v>Jihan kiki</v>
      </c>
      <c r="E529" s="4" t="str">
        <f>IFERROR(__xludf.DUMMYFUNCTION("""COMPUTED_VALUE"""),"BANDUNG")</f>
        <v>BANDUNG</v>
      </c>
      <c r="F529" s="4" t="str">
        <f>IFERROR(__xludf.DUMMYFUNCTION("""COMPUTED_VALUE"""),"CIJAWURA")</f>
        <v>CIJAWURA</v>
      </c>
      <c r="G529" s="4" t="str">
        <f>IFERROR(__xludf.DUMMYFUNCTION("""COMPUTED_VALUE"""),"GIS KIARACONDONG")</f>
        <v>GIS KIARACONDONG</v>
      </c>
      <c r="H529" s="4" t="str">
        <f>IFERROR(__xludf.DUMMYFUNCTION("""COMPUTED_VALUE"""),"CWRA")</f>
        <v>CWRA</v>
      </c>
      <c r="I529" s="4" t="str">
        <f>IFERROR(__xludf.DUMMYFUNCTION("""COMPUTED_VALUE"""),"LBS RCGF - UJUNG")</f>
        <v>LBS RCGF - UJUNG</v>
      </c>
      <c r="J529" s="4" t="str">
        <f>IFERROR(__xludf.DUMMYFUNCTION("""COMPUTED_VALUE"""),"ZONA 2")</f>
        <v>ZONA 2</v>
      </c>
      <c r="K529" s="4" t="str">
        <f>IFERROR(__xludf.DUMMYFUNCTION("""COMPUTED_VALUE"""),"081R26R08")</f>
        <v>081R26R08</v>
      </c>
      <c r="L529" s="4" t="str">
        <f>IFERROR(__xludf.DUMMYFUNCTION("""COMPUTED_VALUE"""),"TM - 7B/H (Afspan 90 Derajat)")</f>
        <v>TM - 7B/H (Afspan 90 Derajat)</v>
      </c>
      <c r="M529" s="4" t="str">
        <f>IFERROR(__xludf.DUMMYFUNCTION("""COMPUTED_VALUE"""),"Tidak Ada")</f>
        <v>Tidak Ada</v>
      </c>
      <c r="N529" s="4"/>
      <c r="O529" s="4" t="str">
        <f>IFERROR(__xludf.DUMMYFUNCTION("""COMPUTED_VALUE"""),"PEMBANDING SEJENIS")</f>
        <v>PEMBANDING SEJENIS</v>
      </c>
      <c r="P529" s="4" t="str">
        <f>IFERROR(__xludf.DUMMYFUNCTION("""COMPUTED_VALUE"""),"KONEKTOR/JUMPER")</f>
        <v>KONEKTOR/JUMPER</v>
      </c>
      <c r="Q529" s="4">
        <f>IFERROR(__xludf.DUMMYFUNCTION("""COMPUTED_VALUE"""),20.0)</f>
        <v>20</v>
      </c>
      <c r="R529" s="4">
        <f>IFERROR(__xludf.DUMMYFUNCTION("""COMPUTED_VALUE"""),20.0)</f>
        <v>20</v>
      </c>
      <c r="S529" s="4">
        <f>IFERROR(__xludf.DUMMYFUNCTION("""COMPUTED_VALUE"""),20.0)</f>
        <v>20</v>
      </c>
      <c r="T529" s="4"/>
      <c r="U529" s="4" t="str">
        <f>IFERROR(__xludf.DUMMYFUNCTION("""COMPUTED_VALUE"""),"BAIK")</f>
        <v>BAIK</v>
      </c>
      <c r="V529" s="4" t="str">
        <f>IFERROR(__xludf.DUMMYFUNCTION("""COMPUTED_VALUE"""),"Tidak Ada")</f>
        <v>Tidak Ada</v>
      </c>
      <c r="W529" s="4"/>
      <c r="X529" s="4"/>
      <c r="Y529" s="4"/>
      <c r="Z529" s="4"/>
      <c r="AA529" s="4"/>
      <c r="AB529" s="4"/>
      <c r="AC529" s="4" t="str">
        <f>IFERROR(__xludf.DUMMYFUNCTION("""COMPUTED_VALUE"""),"INSPEKSI SUTM - T2_Images/b32e57d4.FOTO.131521.jpg")</f>
        <v>INSPEKSI SUTM - T2_Images/b32e57d4.FOTO.131521.jpg</v>
      </c>
      <c r="AD529" s="4"/>
      <c r="AE529" s="4"/>
      <c r="AF529" s="4" t="str">
        <f>IFERROR(__xludf.DUMMYFUNCTION("""COMPUTED_VALUE"""),"BELUM")</f>
        <v>BELUM</v>
      </c>
      <c r="AG529" s="6">
        <f>IFERROR(__xludf.DUMMYFUNCTION("""COMPUTED_VALUE"""),46080.0)</f>
        <v>46080</v>
      </c>
      <c r="AH529" s="4"/>
      <c r="AI529" s="4"/>
    </row>
    <row r="530" ht="15.75" customHeight="1">
      <c r="A530" s="4" t="str">
        <f>IFERROR(__xludf.DUMMYFUNCTION("""COMPUTED_VALUE"""),"a2006257")</f>
        <v>a2006257</v>
      </c>
      <c r="B530" s="5">
        <f>IFERROR(__xludf.DUMMYFUNCTION("""COMPUTED_VALUE"""),46080.84413194445)</f>
        <v>46080.84413</v>
      </c>
      <c r="C530" s="4" t="str">
        <f>IFERROR(__xludf.DUMMYFUNCTION("""COMPUTED_VALUE"""),"-6.948026, 107.655580")</f>
        <v>-6.948026, 107.655580</v>
      </c>
      <c r="D530" s="4" t="str">
        <f>IFERROR(__xludf.DUMMYFUNCTION("""COMPUTED_VALUE"""),"Jihan kiki")</f>
        <v>Jihan kiki</v>
      </c>
      <c r="E530" s="4" t="str">
        <f>IFERROR(__xludf.DUMMYFUNCTION("""COMPUTED_VALUE"""),"BANDUNG")</f>
        <v>BANDUNG</v>
      </c>
      <c r="F530" s="4" t="str">
        <f>IFERROR(__xludf.DUMMYFUNCTION("""COMPUTED_VALUE"""),"CIJAWURA")</f>
        <v>CIJAWURA</v>
      </c>
      <c r="G530" s="4" t="str">
        <f>IFERROR(__xludf.DUMMYFUNCTION("""COMPUTED_VALUE"""),"GIS KIARACONDONG")</f>
        <v>GIS KIARACONDONG</v>
      </c>
      <c r="H530" s="4" t="str">
        <f>IFERROR(__xludf.DUMMYFUNCTION("""COMPUTED_VALUE"""),"CWRA")</f>
        <v>CWRA</v>
      </c>
      <c r="I530" s="4" t="str">
        <f>IFERROR(__xludf.DUMMYFUNCTION("""COMPUTED_VALUE"""),"LBS RCGF - UJUNG")</f>
        <v>LBS RCGF - UJUNG</v>
      </c>
      <c r="J530" s="4" t="str">
        <f>IFERROR(__xludf.DUMMYFUNCTION("""COMPUTED_VALUE"""),"ZONA 2")</f>
        <v>ZONA 2</v>
      </c>
      <c r="K530" s="4" t="str">
        <f>IFERROR(__xludf.DUMMYFUNCTION("""COMPUTED_VALUE"""),"081R26R09")</f>
        <v>081R26R09</v>
      </c>
      <c r="L530" s="4" t="str">
        <f>IFERROR(__xludf.DUMMYFUNCTION("""COMPUTED_VALUE"""),"TM - 7BC/HC (Afspan 90 Derajat dengan CO)")</f>
        <v>TM - 7BC/HC (Afspan 90 Derajat dengan CO)</v>
      </c>
      <c r="M530" s="4" t="str">
        <f>IFERROR(__xludf.DUMMYFUNCTION("""COMPUTED_VALUE"""),"FCO")</f>
        <v>FCO</v>
      </c>
      <c r="N530" s="4" t="str">
        <f>IFERROR(__xludf.DUMMYFUNCTION("""COMPUTED_VALUE"""),"RCGD")</f>
        <v>RCGD</v>
      </c>
      <c r="O530" s="4" t="str">
        <f>IFERROR(__xludf.DUMMYFUNCTION("""COMPUTED_VALUE"""),"PEMBANDING SEJENIS")</f>
        <v>PEMBANDING SEJENIS</v>
      </c>
      <c r="P530" s="4" t="str">
        <f>IFERROR(__xludf.DUMMYFUNCTION("""COMPUTED_VALUE"""),"KONEKTOR/JUMPER")</f>
        <v>KONEKTOR/JUMPER</v>
      </c>
      <c r="Q530" s="4">
        <f>IFERROR(__xludf.DUMMYFUNCTION("""COMPUTED_VALUE"""),20.0)</f>
        <v>20</v>
      </c>
      <c r="R530" s="4">
        <f>IFERROR(__xludf.DUMMYFUNCTION("""COMPUTED_VALUE"""),20.0)</f>
        <v>20</v>
      </c>
      <c r="S530" s="4">
        <f>IFERROR(__xludf.DUMMYFUNCTION("""COMPUTED_VALUE"""),20.0)</f>
        <v>20</v>
      </c>
      <c r="T530" s="4"/>
      <c r="U530" s="4" t="str">
        <f>IFERROR(__xludf.DUMMYFUNCTION("""COMPUTED_VALUE"""),"BAIK")</f>
        <v>BAIK</v>
      </c>
      <c r="V530" s="4" t="str">
        <f>IFERROR(__xludf.DUMMYFUNCTION("""COMPUTED_VALUE"""),"Tidak Ada")</f>
        <v>Tidak Ada</v>
      </c>
      <c r="W530" s="4"/>
      <c r="X530" s="4"/>
      <c r="Y530" s="4"/>
      <c r="Z530" s="4"/>
      <c r="AA530" s="4"/>
      <c r="AB530" s="4"/>
      <c r="AC530" s="4" t="str">
        <f>IFERROR(__xludf.DUMMYFUNCTION("""COMPUTED_VALUE"""),"INSPEKSI SUTM - T2_Images/a2006257.FOTO.131620.jpg")</f>
        <v>INSPEKSI SUTM - T2_Images/a2006257.FOTO.131620.jpg</v>
      </c>
      <c r="AD530" s="4"/>
      <c r="AE530" s="4"/>
      <c r="AF530" s="4" t="str">
        <f>IFERROR(__xludf.DUMMYFUNCTION("""COMPUTED_VALUE"""),"BELUM")</f>
        <v>BELUM</v>
      </c>
      <c r="AG530" s="6">
        <f>IFERROR(__xludf.DUMMYFUNCTION("""COMPUTED_VALUE"""),46080.0)</f>
        <v>46080</v>
      </c>
      <c r="AH530" s="4"/>
      <c r="AI530" s="4"/>
    </row>
    <row r="531" ht="15.75" customHeight="1">
      <c r="A531" s="4" t="str">
        <f>IFERROR(__xludf.DUMMYFUNCTION("""COMPUTED_VALUE"""),"16396d8c")</f>
        <v>16396d8c</v>
      </c>
      <c r="B531" s="5">
        <f>IFERROR(__xludf.DUMMYFUNCTION("""COMPUTED_VALUE"""),46080.84483796296)</f>
        <v>46080.84484</v>
      </c>
      <c r="C531" s="4" t="str">
        <f>IFERROR(__xludf.DUMMYFUNCTION("""COMPUTED_VALUE"""),"-6.947201, 107.655663")</f>
        <v>-6.947201, 107.655663</v>
      </c>
      <c r="D531" s="4" t="str">
        <f>IFERROR(__xludf.DUMMYFUNCTION("""COMPUTED_VALUE"""),"Jihan kiki")</f>
        <v>Jihan kiki</v>
      </c>
      <c r="E531" s="4" t="str">
        <f>IFERROR(__xludf.DUMMYFUNCTION("""COMPUTED_VALUE"""),"BANDUNG")</f>
        <v>BANDUNG</v>
      </c>
      <c r="F531" s="4" t="str">
        <f>IFERROR(__xludf.DUMMYFUNCTION("""COMPUTED_VALUE"""),"CIJAWURA")</f>
        <v>CIJAWURA</v>
      </c>
      <c r="G531" s="4" t="str">
        <f>IFERROR(__xludf.DUMMYFUNCTION("""COMPUTED_VALUE"""),"GIS KIARACONDONG")</f>
        <v>GIS KIARACONDONG</v>
      </c>
      <c r="H531" s="4" t="str">
        <f>IFERROR(__xludf.DUMMYFUNCTION("""COMPUTED_VALUE"""),"CWRA")</f>
        <v>CWRA</v>
      </c>
      <c r="I531" s="4" t="str">
        <f>IFERROR(__xludf.DUMMYFUNCTION("""COMPUTED_VALUE"""),"LBS RCGF - UJUNG")</f>
        <v>LBS RCGF - UJUNG</v>
      </c>
      <c r="J531" s="4" t="str">
        <f>IFERROR(__xludf.DUMMYFUNCTION("""COMPUTED_VALUE"""),"ZONA 2")</f>
        <v>ZONA 2</v>
      </c>
      <c r="K531" s="4" t="str">
        <f>IFERROR(__xludf.DUMMYFUNCTION("""COMPUTED_VALUE"""),"081R26R11")</f>
        <v>081R26R11</v>
      </c>
      <c r="L531" s="4" t="str">
        <f>IFERROR(__xludf.DUMMYFUNCTION("""COMPUTED_VALUE"""),"TM - 7B/H (Afspan 90 Derajat)")</f>
        <v>TM - 7B/H (Afspan 90 Derajat)</v>
      </c>
      <c r="M531" s="4" t="str">
        <f>IFERROR(__xludf.DUMMYFUNCTION("""COMPUTED_VALUE"""),"Tidak Ada")</f>
        <v>Tidak Ada</v>
      </c>
      <c r="N531" s="4"/>
      <c r="O531" s="4" t="str">
        <f>IFERROR(__xludf.DUMMYFUNCTION("""COMPUTED_VALUE"""),"PEMBANDING SEJENIS")</f>
        <v>PEMBANDING SEJENIS</v>
      </c>
      <c r="P531" s="4" t="str">
        <f>IFERROR(__xludf.DUMMYFUNCTION("""COMPUTED_VALUE"""),"KONEKTOR/JUMPER")</f>
        <v>KONEKTOR/JUMPER</v>
      </c>
      <c r="Q531" s="4">
        <f>IFERROR(__xludf.DUMMYFUNCTION("""COMPUTED_VALUE"""),18.0)</f>
        <v>18</v>
      </c>
      <c r="R531" s="4">
        <f>IFERROR(__xludf.DUMMYFUNCTION("""COMPUTED_VALUE"""),18.0)</f>
        <v>18</v>
      </c>
      <c r="S531" s="4">
        <f>IFERROR(__xludf.DUMMYFUNCTION("""COMPUTED_VALUE"""),18.0)</f>
        <v>18</v>
      </c>
      <c r="T531" s="4"/>
      <c r="U531" s="4" t="str">
        <f>IFERROR(__xludf.DUMMYFUNCTION("""COMPUTED_VALUE"""),"BAIK")</f>
        <v>BAIK</v>
      </c>
      <c r="V531" s="4" t="str">
        <f>IFERROR(__xludf.DUMMYFUNCTION("""COMPUTED_VALUE"""),"Tidak Ada")</f>
        <v>Tidak Ada</v>
      </c>
      <c r="W531" s="4"/>
      <c r="X531" s="4"/>
      <c r="Y531" s="4"/>
      <c r="Z531" s="4"/>
      <c r="AA531" s="4"/>
      <c r="AB531" s="4"/>
      <c r="AC531" s="4" t="str">
        <f>IFERROR(__xludf.DUMMYFUNCTION("""COMPUTED_VALUE"""),"INSPEKSI SUTM - T2_Images/16396d8c.FOTO.131713.jpg")</f>
        <v>INSPEKSI SUTM - T2_Images/16396d8c.FOTO.131713.jpg</v>
      </c>
      <c r="AD531" s="4"/>
      <c r="AE531" s="4"/>
      <c r="AF531" s="4" t="str">
        <f>IFERROR(__xludf.DUMMYFUNCTION("""COMPUTED_VALUE"""),"BELUM")</f>
        <v>BELUM</v>
      </c>
      <c r="AG531" s="6">
        <f>IFERROR(__xludf.DUMMYFUNCTION("""COMPUTED_VALUE"""),46080.0)</f>
        <v>46080</v>
      </c>
      <c r="AH531" s="4"/>
      <c r="AI531" s="4"/>
    </row>
    <row r="532" ht="15.75" customHeight="1">
      <c r="A532" s="4" t="str">
        <f>IFERROR(__xludf.DUMMYFUNCTION("""COMPUTED_VALUE"""),"cdd8841a")</f>
        <v>cdd8841a</v>
      </c>
      <c r="B532" s="5">
        <f>IFERROR(__xludf.DUMMYFUNCTION("""COMPUTED_VALUE"""),46080.84546296296)</f>
        <v>46080.84546</v>
      </c>
      <c r="C532" s="4" t="str">
        <f>IFERROR(__xludf.DUMMYFUNCTION("""COMPUTED_VALUE"""),"-6.947104, 107.655378")</f>
        <v>-6.947104, 107.655378</v>
      </c>
      <c r="D532" s="4" t="str">
        <f>IFERROR(__xludf.DUMMYFUNCTION("""COMPUTED_VALUE"""),"Jihan kiki")</f>
        <v>Jihan kiki</v>
      </c>
      <c r="E532" s="4" t="str">
        <f>IFERROR(__xludf.DUMMYFUNCTION("""COMPUTED_VALUE"""),"BANDUNG")</f>
        <v>BANDUNG</v>
      </c>
      <c r="F532" s="4" t="str">
        <f>IFERROR(__xludf.DUMMYFUNCTION("""COMPUTED_VALUE"""),"CIJAWURA")</f>
        <v>CIJAWURA</v>
      </c>
      <c r="G532" s="4" t="str">
        <f>IFERROR(__xludf.DUMMYFUNCTION("""COMPUTED_VALUE"""),"GIS KIARACONDONG")</f>
        <v>GIS KIARACONDONG</v>
      </c>
      <c r="H532" s="4" t="str">
        <f>IFERROR(__xludf.DUMMYFUNCTION("""COMPUTED_VALUE"""),"CWRA")</f>
        <v>CWRA</v>
      </c>
      <c r="I532" s="4" t="str">
        <f>IFERROR(__xludf.DUMMYFUNCTION("""COMPUTED_VALUE"""),"LBS RCGF - UJUNG")</f>
        <v>LBS RCGF - UJUNG</v>
      </c>
      <c r="J532" s="4" t="str">
        <f>IFERROR(__xludf.DUMMYFUNCTION("""COMPUTED_VALUE"""),"ZONA 2")</f>
        <v>ZONA 2</v>
      </c>
      <c r="K532" s="4" t="str">
        <f>IFERROR(__xludf.DUMMYFUNCTION("""COMPUTED_VALUE"""),"081R26R12")</f>
        <v>081R26R12</v>
      </c>
      <c r="L532" s="4" t="str">
        <f>IFERROR(__xludf.DUMMYFUNCTION("""COMPUTED_VALUE"""),"TM - 14B/H (Akhir)")</f>
        <v>TM - 14B/H (Akhir)</v>
      </c>
      <c r="M532" s="4" t="str">
        <f>IFERROR(__xludf.DUMMYFUNCTION("""COMPUTED_VALUE"""),"Tidak Ada")</f>
        <v>Tidak Ada</v>
      </c>
      <c r="N532" s="4"/>
      <c r="O532" s="4" t="str">
        <f>IFERROR(__xludf.DUMMYFUNCTION("""COMPUTED_VALUE"""),"PEMBANDING SEJENIS")</f>
        <v>PEMBANDING SEJENIS</v>
      </c>
      <c r="P532" s="4" t="str">
        <f>IFERROR(__xludf.DUMMYFUNCTION("""COMPUTED_VALUE"""),"KONEKTOR/JUMPER")</f>
        <v>KONEKTOR/JUMPER</v>
      </c>
      <c r="Q532" s="4">
        <f>IFERROR(__xludf.DUMMYFUNCTION("""COMPUTED_VALUE"""),19.0)</f>
        <v>19</v>
      </c>
      <c r="R532" s="4">
        <f>IFERROR(__xludf.DUMMYFUNCTION("""COMPUTED_VALUE"""),19.0)</f>
        <v>19</v>
      </c>
      <c r="S532" s="4">
        <f>IFERROR(__xludf.DUMMYFUNCTION("""COMPUTED_VALUE"""),19.0)</f>
        <v>19</v>
      </c>
      <c r="T532" s="4"/>
      <c r="U532" s="4" t="str">
        <f>IFERROR(__xludf.DUMMYFUNCTION("""COMPUTED_VALUE"""),"BAIK")</f>
        <v>BAIK</v>
      </c>
      <c r="V532" s="4" t="str">
        <f>IFERROR(__xludf.DUMMYFUNCTION("""COMPUTED_VALUE"""),"Tidak Ada")</f>
        <v>Tidak Ada</v>
      </c>
      <c r="W532" s="4"/>
      <c r="X532" s="4"/>
      <c r="Y532" s="4"/>
      <c r="Z532" s="4"/>
      <c r="AA532" s="4"/>
      <c r="AB532" s="4"/>
      <c r="AC532" s="4" t="str">
        <f>IFERROR(__xludf.DUMMYFUNCTION("""COMPUTED_VALUE"""),"Unable to load image data. Image may be missing or upload size may be too large for this device.")</f>
        <v>Unable to load image data. Image may be missing or upload size may be too large for this device.</v>
      </c>
      <c r="AD532" s="4"/>
      <c r="AE532" s="4"/>
      <c r="AF532" s="4" t="str">
        <f>IFERROR(__xludf.DUMMYFUNCTION("""COMPUTED_VALUE"""),"BELUM")</f>
        <v>BELUM</v>
      </c>
      <c r="AG532" s="6">
        <f>IFERROR(__xludf.DUMMYFUNCTION("""COMPUTED_VALUE"""),46080.0)</f>
        <v>46080</v>
      </c>
      <c r="AH532" s="4"/>
      <c r="AI532" s="4"/>
    </row>
    <row r="533" ht="15.75" customHeight="1">
      <c r="A533" s="4" t="str">
        <f>IFERROR(__xludf.DUMMYFUNCTION("""COMPUTED_VALUE"""),"6afd60b9")</f>
        <v>6afd60b9</v>
      </c>
      <c r="B533" s="5">
        <f>IFERROR(__xludf.DUMMYFUNCTION("""COMPUTED_VALUE"""),46080.980671296296)</f>
        <v>46080.98067</v>
      </c>
      <c r="C533" s="4" t="str">
        <f>IFERROR(__xludf.DUMMYFUNCTION("""COMPUTED_VALUE"""),"-6.933420, 107.679096")</f>
        <v>-6.933420, 107.679096</v>
      </c>
      <c r="D533" s="4" t="str">
        <f>IFERROR(__xludf.DUMMYFUNCTION("""COMPUTED_VALUE"""),"Canra heri")</f>
        <v>Canra heri</v>
      </c>
      <c r="E533" s="4" t="str">
        <f>IFERROR(__xludf.DUMMYFUNCTION("""COMPUTED_VALUE"""),"BANDUNG")</f>
        <v>BANDUNG</v>
      </c>
      <c r="F533" s="4" t="str">
        <f>IFERROR(__xludf.DUMMYFUNCTION("""COMPUTED_VALUE"""),"UJUNGBERUNG")</f>
        <v>UJUNGBERUNG</v>
      </c>
      <c r="G533" s="4" t="str">
        <f>IFERROR(__xludf.DUMMYFUNCTION("""COMPUTED_VALUE"""),"UJUNGBERUNG")</f>
        <v>UJUNGBERUNG</v>
      </c>
      <c r="H533" s="4" t="str">
        <f>IFERROR(__xludf.DUMMYFUNCTION("""COMPUTED_VALUE"""),"UZP")</f>
        <v>UZP</v>
      </c>
      <c r="I533" s="4" t="str">
        <f>IFERROR(__xludf.DUMMYFUNCTION("""COMPUTED_VALUE"""),"LBS DLR - LBS GMD")</f>
        <v>LBS DLR - LBS GMD</v>
      </c>
      <c r="J533" s="4" t="str">
        <f>IFERROR(__xludf.DUMMYFUNCTION("""COMPUTED_VALUE"""),"ZONA 2")</f>
        <v>ZONA 2</v>
      </c>
      <c r="K533" s="4" t="str">
        <f>IFERROR(__xludf.DUMMYFUNCTION("""COMPUTED_VALUE"""),"052R014")</f>
        <v>052R014</v>
      </c>
      <c r="L533" s="4" t="str">
        <f>IFERROR(__xludf.DUMMYFUNCTION("""COMPUTED_VALUE"""),"TM - 7B/H (Afspan 90 Derajat)")</f>
        <v>TM - 7B/H (Afspan 90 Derajat)</v>
      </c>
      <c r="M533" s="4" t="str">
        <f>IFERROR(__xludf.DUMMYFUNCTION("""COMPUTED_VALUE"""),"Tidak Ada")</f>
        <v>Tidak Ada</v>
      </c>
      <c r="N533" s="4"/>
      <c r="O533" s="4" t="str">
        <f>IFERROR(__xludf.DUMMYFUNCTION("""COMPUTED_VALUE"""),"PEMBANDING SEJENIS")</f>
        <v>PEMBANDING SEJENIS</v>
      </c>
      <c r="P533" s="4" t="str">
        <f>IFERROR(__xludf.DUMMYFUNCTION("""COMPUTED_VALUE"""),"KONEKTOR/JUMPER")</f>
        <v>KONEKTOR/JUMPER</v>
      </c>
      <c r="Q533" s="4">
        <f>IFERROR(__xludf.DUMMYFUNCTION("""COMPUTED_VALUE"""),23.0)</f>
        <v>23</v>
      </c>
      <c r="R533" s="4">
        <f>IFERROR(__xludf.DUMMYFUNCTION("""COMPUTED_VALUE"""),23.0)</f>
        <v>23</v>
      </c>
      <c r="S533" s="4">
        <f>IFERROR(__xludf.DUMMYFUNCTION("""COMPUTED_VALUE"""),24.0)</f>
        <v>24</v>
      </c>
      <c r="T533" s="4"/>
      <c r="U533" s="4" t="str">
        <f>IFERROR(__xludf.DUMMYFUNCTION("""COMPUTED_VALUE"""),"BAIK")</f>
        <v>BAIK</v>
      </c>
      <c r="V533" s="4" t="str">
        <f>IFERROR(__xludf.DUMMYFUNCTION("""COMPUTED_VALUE"""),"Tidak Ada")</f>
        <v>Tidak Ada</v>
      </c>
      <c r="W533" s="4"/>
      <c r="X533" s="4"/>
      <c r="Y533" s="4"/>
      <c r="Z533" s="4"/>
      <c r="AA533" s="4"/>
      <c r="AB533" s="4"/>
      <c r="AC533" s="4" t="str">
        <f>IFERROR(__xludf.DUMMYFUNCTION("""COMPUTED_VALUE"""),"INSPEKSI SUTM - T2_Images/6afd60b9.FOTO.163317.jpg")</f>
        <v>INSPEKSI SUTM - T2_Images/6afd60b9.FOTO.163317.jpg</v>
      </c>
      <c r="AD533" s="4"/>
      <c r="AE533" s="4"/>
      <c r="AF533" s="4" t="str">
        <f>IFERROR(__xludf.DUMMYFUNCTION("""COMPUTED_VALUE"""),"BELUM")</f>
        <v>BELUM</v>
      </c>
      <c r="AG533" s="6">
        <f>IFERROR(__xludf.DUMMYFUNCTION("""COMPUTED_VALUE"""),46080.0)</f>
        <v>46080</v>
      </c>
      <c r="AH533" s="4"/>
      <c r="AI533" s="4"/>
    </row>
    <row r="534" ht="15.75" customHeight="1">
      <c r="A534" s="4" t="str">
        <f>IFERROR(__xludf.DUMMYFUNCTION("""COMPUTED_VALUE"""),"c2982464")</f>
        <v>c2982464</v>
      </c>
      <c r="B534" s="5">
        <f>IFERROR(__xludf.DUMMYFUNCTION("""COMPUTED_VALUE"""),46080.98189814815)</f>
        <v>46080.9819</v>
      </c>
      <c r="C534" s="4" t="str">
        <f>IFERROR(__xludf.DUMMYFUNCTION("""COMPUTED_VALUE"""),"-6.933737, 107.679393")</f>
        <v>-6.933737, 107.679393</v>
      </c>
      <c r="D534" s="4" t="str">
        <f>IFERROR(__xludf.DUMMYFUNCTION("""COMPUTED_VALUE"""),"Canra heri")</f>
        <v>Canra heri</v>
      </c>
      <c r="E534" s="4" t="str">
        <f>IFERROR(__xludf.DUMMYFUNCTION("""COMPUTED_VALUE"""),"BANDUNG")</f>
        <v>BANDUNG</v>
      </c>
      <c r="F534" s="4" t="str">
        <f>IFERROR(__xludf.DUMMYFUNCTION("""COMPUTED_VALUE"""),"UJUNGBERUNG")</f>
        <v>UJUNGBERUNG</v>
      </c>
      <c r="G534" s="4" t="str">
        <f>IFERROR(__xludf.DUMMYFUNCTION("""COMPUTED_VALUE"""),"UJUNGBERUNG")</f>
        <v>UJUNGBERUNG</v>
      </c>
      <c r="H534" s="4" t="str">
        <f>IFERROR(__xludf.DUMMYFUNCTION("""COMPUTED_VALUE"""),"UZP")</f>
        <v>UZP</v>
      </c>
      <c r="I534" s="4" t="str">
        <f>IFERROR(__xludf.DUMMYFUNCTION("""COMPUTED_VALUE"""),"LBS DLR - LBS GMD")</f>
        <v>LBS DLR - LBS GMD</v>
      </c>
      <c r="J534" s="4" t="str">
        <f>IFERROR(__xludf.DUMMYFUNCTION("""COMPUTED_VALUE"""),"ZONA 2")</f>
        <v>ZONA 2</v>
      </c>
      <c r="K534" s="4" t="str">
        <f>IFERROR(__xludf.DUMMYFUNCTION("""COMPUTED_VALUE"""),"065")</f>
        <v>065</v>
      </c>
      <c r="L534" s="4" t="str">
        <f>IFERROR(__xludf.DUMMYFUNCTION("""COMPUTED_VALUE"""),"TM - 4B/H (Afspan)")</f>
        <v>TM - 4B/H (Afspan)</v>
      </c>
      <c r="M534" s="4" t="str">
        <f>IFERROR(__xludf.DUMMYFUNCTION("""COMPUTED_VALUE"""),"Tidak Ada")</f>
        <v>Tidak Ada</v>
      </c>
      <c r="N534" s="4"/>
      <c r="O534" s="4" t="str">
        <f>IFERROR(__xludf.DUMMYFUNCTION("""COMPUTED_VALUE"""),"PEMBANDING SEJENIS")</f>
        <v>PEMBANDING SEJENIS</v>
      </c>
      <c r="P534" s="4" t="str">
        <f>IFERROR(__xludf.DUMMYFUNCTION("""COMPUTED_VALUE"""),"KONEKTOR/JUMPER")</f>
        <v>KONEKTOR/JUMPER</v>
      </c>
      <c r="Q534" s="4">
        <f>IFERROR(__xludf.DUMMYFUNCTION("""COMPUTED_VALUE"""),23.0)</f>
        <v>23</v>
      </c>
      <c r="R534" s="4">
        <f>IFERROR(__xludf.DUMMYFUNCTION("""COMPUTED_VALUE"""),24.0)</f>
        <v>24</v>
      </c>
      <c r="S534" s="4">
        <f>IFERROR(__xludf.DUMMYFUNCTION("""COMPUTED_VALUE"""),24.0)</f>
        <v>24</v>
      </c>
      <c r="T534" s="4"/>
      <c r="U534" s="4" t="str">
        <f>IFERROR(__xludf.DUMMYFUNCTION("""COMPUTED_VALUE"""),"BAIK")</f>
        <v>BAIK</v>
      </c>
      <c r="V534" s="4" t="str">
        <f>IFERROR(__xludf.DUMMYFUNCTION("""COMPUTED_VALUE"""),"Tidak Ada")</f>
        <v>Tidak Ada</v>
      </c>
      <c r="W534" s="4"/>
      <c r="X534" s="4"/>
      <c r="Y534" s="4"/>
      <c r="Z534" s="4"/>
      <c r="AA534" s="4"/>
      <c r="AB534" s="4"/>
      <c r="AC534" s="4" t="str">
        <f>IFERROR(__xludf.DUMMYFUNCTION("""COMPUTED_VALUE"""),"INSPEKSI SUTM - T2_Images/c2982464.FOTO.163526.jpg")</f>
        <v>INSPEKSI SUTM - T2_Images/c2982464.FOTO.163526.jpg</v>
      </c>
      <c r="AD534" s="4"/>
      <c r="AE534" s="4"/>
      <c r="AF534" s="4" t="str">
        <f>IFERROR(__xludf.DUMMYFUNCTION("""COMPUTED_VALUE"""),"BELUM")</f>
        <v>BELUM</v>
      </c>
      <c r="AG534" s="6">
        <f>IFERROR(__xludf.DUMMYFUNCTION("""COMPUTED_VALUE"""),46080.0)</f>
        <v>46080</v>
      </c>
      <c r="AH534" s="4"/>
      <c r="AI534" s="4"/>
    </row>
    <row r="535" ht="15.75" customHeight="1">
      <c r="A535" s="4" t="str">
        <f>IFERROR(__xludf.DUMMYFUNCTION("""COMPUTED_VALUE"""),"135b2942")</f>
        <v>135b2942</v>
      </c>
      <c r="B535" s="5">
        <f>IFERROR(__xludf.DUMMYFUNCTION("""COMPUTED_VALUE"""),46080.985289351855)</f>
        <v>46080.98529</v>
      </c>
      <c r="C535" s="4" t="str">
        <f>IFERROR(__xludf.DUMMYFUNCTION("""COMPUTED_VALUE"""),"-6.928678, 107.676914")</f>
        <v>-6.928678, 107.676914</v>
      </c>
      <c r="D535" s="4" t="str">
        <f>IFERROR(__xludf.DUMMYFUNCTION("""COMPUTED_VALUE"""),"Vanra heri")</f>
        <v>Vanra heri</v>
      </c>
      <c r="E535" s="4" t="str">
        <f>IFERROR(__xludf.DUMMYFUNCTION("""COMPUTED_VALUE"""),"BANDUNG")</f>
        <v>BANDUNG</v>
      </c>
      <c r="F535" s="4" t="str">
        <f>IFERROR(__xludf.DUMMYFUNCTION("""COMPUTED_VALUE"""),"UJUNGBERUNG")</f>
        <v>UJUNGBERUNG</v>
      </c>
      <c r="G535" s="4" t="str">
        <f>IFERROR(__xludf.DUMMYFUNCTION("""COMPUTED_VALUE"""),"UJUNGBERUNG")</f>
        <v>UJUNGBERUNG</v>
      </c>
      <c r="H535" s="4" t="str">
        <f>IFERROR(__xludf.DUMMYFUNCTION("""COMPUTED_VALUE"""),"UZP")</f>
        <v>UZP</v>
      </c>
      <c r="I535" s="4" t="str">
        <f>IFERROR(__xludf.DUMMYFUNCTION("""COMPUTED_VALUE"""),"LBS DLR - LBS GMD")</f>
        <v>LBS DLR - LBS GMD</v>
      </c>
      <c r="J535" s="4" t="str">
        <f>IFERROR(__xludf.DUMMYFUNCTION("""COMPUTED_VALUE"""),"ZONA 2")</f>
        <v>ZONA 2</v>
      </c>
      <c r="K535" s="4" t="str">
        <f>IFERROR(__xludf.DUMMYFUNCTION("""COMPUTED_VALUE"""),"052R08")</f>
        <v>052R08</v>
      </c>
      <c r="L535" s="4" t="str">
        <f>IFERROR(__xludf.DUMMYFUNCTION("""COMPUTED_VALUE"""),"TM - 8B/H (Percabangan)")</f>
        <v>TM - 8B/H (Percabangan)</v>
      </c>
      <c r="M535" s="4" t="str">
        <f>IFERROR(__xludf.DUMMYFUNCTION("""COMPUTED_VALUE"""),"Tidak Ada")</f>
        <v>Tidak Ada</v>
      </c>
      <c r="N535" s="4"/>
      <c r="O535" s="4" t="str">
        <f>IFERROR(__xludf.DUMMYFUNCTION("""COMPUTED_VALUE"""),"PEMBANDING SEJENIS")</f>
        <v>PEMBANDING SEJENIS</v>
      </c>
      <c r="P535" s="4" t="str">
        <f>IFERROR(__xludf.DUMMYFUNCTION("""COMPUTED_VALUE"""),"KONEKTOR/JUMPER")</f>
        <v>KONEKTOR/JUMPER</v>
      </c>
      <c r="Q535" s="4">
        <f>IFERROR(__xludf.DUMMYFUNCTION("""COMPUTED_VALUE"""),25.0)</f>
        <v>25</v>
      </c>
      <c r="R535" s="4">
        <f>IFERROR(__xludf.DUMMYFUNCTION("""COMPUTED_VALUE"""),25.0)</f>
        <v>25</v>
      </c>
      <c r="S535" s="4">
        <f>IFERROR(__xludf.DUMMYFUNCTION("""COMPUTED_VALUE"""),24.0)</f>
        <v>24</v>
      </c>
      <c r="T535" s="4"/>
      <c r="U535" s="4" t="str">
        <f>IFERROR(__xludf.DUMMYFUNCTION("""COMPUTED_VALUE"""),"BAIK")</f>
        <v>BAIK</v>
      </c>
      <c r="V535" s="4" t="str">
        <f>IFERROR(__xludf.DUMMYFUNCTION("""COMPUTED_VALUE"""),"Tidak Ada")</f>
        <v>Tidak Ada</v>
      </c>
      <c r="W535" s="4"/>
      <c r="X535" s="4"/>
      <c r="Y535" s="4"/>
      <c r="Z535" s="4"/>
      <c r="AA535" s="4"/>
      <c r="AB535" s="4"/>
      <c r="AC535" s="4" t="str">
        <f>IFERROR(__xludf.DUMMYFUNCTION("""COMPUTED_VALUE"""),"INSPEKSI SUTM - T2_Images/135b2942.FOTO.164140.jpg")</f>
        <v>INSPEKSI SUTM - T2_Images/135b2942.FOTO.164140.jpg</v>
      </c>
      <c r="AD535" s="4"/>
      <c r="AE535" s="4"/>
      <c r="AF535" s="4" t="str">
        <f>IFERROR(__xludf.DUMMYFUNCTION("""COMPUTED_VALUE"""),"BELUM")</f>
        <v>BELUM</v>
      </c>
      <c r="AG535" s="6">
        <f>IFERROR(__xludf.DUMMYFUNCTION("""COMPUTED_VALUE"""),46080.0)</f>
        <v>46080</v>
      </c>
      <c r="AH535" s="4"/>
      <c r="AI535" s="4"/>
    </row>
    <row r="536" ht="15.75" customHeight="1">
      <c r="A536" s="4" t="str">
        <f>IFERROR(__xludf.DUMMYFUNCTION("""COMPUTED_VALUE"""),"1596cef2")</f>
        <v>1596cef2</v>
      </c>
      <c r="B536" s="5">
        <f>IFERROR(__xludf.DUMMYFUNCTION("""COMPUTED_VALUE"""),46080.98793981481)</f>
        <v>46080.98794</v>
      </c>
      <c r="C536" s="4" t="str">
        <f>IFERROR(__xludf.DUMMYFUNCTION("""COMPUTED_VALUE"""),"-6.927848, 107.677222")</f>
        <v>-6.927848, 107.677222</v>
      </c>
      <c r="D536" s="4" t="str">
        <f>IFERROR(__xludf.DUMMYFUNCTION("""COMPUTED_VALUE"""),"Canravheei")</f>
        <v>Canravheei</v>
      </c>
      <c r="E536" s="4" t="str">
        <f>IFERROR(__xludf.DUMMYFUNCTION("""COMPUTED_VALUE"""),"BANDUNG")</f>
        <v>BANDUNG</v>
      </c>
      <c r="F536" s="4" t="str">
        <f>IFERROR(__xludf.DUMMYFUNCTION("""COMPUTED_VALUE"""),"UJUNGBERUNG")</f>
        <v>UJUNGBERUNG</v>
      </c>
      <c r="G536" s="4" t="str">
        <f>IFERROR(__xludf.DUMMYFUNCTION("""COMPUTED_VALUE"""),"UJUNGBERUNG")</f>
        <v>UJUNGBERUNG</v>
      </c>
      <c r="H536" s="4" t="str">
        <f>IFERROR(__xludf.DUMMYFUNCTION("""COMPUTED_VALUE"""),"UZP")</f>
        <v>UZP</v>
      </c>
      <c r="I536" s="4" t="str">
        <f>IFERROR(__xludf.DUMMYFUNCTION("""COMPUTED_VALUE"""),"LBS DLR - LBS GMD")</f>
        <v>LBS DLR - LBS GMD</v>
      </c>
      <c r="J536" s="4" t="str">
        <f>IFERROR(__xludf.DUMMYFUNCTION("""COMPUTED_VALUE"""),"ZONA 2")</f>
        <v>ZONA 2</v>
      </c>
      <c r="K536" s="4" t="str">
        <f>IFERROR(__xludf.DUMMYFUNCTION("""COMPUTED_VALUE"""),"052R08R04")</f>
        <v>052R08R04</v>
      </c>
      <c r="L536" s="4" t="str">
        <f>IFERROR(__xludf.DUMMYFUNCTION("""COMPUTED_VALUE"""),"TM - 13B/H (Kabel Naik Pada Tiang Tumpu)")</f>
        <v>TM - 13B/H (Kabel Naik Pada Tiang Tumpu)</v>
      </c>
      <c r="M536" s="4" t="str">
        <f>IFERROR(__xludf.DUMMYFUNCTION("""COMPUTED_VALUE"""),"Tidak Ada")</f>
        <v>Tidak Ada</v>
      </c>
      <c r="N536" s="4"/>
      <c r="O536" s="4" t="str">
        <f>IFERROR(__xludf.DUMMYFUNCTION("""COMPUTED_VALUE"""),"PEMBANDING SEJENIS")</f>
        <v>PEMBANDING SEJENIS</v>
      </c>
      <c r="P536" s="4" t="str">
        <f>IFERROR(__xludf.DUMMYFUNCTION("""COMPUTED_VALUE"""),"TERMINASI")</f>
        <v>TERMINASI</v>
      </c>
      <c r="Q536" s="4">
        <f>IFERROR(__xludf.DUMMYFUNCTION("""COMPUTED_VALUE"""),27.0)</f>
        <v>27</v>
      </c>
      <c r="R536" s="4">
        <f>IFERROR(__xludf.DUMMYFUNCTION("""COMPUTED_VALUE"""),26.0)</f>
        <v>26</v>
      </c>
      <c r="S536" s="4">
        <f>IFERROR(__xludf.DUMMYFUNCTION("""COMPUTED_VALUE"""),27.0)</f>
        <v>27</v>
      </c>
      <c r="T536" s="4"/>
      <c r="U536" s="4" t="str">
        <f>IFERROR(__xludf.DUMMYFUNCTION("""COMPUTED_VALUE"""),"BAIK")</f>
        <v>BAIK</v>
      </c>
      <c r="V536" s="4" t="str">
        <f>IFERROR(__xludf.DUMMYFUNCTION("""COMPUTED_VALUE"""),"Tidak Ada")</f>
        <v>Tidak Ada</v>
      </c>
      <c r="W536" s="4"/>
      <c r="X536" s="4"/>
      <c r="Y536" s="4"/>
      <c r="Z536" s="4"/>
      <c r="AA536" s="4"/>
      <c r="AB536" s="4"/>
      <c r="AC536" s="4" t="str">
        <f>IFERROR(__xludf.DUMMYFUNCTION("""COMPUTED_VALUE"""),"INSPEKSI SUTM - T2_Images/1596cef2.FOTO.164344.jpg")</f>
        <v>INSPEKSI SUTM - T2_Images/1596cef2.FOTO.164344.jpg</v>
      </c>
      <c r="AD536" s="4"/>
      <c r="AE536" s="4"/>
      <c r="AF536" s="4" t="str">
        <f>IFERROR(__xludf.DUMMYFUNCTION("""COMPUTED_VALUE"""),"BELUM")</f>
        <v>BELUM</v>
      </c>
      <c r="AG536" s="6">
        <f>IFERROR(__xludf.DUMMYFUNCTION("""COMPUTED_VALUE"""),46080.0)</f>
        <v>46080</v>
      </c>
      <c r="AH536" s="4"/>
      <c r="AI536" s="4"/>
    </row>
    <row r="537" ht="15.75" customHeight="1">
      <c r="A537" s="4" t="str">
        <f>IFERROR(__xludf.DUMMYFUNCTION("""COMPUTED_VALUE"""),"ec921321")</f>
        <v>ec921321</v>
      </c>
      <c r="B537" s="5">
        <f>IFERROR(__xludf.DUMMYFUNCTION("""COMPUTED_VALUE"""),46080.98986111111)</f>
        <v>46080.98986</v>
      </c>
      <c r="C537" s="4" t="str">
        <f>IFERROR(__xludf.DUMMYFUNCTION("""COMPUTED_VALUE"""),"-6.929141, 107.676419")</f>
        <v>-6.929141, 107.676419</v>
      </c>
      <c r="D537" s="4" t="str">
        <f>IFERROR(__xludf.DUMMYFUNCTION("""COMPUTED_VALUE"""),"Canta hwei")</f>
        <v>Canta hwei</v>
      </c>
      <c r="E537" s="4" t="str">
        <f>IFERROR(__xludf.DUMMYFUNCTION("""COMPUTED_VALUE"""),"BANDUNG")</f>
        <v>BANDUNG</v>
      </c>
      <c r="F537" s="4" t="str">
        <f>IFERROR(__xludf.DUMMYFUNCTION("""COMPUTED_VALUE"""),"UJUNGBERUNG")</f>
        <v>UJUNGBERUNG</v>
      </c>
      <c r="G537" s="4" t="str">
        <f>IFERROR(__xludf.DUMMYFUNCTION("""COMPUTED_VALUE"""),"UJUNGBERUNG")</f>
        <v>UJUNGBERUNG</v>
      </c>
      <c r="H537" s="4" t="str">
        <f>IFERROR(__xludf.DUMMYFUNCTION("""COMPUTED_VALUE"""),"UZP")</f>
        <v>UZP</v>
      </c>
      <c r="I537" s="4" t="str">
        <f>IFERROR(__xludf.DUMMYFUNCTION("""COMPUTED_VALUE"""),"LBS DLR - LBS GMD")</f>
        <v>LBS DLR - LBS GMD</v>
      </c>
      <c r="J537" s="4" t="str">
        <f>IFERROR(__xludf.DUMMYFUNCTION("""COMPUTED_VALUE"""),"ZONA 2")</f>
        <v>ZONA 2</v>
      </c>
      <c r="K537" s="4" t="str">
        <f>IFERROR(__xludf.DUMMYFUNCTION("""COMPUTED_VALUE"""),"052R010")</f>
        <v>052R010</v>
      </c>
      <c r="L537" s="4" t="str">
        <f>IFERROR(__xludf.DUMMYFUNCTION("""COMPUTED_VALUE"""),"TM - 13B/H (Kabel Naik Pada Tiang Tumpu)")</f>
        <v>TM - 13B/H (Kabel Naik Pada Tiang Tumpu)</v>
      </c>
      <c r="M537" s="4" t="str">
        <f>IFERROR(__xludf.DUMMYFUNCTION("""COMPUTED_VALUE"""),"Tidak Ada")</f>
        <v>Tidak Ada</v>
      </c>
      <c r="N537" s="4"/>
      <c r="O537" s="4" t="str">
        <f>IFERROR(__xludf.DUMMYFUNCTION("""COMPUTED_VALUE"""),"PEMBANDING SEJENIS")</f>
        <v>PEMBANDING SEJENIS</v>
      </c>
      <c r="P537" s="4" t="str">
        <f>IFERROR(__xludf.DUMMYFUNCTION("""COMPUTED_VALUE"""),"TERMINASI")</f>
        <v>TERMINASI</v>
      </c>
      <c r="Q537" s="4">
        <f>IFERROR(__xludf.DUMMYFUNCTION("""COMPUTED_VALUE"""),22.0)</f>
        <v>22</v>
      </c>
      <c r="R537" s="4">
        <f>IFERROR(__xludf.DUMMYFUNCTION("""COMPUTED_VALUE"""),20.0)</f>
        <v>20</v>
      </c>
      <c r="S537" s="4">
        <f>IFERROR(__xludf.DUMMYFUNCTION("""COMPUTED_VALUE"""),23.0)</f>
        <v>23</v>
      </c>
      <c r="T537" s="4"/>
      <c r="U537" s="4" t="str">
        <f>IFERROR(__xludf.DUMMYFUNCTION("""COMPUTED_VALUE"""),"CUKUP")</f>
        <v>CUKUP</v>
      </c>
      <c r="V537" s="4" t="str">
        <f>IFERROR(__xludf.DUMMYFUNCTION("""COMPUTED_VALUE"""),"Tidak Ada")</f>
        <v>Tidak Ada</v>
      </c>
      <c r="W537" s="4"/>
      <c r="X537" s="4"/>
      <c r="Y537" s="4"/>
      <c r="Z537" s="4"/>
      <c r="AA537" s="4"/>
      <c r="AB537" s="4"/>
      <c r="AC537" s="4" t="str">
        <f>IFERROR(__xludf.DUMMYFUNCTION("""COMPUTED_VALUE"""),"INSPEKSI SUTM - T2_Images/ec921321.FOTO.164617.jpg")</f>
        <v>INSPEKSI SUTM - T2_Images/ec921321.FOTO.164617.jpg</v>
      </c>
      <c r="AD537" s="4"/>
      <c r="AE537" s="4"/>
      <c r="AF537" s="4" t="str">
        <f>IFERROR(__xludf.DUMMYFUNCTION("""COMPUTED_VALUE"""),"BELUM")</f>
        <v>BELUM</v>
      </c>
      <c r="AG537" s="6">
        <f>IFERROR(__xludf.DUMMYFUNCTION("""COMPUTED_VALUE"""),46080.0)</f>
        <v>46080</v>
      </c>
      <c r="AH537" s="4"/>
      <c r="AI537" s="4"/>
    </row>
    <row r="538" ht="15.75" customHeight="1">
      <c r="A538" s="4" t="str">
        <f>IFERROR(__xludf.DUMMYFUNCTION("""COMPUTED_VALUE"""),"7f85dcbd")</f>
        <v>7f85dcbd</v>
      </c>
      <c r="B538" s="5">
        <f>IFERROR(__xludf.DUMMYFUNCTION("""COMPUTED_VALUE"""),46080.992997685185)</f>
        <v>46080.993</v>
      </c>
      <c r="C538" s="4" t="str">
        <f>IFERROR(__xludf.DUMMYFUNCTION("""COMPUTED_VALUE"""),"-6.930440, 107.676720")</f>
        <v>-6.930440, 107.676720</v>
      </c>
      <c r="D538" s="4" t="str">
        <f>IFERROR(__xludf.DUMMYFUNCTION("""COMPUTED_VALUE"""),"Canra heei")</f>
        <v>Canra heei</v>
      </c>
      <c r="E538" s="4" t="str">
        <f>IFERROR(__xludf.DUMMYFUNCTION("""COMPUTED_VALUE"""),"BANDUNG")</f>
        <v>BANDUNG</v>
      </c>
      <c r="F538" s="4" t="str">
        <f>IFERROR(__xludf.DUMMYFUNCTION("""COMPUTED_VALUE"""),"UJUNGBERUNG")</f>
        <v>UJUNGBERUNG</v>
      </c>
      <c r="G538" s="4" t="str">
        <f>IFERROR(__xludf.DUMMYFUNCTION("""COMPUTED_VALUE"""),"UJUNGBERUNG")</f>
        <v>UJUNGBERUNG</v>
      </c>
      <c r="H538" s="4" t="str">
        <f>IFERROR(__xludf.DUMMYFUNCTION("""COMPUTED_VALUE"""),"UZP")</f>
        <v>UZP</v>
      </c>
      <c r="I538" s="4" t="str">
        <f>IFERROR(__xludf.DUMMYFUNCTION("""COMPUTED_VALUE"""),"LBS DLR - LBS GMD")</f>
        <v>LBS DLR - LBS GMD</v>
      </c>
      <c r="J538" s="4" t="str">
        <f>IFERROR(__xludf.DUMMYFUNCTION("""COMPUTED_VALUE"""),"ZONA 2")</f>
        <v>ZONA 2</v>
      </c>
      <c r="K538" s="4" t="str">
        <f>IFERROR(__xludf.DUMMYFUNCTION("""COMPUTED_VALUE"""),"064")</f>
        <v>064</v>
      </c>
      <c r="L538" s="4" t="str">
        <f>IFERROR(__xludf.DUMMYFUNCTION("""COMPUTED_VALUE"""),"TM - 4B/H (Afspan)")</f>
        <v>TM - 4B/H (Afspan)</v>
      </c>
      <c r="M538" s="4" t="str">
        <f>IFERROR(__xludf.DUMMYFUNCTION("""COMPUTED_VALUE"""),"Tidak Ada")</f>
        <v>Tidak Ada</v>
      </c>
      <c r="N538" s="4"/>
      <c r="O538" s="4" t="str">
        <f>IFERROR(__xludf.DUMMYFUNCTION("""COMPUTED_VALUE"""),"PEMBANDING SEJENIS")</f>
        <v>PEMBANDING SEJENIS</v>
      </c>
      <c r="P538" s="4" t="str">
        <f>IFERROR(__xludf.DUMMYFUNCTION("""COMPUTED_VALUE"""),"KONEKTOR/JUMPER")</f>
        <v>KONEKTOR/JUMPER</v>
      </c>
      <c r="Q538" s="4">
        <f>IFERROR(__xludf.DUMMYFUNCTION("""COMPUTED_VALUE"""),20.0)</f>
        <v>20</v>
      </c>
      <c r="R538" s="4">
        <f>IFERROR(__xludf.DUMMYFUNCTION("""COMPUTED_VALUE"""),22.0)</f>
        <v>22</v>
      </c>
      <c r="S538" s="4">
        <f>IFERROR(__xludf.DUMMYFUNCTION("""COMPUTED_VALUE"""),18.0)</f>
        <v>18</v>
      </c>
      <c r="T538" s="4"/>
      <c r="U538" s="4" t="str">
        <f>IFERROR(__xludf.DUMMYFUNCTION("""COMPUTED_VALUE"""),"CUKUP")</f>
        <v>CUKUP</v>
      </c>
      <c r="V538" s="4" t="str">
        <f>IFERROR(__xludf.DUMMYFUNCTION("""COMPUTED_VALUE"""),"Tidak Ada")</f>
        <v>Tidak Ada</v>
      </c>
      <c r="W538" s="4"/>
      <c r="X538" s="4"/>
      <c r="Y538" s="4"/>
      <c r="Z538" s="4"/>
      <c r="AA538" s="4"/>
      <c r="AB538" s="4"/>
      <c r="AC538" s="4" t="str">
        <f>IFERROR(__xludf.DUMMYFUNCTION("""COMPUTED_VALUE"""),"INSPEKSI SUTM - T2_Images/7f85dcbd.FOTO.171142.jpg")</f>
        <v>INSPEKSI SUTM - T2_Images/7f85dcbd.FOTO.171142.jpg</v>
      </c>
      <c r="AD538" s="4"/>
      <c r="AE538" s="4"/>
      <c r="AF538" s="4" t="str">
        <f>IFERROR(__xludf.DUMMYFUNCTION("""COMPUTED_VALUE"""),"BELUM")</f>
        <v>BELUM</v>
      </c>
      <c r="AG538" s="6">
        <f>IFERROR(__xludf.DUMMYFUNCTION("""COMPUTED_VALUE"""),46080.0)</f>
        <v>46080</v>
      </c>
      <c r="AH538" s="4"/>
      <c r="AI538" s="4"/>
    </row>
    <row r="539" ht="15.75" customHeight="1">
      <c r="A539" s="4" t="str">
        <f>IFERROR(__xludf.DUMMYFUNCTION("""COMPUTED_VALUE"""),"8c32d066")</f>
        <v>8c32d066</v>
      </c>
      <c r="B539" s="5">
        <f>IFERROR(__xludf.DUMMYFUNCTION("""COMPUTED_VALUE"""),46080.99476851852)</f>
        <v>46080.99477</v>
      </c>
      <c r="C539" s="4" t="str">
        <f>IFERROR(__xludf.DUMMYFUNCTION("""COMPUTED_VALUE"""),"-6.929589, 107.679843")</f>
        <v>-6.929589, 107.679843</v>
      </c>
      <c r="D539" s="4" t="str">
        <f>IFERROR(__xludf.DUMMYFUNCTION("""COMPUTED_VALUE"""),"Canra heei")</f>
        <v>Canra heei</v>
      </c>
      <c r="E539" s="4" t="str">
        <f>IFERROR(__xludf.DUMMYFUNCTION("""COMPUTED_VALUE"""),"BANDUNG")</f>
        <v>BANDUNG</v>
      </c>
      <c r="F539" s="4" t="str">
        <f>IFERROR(__xludf.DUMMYFUNCTION("""COMPUTED_VALUE"""),"UJUNGBERUNG")</f>
        <v>UJUNGBERUNG</v>
      </c>
      <c r="G539" s="4" t="str">
        <f>IFERROR(__xludf.DUMMYFUNCTION("""COMPUTED_VALUE"""),"UJUNGBERUNG")</f>
        <v>UJUNGBERUNG</v>
      </c>
      <c r="H539" s="4" t="str">
        <f>IFERROR(__xludf.DUMMYFUNCTION("""COMPUTED_VALUE"""),"UZP")</f>
        <v>UZP</v>
      </c>
      <c r="I539" s="4" t="str">
        <f>IFERROR(__xludf.DUMMYFUNCTION("""COMPUTED_VALUE"""),"LBS DLR - LBS GMD")</f>
        <v>LBS DLR - LBS GMD</v>
      </c>
      <c r="J539" s="4" t="str">
        <f>IFERROR(__xludf.DUMMYFUNCTION("""COMPUTED_VALUE"""),"ZONA 2")</f>
        <v>ZONA 2</v>
      </c>
      <c r="K539" s="4" t="str">
        <f>IFERROR(__xludf.DUMMYFUNCTION("""COMPUTED_VALUE"""),"053")</f>
        <v>053</v>
      </c>
      <c r="L539" s="4" t="str">
        <f>IFERROR(__xludf.DUMMYFUNCTION("""COMPUTED_VALUE"""),"TM - 8B/H (Percabangan)")</f>
        <v>TM - 8B/H (Percabangan)</v>
      </c>
      <c r="M539" s="4" t="str">
        <f>IFERROR(__xludf.DUMMYFUNCTION("""COMPUTED_VALUE"""),"Tidak Ada")</f>
        <v>Tidak Ada</v>
      </c>
      <c r="N539" s="4"/>
      <c r="O539" s="4" t="str">
        <f>IFERROR(__xludf.DUMMYFUNCTION("""COMPUTED_VALUE"""),"PEMBANDING SEJENIS")</f>
        <v>PEMBANDING SEJENIS</v>
      </c>
      <c r="P539" s="4" t="str">
        <f>IFERROR(__xludf.DUMMYFUNCTION("""COMPUTED_VALUE"""),"KONEKTOR/JUMPER")</f>
        <v>KONEKTOR/JUMPER</v>
      </c>
      <c r="Q539" s="4">
        <f>IFERROR(__xludf.DUMMYFUNCTION("""COMPUTED_VALUE"""),19.0)</f>
        <v>19</v>
      </c>
      <c r="R539" s="4">
        <f>IFERROR(__xludf.DUMMYFUNCTION("""COMPUTED_VALUE"""),24.0)</f>
        <v>24</v>
      </c>
      <c r="S539" s="4">
        <f>IFERROR(__xludf.DUMMYFUNCTION("""COMPUTED_VALUE"""),23.0)</f>
        <v>23</v>
      </c>
      <c r="T539" s="4"/>
      <c r="U539" s="4" t="str">
        <f>IFERROR(__xludf.DUMMYFUNCTION("""COMPUTED_VALUE"""),"CUKUP")</f>
        <v>CUKUP</v>
      </c>
      <c r="V539" s="4" t="str">
        <f>IFERROR(__xludf.DUMMYFUNCTION("""COMPUTED_VALUE"""),"Tidak Ada")</f>
        <v>Tidak Ada</v>
      </c>
      <c r="W539" s="4"/>
      <c r="X539" s="4"/>
      <c r="Y539" s="4"/>
      <c r="Z539" s="4"/>
      <c r="AA539" s="4"/>
      <c r="AB539" s="4"/>
      <c r="AC539" s="4" t="str">
        <f>IFERROR(__xludf.DUMMYFUNCTION("""COMPUTED_VALUE"""),"INSPEKSI SUTM - T2_Images/8c32d066.FOTO.170209.jpg")</f>
        <v>INSPEKSI SUTM - T2_Images/8c32d066.FOTO.170209.jpg</v>
      </c>
      <c r="AD539" s="4"/>
      <c r="AE539" s="4"/>
      <c r="AF539" s="4" t="str">
        <f>IFERROR(__xludf.DUMMYFUNCTION("""COMPUTED_VALUE"""),"BELUM")</f>
        <v>BELUM</v>
      </c>
      <c r="AG539" s="6">
        <f>IFERROR(__xludf.DUMMYFUNCTION("""COMPUTED_VALUE"""),46080.0)</f>
        <v>46080</v>
      </c>
      <c r="AH539" s="4"/>
      <c r="AI539" s="4"/>
    </row>
    <row r="540" ht="15.75" customHeight="1">
      <c r="A540" s="4" t="str">
        <f>IFERROR(__xludf.DUMMYFUNCTION("""COMPUTED_VALUE"""),"7b599b28")</f>
        <v>7b599b28</v>
      </c>
      <c r="B540" s="5">
        <f>IFERROR(__xludf.DUMMYFUNCTION("""COMPUTED_VALUE"""),46080.99696759259)</f>
        <v>46080.99697</v>
      </c>
      <c r="C540" s="4" t="str">
        <f>IFERROR(__xludf.DUMMYFUNCTION("""COMPUTED_VALUE"""),"-6.936878, 107.677408")</f>
        <v>-6.936878, 107.677408</v>
      </c>
      <c r="D540" s="4" t="str">
        <f>IFERROR(__xludf.DUMMYFUNCTION("""COMPUTED_VALUE"""),"Canra hwei")</f>
        <v>Canra hwei</v>
      </c>
      <c r="E540" s="4" t="str">
        <f>IFERROR(__xludf.DUMMYFUNCTION("""COMPUTED_VALUE"""),"BANDUNG")</f>
        <v>BANDUNG</v>
      </c>
      <c r="F540" s="4" t="str">
        <f>IFERROR(__xludf.DUMMYFUNCTION("""COMPUTED_VALUE"""),"UJUNGBERUNG")</f>
        <v>UJUNGBERUNG</v>
      </c>
      <c r="G540" s="4" t="str">
        <f>IFERROR(__xludf.DUMMYFUNCTION("""COMPUTED_VALUE"""),"UJUNGBERUNG")</f>
        <v>UJUNGBERUNG</v>
      </c>
      <c r="H540" s="4" t="str">
        <f>IFERROR(__xludf.DUMMYFUNCTION("""COMPUTED_VALUE"""),"UZP")</f>
        <v>UZP</v>
      </c>
      <c r="I540" s="4" t="str">
        <f>IFERROR(__xludf.DUMMYFUNCTION("""COMPUTED_VALUE"""),"LBS DLR - LBS GMD")</f>
        <v>LBS DLR - LBS GMD</v>
      </c>
      <c r="J540" s="4" t="str">
        <f>IFERROR(__xludf.DUMMYFUNCTION("""COMPUTED_VALUE"""),"ZONA 2")</f>
        <v>ZONA 2</v>
      </c>
      <c r="K540" s="4" t="str">
        <f>IFERROR(__xludf.DUMMYFUNCTION("""COMPUTED_VALUE"""),"076")</f>
        <v>076</v>
      </c>
      <c r="L540" s="4" t="str">
        <f>IFERROR(__xludf.DUMMYFUNCTION("""COMPUTED_VALUE"""),"TM - 4B/H (Afspan)")</f>
        <v>TM - 4B/H (Afspan)</v>
      </c>
      <c r="M540" s="4" t="str">
        <f>IFERROR(__xludf.DUMMYFUNCTION("""COMPUTED_VALUE"""),"Tidak Ada")</f>
        <v>Tidak Ada</v>
      </c>
      <c r="N540" s="4"/>
      <c r="O540" s="4" t="str">
        <f>IFERROR(__xludf.DUMMYFUNCTION("""COMPUTED_VALUE"""),"PEMBANDING SEJENIS")</f>
        <v>PEMBANDING SEJENIS</v>
      </c>
      <c r="P540" s="4" t="str">
        <f>IFERROR(__xludf.DUMMYFUNCTION("""COMPUTED_VALUE"""),"KONEKTOR/JUMPER")</f>
        <v>KONEKTOR/JUMPER</v>
      </c>
      <c r="Q540" s="4">
        <f>IFERROR(__xludf.DUMMYFUNCTION("""COMPUTED_VALUE"""),21.0)</f>
        <v>21</v>
      </c>
      <c r="R540" s="4">
        <f>IFERROR(__xludf.DUMMYFUNCTION("""COMPUTED_VALUE"""),20.0)</f>
        <v>20</v>
      </c>
      <c r="S540" s="4">
        <f>IFERROR(__xludf.DUMMYFUNCTION("""COMPUTED_VALUE"""),23.0)</f>
        <v>23</v>
      </c>
      <c r="T540" s="4"/>
      <c r="U540" s="4" t="str">
        <f>IFERROR(__xludf.DUMMYFUNCTION("""COMPUTED_VALUE"""),"CUKUP")</f>
        <v>CUKUP</v>
      </c>
      <c r="V540" s="4" t="str">
        <f>IFERROR(__xludf.DUMMYFUNCTION("""COMPUTED_VALUE"""),"Tidak Ada")</f>
        <v>Tidak Ada</v>
      </c>
      <c r="W540" s="4"/>
      <c r="X540" s="4"/>
      <c r="Y540" s="4"/>
      <c r="Z540" s="4"/>
      <c r="AA540" s="4"/>
      <c r="AB540" s="4"/>
      <c r="AC540" s="4" t="str">
        <f>IFERROR(__xludf.DUMMYFUNCTION("""COMPUTED_VALUE"""),"INSPEKSI SUTM - T2_Images/7b599b28.FOTO.170214.jpg")</f>
        <v>INSPEKSI SUTM - T2_Images/7b599b28.FOTO.170214.jpg</v>
      </c>
      <c r="AD540" s="4"/>
      <c r="AE540" s="4"/>
      <c r="AF540" s="4" t="str">
        <f>IFERROR(__xludf.DUMMYFUNCTION("""COMPUTED_VALUE"""),"BELUM")</f>
        <v>BELUM</v>
      </c>
      <c r="AG540" s="6">
        <f>IFERROR(__xludf.DUMMYFUNCTION("""COMPUTED_VALUE"""),46080.0)</f>
        <v>46080</v>
      </c>
      <c r="AH540" s="4"/>
      <c r="AI540" s="4"/>
    </row>
    <row r="541" ht="15.75" customHeight="1">
      <c r="A541" s="4" t="str">
        <f>IFERROR(__xludf.DUMMYFUNCTION("""COMPUTED_VALUE"""),"3c5d4033")</f>
        <v>3c5d4033</v>
      </c>
      <c r="B541" s="5">
        <f>IFERROR(__xludf.DUMMYFUNCTION("""COMPUTED_VALUE"""),46080.99865740741)</f>
        <v>46080.99866</v>
      </c>
      <c r="C541" s="4" t="str">
        <f>IFERROR(__xludf.DUMMYFUNCTION("""COMPUTED_VALUE"""),"-6.937403, 107.677368")</f>
        <v>-6.937403, 107.677368</v>
      </c>
      <c r="D541" s="4" t="str">
        <f>IFERROR(__xludf.DUMMYFUNCTION("""COMPUTED_VALUE"""),"Canra heri")</f>
        <v>Canra heri</v>
      </c>
      <c r="E541" s="4" t="str">
        <f>IFERROR(__xludf.DUMMYFUNCTION("""COMPUTED_VALUE"""),"BANDUNG")</f>
        <v>BANDUNG</v>
      </c>
      <c r="F541" s="4" t="str">
        <f>IFERROR(__xludf.DUMMYFUNCTION("""COMPUTED_VALUE"""),"UJUNGBERUNG")</f>
        <v>UJUNGBERUNG</v>
      </c>
      <c r="G541" s="4" t="str">
        <f>IFERROR(__xludf.DUMMYFUNCTION("""COMPUTED_VALUE"""),"UJUNGBERUNG")</f>
        <v>UJUNGBERUNG</v>
      </c>
      <c r="H541" s="4" t="str">
        <f>IFERROR(__xludf.DUMMYFUNCTION("""COMPUTED_VALUE"""),"UZP")</f>
        <v>UZP</v>
      </c>
      <c r="I541" s="4" t="str">
        <f>IFERROR(__xludf.DUMMYFUNCTION("""COMPUTED_VALUE"""),"LBS DLR - LBS GMD")</f>
        <v>LBS DLR - LBS GMD</v>
      </c>
      <c r="J541" s="4" t="str">
        <f>IFERROR(__xludf.DUMMYFUNCTION("""COMPUTED_VALUE"""),"ZONA 2")</f>
        <v>ZONA 2</v>
      </c>
      <c r="K541" s="4" t="str">
        <f>IFERROR(__xludf.DUMMYFUNCTION("""COMPUTED_VALUE"""),"077")</f>
        <v>077</v>
      </c>
      <c r="L541" s="4" t="str">
        <f>IFERROR(__xludf.DUMMYFUNCTION("""COMPUTED_VALUE"""),"TM - 16B/H (REC/SSO/LBS)")</f>
        <v>TM - 16B/H (REC/SSO/LBS)</v>
      </c>
      <c r="M541" s="4" t="str">
        <f>IFERROR(__xludf.DUMMYFUNCTION("""COMPUTED_VALUE"""),"LBS")</f>
        <v>LBS</v>
      </c>
      <c r="N541" s="4" t="str">
        <f>IFERROR(__xludf.DUMMYFUNCTION("""COMPUTED_VALUE"""),"Grmd")</f>
        <v>Grmd</v>
      </c>
      <c r="O541" s="4" t="str">
        <f>IFERROR(__xludf.DUMMYFUNCTION("""COMPUTED_VALUE"""),"PEMBANDING SEJENIS")</f>
        <v>PEMBANDING SEJENIS</v>
      </c>
      <c r="P541" s="4" t="str">
        <f>IFERROR(__xludf.DUMMYFUNCTION("""COMPUTED_VALUE"""),"KONEKTOR/JUMPER")</f>
        <v>KONEKTOR/JUMPER</v>
      </c>
      <c r="Q541" s="4">
        <f>IFERROR(__xludf.DUMMYFUNCTION("""COMPUTED_VALUE"""),25.0)</f>
        <v>25</v>
      </c>
      <c r="R541" s="4">
        <f>IFERROR(__xludf.DUMMYFUNCTION("""COMPUTED_VALUE"""),25.0)</f>
        <v>25</v>
      </c>
      <c r="S541" s="4">
        <f>IFERROR(__xludf.DUMMYFUNCTION("""COMPUTED_VALUE"""),25.0)</f>
        <v>25</v>
      </c>
      <c r="T541" s="4"/>
      <c r="U541" s="4" t="str">
        <f>IFERROR(__xludf.DUMMYFUNCTION("""COMPUTED_VALUE"""),"BAIK")</f>
        <v>BAIK</v>
      </c>
      <c r="V541" s="4" t="str">
        <f>IFERROR(__xludf.DUMMYFUNCTION("""COMPUTED_VALUE"""),"Tidak Ada")</f>
        <v>Tidak Ada</v>
      </c>
      <c r="W541" s="4"/>
      <c r="X541" s="4"/>
      <c r="Y541" s="4"/>
      <c r="Z541" s="4"/>
      <c r="AA541" s="4"/>
      <c r="AB541" s="4"/>
      <c r="AC541" s="4" t="str">
        <f>IFERROR(__xludf.DUMMYFUNCTION("""COMPUTED_VALUE"""),"INSPEKSI SUTM - T2_Images/3c5d4033.FOTO.170822.jpg")</f>
        <v>INSPEKSI SUTM - T2_Images/3c5d4033.FOTO.170822.jpg</v>
      </c>
      <c r="AD541" s="4"/>
      <c r="AE541" s="4"/>
      <c r="AF541" s="4" t="str">
        <f>IFERROR(__xludf.DUMMYFUNCTION("""COMPUTED_VALUE"""),"BELUM")</f>
        <v>BELUM</v>
      </c>
      <c r="AG541" s="6">
        <f>IFERROR(__xludf.DUMMYFUNCTION("""COMPUTED_VALUE"""),46080.0)</f>
        <v>46080</v>
      </c>
      <c r="AH541" s="4"/>
      <c r="AI541" s="4"/>
    </row>
    <row r="542" ht="15.75" customHeight="1">
      <c r="A542" s="4" t="str">
        <f>IFERROR(__xludf.DUMMYFUNCTION("""COMPUTED_VALUE"""),"3012c527")</f>
        <v>3012c527</v>
      </c>
      <c r="B542" s="5">
        <f>IFERROR(__xludf.DUMMYFUNCTION("""COMPUTED_VALUE"""),46081.00335648148)</f>
        <v>46081.00336</v>
      </c>
      <c r="C542" s="4" t="str">
        <f>IFERROR(__xludf.DUMMYFUNCTION("""COMPUTED_VALUE"""),"-6.929058, 107.680965")</f>
        <v>-6.929058, 107.680965</v>
      </c>
      <c r="D542" s="4" t="str">
        <f>IFERROR(__xludf.DUMMYFUNCTION("""COMPUTED_VALUE"""),"Vanra heei")</f>
        <v>Vanra heei</v>
      </c>
      <c r="E542" s="4" t="str">
        <f>IFERROR(__xludf.DUMMYFUNCTION("""COMPUTED_VALUE"""),"BANDUNG")</f>
        <v>BANDUNG</v>
      </c>
      <c r="F542" s="4" t="str">
        <f>IFERROR(__xludf.DUMMYFUNCTION("""COMPUTED_VALUE"""),"UJUNGBERUNG")</f>
        <v>UJUNGBERUNG</v>
      </c>
      <c r="G542" s="4" t="str">
        <f>IFERROR(__xludf.DUMMYFUNCTION("""COMPUTED_VALUE"""),"UJUNGBERUNG")</f>
        <v>UJUNGBERUNG</v>
      </c>
      <c r="H542" s="4" t="str">
        <f>IFERROR(__xludf.DUMMYFUNCTION("""COMPUTED_VALUE"""),"UZP")</f>
        <v>UZP</v>
      </c>
      <c r="I542" s="4" t="str">
        <f>IFERROR(__xludf.DUMMYFUNCTION("""COMPUTED_VALUE"""),"LBS DLR - LBS GMD")</f>
        <v>LBS DLR - LBS GMD</v>
      </c>
      <c r="J542" s="4" t="str">
        <f>IFERROR(__xludf.DUMMYFUNCTION("""COMPUTED_VALUE"""),"ZONA 2")</f>
        <v>ZONA 2</v>
      </c>
      <c r="K542" s="4" t="str">
        <f>IFERROR(__xludf.DUMMYFUNCTION("""COMPUTED_VALUE"""),"047")</f>
        <v>047</v>
      </c>
      <c r="L542" s="4" t="str">
        <f>IFERROR(__xludf.DUMMYFUNCTION("""COMPUTED_VALUE"""),"TM - 4B/H (Afspan)")</f>
        <v>TM - 4B/H (Afspan)</v>
      </c>
      <c r="M542" s="4" t="str">
        <f>IFERROR(__xludf.DUMMYFUNCTION("""COMPUTED_VALUE"""),"Tidak Ada")</f>
        <v>Tidak Ada</v>
      </c>
      <c r="N542" s="4"/>
      <c r="O542" s="4" t="str">
        <f>IFERROR(__xludf.DUMMYFUNCTION("""COMPUTED_VALUE"""),"PEMBANDING SEJENIS")</f>
        <v>PEMBANDING SEJENIS</v>
      </c>
      <c r="P542" s="4" t="str">
        <f>IFERROR(__xludf.DUMMYFUNCTION("""COMPUTED_VALUE"""),"KONEKTOR/JUMPER")</f>
        <v>KONEKTOR/JUMPER</v>
      </c>
      <c r="Q542" s="4">
        <f>IFERROR(__xludf.DUMMYFUNCTION("""COMPUTED_VALUE"""),23.0)</f>
        <v>23</v>
      </c>
      <c r="R542" s="4">
        <f>IFERROR(__xludf.DUMMYFUNCTION("""COMPUTED_VALUE"""),23.0)</f>
        <v>23</v>
      </c>
      <c r="S542" s="4">
        <f>IFERROR(__xludf.DUMMYFUNCTION("""COMPUTED_VALUE"""),23.0)</f>
        <v>23</v>
      </c>
      <c r="T542" s="4"/>
      <c r="U542" s="4" t="str">
        <f>IFERROR(__xludf.DUMMYFUNCTION("""COMPUTED_VALUE"""),"BAIK")</f>
        <v>BAIK</v>
      </c>
      <c r="V542" s="4" t="str">
        <f>IFERROR(__xludf.DUMMYFUNCTION("""COMPUTED_VALUE"""),"Tidak Ada")</f>
        <v>Tidak Ada</v>
      </c>
      <c r="W542" s="4"/>
      <c r="X542" s="4"/>
      <c r="Y542" s="4"/>
      <c r="Z542" s="4"/>
      <c r="AA542" s="4"/>
      <c r="AB542" s="4"/>
      <c r="AC542" s="4" t="str">
        <f>IFERROR(__xludf.DUMMYFUNCTION("""COMPUTED_VALUE"""),"INSPEKSI SUTM - T2_Images/3012c527.FOTO.170829.jpg")</f>
        <v>INSPEKSI SUTM - T2_Images/3012c527.FOTO.170829.jpg</v>
      </c>
      <c r="AD542" s="4"/>
      <c r="AE542" s="4"/>
      <c r="AF542" s="4" t="str">
        <f>IFERROR(__xludf.DUMMYFUNCTION("""COMPUTED_VALUE"""),"BELUM")</f>
        <v>BELUM</v>
      </c>
      <c r="AG542" s="6">
        <f>IFERROR(__xludf.DUMMYFUNCTION("""COMPUTED_VALUE"""),46081.0)</f>
        <v>46081</v>
      </c>
      <c r="AH542" s="4"/>
      <c r="AI542" s="4"/>
    </row>
    <row r="543" ht="15.75" customHeight="1">
      <c r="A543" s="4" t="str">
        <f>IFERROR(__xludf.DUMMYFUNCTION("""COMPUTED_VALUE"""),"42339d2d")</f>
        <v>42339d2d</v>
      </c>
      <c r="B543" s="5">
        <f>IFERROR(__xludf.DUMMYFUNCTION("""COMPUTED_VALUE"""),46081.00506944444)</f>
        <v>46081.00507</v>
      </c>
      <c r="C543" s="4" t="str">
        <f>IFERROR(__xludf.DUMMYFUNCTION("""COMPUTED_VALUE"""),"-6.929160, 107.679894")</f>
        <v>-6.929160, 107.679894</v>
      </c>
      <c r="D543" s="4" t="str">
        <f>IFERROR(__xludf.DUMMYFUNCTION("""COMPUTED_VALUE"""),"Canra heri")</f>
        <v>Canra heri</v>
      </c>
      <c r="E543" s="4" t="str">
        <f>IFERROR(__xludf.DUMMYFUNCTION("""COMPUTED_VALUE"""),"BANDUNG")</f>
        <v>BANDUNG</v>
      </c>
      <c r="F543" s="4" t="str">
        <f>IFERROR(__xludf.DUMMYFUNCTION("""COMPUTED_VALUE"""),"UJUNGBERUNG")</f>
        <v>UJUNGBERUNG</v>
      </c>
      <c r="G543" s="4" t="str">
        <f>IFERROR(__xludf.DUMMYFUNCTION("""COMPUTED_VALUE"""),"UJUNGBERUNG")</f>
        <v>UJUNGBERUNG</v>
      </c>
      <c r="H543" s="4" t="str">
        <f>IFERROR(__xludf.DUMMYFUNCTION("""COMPUTED_VALUE"""),"UZP")</f>
        <v>UZP</v>
      </c>
      <c r="I543" s="4" t="str">
        <f>IFERROR(__xludf.DUMMYFUNCTION("""COMPUTED_VALUE"""),"LBS DLR - LBS GMD")</f>
        <v>LBS DLR - LBS GMD</v>
      </c>
      <c r="J543" s="4" t="str">
        <f>IFERROR(__xludf.DUMMYFUNCTION("""COMPUTED_VALUE"""),"ZONA 2")</f>
        <v>ZONA 2</v>
      </c>
      <c r="K543" s="4" t="str">
        <f>IFERROR(__xludf.DUMMYFUNCTION("""COMPUTED_VALUE"""),"052")</f>
        <v>052</v>
      </c>
      <c r="L543" s="4" t="str">
        <f>IFERROR(__xludf.DUMMYFUNCTION("""COMPUTED_VALUE"""),"TM - 8B/H (Percabangan)")</f>
        <v>TM - 8B/H (Percabangan)</v>
      </c>
      <c r="M543" s="4" t="str">
        <f>IFERROR(__xludf.DUMMYFUNCTION("""COMPUTED_VALUE"""),"Tidak Ada")</f>
        <v>Tidak Ada</v>
      </c>
      <c r="N543" s="4"/>
      <c r="O543" s="4" t="str">
        <f>IFERROR(__xludf.DUMMYFUNCTION("""COMPUTED_VALUE"""),"PEMBANDING SEJENIS")</f>
        <v>PEMBANDING SEJENIS</v>
      </c>
      <c r="P543" s="4" t="str">
        <f>IFERROR(__xludf.DUMMYFUNCTION("""COMPUTED_VALUE"""),"KONEKTOR/JUMPER")</f>
        <v>KONEKTOR/JUMPER</v>
      </c>
      <c r="Q543" s="4">
        <f>IFERROR(__xludf.DUMMYFUNCTION("""COMPUTED_VALUE"""),22.0)</f>
        <v>22</v>
      </c>
      <c r="R543" s="4">
        <f>IFERROR(__xludf.DUMMYFUNCTION("""COMPUTED_VALUE"""),21.0)</f>
        <v>21</v>
      </c>
      <c r="S543" s="4">
        <f>IFERROR(__xludf.DUMMYFUNCTION("""COMPUTED_VALUE"""),21.0)</f>
        <v>21</v>
      </c>
      <c r="T543" s="4"/>
      <c r="U543" s="4" t="str">
        <f>IFERROR(__xludf.DUMMYFUNCTION("""COMPUTED_VALUE"""),"BAIK")</f>
        <v>BAIK</v>
      </c>
      <c r="V543" s="4" t="str">
        <f>IFERROR(__xludf.DUMMYFUNCTION("""COMPUTED_VALUE"""),"Tidak Ada")</f>
        <v>Tidak Ada</v>
      </c>
      <c r="W543" s="4"/>
      <c r="X543" s="4"/>
      <c r="Y543" s="4"/>
      <c r="Z543" s="4"/>
      <c r="AA543" s="4"/>
      <c r="AB543" s="4"/>
      <c r="AC543" s="4" t="str">
        <f>IFERROR(__xludf.DUMMYFUNCTION("""COMPUTED_VALUE"""),"INSPEKSI SUTM - T2_Images/42339d2d.FOTO.170850.jpg")</f>
        <v>INSPEKSI SUTM - T2_Images/42339d2d.FOTO.170850.jpg</v>
      </c>
      <c r="AD543" s="4"/>
      <c r="AE543" s="4"/>
      <c r="AF543" s="4" t="str">
        <f>IFERROR(__xludf.DUMMYFUNCTION("""COMPUTED_VALUE"""),"BELUM")</f>
        <v>BELUM</v>
      </c>
      <c r="AG543" s="6">
        <f>IFERROR(__xludf.DUMMYFUNCTION("""COMPUTED_VALUE"""),46081.0)</f>
        <v>46081</v>
      </c>
      <c r="AH543" s="4"/>
      <c r="AI543" s="4"/>
    </row>
    <row r="544" ht="15.75" customHeight="1">
      <c r="A544" s="4" t="str">
        <f>IFERROR(__xludf.DUMMYFUNCTION("""COMPUTED_VALUE"""),"f85aab73")</f>
        <v>f85aab73</v>
      </c>
      <c r="B544" s="5">
        <f>IFERROR(__xludf.DUMMYFUNCTION("""COMPUTED_VALUE"""),46081.01399305555)</f>
        <v>46081.01399</v>
      </c>
      <c r="C544" s="4" t="str">
        <f>IFERROR(__xludf.DUMMYFUNCTION("""COMPUTED_VALUE"""),"-6.935226, 107.678914")</f>
        <v>-6.935226, 107.678914</v>
      </c>
      <c r="D544" s="4" t="str">
        <f>IFERROR(__xludf.DUMMYFUNCTION("""COMPUTED_VALUE"""),"Csnra hrti")</f>
        <v>Csnra hrti</v>
      </c>
      <c r="E544" s="4" t="str">
        <f>IFERROR(__xludf.DUMMYFUNCTION("""COMPUTED_VALUE"""),"BANDUNG")</f>
        <v>BANDUNG</v>
      </c>
      <c r="F544" s="4" t="str">
        <f>IFERROR(__xludf.DUMMYFUNCTION("""COMPUTED_VALUE"""),"UJUNGBERUNG")</f>
        <v>UJUNGBERUNG</v>
      </c>
      <c r="G544" s="4" t="str">
        <f>IFERROR(__xludf.DUMMYFUNCTION("""COMPUTED_VALUE"""),"UJUNGBERUNG")</f>
        <v>UJUNGBERUNG</v>
      </c>
      <c r="H544" s="4" t="str">
        <f>IFERROR(__xludf.DUMMYFUNCTION("""COMPUTED_VALUE"""),"UZP")</f>
        <v>UZP</v>
      </c>
      <c r="I544" s="4" t="str">
        <f>IFERROR(__xludf.DUMMYFUNCTION("""COMPUTED_VALUE"""),"LBS DLR - LBS GMD")</f>
        <v>LBS DLR - LBS GMD</v>
      </c>
      <c r="J544" s="4" t="str">
        <f>IFERROR(__xludf.DUMMYFUNCTION("""COMPUTED_VALUE"""),"ZONA 2")</f>
        <v>ZONA 2</v>
      </c>
      <c r="K544" s="4" t="str">
        <f>IFERROR(__xludf.DUMMYFUNCTION("""COMPUTED_VALUE"""),"072")</f>
        <v>072</v>
      </c>
      <c r="L544" s="4" t="str">
        <f>IFERROR(__xludf.DUMMYFUNCTION("""COMPUTED_VALUE"""),"TM - 7B/H (Afspan 90 Derajat)")</f>
        <v>TM - 7B/H (Afspan 90 Derajat)</v>
      </c>
      <c r="M544" s="4" t="str">
        <f>IFERROR(__xludf.DUMMYFUNCTION("""COMPUTED_VALUE"""),"Tidak Ada")</f>
        <v>Tidak Ada</v>
      </c>
      <c r="N544" s="4"/>
      <c r="O544" s="4" t="str">
        <f>IFERROR(__xludf.DUMMYFUNCTION("""COMPUTED_VALUE"""),"PEMBANDING SEJENIS")</f>
        <v>PEMBANDING SEJENIS</v>
      </c>
      <c r="P544" s="4" t="str">
        <f>IFERROR(__xludf.DUMMYFUNCTION("""COMPUTED_VALUE"""),"KONEKTOR/JUMPER")</f>
        <v>KONEKTOR/JUMPER</v>
      </c>
      <c r="Q544" s="4">
        <f>IFERROR(__xludf.DUMMYFUNCTION("""COMPUTED_VALUE"""),23.0)</f>
        <v>23</v>
      </c>
      <c r="R544" s="4">
        <f>IFERROR(__xludf.DUMMYFUNCTION("""COMPUTED_VALUE"""),23.0)</f>
        <v>23</v>
      </c>
      <c r="S544" s="4">
        <f>IFERROR(__xludf.DUMMYFUNCTION("""COMPUTED_VALUE"""),24.0)</f>
        <v>24</v>
      </c>
      <c r="T544" s="4"/>
      <c r="U544" s="4" t="str">
        <f>IFERROR(__xludf.DUMMYFUNCTION("""COMPUTED_VALUE"""),"BAIK")</f>
        <v>BAIK</v>
      </c>
      <c r="V544" s="4" t="str">
        <f>IFERROR(__xludf.DUMMYFUNCTION("""COMPUTED_VALUE"""),"Tidak Ada")</f>
        <v>Tidak Ada</v>
      </c>
      <c r="W544" s="4"/>
      <c r="X544" s="4"/>
      <c r="Y544" s="4"/>
      <c r="Z544" s="4"/>
      <c r="AA544" s="4"/>
      <c r="AB544" s="4"/>
      <c r="AC544" s="4" t="str">
        <f>IFERROR(__xludf.DUMMYFUNCTION("""COMPUTED_VALUE"""),"INSPEKSI SUTM - T2_Images/f85aab73.FOTO.172102.jpg")</f>
        <v>INSPEKSI SUTM - T2_Images/f85aab73.FOTO.172102.jpg</v>
      </c>
      <c r="AD544" s="4"/>
      <c r="AE544" s="4"/>
      <c r="AF544" s="4" t="str">
        <f>IFERROR(__xludf.DUMMYFUNCTION("""COMPUTED_VALUE"""),"BELUM")</f>
        <v>BELUM</v>
      </c>
      <c r="AG544" s="6">
        <f>IFERROR(__xludf.DUMMYFUNCTION("""COMPUTED_VALUE"""),46081.0)</f>
        <v>46081</v>
      </c>
      <c r="AH544" s="4"/>
      <c r="AI544" s="4"/>
    </row>
    <row r="545" ht="15.75" customHeight="1">
      <c r="A545" s="4" t="str">
        <f>IFERROR(__xludf.DUMMYFUNCTION("""COMPUTED_VALUE"""),"d37cb9da")</f>
        <v>d37cb9da</v>
      </c>
      <c r="B545" s="5">
        <f>IFERROR(__xludf.DUMMYFUNCTION("""COMPUTED_VALUE"""),46081.81487268519)</f>
        <v>46081.81487</v>
      </c>
      <c r="C545" s="4" t="str">
        <f>IFERROR(__xludf.DUMMYFUNCTION("""COMPUTED_VALUE"""),"-6.914283, 107.696449")</f>
        <v>-6.914283, 107.696449</v>
      </c>
      <c r="D545" s="4" t="str">
        <f>IFERROR(__xludf.DUMMYFUNCTION("""COMPUTED_VALUE"""),"Canra heri")</f>
        <v>Canra heri</v>
      </c>
      <c r="E545" s="4" t="str">
        <f>IFERROR(__xludf.DUMMYFUNCTION("""COMPUTED_VALUE"""),"BANDUNG")</f>
        <v>BANDUNG</v>
      </c>
      <c r="F545" s="4" t="str">
        <f>IFERROR(__xludf.DUMMYFUNCTION("""COMPUTED_VALUE"""),"UJUNGBERUNG")</f>
        <v>UJUNGBERUNG</v>
      </c>
      <c r="G545" s="4" t="str">
        <f>IFERROR(__xludf.DUMMYFUNCTION("""COMPUTED_VALUE"""),"UJUNGBERUNG")</f>
        <v>UJUNGBERUNG</v>
      </c>
      <c r="H545" s="4" t="str">
        <f>IFERROR(__xludf.DUMMYFUNCTION("""COMPUTED_VALUE"""),"UZO")</f>
        <v>UZO</v>
      </c>
      <c r="I545" s="4" t="str">
        <f>IFERROR(__xludf.DUMMYFUNCTION("""COMPUTED_VALUE"""),"GH ZIPUR - LBS PTU")</f>
        <v>GH ZIPUR - LBS PTU</v>
      </c>
      <c r="J545" s="4" t="str">
        <f>IFERROR(__xludf.DUMMYFUNCTION("""COMPUTED_VALUE"""),"ZONA 2")</f>
        <v>ZONA 2</v>
      </c>
      <c r="K545" s="4" t="str">
        <f>IFERROR(__xludf.DUMMYFUNCTION("""COMPUTED_VALUE"""),"001")</f>
        <v>001</v>
      </c>
      <c r="L545" s="4" t="str">
        <f>IFERROR(__xludf.DUMMYFUNCTION("""COMPUTED_VALUE"""),"TM - 11B/H (Kabel Naik)")</f>
        <v>TM - 11B/H (Kabel Naik)</v>
      </c>
      <c r="M545" s="4" t="str">
        <f>IFERROR(__xludf.DUMMYFUNCTION("""COMPUTED_VALUE"""),"Tidak Ada")</f>
        <v>Tidak Ada</v>
      </c>
      <c r="N545" s="4"/>
      <c r="O545" s="4" t="str">
        <f>IFERROR(__xludf.DUMMYFUNCTION("""COMPUTED_VALUE"""),"PEMBANDING SEJENIS")</f>
        <v>PEMBANDING SEJENIS</v>
      </c>
      <c r="P545" s="4" t="str">
        <f>IFERROR(__xludf.DUMMYFUNCTION("""COMPUTED_VALUE"""),"TERMINASI")</f>
        <v>TERMINASI</v>
      </c>
      <c r="Q545" s="4">
        <f>IFERROR(__xludf.DUMMYFUNCTION("""COMPUTED_VALUE"""),28.0)</f>
        <v>28</v>
      </c>
      <c r="R545" s="4">
        <f>IFERROR(__xludf.DUMMYFUNCTION("""COMPUTED_VALUE"""),25.0)</f>
        <v>25</v>
      </c>
      <c r="S545" s="4">
        <f>IFERROR(__xludf.DUMMYFUNCTION("""COMPUTED_VALUE"""),24.0)</f>
        <v>24</v>
      </c>
      <c r="T545" s="4"/>
      <c r="U545" s="4" t="str">
        <f>IFERROR(__xludf.DUMMYFUNCTION("""COMPUTED_VALUE"""),"CUKUP")</f>
        <v>CUKUP</v>
      </c>
      <c r="V545" s="4" t="str">
        <f>IFERROR(__xludf.DUMMYFUNCTION("""COMPUTED_VALUE"""),"Tidak Ada")</f>
        <v>Tidak Ada</v>
      </c>
      <c r="W545" s="4"/>
      <c r="X545" s="4"/>
      <c r="Y545" s="4"/>
      <c r="Z545" s="4"/>
      <c r="AA545" s="4"/>
      <c r="AB545" s="4"/>
      <c r="AC545" s="4" t="str">
        <f>IFERROR(__xludf.DUMMYFUNCTION("""COMPUTED_VALUE"""),"INSPEKSI SUTM - T2_Images/d37cb9da.FOTO.123422.jpg")</f>
        <v>INSPEKSI SUTM - T2_Images/d37cb9da.FOTO.123422.jpg</v>
      </c>
      <c r="AD545" s="4"/>
      <c r="AE545" s="4"/>
      <c r="AF545" s="4" t="str">
        <f>IFERROR(__xludf.DUMMYFUNCTION("""COMPUTED_VALUE"""),"BELUM")</f>
        <v>BELUM</v>
      </c>
      <c r="AG545" s="6">
        <f>IFERROR(__xludf.DUMMYFUNCTION("""COMPUTED_VALUE"""),46081.0)</f>
        <v>46081</v>
      </c>
      <c r="AH545" s="4"/>
      <c r="AI545" s="4"/>
    </row>
    <row r="546" ht="15.75" customHeight="1">
      <c r="A546" s="4" t="str">
        <f>IFERROR(__xludf.DUMMYFUNCTION("""COMPUTED_VALUE"""),"483d403b")</f>
        <v>483d403b</v>
      </c>
      <c r="B546" s="5">
        <f>IFERROR(__xludf.DUMMYFUNCTION("""COMPUTED_VALUE"""),46081.81612268519)</f>
        <v>46081.81612</v>
      </c>
      <c r="C546" s="4" t="str">
        <f>IFERROR(__xludf.DUMMYFUNCTION("""COMPUTED_VALUE"""),"-6.913950, 107.696691")</f>
        <v>-6.913950, 107.696691</v>
      </c>
      <c r="D546" s="4" t="str">
        <f>IFERROR(__xludf.DUMMYFUNCTION("""COMPUTED_VALUE"""),"Canra heei")</f>
        <v>Canra heei</v>
      </c>
      <c r="E546" s="4" t="str">
        <f>IFERROR(__xludf.DUMMYFUNCTION("""COMPUTED_VALUE"""),"BANDUNG")</f>
        <v>BANDUNG</v>
      </c>
      <c r="F546" s="4" t="str">
        <f>IFERROR(__xludf.DUMMYFUNCTION("""COMPUTED_VALUE"""),"UJUNGBERUNG")</f>
        <v>UJUNGBERUNG</v>
      </c>
      <c r="G546" s="4" t="str">
        <f>IFERROR(__xludf.DUMMYFUNCTION("""COMPUTED_VALUE"""),"UJUNGBERUNG")</f>
        <v>UJUNGBERUNG</v>
      </c>
      <c r="H546" s="4" t="str">
        <f>IFERROR(__xludf.DUMMYFUNCTION("""COMPUTED_VALUE"""),"UZO")</f>
        <v>UZO</v>
      </c>
      <c r="I546" s="4" t="str">
        <f>IFERROR(__xludf.DUMMYFUNCTION("""COMPUTED_VALUE"""),"GH ZIPUR - LBS PTU")</f>
        <v>GH ZIPUR - LBS PTU</v>
      </c>
      <c r="J546" s="4" t="str">
        <f>IFERROR(__xludf.DUMMYFUNCTION("""COMPUTED_VALUE"""),"ZONA 2")</f>
        <v>ZONA 2</v>
      </c>
      <c r="K546" s="4" t="str">
        <f>IFERROR(__xludf.DUMMYFUNCTION("""COMPUTED_VALUE"""),"003")</f>
        <v>003</v>
      </c>
      <c r="L546" s="4" t="str">
        <f>IFERROR(__xludf.DUMMYFUNCTION("""COMPUTED_VALUE"""),"TM - 8B/H (Percabangan)")</f>
        <v>TM - 8B/H (Percabangan)</v>
      </c>
      <c r="M546" s="4" t="str">
        <f>IFERROR(__xludf.DUMMYFUNCTION("""COMPUTED_VALUE"""),"Tidak Ada")</f>
        <v>Tidak Ada</v>
      </c>
      <c r="N546" s="4"/>
      <c r="O546" s="4" t="str">
        <f>IFERROR(__xludf.DUMMYFUNCTION("""COMPUTED_VALUE"""),"PEMBANDING SEJENIS")</f>
        <v>PEMBANDING SEJENIS</v>
      </c>
      <c r="P546" s="4" t="str">
        <f>IFERROR(__xludf.DUMMYFUNCTION("""COMPUTED_VALUE"""),"KONEKTOR/JUMPER")</f>
        <v>KONEKTOR/JUMPER</v>
      </c>
      <c r="Q546" s="4">
        <f>IFERROR(__xludf.DUMMYFUNCTION("""COMPUTED_VALUE"""),23.0)</f>
        <v>23</v>
      </c>
      <c r="R546" s="4">
        <f>IFERROR(__xludf.DUMMYFUNCTION("""COMPUTED_VALUE"""),23.0)</f>
        <v>23</v>
      </c>
      <c r="S546" s="4">
        <f>IFERROR(__xludf.DUMMYFUNCTION("""COMPUTED_VALUE"""),24.0)</f>
        <v>24</v>
      </c>
      <c r="T546" s="4"/>
      <c r="U546" s="4" t="str">
        <f>IFERROR(__xludf.DUMMYFUNCTION("""COMPUTED_VALUE"""),"BAIK")</f>
        <v>BAIK</v>
      </c>
      <c r="V546" s="4" t="str">
        <f>IFERROR(__xludf.DUMMYFUNCTION("""COMPUTED_VALUE"""),"Tidak Ada")</f>
        <v>Tidak Ada</v>
      </c>
      <c r="W546" s="4"/>
      <c r="X546" s="4"/>
      <c r="Y546" s="4"/>
      <c r="Z546" s="4"/>
      <c r="AA546" s="4"/>
      <c r="AB546" s="4"/>
      <c r="AC546" s="4" t="str">
        <f>IFERROR(__xludf.DUMMYFUNCTION("""COMPUTED_VALUE"""),"INSPEKSI SUTM - T2_Images/483d403b.FOTO.123610.jpg")</f>
        <v>INSPEKSI SUTM - T2_Images/483d403b.FOTO.123610.jpg</v>
      </c>
      <c r="AD546" s="4"/>
      <c r="AE546" s="4"/>
      <c r="AF546" s="4" t="str">
        <f>IFERROR(__xludf.DUMMYFUNCTION("""COMPUTED_VALUE"""),"BELUM")</f>
        <v>BELUM</v>
      </c>
      <c r="AG546" s="6">
        <f>IFERROR(__xludf.DUMMYFUNCTION("""COMPUTED_VALUE"""),46081.0)</f>
        <v>46081</v>
      </c>
      <c r="AH546" s="4"/>
      <c r="AI546" s="4"/>
    </row>
    <row r="547" ht="15.75" customHeight="1">
      <c r="A547" s="4" t="str">
        <f>IFERROR(__xludf.DUMMYFUNCTION("""COMPUTED_VALUE"""),"d2f32d31")</f>
        <v>d2f32d31</v>
      </c>
      <c r="B547" s="5">
        <f>IFERROR(__xludf.DUMMYFUNCTION("""COMPUTED_VALUE"""),46081.81873842593)</f>
        <v>46081.81874</v>
      </c>
      <c r="C547" s="4" t="str">
        <f>IFERROR(__xludf.DUMMYFUNCTION("""COMPUTED_VALUE"""),"-6.914014, 107.697546")</f>
        <v>-6.914014, 107.697546</v>
      </c>
      <c r="D547" s="4" t="str">
        <f>IFERROR(__xludf.DUMMYFUNCTION("""COMPUTED_VALUE"""),"Canra heri")</f>
        <v>Canra heri</v>
      </c>
      <c r="E547" s="4" t="str">
        <f>IFERROR(__xludf.DUMMYFUNCTION("""COMPUTED_VALUE"""),"BANDUNG")</f>
        <v>BANDUNG</v>
      </c>
      <c r="F547" s="4" t="str">
        <f>IFERROR(__xludf.DUMMYFUNCTION("""COMPUTED_VALUE"""),"UJUNGBERUNG")</f>
        <v>UJUNGBERUNG</v>
      </c>
      <c r="G547" s="4" t="str">
        <f>IFERROR(__xludf.DUMMYFUNCTION("""COMPUTED_VALUE"""),"UJUNGBERUNG")</f>
        <v>UJUNGBERUNG</v>
      </c>
      <c r="H547" s="4" t="str">
        <f>IFERROR(__xludf.DUMMYFUNCTION("""COMPUTED_VALUE"""),"UZO")</f>
        <v>UZO</v>
      </c>
      <c r="I547" s="4" t="str">
        <f>IFERROR(__xludf.DUMMYFUNCTION("""COMPUTED_VALUE"""),"GH ZIPUR - LBS PTU")</f>
        <v>GH ZIPUR - LBS PTU</v>
      </c>
      <c r="J547" s="4" t="str">
        <f>IFERROR(__xludf.DUMMYFUNCTION("""COMPUTED_VALUE"""),"ZONA 2")</f>
        <v>ZONA 2</v>
      </c>
      <c r="K547" s="4" t="str">
        <f>IFERROR(__xludf.DUMMYFUNCTION("""COMPUTED_VALUE"""),"003R02")</f>
        <v>003R02</v>
      </c>
      <c r="L547" s="4" t="str">
        <f>IFERROR(__xludf.DUMMYFUNCTION("""COMPUTED_VALUE"""),"TM - 1B/H (Tumpu)")</f>
        <v>TM - 1B/H (Tumpu)</v>
      </c>
      <c r="M547" s="4" t="str">
        <f>IFERROR(__xludf.DUMMYFUNCTION("""COMPUTED_VALUE"""),"Tidak Ada")</f>
        <v>Tidak Ada</v>
      </c>
      <c r="N547" s="4"/>
      <c r="O547" s="4" t="str">
        <f>IFERROR(__xludf.DUMMYFUNCTION("""COMPUTED_VALUE"""),"PEMBANDING SEJENIS")</f>
        <v>PEMBANDING SEJENIS</v>
      </c>
      <c r="P547" s="4" t="str">
        <f>IFERROR(__xludf.DUMMYFUNCTION("""COMPUTED_VALUE"""),"ARRESTER")</f>
        <v>ARRESTER</v>
      </c>
      <c r="Q547" s="4">
        <f>IFERROR(__xludf.DUMMYFUNCTION("""COMPUTED_VALUE"""),23.0)</f>
        <v>23</v>
      </c>
      <c r="R547" s="4">
        <f>IFERROR(__xludf.DUMMYFUNCTION("""COMPUTED_VALUE"""),23.0)</f>
        <v>23</v>
      </c>
      <c r="S547" s="4">
        <f>IFERROR(__xludf.DUMMYFUNCTION("""COMPUTED_VALUE"""),23.0)</f>
        <v>23</v>
      </c>
      <c r="T547" s="4"/>
      <c r="U547" s="4" t="str">
        <f>IFERROR(__xludf.DUMMYFUNCTION("""COMPUTED_VALUE"""),"BAIK")</f>
        <v>BAIK</v>
      </c>
      <c r="V547" s="4" t="str">
        <f>IFERROR(__xludf.DUMMYFUNCTION("""COMPUTED_VALUE"""),"Tidak Ada")</f>
        <v>Tidak Ada</v>
      </c>
      <c r="W547" s="4"/>
      <c r="X547" s="4"/>
      <c r="Y547" s="4"/>
      <c r="Z547" s="4"/>
      <c r="AA547" s="4"/>
      <c r="AB547" s="4"/>
      <c r="AC547" s="4" t="str">
        <f>IFERROR(__xludf.DUMMYFUNCTION("""COMPUTED_VALUE"""),"INSPEKSI SUTM - T2_Images/d2f32d31.FOTO.123959.jpg")</f>
        <v>INSPEKSI SUTM - T2_Images/d2f32d31.FOTO.123959.jpg</v>
      </c>
      <c r="AD547" s="4"/>
      <c r="AE547" s="4"/>
      <c r="AF547" s="4" t="str">
        <f>IFERROR(__xludf.DUMMYFUNCTION("""COMPUTED_VALUE"""),"BELUM")</f>
        <v>BELUM</v>
      </c>
      <c r="AG547" s="6">
        <f>IFERROR(__xludf.DUMMYFUNCTION("""COMPUTED_VALUE"""),46081.0)</f>
        <v>46081</v>
      </c>
      <c r="AH547" s="4"/>
      <c r="AI547" s="4"/>
    </row>
    <row r="548" ht="15.75" customHeight="1">
      <c r="A548" s="4" t="str">
        <f>IFERROR(__xludf.DUMMYFUNCTION("""COMPUTED_VALUE"""),"9607153c")</f>
        <v>9607153c</v>
      </c>
      <c r="B548" s="5">
        <f>IFERROR(__xludf.DUMMYFUNCTION("""COMPUTED_VALUE"""),46081.820231481484)</f>
        <v>46081.82023</v>
      </c>
      <c r="C548" s="4" t="str">
        <f>IFERROR(__xludf.DUMMYFUNCTION("""COMPUTED_VALUE"""),"-6.914031, 107.698520")</f>
        <v>-6.914031, 107.698520</v>
      </c>
      <c r="D548" s="4" t="str">
        <f>IFERROR(__xludf.DUMMYFUNCTION("""COMPUTED_VALUE"""),"Canra heei")</f>
        <v>Canra heei</v>
      </c>
      <c r="E548" s="4" t="str">
        <f>IFERROR(__xludf.DUMMYFUNCTION("""COMPUTED_VALUE"""),"BANDUNG")</f>
        <v>BANDUNG</v>
      </c>
      <c r="F548" s="4" t="str">
        <f>IFERROR(__xludf.DUMMYFUNCTION("""COMPUTED_VALUE"""),"UJUNGBERUNG")</f>
        <v>UJUNGBERUNG</v>
      </c>
      <c r="G548" s="4" t="str">
        <f>IFERROR(__xludf.DUMMYFUNCTION("""COMPUTED_VALUE"""),"UJUNGBERUNG")</f>
        <v>UJUNGBERUNG</v>
      </c>
      <c r="H548" s="4" t="str">
        <f>IFERROR(__xludf.DUMMYFUNCTION("""COMPUTED_VALUE"""),"UZO")</f>
        <v>UZO</v>
      </c>
      <c r="I548" s="4" t="str">
        <f>IFERROR(__xludf.DUMMYFUNCTION("""COMPUTED_VALUE"""),"GH ZIPUR - LBS PTU")</f>
        <v>GH ZIPUR - LBS PTU</v>
      </c>
      <c r="J548" s="4" t="str">
        <f>IFERROR(__xludf.DUMMYFUNCTION("""COMPUTED_VALUE"""),"ZONA 2")</f>
        <v>ZONA 2</v>
      </c>
      <c r="K548" s="4" t="str">
        <f>IFERROR(__xludf.DUMMYFUNCTION("""COMPUTED_VALUE"""),"003R05")</f>
        <v>003R05</v>
      </c>
      <c r="L548" s="4" t="str">
        <f>IFERROR(__xludf.DUMMYFUNCTION("""COMPUTED_VALUE"""),"TM - 4B/H (Afspan)")</f>
        <v>TM - 4B/H (Afspan)</v>
      </c>
      <c r="M548" s="4" t="str">
        <f>IFERROR(__xludf.DUMMYFUNCTION("""COMPUTED_VALUE"""),"Tidak Ada")</f>
        <v>Tidak Ada</v>
      </c>
      <c r="N548" s="4"/>
      <c r="O548" s="4" t="str">
        <f>IFERROR(__xludf.DUMMYFUNCTION("""COMPUTED_VALUE"""),"PEMBANDING SEJENIS")</f>
        <v>PEMBANDING SEJENIS</v>
      </c>
      <c r="P548" s="4" t="str">
        <f>IFERROR(__xludf.DUMMYFUNCTION("""COMPUTED_VALUE"""),"KONEKTOR/JUMPER")</f>
        <v>KONEKTOR/JUMPER</v>
      </c>
      <c r="Q548" s="4">
        <f>IFERROR(__xludf.DUMMYFUNCTION("""COMPUTED_VALUE"""),20.0)</f>
        <v>20</v>
      </c>
      <c r="R548" s="4">
        <f>IFERROR(__xludf.DUMMYFUNCTION("""COMPUTED_VALUE"""),21.0)</f>
        <v>21</v>
      </c>
      <c r="S548" s="4">
        <f>IFERROR(__xludf.DUMMYFUNCTION("""COMPUTED_VALUE"""),20.0)</f>
        <v>20</v>
      </c>
      <c r="T548" s="4"/>
      <c r="U548" s="4" t="str">
        <f>IFERROR(__xludf.DUMMYFUNCTION("""COMPUTED_VALUE"""),"BAIK")</f>
        <v>BAIK</v>
      </c>
      <c r="V548" s="4" t="str">
        <f>IFERROR(__xludf.DUMMYFUNCTION("""COMPUTED_VALUE"""),"Tidak Ada")</f>
        <v>Tidak Ada</v>
      </c>
      <c r="W548" s="4"/>
      <c r="X548" s="4"/>
      <c r="Y548" s="4"/>
      <c r="Z548" s="4"/>
      <c r="AA548" s="4"/>
      <c r="AB548" s="4"/>
      <c r="AC548" s="4" t="str">
        <f>IFERROR(__xludf.DUMMYFUNCTION("""COMPUTED_VALUE"""),"INSPEKSI SUTM - T2_Images/9607153c.FOTO.124200.jpg")</f>
        <v>INSPEKSI SUTM - T2_Images/9607153c.FOTO.124200.jpg</v>
      </c>
      <c r="AD548" s="4"/>
      <c r="AE548" s="4"/>
      <c r="AF548" s="4" t="str">
        <f>IFERROR(__xludf.DUMMYFUNCTION("""COMPUTED_VALUE"""),"BELUM")</f>
        <v>BELUM</v>
      </c>
      <c r="AG548" s="6">
        <f>IFERROR(__xludf.DUMMYFUNCTION("""COMPUTED_VALUE"""),46081.0)</f>
        <v>46081</v>
      </c>
      <c r="AH548" s="4"/>
      <c r="AI548" s="4"/>
    </row>
    <row r="549" ht="15.75" customHeight="1">
      <c r="A549" s="4" t="str">
        <f>IFERROR(__xludf.DUMMYFUNCTION("""COMPUTED_VALUE"""),"1acf7a01")</f>
        <v>1acf7a01</v>
      </c>
      <c r="B549" s="5">
        <f>IFERROR(__xludf.DUMMYFUNCTION("""COMPUTED_VALUE"""),46081.82157407407)</f>
        <v>46081.82157</v>
      </c>
      <c r="C549" s="4" t="str">
        <f>IFERROR(__xludf.DUMMYFUNCTION("""COMPUTED_VALUE"""),"-6.914029, 107.699412")</f>
        <v>-6.914029, 107.699412</v>
      </c>
      <c r="D549" s="4" t="str">
        <f>IFERROR(__xludf.DUMMYFUNCTION("""COMPUTED_VALUE"""),"Canra heei")</f>
        <v>Canra heei</v>
      </c>
      <c r="E549" s="4" t="str">
        <f>IFERROR(__xludf.DUMMYFUNCTION("""COMPUTED_VALUE"""),"BANDUNG")</f>
        <v>BANDUNG</v>
      </c>
      <c r="F549" s="4" t="str">
        <f>IFERROR(__xludf.DUMMYFUNCTION("""COMPUTED_VALUE"""),"UJUNGBERUNG")</f>
        <v>UJUNGBERUNG</v>
      </c>
      <c r="G549" s="4" t="str">
        <f>IFERROR(__xludf.DUMMYFUNCTION("""COMPUTED_VALUE"""),"UJUNGBERUNG")</f>
        <v>UJUNGBERUNG</v>
      </c>
      <c r="H549" s="4" t="str">
        <f>IFERROR(__xludf.DUMMYFUNCTION("""COMPUTED_VALUE"""),"UZO")</f>
        <v>UZO</v>
      </c>
      <c r="I549" s="4" t="str">
        <f>IFERROR(__xludf.DUMMYFUNCTION("""COMPUTED_VALUE"""),"GH ZIPUR - LBS PTU")</f>
        <v>GH ZIPUR - LBS PTU</v>
      </c>
      <c r="J549" s="4" t="str">
        <f>IFERROR(__xludf.DUMMYFUNCTION("""COMPUTED_VALUE"""),"ZONA 2")</f>
        <v>ZONA 2</v>
      </c>
      <c r="K549" s="4" t="str">
        <f>IFERROR(__xludf.DUMMYFUNCTION("""COMPUTED_VALUE"""),"003R06")</f>
        <v>003R06</v>
      </c>
      <c r="L549" s="4" t="str">
        <f>IFERROR(__xludf.DUMMYFUNCTION("""COMPUTED_VALUE"""),"TM - 1B/H (Tumpu)")</f>
        <v>TM - 1B/H (Tumpu)</v>
      </c>
      <c r="M549" s="4" t="str">
        <f>IFERROR(__xludf.DUMMYFUNCTION("""COMPUTED_VALUE"""),"Tidak Ada")</f>
        <v>Tidak Ada</v>
      </c>
      <c r="N549" s="4"/>
      <c r="O549" s="4" t="str">
        <f>IFERROR(__xludf.DUMMYFUNCTION("""COMPUTED_VALUE"""),"PEMBANDING SEJENIS")</f>
        <v>PEMBANDING SEJENIS</v>
      </c>
      <c r="P549" s="4" t="str">
        <f>IFERROR(__xludf.DUMMYFUNCTION("""COMPUTED_VALUE"""),"ARRESTER")</f>
        <v>ARRESTER</v>
      </c>
      <c r="Q549" s="4">
        <f>IFERROR(__xludf.DUMMYFUNCTION("""COMPUTED_VALUE"""),24.0)</f>
        <v>24</v>
      </c>
      <c r="R549" s="4">
        <f>IFERROR(__xludf.DUMMYFUNCTION("""COMPUTED_VALUE"""),24.0)</f>
        <v>24</v>
      </c>
      <c r="S549" s="4">
        <f>IFERROR(__xludf.DUMMYFUNCTION("""COMPUTED_VALUE"""),24.0)</f>
        <v>24</v>
      </c>
      <c r="T549" s="4"/>
      <c r="U549" s="4" t="str">
        <f>IFERROR(__xludf.DUMMYFUNCTION("""COMPUTED_VALUE"""),"BAIK")</f>
        <v>BAIK</v>
      </c>
      <c r="V549" s="4" t="str">
        <f>IFERROR(__xludf.DUMMYFUNCTION("""COMPUTED_VALUE"""),"Tidak Ada")</f>
        <v>Tidak Ada</v>
      </c>
      <c r="W549" s="4"/>
      <c r="X549" s="4"/>
      <c r="Y549" s="4"/>
      <c r="Z549" s="4"/>
      <c r="AA549" s="4"/>
      <c r="AB549" s="4"/>
      <c r="AC549" s="4" t="str">
        <f>IFERROR(__xludf.DUMMYFUNCTION("""COMPUTED_VALUE"""),"INSPEKSI SUTM - T2_Images/1acf7a01.FOTO.124350.jpg")</f>
        <v>INSPEKSI SUTM - T2_Images/1acf7a01.FOTO.124350.jpg</v>
      </c>
      <c r="AD549" s="4"/>
      <c r="AE549" s="4"/>
      <c r="AF549" s="4" t="str">
        <f>IFERROR(__xludf.DUMMYFUNCTION("""COMPUTED_VALUE"""),"BELUM")</f>
        <v>BELUM</v>
      </c>
      <c r="AG549" s="6">
        <f>IFERROR(__xludf.DUMMYFUNCTION("""COMPUTED_VALUE"""),46081.0)</f>
        <v>46081</v>
      </c>
      <c r="AH549" s="4"/>
      <c r="AI549" s="4"/>
    </row>
    <row r="550" ht="15.75" customHeight="1">
      <c r="A550" s="4" t="str">
        <f>IFERROR(__xludf.DUMMYFUNCTION("""COMPUTED_VALUE"""),"70087d36")</f>
        <v>70087d36</v>
      </c>
      <c r="B550" s="5">
        <f>IFERROR(__xludf.DUMMYFUNCTION("""COMPUTED_VALUE"""),46081.822916666664)</f>
        <v>46081.82292</v>
      </c>
      <c r="C550" s="4" t="str">
        <f>IFERROR(__xludf.DUMMYFUNCTION("""COMPUTED_VALUE"""),"-6.914062, 107.700740")</f>
        <v>-6.914062, 107.700740</v>
      </c>
      <c r="D550" s="4" t="str">
        <f>IFERROR(__xludf.DUMMYFUNCTION("""COMPUTED_VALUE"""),"Canra heei")</f>
        <v>Canra heei</v>
      </c>
      <c r="E550" s="4" t="str">
        <f>IFERROR(__xludf.DUMMYFUNCTION("""COMPUTED_VALUE"""),"BANDUNG")</f>
        <v>BANDUNG</v>
      </c>
      <c r="F550" s="4" t="str">
        <f>IFERROR(__xludf.DUMMYFUNCTION("""COMPUTED_VALUE"""),"UJUNGBERUNG")</f>
        <v>UJUNGBERUNG</v>
      </c>
      <c r="G550" s="4" t="str">
        <f>IFERROR(__xludf.DUMMYFUNCTION("""COMPUTED_VALUE"""),"UJUNGBERUNG")</f>
        <v>UJUNGBERUNG</v>
      </c>
      <c r="H550" s="4" t="str">
        <f>IFERROR(__xludf.DUMMYFUNCTION("""COMPUTED_VALUE"""),"UZO")</f>
        <v>UZO</v>
      </c>
      <c r="I550" s="4" t="str">
        <f>IFERROR(__xludf.DUMMYFUNCTION("""COMPUTED_VALUE"""),"GH ZIPUR - LBS PTU")</f>
        <v>GH ZIPUR - LBS PTU</v>
      </c>
      <c r="J550" s="4" t="str">
        <f>IFERROR(__xludf.DUMMYFUNCTION("""COMPUTED_VALUE"""),"ZONA 2")</f>
        <v>ZONA 2</v>
      </c>
      <c r="K550" s="4" t="str">
        <f>IFERROR(__xludf.DUMMYFUNCTION("""COMPUTED_VALUE"""),"003R011")</f>
        <v>003R011</v>
      </c>
      <c r="L550" s="4" t="str">
        <f>IFERROR(__xludf.DUMMYFUNCTION("""COMPUTED_VALUE"""),"TM - 16B/H (REC/SSO/LBS)")</f>
        <v>TM - 16B/H (REC/SSO/LBS)</v>
      </c>
      <c r="M550" s="4" t="str">
        <f>IFERROR(__xludf.DUMMYFUNCTION("""COMPUTED_VALUE"""),"LBS")</f>
        <v>LBS</v>
      </c>
      <c r="N550" s="4" t="str">
        <f>IFERROR(__xludf.DUMMYFUNCTION("""COMPUTED_VALUE"""),"Ptu")</f>
        <v>Ptu</v>
      </c>
      <c r="O550" s="4" t="str">
        <f>IFERROR(__xludf.DUMMYFUNCTION("""COMPUTED_VALUE"""),"PEMBANDING SEJENIS")</f>
        <v>PEMBANDING SEJENIS</v>
      </c>
      <c r="P550" s="4" t="str">
        <f>IFERROR(__xludf.DUMMYFUNCTION("""COMPUTED_VALUE"""),"KONEKTOR/JUMPER")</f>
        <v>KONEKTOR/JUMPER</v>
      </c>
      <c r="Q550" s="4">
        <f>IFERROR(__xludf.DUMMYFUNCTION("""COMPUTED_VALUE"""),23.0)</f>
        <v>23</v>
      </c>
      <c r="R550" s="4">
        <f>IFERROR(__xludf.DUMMYFUNCTION("""COMPUTED_VALUE"""),20.0)</f>
        <v>20</v>
      </c>
      <c r="S550" s="4">
        <f>IFERROR(__xludf.DUMMYFUNCTION("""COMPUTED_VALUE"""),21.0)</f>
        <v>21</v>
      </c>
      <c r="T550" s="4"/>
      <c r="U550" s="4" t="str">
        <f>IFERROR(__xludf.DUMMYFUNCTION("""COMPUTED_VALUE"""),"CUKUP")</f>
        <v>CUKUP</v>
      </c>
      <c r="V550" s="4" t="str">
        <f>IFERROR(__xludf.DUMMYFUNCTION("""COMPUTED_VALUE"""),"Tidak Ada")</f>
        <v>Tidak Ada</v>
      </c>
      <c r="W550" s="4"/>
      <c r="X550" s="4"/>
      <c r="Y550" s="4"/>
      <c r="Z550" s="4"/>
      <c r="AA550" s="4"/>
      <c r="AB550" s="4"/>
      <c r="AC550" s="4" t="str">
        <f>IFERROR(__xludf.DUMMYFUNCTION("""COMPUTED_VALUE"""),"INSPEKSI SUTM - T2_Images/70087d36.FOTO.124606.jpg")</f>
        <v>INSPEKSI SUTM - T2_Images/70087d36.FOTO.124606.jpg</v>
      </c>
      <c r="AD550" s="4"/>
      <c r="AE550" s="4"/>
      <c r="AF550" s="4" t="str">
        <f>IFERROR(__xludf.DUMMYFUNCTION("""COMPUTED_VALUE"""),"BELUM")</f>
        <v>BELUM</v>
      </c>
      <c r="AG550" s="6">
        <f>IFERROR(__xludf.DUMMYFUNCTION("""COMPUTED_VALUE"""),46081.0)</f>
        <v>46081</v>
      </c>
      <c r="AH550" s="4"/>
      <c r="AI550" s="4"/>
    </row>
    <row r="551" ht="15.75" customHeight="1">
      <c r="A551" s="4" t="str">
        <f>IFERROR(__xludf.DUMMYFUNCTION("""COMPUTED_VALUE"""),"83d70a1a")</f>
        <v>83d70a1a</v>
      </c>
      <c r="B551" s="5">
        <f>IFERROR(__xludf.DUMMYFUNCTION("""COMPUTED_VALUE"""),46081.82476851852)</f>
        <v>46081.82477</v>
      </c>
      <c r="C551" s="4" t="str">
        <f>IFERROR(__xludf.DUMMYFUNCTION("""COMPUTED_VALUE"""),"-6.913688, 107.695877")</f>
        <v>-6.913688, 107.695877</v>
      </c>
      <c r="D551" s="4" t="str">
        <f>IFERROR(__xludf.DUMMYFUNCTION("""COMPUTED_VALUE"""),"Canra heri")</f>
        <v>Canra heri</v>
      </c>
      <c r="E551" s="4" t="str">
        <f>IFERROR(__xludf.DUMMYFUNCTION("""COMPUTED_VALUE"""),"BANDUNG")</f>
        <v>BANDUNG</v>
      </c>
      <c r="F551" s="4" t="str">
        <f>IFERROR(__xludf.DUMMYFUNCTION("""COMPUTED_VALUE"""),"UJUNGBERUNG")</f>
        <v>UJUNGBERUNG</v>
      </c>
      <c r="G551" s="4" t="str">
        <f>IFERROR(__xludf.DUMMYFUNCTION("""COMPUTED_VALUE"""),"UJUNGBERUNG")</f>
        <v>UJUNGBERUNG</v>
      </c>
      <c r="H551" s="4" t="str">
        <f>IFERROR(__xludf.DUMMYFUNCTION("""COMPUTED_VALUE"""),"UZO")</f>
        <v>UZO</v>
      </c>
      <c r="I551" s="4" t="str">
        <f>IFERROR(__xludf.DUMMYFUNCTION("""COMPUTED_VALUE"""),"GH ZIPUR - LBS PTU")</f>
        <v>GH ZIPUR - LBS PTU</v>
      </c>
      <c r="J551" s="4" t="str">
        <f>IFERROR(__xludf.DUMMYFUNCTION("""COMPUTED_VALUE"""),"ZONA 2")</f>
        <v>ZONA 2</v>
      </c>
      <c r="K551" s="4" t="str">
        <f>IFERROR(__xludf.DUMMYFUNCTION("""COMPUTED_VALUE"""),"005")</f>
        <v>005</v>
      </c>
      <c r="L551" s="4" t="str">
        <f>IFERROR(__xludf.DUMMYFUNCTION("""COMPUTED_VALUE"""),"TM - 1B/H (Tumpu)")</f>
        <v>TM - 1B/H (Tumpu)</v>
      </c>
      <c r="M551" s="4" t="str">
        <f>IFERROR(__xludf.DUMMYFUNCTION("""COMPUTED_VALUE"""),"Tidak Ada")</f>
        <v>Tidak Ada</v>
      </c>
      <c r="N551" s="4"/>
      <c r="O551" s="4" t="str">
        <f>IFERROR(__xludf.DUMMYFUNCTION("""COMPUTED_VALUE"""),"PEMBANDING SEJENIS")</f>
        <v>PEMBANDING SEJENIS</v>
      </c>
      <c r="P551" s="4" t="str">
        <f>IFERROR(__xludf.DUMMYFUNCTION("""COMPUTED_VALUE"""),"ARRESTER")</f>
        <v>ARRESTER</v>
      </c>
      <c r="Q551" s="4">
        <f>IFERROR(__xludf.DUMMYFUNCTION("""COMPUTED_VALUE"""),22.0)</f>
        <v>22</v>
      </c>
      <c r="R551" s="4">
        <f>IFERROR(__xludf.DUMMYFUNCTION("""COMPUTED_VALUE"""),23.0)</f>
        <v>23</v>
      </c>
      <c r="S551" s="4">
        <f>IFERROR(__xludf.DUMMYFUNCTION("""COMPUTED_VALUE"""),24.0)</f>
        <v>24</v>
      </c>
      <c r="T551" s="4"/>
      <c r="U551" s="4" t="str">
        <f>IFERROR(__xludf.DUMMYFUNCTION("""COMPUTED_VALUE"""),"BAIK")</f>
        <v>BAIK</v>
      </c>
      <c r="V551" s="4" t="str">
        <f>IFERROR(__xludf.DUMMYFUNCTION("""COMPUTED_VALUE"""),"Tidak Ada")</f>
        <v>Tidak Ada</v>
      </c>
      <c r="W551" s="4"/>
      <c r="X551" s="4"/>
      <c r="Y551" s="4"/>
      <c r="Z551" s="4"/>
      <c r="AA551" s="4"/>
      <c r="AB551" s="4"/>
      <c r="AC551" s="4" t="str">
        <f>IFERROR(__xludf.DUMMYFUNCTION("""COMPUTED_VALUE"""),"INSPEKSI SUTM - T2_Images/83d70a1a.FOTO.124827.jpg")</f>
        <v>INSPEKSI SUTM - T2_Images/83d70a1a.FOTO.124827.jpg</v>
      </c>
      <c r="AD551" s="4"/>
      <c r="AE551" s="4"/>
      <c r="AF551" s="4" t="str">
        <f>IFERROR(__xludf.DUMMYFUNCTION("""COMPUTED_VALUE"""),"BELUM")</f>
        <v>BELUM</v>
      </c>
      <c r="AG551" s="6">
        <f>IFERROR(__xludf.DUMMYFUNCTION("""COMPUTED_VALUE"""),46081.0)</f>
        <v>46081</v>
      </c>
      <c r="AH551" s="4"/>
      <c r="AI551" s="4"/>
    </row>
    <row r="552" ht="15.75" customHeight="1">
      <c r="A552" s="4" t="str">
        <f>IFERROR(__xludf.DUMMYFUNCTION("""COMPUTED_VALUE"""),"3f7cd474")</f>
        <v>3f7cd474</v>
      </c>
      <c r="B552" s="5">
        <f>IFERROR(__xludf.DUMMYFUNCTION("""COMPUTED_VALUE"""),46081.8265625)</f>
        <v>46081.82656</v>
      </c>
      <c r="C552" s="4" t="str">
        <f>IFERROR(__xludf.DUMMYFUNCTION("""COMPUTED_VALUE"""),"-6.913520, 107.695346")</f>
        <v>-6.913520, 107.695346</v>
      </c>
      <c r="D552" s="4" t="str">
        <f>IFERROR(__xludf.DUMMYFUNCTION("""COMPUTED_VALUE"""),"Canra heei")</f>
        <v>Canra heei</v>
      </c>
      <c r="E552" s="4" t="str">
        <f>IFERROR(__xludf.DUMMYFUNCTION("""COMPUTED_VALUE"""),"BANDUNG")</f>
        <v>BANDUNG</v>
      </c>
      <c r="F552" s="4" t="str">
        <f>IFERROR(__xludf.DUMMYFUNCTION("""COMPUTED_VALUE"""),"UJUNGBERUNG")</f>
        <v>UJUNGBERUNG</v>
      </c>
      <c r="G552" s="4" t="str">
        <f>IFERROR(__xludf.DUMMYFUNCTION("""COMPUTED_VALUE"""),"UJUNGBERUNG")</f>
        <v>UJUNGBERUNG</v>
      </c>
      <c r="H552" s="4" t="str">
        <f>IFERROR(__xludf.DUMMYFUNCTION("""COMPUTED_VALUE"""),"UZO")</f>
        <v>UZO</v>
      </c>
      <c r="I552" s="4" t="str">
        <f>IFERROR(__xludf.DUMMYFUNCTION("""COMPUTED_VALUE"""),"GH ZIPUR - LBS PTU")</f>
        <v>GH ZIPUR - LBS PTU</v>
      </c>
      <c r="J552" s="4" t="str">
        <f>IFERROR(__xludf.DUMMYFUNCTION("""COMPUTED_VALUE"""),"ZONA 2")</f>
        <v>ZONA 2</v>
      </c>
      <c r="K552" s="4" t="str">
        <f>IFERROR(__xludf.DUMMYFUNCTION("""COMPUTED_VALUE"""),"006")</f>
        <v>006</v>
      </c>
      <c r="L552" s="4" t="str">
        <f>IFERROR(__xludf.DUMMYFUNCTION("""COMPUTED_VALUE"""),"TM - 8B/H (Percabangan)")</f>
        <v>TM - 8B/H (Percabangan)</v>
      </c>
      <c r="M552" s="4" t="str">
        <f>IFERROR(__xludf.DUMMYFUNCTION("""COMPUTED_VALUE"""),"Tidak Ada")</f>
        <v>Tidak Ada</v>
      </c>
      <c r="N552" s="4"/>
      <c r="O552" s="4" t="str">
        <f>IFERROR(__xludf.DUMMYFUNCTION("""COMPUTED_VALUE"""),"PEMBANDING SEJENIS")</f>
        <v>PEMBANDING SEJENIS</v>
      </c>
      <c r="P552" s="4" t="str">
        <f>IFERROR(__xludf.DUMMYFUNCTION("""COMPUTED_VALUE"""),"KONEKTOR/JUMPER")</f>
        <v>KONEKTOR/JUMPER</v>
      </c>
      <c r="Q552" s="4">
        <f>IFERROR(__xludf.DUMMYFUNCTION("""COMPUTED_VALUE"""),33.0)</f>
        <v>33</v>
      </c>
      <c r="R552" s="4">
        <f>IFERROR(__xludf.DUMMYFUNCTION("""COMPUTED_VALUE"""),21.0)</f>
        <v>21</v>
      </c>
      <c r="S552" s="4">
        <f>IFERROR(__xludf.DUMMYFUNCTION("""COMPUTED_VALUE"""),27.0)</f>
        <v>27</v>
      </c>
      <c r="T552" s="4"/>
      <c r="U552" s="4" t="str">
        <f>IFERROR(__xludf.DUMMYFUNCTION("""COMPUTED_VALUE"""),"KURANG")</f>
        <v>KURANG</v>
      </c>
      <c r="V552" s="4" t="str">
        <f>IFERROR(__xludf.DUMMYFUNCTION("""COMPUTED_VALUE"""),"Tidak Ada")</f>
        <v>Tidak Ada</v>
      </c>
      <c r="W552" s="4"/>
      <c r="X552" s="4"/>
      <c r="Y552" s="4"/>
      <c r="Z552" s="4"/>
      <c r="AA552" s="4"/>
      <c r="AB552" s="4"/>
      <c r="AC552" s="4" t="str">
        <f>IFERROR(__xludf.DUMMYFUNCTION("""COMPUTED_VALUE"""),"INSPEKSI SUTM - T2_Images/3f7cd474.FOTO.125108.jpg")</f>
        <v>INSPEKSI SUTM - T2_Images/3f7cd474.FOTO.125108.jpg</v>
      </c>
      <c r="AD552" s="4"/>
      <c r="AE552" s="4"/>
      <c r="AF552" s="4" t="str">
        <f>IFERROR(__xludf.DUMMYFUNCTION("""COMPUTED_VALUE"""),"BELUM")</f>
        <v>BELUM</v>
      </c>
      <c r="AG552" s="6">
        <f>IFERROR(__xludf.DUMMYFUNCTION("""COMPUTED_VALUE"""),46081.0)</f>
        <v>46081</v>
      </c>
      <c r="AH552" s="4"/>
      <c r="AI552" s="4"/>
    </row>
    <row r="553" ht="15.75" customHeight="1">
      <c r="A553" s="4" t="str">
        <f>IFERROR(__xludf.DUMMYFUNCTION("""COMPUTED_VALUE"""),"5b5f863c")</f>
        <v>5b5f863c</v>
      </c>
      <c r="B553" s="5">
        <f>IFERROR(__xludf.DUMMYFUNCTION("""COMPUTED_VALUE"""),46081.82777777778)</f>
        <v>46081.82778</v>
      </c>
      <c r="C553" s="4" t="str">
        <f>IFERROR(__xludf.DUMMYFUNCTION("""COMPUTED_VALUE"""),"-6.912520, 107.696255")</f>
        <v>-6.912520, 107.696255</v>
      </c>
      <c r="D553" s="4" t="str">
        <f>IFERROR(__xludf.DUMMYFUNCTION("""COMPUTED_VALUE"""),"Canra heei")</f>
        <v>Canra heei</v>
      </c>
      <c r="E553" s="4" t="str">
        <f>IFERROR(__xludf.DUMMYFUNCTION("""COMPUTED_VALUE"""),"BANDUNG")</f>
        <v>BANDUNG</v>
      </c>
      <c r="F553" s="4" t="str">
        <f>IFERROR(__xludf.DUMMYFUNCTION("""COMPUTED_VALUE"""),"UJUNGBERUNG")</f>
        <v>UJUNGBERUNG</v>
      </c>
      <c r="G553" s="4" t="str">
        <f>IFERROR(__xludf.DUMMYFUNCTION("""COMPUTED_VALUE"""),"UJUNGBERUNG")</f>
        <v>UJUNGBERUNG</v>
      </c>
      <c r="H553" s="4" t="str">
        <f>IFERROR(__xludf.DUMMYFUNCTION("""COMPUTED_VALUE"""),"UZO")</f>
        <v>UZO</v>
      </c>
      <c r="I553" s="4" t="str">
        <f>IFERROR(__xludf.DUMMYFUNCTION("""COMPUTED_VALUE"""),"GH ZIPUR - LBS PTU")</f>
        <v>GH ZIPUR - LBS PTU</v>
      </c>
      <c r="J553" s="4" t="str">
        <f>IFERROR(__xludf.DUMMYFUNCTION("""COMPUTED_VALUE"""),"ZONA 2")</f>
        <v>ZONA 2</v>
      </c>
      <c r="K553" s="4" t="str">
        <f>IFERROR(__xludf.DUMMYFUNCTION("""COMPUTED_VALUE"""),"006R05")</f>
        <v>006R05</v>
      </c>
      <c r="L553" s="4" t="str">
        <f>IFERROR(__xludf.DUMMYFUNCTION("""COMPUTED_VALUE"""),"TM - 7B/H (Afspan 90 Derajat)")</f>
        <v>TM - 7B/H (Afspan 90 Derajat)</v>
      </c>
      <c r="M553" s="4" t="str">
        <f>IFERROR(__xludf.DUMMYFUNCTION("""COMPUTED_VALUE"""),"Tidak Ada")</f>
        <v>Tidak Ada</v>
      </c>
      <c r="N553" s="4"/>
      <c r="O553" s="4" t="str">
        <f>IFERROR(__xludf.DUMMYFUNCTION("""COMPUTED_VALUE"""),"PEMBANDING SEJENIS")</f>
        <v>PEMBANDING SEJENIS</v>
      </c>
      <c r="P553" s="4" t="str">
        <f>IFERROR(__xludf.DUMMYFUNCTION("""COMPUTED_VALUE"""),"KONEKTOR/JUMPER")</f>
        <v>KONEKTOR/JUMPER</v>
      </c>
      <c r="Q553" s="4">
        <f>IFERROR(__xludf.DUMMYFUNCTION("""COMPUTED_VALUE"""),21.0)</f>
        <v>21</v>
      </c>
      <c r="R553" s="4">
        <f>IFERROR(__xludf.DUMMYFUNCTION("""COMPUTED_VALUE"""),24.0)</f>
        <v>24</v>
      </c>
      <c r="S553" s="4">
        <f>IFERROR(__xludf.DUMMYFUNCTION("""COMPUTED_VALUE"""),23.0)</f>
        <v>23</v>
      </c>
      <c r="T553" s="4"/>
      <c r="U553" s="4" t="str">
        <f>IFERROR(__xludf.DUMMYFUNCTION("""COMPUTED_VALUE"""),"CUKUP")</f>
        <v>CUKUP</v>
      </c>
      <c r="V553" s="4" t="str">
        <f>IFERROR(__xludf.DUMMYFUNCTION("""COMPUTED_VALUE"""),"Tidak Ada")</f>
        <v>Tidak Ada</v>
      </c>
      <c r="W553" s="4"/>
      <c r="X553" s="4"/>
      <c r="Y553" s="4"/>
      <c r="Z553" s="4"/>
      <c r="AA553" s="4"/>
      <c r="AB553" s="4"/>
      <c r="AC553" s="4" t="str">
        <f>IFERROR(__xludf.DUMMYFUNCTION("""COMPUTED_VALUE"""),"INSPEKSI SUTM - T2_Images/5b5f863c.FOTO.125249.jpg")</f>
        <v>INSPEKSI SUTM - T2_Images/5b5f863c.FOTO.125249.jpg</v>
      </c>
      <c r="AD553" s="4"/>
      <c r="AE553" s="4"/>
      <c r="AF553" s="4" t="str">
        <f>IFERROR(__xludf.DUMMYFUNCTION("""COMPUTED_VALUE"""),"BELUM")</f>
        <v>BELUM</v>
      </c>
      <c r="AG553" s="6">
        <f>IFERROR(__xludf.DUMMYFUNCTION("""COMPUTED_VALUE"""),46081.0)</f>
        <v>46081</v>
      </c>
      <c r="AH553" s="4"/>
      <c r="AI553" s="4"/>
    </row>
    <row r="554" ht="15.75" customHeight="1">
      <c r="A554" s="4" t="str">
        <f>IFERROR(__xludf.DUMMYFUNCTION("""COMPUTED_VALUE"""),"0c4bccd2")</f>
        <v>0c4bccd2</v>
      </c>
      <c r="B554" s="5">
        <f>IFERROR(__xludf.DUMMYFUNCTION("""COMPUTED_VALUE"""),46081.830416666664)</f>
        <v>46081.83042</v>
      </c>
      <c r="C554" s="4" t="str">
        <f>IFERROR(__xludf.DUMMYFUNCTION("""COMPUTED_VALUE"""),"-6.910788, 107.696318")</f>
        <v>-6.910788, 107.696318</v>
      </c>
      <c r="D554" s="4" t="str">
        <f>IFERROR(__xludf.DUMMYFUNCTION("""COMPUTED_VALUE"""),"Canra heei")</f>
        <v>Canra heei</v>
      </c>
      <c r="E554" s="4" t="str">
        <f>IFERROR(__xludf.DUMMYFUNCTION("""COMPUTED_VALUE"""),"BANDUNG")</f>
        <v>BANDUNG</v>
      </c>
      <c r="F554" s="4" t="str">
        <f>IFERROR(__xludf.DUMMYFUNCTION("""COMPUTED_VALUE"""),"UJUNGBERUNG")</f>
        <v>UJUNGBERUNG</v>
      </c>
      <c r="G554" s="4" t="str">
        <f>IFERROR(__xludf.DUMMYFUNCTION("""COMPUTED_VALUE"""),"UJUNGBERUNG")</f>
        <v>UJUNGBERUNG</v>
      </c>
      <c r="H554" s="4" t="str">
        <f>IFERROR(__xludf.DUMMYFUNCTION("""COMPUTED_VALUE"""),"UZO")</f>
        <v>UZO</v>
      </c>
      <c r="I554" s="4" t="str">
        <f>IFERROR(__xludf.DUMMYFUNCTION("""COMPUTED_VALUE"""),"GH ZIPUR - LBS PTU")</f>
        <v>GH ZIPUR - LBS PTU</v>
      </c>
      <c r="J554" s="4" t="str">
        <f>IFERROR(__xludf.DUMMYFUNCTION("""COMPUTED_VALUE"""),"ZONA 2")</f>
        <v>ZONA 2</v>
      </c>
      <c r="K554" s="4" t="str">
        <f>IFERROR(__xludf.DUMMYFUNCTION("""COMPUTED_VALUE"""),"006R011")</f>
        <v>006R011</v>
      </c>
      <c r="L554" s="4" t="str">
        <f>IFERROR(__xludf.DUMMYFUNCTION("""COMPUTED_VALUE"""),"TM - 4B/H (Afspan)")</f>
        <v>TM - 4B/H (Afspan)</v>
      </c>
      <c r="M554" s="4" t="str">
        <f>IFERROR(__xludf.DUMMYFUNCTION("""COMPUTED_VALUE"""),"Tidak Ada")</f>
        <v>Tidak Ada</v>
      </c>
      <c r="N554" s="4"/>
      <c r="O554" s="4" t="str">
        <f>IFERROR(__xludf.DUMMYFUNCTION("""COMPUTED_VALUE"""),"PEMBANDING SEJENIS")</f>
        <v>PEMBANDING SEJENIS</v>
      </c>
      <c r="P554" s="4" t="str">
        <f>IFERROR(__xludf.DUMMYFUNCTION("""COMPUTED_VALUE"""),"KONEKTOR/JUMPER")</f>
        <v>KONEKTOR/JUMPER</v>
      </c>
      <c r="Q554" s="4">
        <f>IFERROR(__xludf.DUMMYFUNCTION("""COMPUTED_VALUE"""),19.0)</f>
        <v>19</v>
      </c>
      <c r="R554" s="4">
        <f>IFERROR(__xludf.DUMMYFUNCTION("""COMPUTED_VALUE"""),22.0)</f>
        <v>22</v>
      </c>
      <c r="S554" s="4">
        <f>IFERROR(__xludf.DUMMYFUNCTION("""COMPUTED_VALUE"""),20.0)</f>
        <v>20</v>
      </c>
      <c r="T554" s="4"/>
      <c r="U554" s="4" t="str">
        <f>IFERROR(__xludf.DUMMYFUNCTION("""COMPUTED_VALUE"""),"CUKUP")</f>
        <v>CUKUP</v>
      </c>
      <c r="V554" s="4" t="str">
        <f>IFERROR(__xludf.DUMMYFUNCTION("""COMPUTED_VALUE"""),"Tidak Ada")</f>
        <v>Tidak Ada</v>
      </c>
      <c r="W554" s="4"/>
      <c r="X554" s="4"/>
      <c r="Y554" s="4"/>
      <c r="Z554" s="4"/>
      <c r="AA554" s="4"/>
      <c r="AB554" s="4"/>
      <c r="AC554" s="4" t="str">
        <f>IFERROR(__xludf.DUMMYFUNCTION("""COMPUTED_VALUE"""),"INSPEKSI SUTM - T2_Images/0c4bccd2.FOTO.125643.jpg")</f>
        <v>INSPEKSI SUTM - T2_Images/0c4bccd2.FOTO.125643.jpg</v>
      </c>
      <c r="AD554" s="4"/>
      <c r="AE554" s="4"/>
      <c r="AF554" s="4" t="str">
        <f>IFERROR(__xludf.DUMMYFUNCTION("""COMPUTED_VALUE"""),"BELUM")</f>
        <v>BELUM</v>
      </c>
      <c r="AG554" s="6">
        <f>IFERROR(__xludf.DUMMYFUNCTION("""COMPUTED_VALUE"""),46081.0)</f>
        <v>46081</v>
      </c>
      <c r="AH554" s="4"/>
      <c r="AI554" s="4"/>
    </row>
    <row r="555" ht="15.75" customHeight="1">
      <c r="A555" s="4" t="str">
        <f>IFERROR(__xludf.DUMMYFUNCTION("""COMPUTED_VALUE"""),"df206d24")</f>
        <v>df206d24</v>
      </c>
      <c r="B555" s="5">
        <f>IFERROR(__xludf.DUMMYFUNCTION("""COMPUTED_VALUE"""),46081.83193287037)</f>
        <v>46081.83193</v>
      </c>
      <c r="C555" s="4" t="str">
        <f>IFERROR(__xludf.DUMMYFUNCTION("""COMPUTED_VALUE"""),"-6.938783, 107.627131")</f>
        <v>-6.938783, 107.627131</v>
      </c>
      <c r="D555" s="4" t="str">
        <f>IFERROR(__xludf.DUMMYFUNCTION("""COMPUTED_VALUE"""),"Alam deril")</f>
        <v>Alam deril</v>
      </c>
      <c r="E555" s="4" t="str">
        <f>IFERROR(__xludf.DUMMYFUNCTION("""COMPUTED_VALUE"""),"BANDUNG")</f>
        <v>BANDUNG</v>
      </c>
      <c r="F555" s="4" t="str">
        <f>IFERROR(__xludf.DUMMYFUNCTION("""COMPUTED_VALUE"""),"BANDUNG BARAT")</f>
        <v>BANDUNG BARAT</v>
      </c>
      <c r="G555" s="4" t="str">
        <f>IFERROR(__xludf.DUMMYFUNCTION("""COMPUTED_VALUE"""),"CIGERELENG")</f>
        <v>CIGERELENG</v>
      </c>
      <c r="H555" s="4" t="str">
        <f>IFERROR(__xludf.DUMMYFUNCTION("""COMPUTED_VALUE"""),"CBJ")</f>
        <v>CBJ</v>
      </c>
      <c r="I555" s="4" t="str">
        <f>IFERROR(__xludf.DUMMYFUNCTION("""COMPUTED_VALUE"""),"BO - BKCA - LLH")</f>
        <v>BO - BKCA - LLH</v>
      </c>
      <c r="J555" s="4" t="str">
        <f>IFERROR(__xludf.DUMMYFUNCTION("""COMPUTED_VALUE"""),"ZONA 2")</f>
        <v>ZONA 2</v>
      </c>
      <c r="K555" s="4" t="str">
        <f>IFERROR(__xludf.DUMMYFUNCTION("""COMPUTED_VALUE"""),"001")</f>
        <v>001</v>
      </c>
      <c r="L555" s="4" t="str">
        <f>IFERROR(__xludf.DUMMYFUNCTION("""COMPUTED_VALUE"""),"TM - 11B/H (Kabel Naik)")</f>
        <v>TM - 11B/H (Kabel Naik)</v>
      </c>
      <c r="M555" s="4" t="str">
        <f>IFERROR(__xludf.DUMMYFUNCTION("""COMPUTED_VALUE"""),"Tidak Ada")</f>
        <v>Tidak Ada</v>
      </c>
      <c r="N555" s="4"/>
      <c r="O555" s="4" t="str">
        <f>IFERROR(__xludf.DUMMYFUNCTION("""COMPUTED_VALUE"""),"PEMBANDING SEJENIS")</f>
        <v>PEMBANDING SEJENIS</v>
      </c>
      <c r="P555" s="4" t="str">
        <f>IFERROR(__xludf.DUMMYFUNCTION("""COMPUTED_VALUE"""),"KONEKTOR/JUMPER")</f>
        <v>KONEKTOR/JUMPER</v>
      </c>
      <c r="Q555" s="4">
        <f>IFERROR(__xludf.DUMMYFUNCTION("""COMPUTED_VALUE"""),25.0)</f>
        <v>25</v>
      </c>
      <c r="R555" s="4">
        <f>IFERROR(__xludf.DUMMYFUNCTION("""COMPUTED_VALUE"""),26.0)</f>
        <v>26</v>
      </c>
      <c r="S555" s="4">
        <f>IFERROR(__xludf.DUMMYFUNCTION("""COMPUTED_VALUE"""),25.0)</f>
        <v>25</v>
      </c>
      <c r="T555" s="4"/>
      <c r="U555" s="4" t="str">
        <f>IFERROR(__xludf.DUMMYFUNCTION("""COMPUTED_VALUE"""),"BAIK")</f>
        <v>BAIK</v>
      </c>
      <c r="V555" s="4" t="str">
        <f>IFERROR(__xludf.DUMMYFUNCTION("""COMPUTED_VALUE"""),"Tidak Ada")</f>
        <v>Tidak Ada</v>
      </c>
      <c r="W555" s="4"/>
      <c r="X555" s="4"/>
      <c r="Y555" s="4"/>
      <c r="Z555" s="4"/>
      <c r="AA555" s="4"/>
      <c r="AB555" s="4"/>
      <c r="AC555" s="4" t="str">
        <f>IFERROR(__xludf.DUMMYFUNCTION("""COMPUTED_VALUE"""),"INSPEKSI SUTM - T2_Images/df206d24.FOTO.125841.jpg")</f>
        <v>INSPEKSI SUTM - T2_Images/df206d24.FOTO.125841.jpg</v>
      </c>
      <c r="AD555" s="4"/>
      <c r="AE555" s="4"/>
      <c r="AF555" s="4" t="str">
        <f>IFERROR(__xludf.DUMMYFUNCTION("""COMPUTED_VALUE"""),"BELUM")</f>
        <v>BELUM</v>
      </c>
      <c r="AG555" s="6">
        <f>IFERROR(__xludf.DUMMYFUNCTION("""COMPUTED_VALUE"""),46081.0)</f>
        <v>46081</v>
      </c>
      <c r="AH555" s="4"/>
      <c r="AI555" s="4"/>
    </row>
    <row r="556" ht="15.75" customHeight="1">
      <c r="A556" s="4" t="str">
        <f>IFERROR(__xludf.DUMMYFUNCTION("""COMPUTED_VALUE"""),"49aecb36")</f>
        <v>49aecb36</v>
      </c>
      <c r="B556" s="5">
        <f>IFERROR(__xludf.DUMMYFUNCTION("""COMPUTED_VALUE"""),46081.83288194444)</f>
        <v>46081.83288</v>
      </c>
      <c r="C556" s="4" t="str">
        <f>IFERROR(__xludf.DUMMYFUNCTION("""COMPUTED_VALUE"""),"-6.938781, 107.627116")</f>
        <v>-6.938781, 107.627116</v>
      </c>
      <c r="D556" s="4" t="str">
        <f>IFERROR(__xludf.DUMMYFUNCTION("""COMPUTED_VALUE"""),"Alam deril")</f>
        <v>Alam deril</v>
      </c>
      <c r="E556" s="4" t="str">
        <f>IFERROR(__xludf.DUMMYFUNCTION("""COMPUTED_VALUE"""),"BANDUNG")</f>
        <v>BANDUNG</v>
      </c>
      <c r="F556" s="4" t="str">
        <f>IFERROR(__xludf.DUMMYFUNCTION("""COMPUTED_VALUE"""),"BANDUNG BARAT")</f>
        <v>BANDUNG BARAT</v>
      </c>
      <c r="G556" s="4" t="str">
        <f>IFERROR(__xludf.DUMMYFUNCTION("""COMPUTED_VALUE"""),"CIGERELENG")</f>
        <v>CIGERELENG</v>
      </c>
      <c r="H556" s="4" t="str">
        <f>IFERROR(__xludf.DUMMYFUNCTION("""COMPUTED_VALUE"""),"CBJ")</f>
        <v>CBJ</v>
      </c>
      <c r="I556" s="4" t="str">
        <f>IFERROR(__xludf.DUMMYFUNCTION("""COMPUTED_VALUE"""),"BO - BKCA - LLH")</f>
        <v>BO - BKCA - LLH</v>
      </c>
      <c r="J556" s="4" t="str">
        <f>IFERROR(__xludf.DUMMYFUNCTION("""COMPUTED_VALUE"""),"ZONA 2")</f>
        <v>ZONA 2</v>
      </c>
      <c r="K556" s="4" t="str">
        <f>IFERROR(__xludf.DUMMYFUNCTION("""COMPUTED_VALUE"""),"006")</f>
        <v>006</v>
      </c>
      <c r="L556" s="4" t="str">
        <f>IFERROR(__xludf.DUMMYFUNCTION("""COMPUTED_VALUE"""),"TM - 11B/H (Kabel Naik)")</f>
        <v>TM - 11B/H (Kabel Naik)</v>
      </c>
      <c r="M556" s="4" t="str">
        <f>IFERROR(__xludf.DUMMYFUNCTION("""COMPUTED_VALUE"""),"Tidak Ada")</f>
        <v>Tidak Ada</v>
      </c>
      <c r="N556" s="4"/>
      <c r="O556" s="4" t="str">
        <f>IFERROR(__xludf.DUMMYFUNCTION("""COMPUTED_VALUE"""),"PEMBANDING SEJENIS")</f>
        <v>PEMBANDING SEJENIS</v>
      </c>
      <c r="P556" s="4" t="str">
        <f>IFERROR(__xludf.DUMMYFUNCTION("""COMPUTED_VALUE"""),"TERMINASI")</f>
        <v>TERMINASI</v>
      </c>
      <c r="Q556" s="4">
        <f>IFERROR(__xludf.DUMMYFUNCTION("""COMPUTED_VALUE"""),25.0)</f>
        <v>25</v>
      </c>
      <c r="R556" s="4">
        <f>IFERROR(__xludf.DUMMYFUNCTION("""COMPUTED_VALUE"""),24.0)</f>
        <v>24</v>
      </c>
      <c r="S556" s="4">
        <f>IFERROR(__xludf.DUMMYFUNCTION("""COMPUTED_VALUE"""),24.0)</f>
        <v>24</v>
      </c>
      <c r="T556" s="4"/>
      <c r="U556" s="4" t="str">
        <f>IFERROR(__xludf.DUMMYFUNCTION("""COMPUTED_VALUE"""),"BAIK")</f>
        <v>BAIK</v>
      </c>
      <c r="V556" s="4" t="str">
        <f>IFERROR(__xludf.DUMMYFUNCTION("""COMPUTED_VALUE"""),"Tidak Ada")</f>
        <v>Tidak Ada</v>
      </c>
      <c r="W556" s="4"/>
      <c r="X556" s="4"/>
      <c r="Y556" s="4"/>
      <c r="Z556" s="4"/>
      <c r="AA556" s="4"/>
      <c r="AB556" s="4"/>
      <c r="AC556" s="4" t="str">
        <f>IFERROR(__xludf.DUMMYFUNCTION("""COMPUTED_VALUE"""),"INSPEKSI SUTM - T2_Images/49aecb36.FOTO.130010.jpg")</f>
        <v>INSPEKSI SUTM - T2_Images/49aecb36.FOTO.130010.jpg</v>
      </c>
      <c r="AD556" s="4"/>
      <c r="AE556" s="4"/>
      <c r="AF556" s="4" t="str">
        <f>IFERROR(__xludf.DUMMYFUNCTION("""COMPUTED_VALUE"""),"BELUM")</f>
        <v>BELUM</v>
      </c>
      <c r="AG556" s="6">
        <f>IFERROR(__xludf.DUMMYFUNCTION("""COMPUTED_VALUE"""),46081.0)</f>
        <v>46081</v>
      </c>
      <c r="AH556" s="4"/>
      <c r="AI556" s="4"/>
    </row>
    <row r="557" ht="15.75" customHeight="1">
      <c r="A557" s="4" t="str">
        <f>IFERROR(__xludf.DUMMYFUNCTION("""COMPUTED_VALUE"""),"9e7bb3cb")</f>
        <v>9e7bb3cb</v>
      </c>
      <c r="B557" s="5">
        <f>IFERROR(__xludf.DUMMYFUNCTION("""COMPUTED_VALUE"""),46081.83349537037)</f>
        <v>46081.8335</v>
      </c>
      <c r="C557" s="4" t="str">
        <f>IFERROR(__xludf.DUMMYFUNCTION("""COMPUTED_VALUE"""),"-6.938778, 107.627131")</f>
        <v>-6.938778, 107.627131</v>
      </c>
      <c r="D557" s="4" t="str">
        <f>IFERROR(__xludf.DUMMYFUNCTION("""COMPUTED_VALUE"""),"Alam deril")</f>
        <v>Alam deril</v>
      </c>
      <c r="E557" s="4" t="str">
        <f>IFERROR(__xludf.DUMMYFUNCTION("""COMPUTED_VALUE"""),"BANDUNG")</f>
        <v>BANDUNG</v>
      </c>
      <c r="F557" s="4" t="str">
        <f>IFERROR(__xludf.DUMMYFUNCTION("""COMPUTED_VALUE"""),"BANDUNG BARAT")</f>
        <v>BANDUNG BARAT</v>
      </c>
      <c r="G557" s="4" t="str">
        <f>IFERROR(__xludf.DUMMYFUNCTION("""COMPUTED_VALUE"""),"CIGERELENG")</f>
        <v>CIGERELENG</v>
      </c>
      <c r="H557" s="4" t="str">
        <f>IFERROR(__xludf.DUMMYFUNCTION("""COMPUTED_VALUE"""),"CBJ")</f>
        <v>CBJ</v>
      </c>
      <c r="I557" s="4" t="str">
        <f>IFERROR(__xludf.DUMMYFUNCTION("""COMPUTED_VALUE"""),"BO - BKCA - LLH")</f>
        <v>BO - BKCA - LLH</v>
      </c>
      <c r="J557" s="4" t="str">
        <f>IFERROR(__xludf.DUMMYFUNCTION("""COMPUTED_VALUE"""),"ZONA 2")</f>
        <v>ZONA 2</v>
      </c>
      <c r="K557" s="4" t="str">
        <f>IFERROR(__xludf.DUMMYFUNCTION("""COMPUTED_VALUE"""),"007")</f>
        <v>007</v>
      </c>
      <c r="L557" s="4" t="str">
        <f>IFERROR(__xludf.DUMMYFUNCTION("""COMPUTED_VALUE"""),"TM - 8B/H (Percabangan)")</f>
        <v>TM - 8B/H (Percabangan)</v>
      </c>
      <c r="M557" s="4" t="str">
        <f>IFERROR(__xludf.DUMMYFUNCTION("""COMPUTED_VALUE"""),"Tidak Ada")</f>
        <v>Tidak Ada</v>
      </c>
      <c r="N557" s="4"/>
      <c r="O557" s="4" t="str">
        <f>IFERROR(__xludf.DUMMYFUNCTION("""COMPUTED_VALUE"""),"PEMBANDING SEJENIS")</f>
        <v>PEMBANDING SEJENIS</v>
      </c>
      <c r="P557" s="4" t="str">
        <f>IFERROR(__xludf.DUMMYFUNCTION("""COMPUTED_VALUE"""),"KONEKTOR/JUMPER")</f>
        <v>KONEKTOR/JUMPER</v>
      </c>
      <c r="Q557" s="4">
        <f>IFERROR(__xludf.DUMMYFUNCTION("""COMPUTED_VALUE"""),24.0)</f>
        <v>24</v>
      </c>
      <c r="R557" s="4">
        <f>IFERROR(__xludf.DUMMYFUNCTION("""COMPUTED_VALUE"""),24.0)</f>
        <v>24</v>
      </c>
      <c r="S557" s="4">
        <f>IFERROR(__xludf.DUMMYFUNCTION("""COMPUTED_VALUE"""),22.0)</f>
        <v>22</v>
      </c>
      <c r="T557" s="4"/>
      <c r="U557" s="4" t="str">
        <f>IFERROR(__xludf.DUMMYFUNCTION("""COMPUTED_VALUE"""),"BAIK")</f>
        <v>BAIK</v>
      </c>
      <c r="V557" s="4" t="str">
        <f>IFERROR(__xludf.DUMMYFUNCTION("""COMPUTED_VALUE"""),"Tidak Ada")</f>
        <v>Tidak Ada</v>
      </c>
      <c r="W557" s="4"/>
      <c r="X557" s="4"/>
      <c r="Y557" s="4"/>
      <c r="Z557" s="4"/>
      <c r="AA557" s="4"/>
      <c r="AB557" s="4"/>
      <c r="AC557" s="4" t="str">
        <f>IFERROR(__xludf.DUMMYFUNCTION("""COMPUTED_VALUE"""),"INSPEKSI SUTM - T2_Images/9e7bb3cb.FOTO.130057.jpg")</f>
        <v>INSPEKSI SUTM - T2_Images/9e7bb3cb.FOTO.130057.jpg</v>
      </c>
      <c r="AD557" s="4"/>
      <c r="AE557" s="4"/>
      <c r="AF557" s="4" t="str">
        <f>IFERROR(__xludf.DUMMYFUNCTION("""COMPUTED_VALUE"""),"BELUM")</f>
        <v>BELUM</v>
      </c>
      <c r="AG557" s="6">
        <f>IFERROR(__xludf.DUMMYFUNCTION("""COMPUTED_VALUE"""),46081.0)</f>
        <v>46081</v>
      </c>
      <c r="AH557" s="4"/>
      <c r="AI557" s="4"/>
    </row>
    <row r="558" ht="15.75" customHeight="1">
      <c r="A558" s="4" t="str">
        <f>IFERROR(__xludf.DUMMYFUNCTION("""COMPUTED_VALUE"""),"265e67e9")</f>
        <v>265e67e9</v>
      </c>
      <c r="B558" s="5">
        <f>IFERROR(__xludf.DUMMYFUNCTION("""COMPUTED_VALUE"""),46081.834016203706)</f>
        <v>46081.83402</v>
      </c>
      <c r="C558" s="4" t="str">
        <f>IFERROR(__xludf.DUMMYFUNCTION("""COMPUTED_VALUE"""),"-6.938769, 107.627128")</f>
        <v>-6.938769, 107.627128</v>
      </c>
      <c r="D558" s="4" t="str">
        <f>IFERROR(__xludf.DUMMYFUNCTION("""COMPUTED_VALUE"""),"Alam deril")</f>
        <v>Alam deril</v>
      </c>
      <c r="E558" s="4" t="str">
        <f>IFERROR(__xludf.DUMMYFUNCTION("""COMPUTED_VALUE"""),"BANDUNG")</f>
        <v>BANDUNG</v>
      </c>
      <c r="F558" s="4" t="str">
        <f>IFERROR(__xludf.DUMMYFUNCTION("""COMPUTED_VALUE"""),"BANDUNG BARAT")</f>
        <v>BANDUNG BARAT</v>
      </c>
      <c r="G558" s="4" t="str">
        <f>IFERROR(__xludf.DUMMYFUNCTION("""COMPUTED_VALUE"""),"CIGERELENG")</f>
        <v>CIGERELENG</v>
      </c>
      <c r="H558" s="4" t="str">
        <f>IFERROR(__xludf.DUMMYFUNCTION("""COMPUTED_VALUE"""),"CBJ")</f>
        <v>CBJ</v>
      </c>
      <c r="I558" s="4" t="str">
        <f>IFERROR(__xludf.DUMMYFUNCTION("""COMPUTED_VALUE"""),"BO - BKCA - LLH")</f>
        <v>BO - BKCA - LLH</v>
      </c>
      <c r="J558" s="4" t="str">
        <f>IFERROR(__xludf.DUMMYFUNCTION("""COMPUTED_VALUE"""),"ZONA 2")</f>
        <v>ZONA 2</v>
      </c>
      <c r="K558" s="4" t="str">
        <f>IFERROR(__xludf.DUMMYFUNCTION("""COMPUTED_VALUE"""),"011")</f>
        <v>011</v>
      </c>
      <c r="L558" s="4" t="str">
        <f>IFERROR(__xludf.DUMMYFUNCTION("""COMPUTED_VALUE"""),"TM - 4B/H (Afspan)")</f>
        <v>TM - 4B/H (Afspan)</v>
      </c>
      <c r="M558" s="4" t="str">
        <f>IFERROR(__xludf.DUMMYFUNCTION("""COMPUTED_VALUE"""),"Tidak Ada")</f>
        <v>Tidak Ada</v>
      </c>
      <c r="N558" s="4"/>
      <c r="O558" s="4" t="str">
        <f>IFERROR(__xludf.DUMMYFUNCTION("""COMPUTED_VALUE"""),"PEMBANDING SEJENIS")</f>
        <v>PEMBANDING SEJENIS</v>
      </c>
      <c r="P558" s="4" t="str">
        <f>IFERROR(__xludf.DUMMYFUNCTION("""COMPUTED_VALUE"""),"KONEKTOR/JUMPER")</f>
        <v>KONEKTOR/JUMPER</v>
      </c>
      <c r="Q558" s="4">
        <f>IFERROR(__xludf.DUMMYFUNCTION("""COMPUTED_VALUE"""),24.0)</f>
        <v>24</v>
      </c>
      <c r="R558" s="4">
        <f>IFERROR(__xludf.DUMMYFUNCTION("""COMPUTED_VALUE"""),24.0)</f>
        <v>24</v>
      </c>
      <c r="S558" s="4">
        <f>IFERROR(__xludf.DUMMYFUNCTION("""COMPUTED_VALUE"""),24.0)</f>
        <v>24</v>
      </c>
      <c r="T558" s="4"/>
      <c r="U558" s="4" t="str">
        <f>IFERROR(__xludf.DUMMYFUNCTION("""COMPUTED_VALUE"""),"BAIK")</f>
        <v>BAIK</v>
      </c>
      <c r="V558" s="4" t="str">
        <f>IFERROR(__xludf.DUMMYFUNCTION("""COMPUTED_VALUE"""),"Tidak Ada")</f>
        <v>Tidak Ada</v>
      </c>
      <c r="W558" s="4"/>
      <c r="X558" s="4"/>
      <c r="Y558" s="4"/>
      <c r="Z558" s="4"/>
      <c r="AA558" s="4"/>
      <c r="AB558" s="4"/>
      <c r="AC558" s="4" t="str">
        <f>IFERROR(__xludf.DUMMYFUNCTION("""COMPUTED_VALUE"""),"INSPEKSI SUTM - T2_Images/265e67e9.FOTO.130135.jpg")</f>
        <v>INSPEKSI SUTM - T2_Images/265e67e9.FOTO.130135.jpg</v>
      </c>
      <c r="AD558" s="4"/>
      <c r="AE558" s="4"/>
      <c r="AF558" s="4" t="str">
        <f>IFERROR(__xludf.DUMMYFUNCTION("""COMPUTED_VALUE"""),"BELUM")</f>
        <v>BELUM</v>
      </c>
      <c r="AG558" s="6">
        <f>IFERROR(__xludf.DUMMYFUNCTION("""COMPUTED_VALUE"""),46081.0)</f>
        <v>46081</v>
      </c>
      <c r="AH558" s="4"/>
      <c r="AI558" s="4"/>
    </row>
    <row r="559" ht="15.75" customHeight="1">
      <c r="A559" s="4" t="str">
        <f>IFERROR(__xludf.DUMMYFUNCTION("""COMPUTED_VALUE"""),"14fbc99e")</f>
        <v>14fbc99e</v>
      </c>
      <c r="B559" s="5">
        <f>IFERROR(__xludf.DUMMYFUNCTION("""COMPUTED_VALUE"""),46081.83552083333)</f>
        <v>46081.83552</v>
      </c>
      <c r="C559" s="4" t="str">
        <f>IFERROR(__xludf.DUMMYFUNCTION("""COMPUTED_VALUE"""),"-6.938789, 107.627114")</f>
        <v>-6.938789, 107.627114</v>
      </c>
      <c r="D559" s="4" t="str">
        <f>IFERROR(__xludf.DUMMYFUNCTION("""COMPUTED_VALUE"""),"Alam deril")</f>
        <v>Alam deril</v>
      </c>
      <c r="E559" s="4" t="str">
        <f>IFERROR(__xludf.DUMMYFUNCTION("""COMPUTED_VALUE"""),"BANDUNG")</f>
        <v>BANDUNG</v>
      </c>
      <c r="F559" s="4" t="str">
        <f>IFERROR(__xludf.DUMMYFUNCTION("""COMPUTED_VALUE"""),"BANDUNG BARAT")</f>
        <v>BANDUNG BARAT</v>
      </c>
      <c r="G559" s="4" t="str">
        <f>IFERROR(__xludf.DUMMYFUNCTION("""COMPUTED_VALUE"""),"CIGERELENG")</f>
        <v>CIGERELENG</v>
      </c>
      <c r="H559" s="4" t="str">
        <f>IFERROR(__xludf.DUMMYFUNCTION("""COMPUTED_VALUE"""),"CBJ")</f>
        <v>CBJ</v>
      </c>
      <c r="I559" s="4" t="str">
        <f>IFERROR(__xludf.DUMMYFUNCTION("""COMPUTED_VALUE"""),"BO - BKCA - LLH")</f>
        <v>BO - BKCA - LLH</v>
      </c>
      <c r="J559" s="4" t="str">
        <f>IFERROR(__xludf.DUMMYFUNCTION("""COMPUTED_VALUE"""),"ZONA 2")</f>
        <v>ZONA 2</v>
      </c>
      <c r="K559" s="4" t="str">
        <f>IFERROR(__xludf.DUMMYFUNCTION("""COMPUTED_VALUE"""),"017L03")</f>
        <v>017L03</v>
      </c>
      <c r="L559" s="4" t="str">
        <f>IFERROR(__xludf.DUMMYFUNCTION("""COMPUTED_VALUE"""),"TM - 13B/H (Kabel Naik Pada Tiang Tumpu)")</f>
        <v>TM - 13B/H (Kabel Naik Pada Tiang Tumpu)</v>
      </c>
      <c r="M559" s="4" t="str">
        <f>IFERROR(__xludf.DUMMYFUNCTION("""COMPUTED_VALUE"""),"Tidak Ada")</f>
        <v>Tidak Ada</v>
      </c>
      <c r="N559" s="4"/>
      <c r="O559" s="4" t="str">
        <f>IFERROR(__xludf.DUMMYFUNCTION("""COMPUTED_VALUE"""),"PEMBANDING SEJENIS")</f>
        <v>PEMBANDING SEJENIS</v>
      </c>
      <c r="P559" s="4" t="str">
        <f>IFERROR(__xludf.DUMMYFUNCTION("""COMPUTED_VALUE"""),"TERMINASI")</f>
        <v>TERMINASI</v>
      </c>
      <c r="Q559" s="4">
        <f>IFERROR(__xludf.DUMMYFUNCTION("""COMPUTED_VALUE"""),25.0)</f>
        <v>25</v>
      </c>
      <c r="R559" s="4">
        <f>IFERROR(__xludf.DUMMYFUNCTION("""COMPUTED_VALUE"""),25.0)</f>
        <v>25</v>
      </c>
      <c r="S559" s="4">
        <f>IFERROR(__xludf.DUMMYFUNCTION("""COMPUTED_VALUE"""),25.0)</f>
        <v>25</v>
      </c>
      <c r="T559" s="4"/>
      <c r="U559" s="4" t="str">
        <f>IFERROR(__xludf.DUMMYFUNCTION("""COMPUTED_VALUE"""),"BAIK")</f>
        <v>BAIK</v>
      </c>
      <c r="V559" s="4" t="str">
        <f>IFERROR(__xludf.DUMMYFUNCTION("""COMPUTED_VALUE"""),"Tidak Ada")</f>
        <v>Tidak Ada</v>
      </c>
      <c r="W559" s="4"/>
      <c r="X559" s="4"/>
      <c r="Y559" s="4"/>
      <c r="Z559" s="4"/>
      <c r="AA559" s="4"/>
      <c r="AB559" s="4"/>
      <c r="AC559" s="4" t="str">
        <f>IFERROR(__xludf.DUMMYFUNCTION("""COMPUTED_VALUE"""),"INSPEKSI SUTM - T2_Images/14fbc99e.FOTO.130400.jpg")</f>
        <v>INSPEKSI SUTM - T2_Images/14fbc99e.FOTO.130400.jpg</v>
      </c>
      <c r="AD559" s="4"/>
      <c r="AE559" s="4"/>
      <c r="AF559" s="4" t="str">
        <f>IFERROR(__xludf.DUMMYFUNCTION("""COMPUTED_VALUE"""),"BELUM")</f>
        <v>BELUM</v>
      </c>
      <c r="AG559" s="6">
        <f>IFERROR(__xludf.DUMMYFUNCTION("""COMPUTED_VALUE"""),46081.0)</f>
        <v>46081</v>
      </c>
      <c r="AH559" s="4"/>
      <c r="AI559" s="4"/>
    </row>
    <row r="560" ht="15.75" customHeight="1">
      <c r="A560" s="4" t="str">
        <f>IFERROR(__xludf.DUMMYFUNCTION("""COMPUTED_VALUE"""),"f7f014c5")</f>
        <v>f7f014c5</v>
      </c>
      <c r="B560" s="5">
        <f>IFERROR(__xludf.DUMMYFUNCTION("""COMPUTED_VALUE"""),46081.836909722224)</f>
        <v>46081.83691</v>
      </c>
      <c r="C560" s="4" t="str">
        <f>IFERROR(__xludf.DUMMYFUNCTION("""COMPUTED_VALUE"""),"-6.938774, 107.627108")</f>
        <v>-6.938774, 107.627108</v>
      </c>
      <c r="D560" s="4" t="str">
        <f>IFERROR(__xludf.DUMMYFUNCTION("""COMPUTED_VALUE"""),"Alam deril")</f>
        <v>Alam deril</v>
      </c>
      <c r="E560" s="4" t="str">
        <f>IFERROR(__xludf.DUMMYFUNCTION("""COMPUTED_VALUE"""),"BANDUNG")</f>
        <v>BANDUNG</v>
      </c>
      <c r="F560" s="4" t="str">
        <f>IFERROR(__xludf.DUMMYFUNCTION("""COMPUTED_VALUE"""),"BANDUNG BARAT")</f>
        <v>BANDUNG BARAT</v>
      </c>
      <c r="G560" s="4" t="str">
        <f>IFERROR(__xludf.DUMMYFUNCTION("""COMPUTED_VALUE"""),"CIGERELENG")</f>
        <v>CIGERELENG</v>
      </c>
      <c r="H560" s="4" t="str">
        <f>IFERROR(__xludf.DUMMYFUNCTION("""COMPUTED_VALUE"""),"CBJ")</f>
        <v>CBJ</v>
      </c>
      <c r="I560" s="4" t="str">
        <f>IFERROR(__xludf.DUMMYFUNCTION("""COMPUTED_VALUE"""),"BO - BKCA - LLH")</f>
        <v>BO - BKCA - LLH</v>
      </c>
      <c r="J560" s="4" t="str">
        <f>IFERROR(__xludf.DUMMYFUNCTION("""COMPUTED_VALUE"""),"ZONA 2")</f>
        <v>ZONA 2</v>
      </c>
      <c r="K560" s="4" t="str">
        <f>IFERROR(__xludf.DUMMYFUNCTION("""COMPUTED_VALUE"""),"012")</f>
        <v>012</v>
      </c>
      <c r="L560" s="4" t="str">
        <f>IFERROR(__xludf.DUMMYFUNCTION("""COMPUTED_VALUE"""),"TM - 4B/H (Afspan)")</f>
        <v>TM - 4B/H (Afspan)</v>
      </c>
      <c r="M560" s="4" t="str">
        <f>IFERROR(__xludf.DUMMYFUNCTION("""COMPUTED_VALUE"""),"Tidak Ada")</f>
        <v>Tidak Ada</v>
      </c>
      <c r="N560" s="4"/>
      <c r="O560" s="4" t="str">
        <f>IFERROR(__xludf.DUMMYFUNCTION("""COMPUTED_VALUE"""),"PEMBANDING SEJENIS")</f>
        <v>PEMBANDING SEJENIS</v>
      </c>
      <c r="P560" s="4" t="str">
        <f>IFERROR(__xludf.DUMMYFUNCTION("""COMPUTED_VALUE"""),"KONEKTOR/JUMPER")</f>
        <v>KONEKTOR/JUMPER</v>
      </c>
      <c r="Q560" s="4">
        <f>IFERROR(__xludf.DUMMYFUNCTION("""COMPUTED_VALUE"""),24.0)</f>
        <v>24</v>
      </c>
      <c r="R560" s="4">
        <f>IFERROR(__xludf.DUMMYFUNCTION("""COMPUTED_VALUE"""),24.0)</f>
        <v>24</v>
      </c>
      <c r="S560" s="4">
        <f>IFERROR(__xludf.DUMMYFUNCTION("""COMPUTED_VALUE"""),24.0)</f>
        <v>24</v>
      </c>
      <c r="T560" s="4"/>
      <c r="U560" s="4" t="str">
        <f>IFERROR(__xludf.DUMMYFUNCTION("""COMPUTED_VALUE"""),"BAIK")</f>
        <v>BAIK</v>
      </c>
      <c r="V560" s="4" t="str">
        <f>IFERROR(__xludf.DUMMYFUNCTION("""COMPUTED_VALUE"""),"Tidak Ada")</f>
        <v>Tidak Ada</v>
      </c>
      <c r="W560" s="4"/>
      <c r="X560" s="4"/>
      <c r="Y560" s="4"/>
      <c r="Z560" s="4"/>
      <c r="AA560" s="4"/>
      <c r="AB560" s="4"/>
      <c r="AC560" s="4" t="str">
        <f>IFERROR(__xludf.DUMMYFUNCTION("""COMPUTED_VALUE"""),"INSPEKSI SUTM - T2_Images/f7f014c5.FOTO.130548.jpg")</f>
        <v>INSPEKSI SUTM - T2_Images/f7f014c5.FOTO.130548.jpg</v>
      </c>
      <c r="AD560" s="4"/>
      <c r="AE560" s="4"/>
      <c r="AF560" s="4" t="str">
        <f>IFERROR(__xludf.DUMMYFUNCTION("""COMPUTED_VALUE"""),"BELUM")</f>
        <v>BELUM</v>
      </c>
      <c r="AG560" s="6">
        <f>IFERROR(__xludf.DUMMYFUNCTION("""COMPUTED_VALUE"""),46081.0)</f>
        <v>46081</v>
      </c>
      <c r="AH560" s="4"/>
      <c r="AI560" s="4"/>
    </row>
    <row r="561" ht="15.75" customHeight="1">
      <c r="A561" s="4" t="str">
        <f>IFERROR(__xludf.DUMMYFUNCTION("""COMPUTED_VALUE"""),"1b9b9bb8")</f>
        <v>1b9b9bb8</v>
      </c>
      <c r="B561" s="5">
        <f>IFERROR(__xludf.DUMMYFUNCTION("""COMPUTED_VALUE"""),46081.83741898148)</f>
        <v>46081.83742</v>
      </c>
      <c r="C561" s="4" t="str">
        <f>IFERROR(__xludf.DUMMYFUNCTION("""COMPUTED_VALUE"""),"-6.938788, 107.627129")</f>
        <v>-6.938788, 107.627129</v>
      </c>
      <c r="D561" s="4" t="str">
        <f>IFERROR(__xludf.DUMMYFUNCTION("""COMPUTED_VALUE"""),"Alam deril")</f>
        <v>Alam deril</v>
      </c>
      <c r="E561" s="4" t="str">
        <f>IFERROR(__xludf.DUMMYFUNCTION("""COMPUTED_VALUE"""),"BANDUNG")</f>
        <v>BANDUNG</v>
      </c>
      <c r="F561" s="4" t="str">
        <f>IFERROR(__xludf.DUMMYFUNCTION("""COMPUTED_VALUE"""),"BANDUNG BARAT")</f>
        <v>BANDUNG BARAT</v>
      </c>
      <c r="G561" s="4" t="str">
        <f>IFERROR(__xludf.DUMMYFUNCTION("""COMPUTED_VALUE"""),"CIGERELENG")</f>
        <v>CIGERELENG</v>
      </c>
      <c r="H561" s="4" t="str">
        <f>IFERROR(__xludf.DUMMYFUNCTION("""COMPUTED_VALUE"""),"CBJ")</f>
        <v>CBJ</v>
      </c>
      <c r="I561" s="4" t="str">
        <f>IFERROR(__xludf.DUMMYFUNCTION("""COMPUTED_VALUE"""),"BO - BKCA - LLH")</f>
        <v>BO - BKCA - LLH</v>
      </c>
      <c r="J561" s="4" t="str">
        <f>IFERROR(__xludf.DUMMYFUNCTION("""COMPUTED_VALUE"""),"ZONA 2")</f>
        <v>ZONA 2</v>
      </c>
      <c r="K561" s="4" t="str">
        <f>IFERROR(__xludf.DUMMYFUNCTION("""COMPUTED_VALUE"""),"015")</f>
        <v>015</v>
      </c>
      <c r="L561" s="4" t="str">
        <f>IFERROR(__xludf.DUMMYFUNCTION("""COMPUTED_VALUE"""),"TM - 11B/H (Kabel Naik)")</f>
        <v>TM - 11B/H (Kabel Naik)</v>
      </c>
      <c r="M561" s="4" t="str">
        <f>IFERROR(__xludf.DUMMYFUNCTION("""COMPUTED_VALUE"""),"Tidak Ada")</f>
        <v>Tidak Ada</v>
      </c>
      <c r="N561" s="4"/>
      <c r="O561" s="4" t="str">
        <f>IFERROR(__xludf.DUMMYFUNCTION("""COMPUTED_VALUE"""),"PEMBANDING SEJENIS")</f>
        <v>PEMBANDING SEJENIS</v>
      </c>
      <c r="P561" s="4" t="str">
        <f>IFERROR(__xludf.DUMMYFUNCTION("""COMPUTED_VALUE"""),"TERMINASI")</f>
        <v>TERMINASI</v>
      </c>
      <c r="Q561" s="4">
        <f>IFERROR(__xludf.DUMMYFUNCTION("""COMPUTED_VALUE"""),25.0)</f>
        <v>25</v>
      </c>
      <c r="R561" s="4">
        <f>IFERROR(__xludf.DUMMYFUNCTION("""COMPUTED_VALUE"""),25.0)</f>
        <v>25</v>
      </c>
      <c r="S561" s="4">
        <f>IFERROR(__xludf.DUMMYFUNCTION("""COMPUTED_VALUE"""),25.0)</f>
        <v>25</v>
      </c>
      <c r="T561" s="4"/>
      <c r="U561" s="4" t="str">
        <f>IFERROR(__xludf.DUMMYFUNCTION("""COMPUTED_VALUE"""),"BAIK")</f>
        <v>BAIK</v>
      </c>
      <c r="V561" s="4" t="str">
        <f>IFERROR(__xludf.DUMMYFUNCTION("""COMPUTED_VALUE"""),"Tidak Ada")</f>
        <v>Tidak Ada</v>
      </c>
      <c r="W561" s="4"/>
      <c r="X561" s="4"/>
      <c r="Y561" s="4"/>
      <c r="Z561" s="4"/>
      <c r="AA561" s="4"/>
      <c r="AB561" s="4"/>
      <c r="AC561" s="4" t="str">
        <f>IFERROR(__xludf.DUMMYFUNCTION("""COMPUTED_VALUE"""),"INSPEKSI SUTM - T2_Images/1b9b9bb8.FOTO.130633.jpg")</f>
        <v>INSPEKSI SUTM - T2_Images/1b9b9bb8.FOTO.130633.jpg</v>
      </c>
      <c r="AD561" s="4"/>
      <c r="AE561" s="4"/>
      <c r="AF561" s="4" t="str">
        <f>IFERROR(__xludf.DUMMYFUNCTION("""COMPUTED_VALUE"""),"BELUM")</f>
        <v>BELUM</v>
      </c>
      <c r="AG561" s="6">
        <f>IFERROR(__xludf.DUMMYFUNCTION("""COMPUTED_VALUE"""),46081.0)</f>
        <v>46081</v>
      </c>
      <c r="AH561" s="4"/>
      <c r="AI561" s="4"/>
    </row>
    <row r="562" ht="15.75" customHeight="1">
      <c r="A562" s="4" t="str">
        <f>IFERROR(__xludf.DUMMYFUNCTION("""COMPUTED_VALUE"""),"9d3d9e50")</f>
        <v>9d3d9e50</v>
      </c>
      <c r="B562" s="5">
        <f>IFERROR(__xludf.DUMMYFUNCTION("""COMPUTED_VALUE"""),46081.838171296295)</f>
        <v>46081.83817</v>
      </c>
      <c r="C562" s="4" t="str">
        <f>IFERROR(__xludf.DUMMYFUNCTION("""COMPUTED_VALUE"""),"-6.938787, 107.627118")</f>
        <v>-6.938787, 107.627118</v>
      </c>
      <c r="D562" s="4" t="str">
        <f>IFERROR(__xludf.DUMMYFUNCTION("""COMPUTED_VALUE"""),"Alam deril")</f>
        <v>Alam deril</v>
      </c>
      <c r="E562" s="4" t="str">
        <f>IFERROR(__xludf.DUMMYFUNCTION("""COMPUTED_VALUE"""),"BANDUNG")</f>
        <v>BANDUNG</v>
      </c>
      <c r="F562" s="4" t="str">
        <f>IFERROR(__xludf.DUMMYFUNCTION("""COMPUTED_VALUE"""),"BANDUNG BARAT")</f>
        <v>BANDUNG BARAT</v>
      </c>
      <c r="G562" s="4" t="str">
        <f>IFERROR(__xludf.DUMMYFUNCTION("""COMPUTED_VALUE"""),"CIGERELENG")</f>
        <v>CIGERELENG</v>
      </c>
      <c r="H562" s="4" t="str">
        <f>IFERROR(__xludf.DUMMYFUNCTION("""COMPUTED_VALUE"""),"CBJ")</f>
        <v>CBJ</v>
      </c>
      <c r="I562" s="4" t="str">
        <f>IFERROR(__xludf.DUMMYFUNCTION("""COMPUTED_VALUE"""),"BO - BKCA - LLH")</f>
        <v>BO - BKCA - LLH</v>
      </c>
      <c r="J562" s="4" t="str">
        <f>IFERROR(__xludf.DUMMYFUNCTION("""COMPUTED_VALUE"""),"ZONA 2")</f>
        <v>ZONA 2</v>
      </c>
      <c r="K562" s="4" t="str">
        <f>IFERROR(__xludf.DUMMYFUNCTION("""COMPUTED_VALUE"""),"016")</f>
        <v>016</v>
      </c>
      <c r="L562" s="4" t="str">
        <f>IFERROR(__xludf.DUMMYFUNCTION("""COMPUTED_VALUE"""),"TM - 7B/H (Afspan 90 Derajat)")</f>
        <v>TM - 7B/H (Afspan 90 Derajat)</v>
      </c>
      <c r="M562" s="4" t="str">
        <f>IFERROR(__xludf.DUMMYFUNCTION("""COMPUTED_VALUE"""),"Tidak Ada")</f>
        <v>Tidak Ada</v>
      </c>
      <c r="N562" s="4"/>
      <c r="O562" s="4" t="str">
        <f>IFERROR(__xludf.DUMMYFUNCTION("""COMPUTED_VALUE"""),"PEMBANDING SEJENIS")</f>
        <v>PEMBANDING SEJENIS</v>
      </c>
      <c r="P562" s="4" t="str">
        <f>IFERROR(__xludf.DUMMYFUNCTION("""COMPUTED_VALUE"""),"KONEKTOR/JUMPER")</f>
        <v>KONEKTOR/JUMPER</v>
      </c>
      <c r="Q562" s="4">
        <f>IFERROR(__xludf.DUMMYFUNCTION("""COMPUTED_VALUE"""),25.0)</f>
        <v>25</v>
      </c>
      <c r="R562" s="4">
        <f>IFERROR(__xludf.DUMMYFUNCTION("""COMPUTED_VALUE"""),25.0)</f>
        <v>25</v>
      </c>
      <c r="S562" s="4">
        <f>IFERROR(__xludf.DUMMYFUNCTION("""COMPUTED_VALUE"""),25.0)</f>
        <v>25</v>
      </c>
      <c r="T562" s="4"/>
      <c r="U562" s="4" t="str">
        <f>IFERROR(__xludf.DUMMYFUNCTION("""COMPUTED_VALUE"""),"BAIK")</f>
        <v>BAIK</v>
      </c>
      <c r="V562" s="4" t="str">
        <f>IFERROR(__xludf.DUMMYFUNCTION("""COMPUTED_VALUE"""),"Tidak Ada")</f>
        <v>Tidak Ada</v>
      </c>
      <c r="W562" s="4"/>
      <c r="X562" s="4"/>
      <c r="Y562" s="4"/>
      <c r="Z562" s="4"/>
      <c r="AA562" s="4"/>
      <c r="AB562" s="4"/>
      <c r="AC562" s="4" t="str">
        <f>IFERROR(__xludf.DUMMYFUNCTION("""COMPUTED_VALUE"""),"INSPEKSI SUTM - T2_Images/9d3d9e50.FOTO.130728.jpg")</f>
        <v>INSPEKSI SUTM - T2_Images/9d3d9e50.FOTO.130728.jpg</v>
      </c>
      <c r="AD562" s="4"/>
      <c r="AE562" s="4"/>
      <c r="AF562" s="4" t="str">
        <f>IFERROR(__xludf.DUMMYFUNCTION("""COMPUTED_VALUE"""),"BELUM")</f>
        <v>BELUM</v>
      </c>
      <c r="AG562" s="6">
        <f>IFERROR(__xludf.DUMMYFUNCTION("""COMPUTED_VALUE"""),46081.0)</f>
        <v>46081</v>
      </c>
      <c r="AH562" s="4"/>
      <c r="AI562" s="4"/>
    </row>
    <row r="563" ht="15.75" customHeight="1">
      <c r="A563" s="4" t="str">
        <f>IFERROR(__xludf.DUMMYFUNCTION("""COMPUTED_VALUE"""),"271b4961")</f>
        <v>271b4961</v>
      </c>
      <c r="B563" s="5">
        <f>IFERROR(__xludf.DUMMYFUNCTION("""COMPUTED_VALUE"""),46081.83908564815)</f>
        <v>46081.83909</v>
      </c>
      <c r="C563" s="4" t="str">
        <f>IFERROR(__xludf.DUMMYFUNCTION("""COMPUTED_VALUE"""),"-6.938783, 107.627116")</f>
        <v>-6.938783, 107.627116</v>
      </c>
      <c r="D563" s="4" t="str">
        <f>IFERROR(__xludf.DUMMYFUNCTION("""COMPUTED_VALUE"""),"Alam deril")</f>
        <v>Alam deril</v>
      </c>
      <c r="E563" s="4" t="str">
        <f>IFERROR(__xludf.DUMMYFUNCTION("""COMPUTED_VALUE"""),"BANDUNG")</f>
        <v>BANDUNG</v>
      </c>
      <c r="F563" s="4" t="str">
        <f>IFERROR(__xludf.DUMMYFUNCTION("""COMPUTED_VALUE"""),"BANDUNG BARAT")</f>
        <v>BANDUNG BARAT</v>
      </c>
      <c r="G563" s="4" t="str">
        <f>IFERROR(__xludf.DUMMYFUNCTION("""COMPUTED_VALUE"""),"CIGERELENG")</f>
        <v>CIGERELENG</v>
      </c>
      <c r="H563" s="4" t="str">
        <f>IFERROR(__xludf.DUMMYFUNCTION("""COMPUTED_VALUE"""),"CBJ")</f>
        <v>CBJ</v>
      </c>
      <c r="I563" s="4" t="str">
        <f>IFERROR(__xludf.DUMMYFUNCTION("""COMPUTED_VALUE"""),"BO - BKCA - LLH")</f>
        <v>BO - BKCA - LLH</v>
      </c>
      <c r="J563" s="4" t="str">
        <f>IFERROR(__xludf.DUMMYFUNCTION("""COMPUTED_VALUE"""),"ZONA 2")</f>
        <v>ZONA 2</v>
      </c>
      <c r="K563" s="4" t="str">
        <f>IFERROR(__xludf.DUMMYFUNCTION("""COMPUTED_VALUE"""),"017")</f>
        <v>017</v>
      </c>
      <c r="L563" s="4" t="str">
        <f>IFERROR(__xludf.DUMMYFUNCTION("""COMPUTED_VALUE"""),"TM - 7B/H (Afspan 90 Derajat)")</f>
        <v>TM - 7B/H (Afspan 90 Derajat)</v>
      </c>
      <c r="M563" s="4" t="str">
        <f>IFERROR(__xludf.DUMMYFUNCTION("""COMPUTED_VALUE"""),"Tidak Ada")</f>
        <v>Tidak Ada</v>
      </c>
      <c r="N563" s="4"/>
      <c r="O563" s="4" t="str">
        <f>IFERROR(__xludf.DUMMYFUNCTION("""COMPUTED_VALUE"""),"PEMBANDING SEJENIS")</f>
        <v>PEMBANDING SEJENIS</v>
      </c>
      <c r="P563" s="4" t="str">
        <f>IFERROR(__xludf.DUMMYFUNCTION("""COMPUTED_VALUE"""),"KONEKTOR/JUMPER")</f>
        <v>KONEKTOR/JUMPER</v>
      </c>
      <c r="Q563" s="4">
        <f>IFERROR(__xludf.DUMMYFUNCTION("""COMPUTED_VALUE"""),24.0)</f>
        <v>24</v>
      </c>
      <c r="R563" s="4">
        <f>IFERROR(__xludf.DUMMYFUNCTION("""COMPUTED_VALUE"""),24.0)</f>
        <v>24</v>
      </c>
      <c r="S563" s="4">
        <f>IFERROR(__xludf.DUMMYFUNCTION("""COMPUTED_VALUE"""),24.0)</f>
        <v>24</v>
      </c>
      <c r="T563" s="4"/>
      <c r="U563" s="4" t="str">
        <f>IFERROR(__xludf.DUMMYFUNCTION("""COMPUTED_VALUE"""),"BAIK")</f>
        <v>BAIK</v>
      </c>
      <c r="V563" s="4" t="str">
        <f>IFERROR(__xludf.DUMMYFUNCTION("""COMPUTED_VALUE"""),"Tidak Ada")</f>
        <v>Tidak Ada</v>
      </c>
      <c r="W563" s="4"/>
      <c r="X563" s="4"/>
      <c r="Y563" s="4"/>
      <c r="Z563" s="4"/>
      <c r="AA563" s="4"/>
      <c r="AB563" s="4"/>
      <c r="AC563" s="4" t="str">
        <f>IFERROR(__xludf.DUMMYFUNCTION("""COMPUTED_VALUE"""),"INSPEKSI SUTM - T2_Images/271b4961.FOTO.130859.jpg")</f>
        <v>INSPEKSI SUTM - T2_Images/271b4961.FOTO.130859.jpg</v>
      </c>
      <c r="AD563" s="4"/>
      <c r="AE563" s="4"/>
      <c r="AF563" s="4" t="str">
        <f>IFERROR(__xludf.DUMMYFUNCTION("""COMPUTED_VALUE"""),"BELUM")</f>
        <v>BELUM</v>
      </c>
      <c r="AG563" s="6">
        <f>IFERROR(__xludf.DUMMYFUNCTION("""COMPUTED_VALUE"""),46081.0)</f>
        <v>46081</v>
      </c>
      <c r="AH563" s="4"/>
      <c r="AI563" s="4"/>
    </row>
    <row r="564" ht="15.75" customHeight="1">
      <c r="A564" s="4" t="str">
        <f>IFERROR(__xludf.DUMMYFUNCTION("""COMPUTED_VALUE"""),"6eddca7a")</f>
        <v>6eddca7a</v>
      </c>
      <c r="B564" s="5">
        <f>IFERROR(__xludf.DUMMYFUNCTION("""COMPUTED_VALUE"""),46081.84056712963)</f>
        <v>46081.84057</v>
      </c>
      <c r="C564" s="4" t="str">
        <f>IFERROR(__xludf.DUMMYFUNCTION("""COMPUTED_VALUE"""),"-6.938789, 107.627109")</f>
        <v>-6.938789, 107.627109</v>
      </c>
      <c r="D564" s="4" t="str">
        <f>IFERROR(__xludf.DUMMYFUNCTION("""COMPUTED_VALUE"""),"Alam deril")</f>
        <v>Alam deril</v>
      </c>
      <c r="E564" s="4" t="str">
        <f>IFERROR(__xludf.DUMMYFUNCTION("""COMPUTED_VALUE"""),"BANDUNG")</f>
        <v>BANDUNG</v>
      </c>
      <c r="F564" s="4" t="str">
        <f>IFERROR(__xludf.DUMMYFUNCTION("""COMPUTED_VALUE"""),"BANDUNG BARAT")</f>
        <v>BANDUNG BARAT</v>
      </c>
      <c r="G564" s="4" t="str">
        <f>IFERROR(__xludf.DUMMYFUNCTION("""COMPUTED_VALUE"""),"CIGERELENG")</f>
        <v>CIGERELENG</v>
      </c>
      <c r="H564" s="4" t="str">
        <f>IFERROR(__xludf.DUMMYFUNCTION("""COMPUTED_VALUE"""),"CBJ")</f>
        <v>CBJ</v>
      </c>
      <c r="I564" s="4" t="str">
        <f>IFERROR(__xludf.DUMMYFUNCTION("""COMPUTED_VALUE"""),"BO - BKCA - LLH")</f>
        <v>BO - BKCA - LLH</v>
      </c>
      <c r="J564" s="4" t="str">
        <f>IFERROR(__xludf.DUMMYFUNCTION("""COMPUTED_VALUE"""),"ZONA 2")</f>
        <v>ZONA 2</v>
      </c>
      <c r="K564" s="4" t="str">
        <f>IFERROR(__xludf.DUMMYFUNCTION("""COMPUTED_VALUE"""),"018")</f>
        <v>018</v>
      </c>
      <c r="L564" s="4" t="str">
        <f>IFERROR(__xludf.DUMMYFUNCTION("""COMPUTED_VALUE"""),"TM - 7B/H (Afspan 90 Derajat)")</f>
        <v>TM - 7B/H (Afspan 90 Derajat)</v>
      </c>
      <c r="M564" s="4" t="str">
        <f>IFERROR(__xludf.DUMMYFUNCTION("""COMPUTED_VALUE"""),"Tidak Ada")</f>
        <v>Tidak Ada</v>
      </c>
      <c r="N564" s="4"/>
      <c r="O564" s="4" t="str">
        <f>IFERROR(__xludf.DUMMYFUNCTION("""COMPUTED_VALUE"""),"PEMBANDING SEJENIS")</f>
        <v>PEMBANDING SEJENIS</v>
      </c>
      <c r="P564" s="4" t="str">
        <f>IFERROR(__xludf.DUMMYFUNCTION("""COMPUTED_VALUE"""),"KONEKTOR/JUMPER")</f>
        <v>KONEKTOR/JUMPER</v>
      </c>
      <c r="Q564" s="4">
        <f>IFERROR(__xludf.DUMMYFUNCTION("""COMPUTED_VALUE"""),24.0)</f>
        <v>24</v>
      </c>
      <c r="R564" s="4">
        <f>IFERROR(__xludf.DUMMYFUNCTION("""COMPUTED_VALUE"""),24.0)</f>
        <v>24</v>
      </c>
      <c r="S564" s="4">
        <f>IFERROR(__xludf.DUMMYFUNCTION("""COMPUTED_VALUE"""),24.0)</f>
        <v>24</v>
      </c>
      <c r="T564" s="4"/>
      <c r="U564" s="4" t="str">
        <f>IFERROR(__xludf.DUMMYFUNCTION("""COMPUTED_VALUE"""),"BAIK")</f>
        <v>BAIK</v>
      </c>
      <c r="V564" s="4" t="str">
        <f>IFERROR(__xludf.DUMMYFUNCTION("""COMPUTED_VALUE"""),"Tidak Ada")</f>
        <v>Tidak Ada</v>
      </c>
      <c r="W564" s="4"/>
      <c r="X564" s="4"/>
      <c r="Y564" s="4"/>
      <c r="Z564" s="4"/>
      <c r="AA564" s="4"/>
      <c r="AB564" s="4"/>
      <c r="AC564" s="4" t="str">
        <f>IFERROR(__xludf.DUMMYFUNCTION("""COMPUTED_VALUE"""),"INSPEKSI SUTM - T2_Images/6eddca7a.FOTO.131056.jpg")</f>
        <v>INSPEKSI SUTM - T2_Images/6eddca7a.FOTO.131056.jpg</v>
      </c>
      <c r="AD564" s="4"/>
      <c r="AE564" s="4"/>
      <c r="AF564" s="4" t="str">
        <f>IFERROR(__xludf.DUMMYFUNCTION("""COMPUTED_VALUE"""),"BELUM")</f>
        <v>BELUM</v>
      </c>
      <c r="AG564" s="6">
        <f>IFERROR(__xludf.DUMMYFUNCTION("""COMPUTED_VALUE"""),46081.0)</f>
        <v>46081</v>
      </c>
      <c r="AH564" s="4"/>
      <c r="AI564" s="4"/>
    </row>
    <row r="565" ht="15.75" customHeight="1">
      <c r="A565" s="4" t="str">
        <f>IFERROR(__xludf.DUMMYFUNCTION("""COMPUTED_VALUE"""),"701fe3f3")</f>
        <v>701fe3f3</v>
      </c>
      <c r="B565" s="5">
        <f>IFERROR(__xludf.DUMMYFUNCTION("""COMPUTED_VALUE"""),46081.84104166667)</f>
        <v>46081.84104</v>
      </c>
      <c r="C565" s="4" t="str">
        <f>IFERROR(__xludf.DUMMYFUNCTION("""COMPUTED_VALUE"""),"-6.938800, 107.627131")</f>
        <v>-6.938800, 107.627131</v>
      </c>
      <c r="D565" s="4" t="str">
        <f>IFERROR(__xludf.DUMMYFUNCTION("""COMPUTED_VALUE"""),"Alam deril")</f>
        <v>Alam deril</v>
      </c>
      <c r="E565" s="4" t="str">
        <f>IFERROR(__xludf.DUMMYFUNCTION("""COMPUTED_VALUE"""),"BANDUNG")</f>
        <v>BANDUNG</v>
      </c>
      <c r="F565" s="4" t="str">
        <f>IFERROR(__xludf.DUMMYFUNCTION("""COMPUTED_VALUE"""),"BANDUNG BARAT")</f>
        <v>BANDUNG BARAT</v>
      </c>
      <c r="G565" s="4" t="str">
        <f>IFERROR(__xludf.DUMMYFUNCTION("""COMPUTED_VALUE"""),"CIGERELENG")</f>
        <v>CIGERELENG</v>
      </c>
      <c r="H565" s="4" t="str">
        <f>IFERROR(__xludf.DUMMYFUNCTION("""COMPUTED_VALUE"""),"CBJ")</f>
        <v>CBJ</v>
      </c>
      <c r="I565" s="4" t="str">
        <f>IFERROR(__xludf.DUMMYFUNCTION("""COMPUTED_VALUE"""),"BO - BKCA - LLH")</f>
        <v>BO - BKCA - LLH</v>
      </c>
      <c r="J565" s="4" t="str">
        <f>IFERROR(__xludf.DUMMYFUNCTION("""COMPUTED_VALUE"""),"ZONA 2")</f>
        <v>ZONA 2</v>
      </c>
      <c r="K565" s="4" t="str">
        <f>IFERROR(__xludf.DUMMYFUNCTION("""COMPUTED_VALUE"""),"020")</f>
        <v>020</v>
      </c>
      <c r="L565" s="4" t="str">
        <f>IFERROR(__xludf.DUMMYFUNCTION("""COMPUTED_VALUE"""),"TM - 13B/H (Kabel Naik Pada Tiang Tumpu)")</f>
        <v>TM - 13B/H (Kabel Naik Pada Tiang Tumpu)</v>
      </c>
      <c r="M565" s="4" t="str">
        <f>IFERROR(__xludf.DUMMYFUNCTION("""COMPUTED_VALUE"""),"Tidak Ada")</f>
        <v>Tidak Ada</v>
      </c>
      <c r="N565" s="4"/>
      <c r="O565" s="4" t="str">
        <f>IFERROR(__xludf.DUMMYFUNCTION("""COMPUTED_VALUE"""),"PEMBANDING SEJENIS")</f>
        <v>PEMBANDING SEJENIS</v>
      </c>
      <c r="P565" s="4" t="str">
        <f>IFERROR(__xludf.DUMMYFUNCTION("""COMPUTED_VALUE"""),"TERMINASI")</f>
        <v>TERMINASI</v>
      </c>
      <c r="Q565" s="4">
        <f>IFERROR(__xludf.DUMMYFUNCTION("""COMPUTED_VALUE"""),24.0)</f>
        <v>24</v>
      </c>
      <c r="R565" s="4">
        <f>IFERROR(__xludf.DUMMYFUNCTION("""COMPUTED_VALUE"""),24.0)</f>
        <v>24</v>
      </c>
      <c r="S565" s="4">
        <f>IFERROR(__xludf.DUMMYFUNCTION("""COMPUTED_VALUE"""),24.0)</f>
        <v>24</v>
      </c>
      <c r="T565" s="4"/>
      <c r="U565" s="4" t="str">
        <f>IFERROR(__xludf.DUMMYFUNCTION("""COMPUTED_VALUE"""),"BAIK")</f>
        <v>BAIK</v>
      </c>
      <c r="V565" s="4" t="str">
        <f>IFERROR(__xludf.DUMMYFUNCTION("""COMPUTED_VALUE"""),"Tidak Ada")</f>
        <v>Tidak Ada</v>
      </c>
      <c r="W565" s="4"/>
      <c r="X565" s="4"/>
      <c r="Y565" s="4"/>
      <c r="Z565" s="4"/>
      <c r="AA565" s="4"/>
      <c r="AB565" s="4"/>
      <c r="AC565" s="4" t="str">
        <f>IFERROR(__xludf.DUMMYFUNCTION("""COMPUTED_VALUE"""),"INSPEKSI SUTM - T2_Images/701fe3f3.FOTO.131202.jpg")</f>
        <v>INSPEKSI SUTM - T2_Images/701fe3f3.FOTO.131202.jpg</v>
      </c>
      <c r="AD565" s="4"/>
      <c r="AE565" s="4"/>
      <c r="AF565" s="4" t="str">
        <f>IFERROR(__xludf.DUMMYFUNCTION("""COMPUTED_VALUE"""),"BELUM")</f>
        <v>BELUM</v>
      </c>
      <c r="AG565" s="6">
        <f>IFERROR(__xludf.DUMMYFUNCTION("""COMPUTED_VALUE"""),46081.0)</f>
        <v>46081</v>
      </c>
      <c r="AH565" s="4"/>
      <c r="AI565" s="4"/>
    </row>
    <row r="566" ht="15.75" customHeight="1">
      <c r="A566" s="4" t="str">
        <f>IFERROR(__xludf.DUMMYFUNCTION("""COMPUTED_VALUE"""),"22bbdcfc")</f>
        <v>22bbdcfc</v>
      </c>
      <c r="B566" s="5">
        <f>IFERROR(__xludf.DUMMYFUNCTION("""COMPUTED_VALUE"""),46081.84174768518)</f>
        <v>46081.84175</v>
      </c>
      <c r="C566" s="4" t="str">
        <f>IFERROR(__xludf.DUMMYFUNCTION("""COMPUTED_VALUE"""),"-6.938807, 107.627138")</f>
        <v>-6.938807, 107.627138</v>
      </c>
      <c r="D566" s="4" t="str">
        <f>IFERROR(__xludf.DUMMYFUNCTION("""COMPUTED_VALUE"""),"Alam deril")</f>
        <v>Alam deril</v>
      </c>
      <c r="E566" s="4" t="str">
        <f>IFERROR(__xludf.DUMMYFUNCTION("""COMPUTED_VALUE"""),"BANDUNG")</f>
        <v>BANDUNG</v>
      </c>
      <c r="F566" s="4" t="str">
        <f>IFERROR(__xludf.DUMMYFUNCTION("""COMPUTED_VALUE"""),"BANDUNG BARAT")</f>
        <v>BANDUNG BARAT</v>
      </c>
      <c r="G566" s="4" t="str">
        <f>IFERROR(__xludf.DUMMYFUNCTION("""COMPUTED_VALUE"""),"CIGERELENG")</f>
        <v>CIGERELENG</v>
      </c>
      <c r="H566" s="4" t="str">
        <f>IFERROR(__xludf.DUMMYFUNCTION("""COMPUTED_VALUE"""),"CBJ")</f>
        <v>CBJ</v>
      </c>
      <c r="I566" s="4" t="str">
        <f>IFERROR(__xludf.DUMMYFUNCTION("""COMPUTED_VALUE"""),"BO - BKCA - LLH")</f>
        <v>BO - BKCA - LLH</v>
      </c>
      <c r="J566" s="4" t="str">
        <f>IFERROR(__xludf.DUMMYFUNCTION("""COMPUTED_VALUE"""),"ZONA 2")</f>
        <v>ZONA 2</v>
      </c>
      <c r="K566" s="4" t="str">
        <f>IFERROR(__xludf.DUMMYFUNCTION("""COMPUTED_VALUE"""),"022")</f>
        <v>022</v>
      </c>
      <c r="L566" s="4" t="str">
        <f>IFERROR(__xludf.DUMMYFUNCTION("""COMPUTED_VALUE"""),"TM - 8B/H (Percabangan)")</f>
        <v>TM - 8B/H (Percabangan)</v>
      </c>
      <c r="M566" s="4" t="str">
        <f>IFERROR(__xludf.DUMMYFUNCTION("""COMPUTED_VALUE"""),"Tidak Ada")</f>
        <v>Tidak Ada</v>
      </c>
      <c r="N566" s="4"/>
      <c r="O566" s="4" t="str">
        <f>IFERROR(__xludf.DUMMYFUNCTION("""COMPUTED_VALUE"""),"PEMBANDING SEJENIS")</f>
        <v>PEMBANDING SEJENIS</v>
      </c>
      <c r="P566" s="4" t="str">
        <f>IFERROR(__xludf.DUMMYFUNCTION("""COMPUTED_VALUE"""),"KONEKTOR/JUMPER")</f>
        <v>KONEKTOR/JUMPER</v>
      </c>
      <c r="Q566" s="4">
        <f>IFERROR(__xludf.DUMMYFUNCTION("""COMPUTED_VALUE"""),24.0)</f>
        <v>24</v>
      </c>
      <c r="R566" s="4">
        <f>IFERROR(__xludf.DUMMYFUNCTION("""COMPUTED_VALUE"""),24.0)</f>
        <v>24</v>
      </c>
      <c r="S566" s="4">
        <f>IFERROR(__xludf.DUMMYFUNCTION("""COMPUTED_VALUE"""),24.0)</f>
        <v>24</v>
      </c>
      <c r="T566" s="4"/>
      <c r="U566" s="4" t="str">
        <f>IFERROR(__xludf.DUMMYFUNCTION("""COMPUTED_VALUE"""),"BAIK")</f>
        <v>BAIK</v>
      </c>
      <c r="V566" s="4" t="str">
        <f>IFERROR(__xludf.DUMMYFUNCTION("""COMPUTED_VALUE"""),"Tidak Ada")</f>
        <v>Tidak Ada</v>
      </c>
      <c r="W566" s="4"/>
      <c r="X566" s="4"/>
      <c r="Y566" s="4"/>
      <c r="Z566" s="4"/>
      <c r="AA566" s="4"/>
      <c r="AB566" s="4"/>
      <c r="AC566" s="4" t="str">
        <f>IFERROR(__xludf.DUMMYFUNCTION("""COMPUTED_VALUE"""),"INSPEKSI SUTM - T2_Images/22bbdcfc.FOTO.131309.jpg")</f>
        <v>INSPEKSI SUTM - T2_Images/22bbdcfc.FOTO.131309.jpg</v>
      </c>
      <c r="AD566" s="4"/>
      <c r="AE566" s="4"/>
      <c r="AF566" s="4" t="str">
        <f>IFERROR(__xludf.DUMMYFUNCTION("""COMPUTED_VALUE"""),"BELUM")</f>
        <v>BELUM</v>
      </c>
      <c r="AG566" s="6">
        <f>IFERROR(__xludf.DUMMYFUNCTION("""COMPUTED_VALUE"""),46081.0)</f>
        <v>46081</v>
      </c>
      <c r="AH566" s="4"/>
      <c r="AI566" s="4"/>
    </row>
    <row r="567" ht="15.75" customHeight="1">
      <c r="A567" s="4" t="str">
        <f>IFERROR(__xludf.DUMMYFUNCTION("""COMPUTED_VALUE"""),"4326fa06")</f>
        <v>4326fa06</v>
      </c>
      <c r="B567" s="5">
        <f>IFERROR(__xludf.DUMMYFUNCTION("""COMPUTED_VALUE"""),46081.84229166667)</f>
        <v>46081.84229</v>
      </c>
      <c r="C567" s="4" t="str">
        <f>IFERROR(__xludf.DUMMYFUNCTION("""COMPUTED_VALUE"""),"-6.938813, 107.627139")</f>
        <v>-6.938813, 107.627139</v>
      </c>
      <c r="D567" s="4" t="str">
        <f>IFERROR(__xludf.DUMMYFUNCTION("""COMPUTED_VALUE"""),"Alam deril")</f>
        <v>Alam deril</v>
      </c>
      <c r="E567" s="4" t="str">
        <f>IFERROR(__xludf.DUMMYFUNCTION("""COMPUTED_VALUE"""),"BANDUNG")</f>
        <v>BANDUNG</v>
      </c>
      <c r="F567" s="4" t="str">
        <f>IFERROR(__xludf.DUMMYFUNCTION("""COMPUTED_VALUE"""),"BANDUNG BARAT")</f>
        <v>BANDUNG BARAT</v>
      </c>
      <c r="G567" s="4" t="str">
        <f>IFERROR(__xludf.DUMMYFUNCTION("""COMPUTED_VALUE"""),"CIGERELENG")</f>
        <v>CIGERELENG</v>
      </c>
      <c r="H567" s="4" t="str">
        <f>IFERROR(__xludf.DUMMYFUNCTION("""COMPUTED_VALUE"""),"CBJ")</f>
        <v>CBJ</v>
      </c>
      <c r="I567" s="4" t="str">
        <f>IFERROR(__xludf.DUMMYFUNCTION("""COMPUTED_VALUE"""),"BO - BKCA - LLH")</f>
        <v>BO - BKCA - LLH</v>
      </c>
      <c r="J567" s="4" t="str">
        <f>IFERROR(__xludf.DUMMYFUNCTION("""COMPUTED_VALUE"""),"ZONA 2")</f>
        <v>ZONA 2</v>
      </c>
      <c r="K567" s="4" t="str">
        <f>IFERROR(__xludf.DUMMYFUNCTION("""COMPUTED_VALUE"""),"023")</f>
        <v>023</v>
      </c>
      <c r="L567" s="4" t="str">
        <f>IFERROR(__xludf.DUMMYFUNCTION("""COMPUTED_VALUE"""),"TM - 4B/H (Afspan)")</f>
        <v>TM - 4B/H (Afspan)</v>
      </c>
      <c r="M567" s="4" t="str">
        <f>IFERROR(__xludf.DUMMYFUNCTION("""COMPUTED_VALUE"""),"Tidak Ada")</f>
        <v>Tidak Ada</v>
      </c>
      <c r="N567" s="4"/>
      <c r="O567" s="4" t="str">
        <f>IFERROR(__xludf.DUMMYFUNCTION("""COMPUTED_VALUE"""),"PEMBANDING SEJENIS")</f>
        <v>PEMBANDING SEJENIS</v>
      </c>
      <c r="P567" s="4" t="str">
        <f>IFERROR(__xludf.DUMMYFUNCTION("""COMPUTED_VALUE"""),"KONEKTOR/JUMPER")</f>
        <v>KONEKTOR/JUMPER</v>
      </c>
      <c r="Q567" s="4">
        <f>IFERROR(__xludf.DUMMYFUNCTION("""COMPUTED_VALUE"""),24.0)</f>
        <v>24</v>
      </c>
      <c r="R567" s="4">
        <f>IFERROR(__xludf.DUMMYFUNCTION("""COMPUTED_VALUE"""),24.0)</f>
        <v>24</v>
      </c>
      <c r="S567" s="4">
        <f>IFERROR(__xludf.DUMMYFUNCTION("""COMPUTED_VALUE"""),24.0)</f>
        <v>24</v>
      </c>
      <c r="T567" s="4"/>
      <c r="U567" s="4" t="str">
        <f>IFERROR(__xludf.DUMMYFUNCTION("""COMPUTED_VALUE"""),"BAIK")</f>
        <v>BAIK</v>
      </c>
      <c r="V567" s="4" t="str">
        <f>IFERROR(__xludf.DUMMYFUNCTION("""COMPUTED_VALUE"""),"Tidak Ada")</f>
        <v>Tidak Ada</v>
      </c>
      <c r="W567" s="4"/>
      <c r="X567" s="4"/>
      <c r="Y567" s="4"/>
      <c r="Z567" s="4"/>
      <c r="AA567" s="4"/>
      <c r="AB567" s="4"/>
      <c r="AC567" s="4" t="str">
        <f>IFERROR(__xludf.DUMMYFUNCTION("""COMPUTED_VALUE"""),"INSPEKSI SUTM - T2_Images/4326fa06.FOTO.131333.jpg")</f>
        <v>INSPEKSI SUTM - T2_Images/4326fa06.FOTO.131333.jpg</v>
      </c>
      <c r="AD567" s="4"/>
      <c r="AE567" s="4"/>
      <c r="AF567" s="4" t="str">
        <f>IFERROR(__xludf.DUMMYFUNCTION("""COMPUTED_VALUE"""),"BELUM")</f>
        <v>BELUM</v>
      </c>
      <c r="AG567" s="6">
        <f>IFERROR(__xludf.DUMMYFUNCTION("""COMPUTED_VALUE"""),46081.0)</f>
        <v>46081</v>
      </c>
      <c r="AH567" s="4"/>
      <c r="AI567" s="4"/>
    </row>
    <row r="568" ht="15.75" customHeight="1">
      <c r="A568" s="4" t="str">
        <f>IFERROR(__xludf.DUMMYFUNCTION("""COMPUTED_VALUE"""),"58aa6218")</f>
        <v>58aa6218</v>
      </c>
      <c r="B568" s="5">
        <f>IFERROR(__xludf.DUMMYFUNCTION("""COMPUTED_VALUE"""),46081.86620370371)</f>
        <v>46081.8662</v>
      </c>
      <c r="C568" s="4" t="str">
        <f>IFERROR(__xludf.DUMMYFUNCTION("""COMPUTED_VALUE"""),"-6.909039, 107.697225")</f>
        <v>-6.909039, 107.697225</v>
      </c>
      <c r="D568" s="4" t="str">
        <f>IFERROR(__xludf.DUMMYFUNCTION("""COMPUTED_VALUE"""),"Canra heri")</f>
        <v>Canra heri</v>
      </c>
      <c r="E568" s="4" t="str">
        <f>IFERROR(__xludf.DUMMYFUNCTION("""COMPUTED_VALUE"""),"BANDUNG")</f>
        <v>BANDUNG</v>
      </c>
      <c r="F568" s="4" t="str">
        <f>IFERROR(__xludf.DUMMYFUNCTION("""COMPUTED_VALUE"""),"UJUNGBERUNG")</f>
        <v>UJUNGBERUNG</v>
      </c>
      <c r="G568" s="4" t="str">
        <f>IFERROR(__xludf.DUMMYFUNCTION("""COMPUTED_VALUE"""),"UJUNGBERUNG")</f>
        <v>UJUNGBERUNG</v>
      </c>
      <c r="H568" s="4" t="str">
        <f>IFERROR(__xludf.DUMMYFUNCTION("""COMPUTED_VALUE"""),"UZO")</f>
        <v>UZO</v>
      </c>
      <c r="I568" s="4" t="str">
        <f>IFERROR(__xludf.DUMMYFUNCTION("""COMPUTED_VALUE"""),"GH ZIPUR - LBS PTU")</f>
        <v>GH ZIPUR - LBS PTU</v>
      </c>
      <c r="J568" s="4" t="str">
        <f>IFERROR(__xludf.DUMMYFUNCTION("""COMPUTED_VALUE"""),"ZONA 2")</f>
        <v>ZONA 2</v>
      </c>
      <c r="K568" s="4" t="str">
        <f>IFERROR(__xludf.DUMMYFUNCTION("""COMPUTED_VALUE"""),"006R016")</f>
        <v>006R016</v>
      </c>
      <c r="L568" s="4" t="str">
        <f>IFERROR(__xludf.DUMMYFUNCTION("""COMPUTED_VALUE"""),"TM - 7B/H (Afspan 90 Derajat)")</f>
        <v>TM - 7B/H (Afspan 90 Derajat)</v>
      </c>
      <c r="M568" s="4" t="str">
        <f>IFERROR(__xludf.DUMMYFUNCTION("""COMPUTED_VALUE"""),"Tidak Ada")</f>
        <v>Tidak Ada</v>
      </c>
      <c r="N568" s="4"/>
      <c r="O568" s="4" t="str">
        <f>IFERROR(__xludf.DUMMYFUNCTION("""COMPUTED_VALUE"""),"PEMBANDING SEJENIS")</f>
        <v>PEMBANDING SEJENIS</v>
      </c>
      <c r="P568" s="4" t="str">
        <f>IFERROR(__xludf.DUMMYFUNCTION("""COMPUTED_VALUE"""),"KONEKTOR/JUMPER")</f>
        <v>KONEKTOR/JUMPER</v>
      </c>
      <c r="Q568" s="4">
        <f>IFERROR(__xludf.DUMMYFUNCTION("""COMPUTED_VALUE"""),23.0)</f>
        <v>23</v>
      </c>
      <c r="R568" s="4">
        <f>IFERROR(__xludf.DUMMYFUNCTION("""COMPUTED_VALUE"""),23.0)</f>
        <v>23</v>
      </c>
      <c r="S568" s="4">
        <f>IFERROR(__xludf.DUMMYFUNCTION("""COMPUTED_VALUE"""),23.0)</f>
        <v>23</v>
      </c>
      <c r="T568" s="4"/>
      <c r="U568" s="4" t="str">
        <f>IFERROR(__xludf.DUMMYFUNCTION("""COMPUTED_VALUE"""),"BAIK")</f>
        <v>BAIK</v>
      </c>
      <c r="V568" s="4" t="str">
        <f>IFERROR(__xludf.DUMMYFUNCTION("""COMPUTED_VALUE"""),"Tidak Ada")</f>
        <v>Tidak Ada</v>
      </c>
      <c r="W568" s="4"/>
      <c r="X568" s="4"/>
      <c r="Y568" s="4"/>
      <c r="Z568" s="4"/>
      <c r="AA568" s="4"/>
      <c r="AB568" s="4"/>
      <c r="AC568" s="4" t="str">
        <f>IFERROR(__xludf.DUMMYFUNCTION("""COMPUTED_VALUE"""),"INSPEKSI SUTM - T2_Images/58aa6218.FOTO.135045.jpg")</f>
        <v>INSPEKSI SUTM - T2_Images/58aa6218.FOTO.135045.jpg</v>
      </c>
      <c r="AD568" s="4"/>
      <c r="AE568" s="4"/>
      <c r="AF568" s="4" t="str">
        <f>IFERROR(__xludf.DUMMYFUNCTION("""COMPUTED_VALUE"""),"BELUM")</f>
        <v>BELUM</v>
      </c>
      <c r="AG568" s="6">
        <f>IFERROR(__xludf.DUMMYFUNCTION("""COMPUTED_VALUE"""),46081.0)</f>
        <v>46081</v>
      </c>
      <c r="AH568" s="4"/>
      <c r="AI568" s="4"/>
    </row>
    <row r="569" ht="15.75" customHeight="1">
      <c r="A569" s="4" t="str">
        <f>IFERROR(__xludf.DUMMYFUNCTION("""COMPUTED_VALUE"""),"31af38ca")</f>
        <v>31af38ca</v>
      </c>
      <c r="B569" s="5">
        <f>IFERROR(__xludf.DUMMYFUNCTION("""COMPUTED_VALUE"""),46081.86728009259)</f>
        <v>46081.86728</v>
      </c>
      <c r="C569" s="4" t="str">
        <f>IFERROR(__xludf.DUMMYFUNCTION("""COMPUTED_VALUE"""),"-6.908947, 107.697057")</f>
        <v>-6.908947, 107.697057</v>
      </c>
      <c r="D569" s="4" t="str">
        <f>IFERROR(__xludf.DUMMYFUNCTION("""COMPUTED_VALUE"""),"Canra heri")</f>
        <v>Canra heri</v>
      </c>
      <c r="E569" s="4" t="str">
        <f>IFERROR(__xludf.DUMMYFUNCTION("""COMPUTED_VALUE"""),"BANDUNG")</f>
        <v>BANDUNG</v>
      </c>
      <c r="F569" s="4" t="str">
        <f>IFERROR(__xludf.DUMMYFUNCTION("""COMPUTED_VALUE"""),"UJUNGBERUNG")</f>
        <v>UJUNGBERUNG</v>
      </c>
      <c r="G569" s="4" t="str">
        <f>IFERROR(__xludf.DUMMYFUNCTION("""COMPUTED_VALUE"""),"UJUNGBERUNG")</f>
        <v>UJUNGBERUNG</v>
      </c>
      <c r="H569" s="4" t="str">
        <f>IFERROR(__xludf.DUMMYFUNCTION("""COMPUTED_VALUE"""),"UZO")</f>
        <v>UZO</v>
      </c>
      <c r="I569" s="4" t="str">
        <f>IFERROR(__xludf.DUMMYFUNCTION("""COMPUTED_VALUE"""),"GH ZIPUR - LBS PTU")</f>
        <v>GH ZIPUR - LBS PTU</v>
      </c>
      <c r="J569" s="4" t="str">
        <f>IFERROR(__xludf.DUMMYFUNCTION("""COMPUTED_VALUE"""),"ZONA 2")</f>
        <v>ZONA 2</v>
      </c>
      <c r="K569" s="4" t="str">
        <f>IFERROR(__xludf.DUMMYFUNCTION("""COMPUTED_VALUE"""),"006R017")</f>
        <v>006R017</v>
      </c>
      <c r="L569" s="4" t="str">
        <f>IFERROR(__xludf.DUMMYFUNCTION("""COMPUTED_VALUE"""),"TM - 1B/H (Tumpu)")</f>
        <v>TM - 1B/H (Tumpu)</v>
      </c>
      <c r="M569" s="4" t="str">
        <f>IFERROR(__xludf.DUMMYFUNCTION("""COMPUTED_VALUE"""),"Tidak Ada")</f>
        <v>Tidak Ada</v>
      </c>
      <c r="N569" s="4"/>
      <c r="O569" s="4" t="str">
        <f>IFERROR(__xludf.DUMMYFUNCTION("""COMPUTED_VALUE"""),"PEMBANDING SEJENIS")</f>
        <v>PEMBANDING SEJENIS</v>
      </c>
      <c r="P569" s="4" t="str">
        <f>IFERROR(__xludf.DUMMYFUNCTION("""COMPUTED_VALUE"""),"ARRESTER")</f>
        <v>ARRESTER</v>
      </c>
      <c r="Q569" s="4">
        <f>IFERROR(__xludf.DUMMYFUNCTION("""COMPUTED_VALUE"""),24.0)</f>
        <v>24</v>
      </c>
      <c r="R569" s="4">
        <f>IFERROR(__xludf.DUMMYFUNCTION("""COMPUTED_VALUE"""),23.0)</f>
        <v>23</v>
      </c>
      <c r="S569" s="4">
        <f>IFERROR(__xludf.DUMMYFUNCTION("""COMPUTED_VALUE"""),23.0)</f>
        <v>23</v>
      </c>
      <c r="T569" s="4"/>
      <c r="U569" s="4" t="str">
        <f>IFERROR(__xludf.DUMMYFUNCTION("""COMPUTED_VALUE"""),"BAIK")</f>
        <v>BAIK</v>
      </c>
      <c r="V569" s="4" t="str">
        <f>IFERROR(__xludf.DUMMYFUNCTION("""COMPUTED_VALUE"""),"Tidak Ada")</f>
        <v>Tidak Ada</v>
      </c>
      <c r="W569" s="4"/>
      <c r="X569" s="4"/>
      <c r="Y569" s="4"/>
      <c r="Z569" s="4"/>
      <c r="AA569" s="4"/>
      <c r="AB569" s="4"/>
      <c r="AC569" s="4" t="str">
        <f>IFERROR(__xludf.DUMMYFUNCTION("""COMPUTED_VALUE"""),"INSPEKSI SUTM - T2_Images/31af38ca.FOTO.135050.jpg")</f>
        <v>INSPEKSI SUTM - T2_Images/31af38ca.FOTO.135050.jpg</v>
      </c>
      <c r="AD569" s="4"/>
      <c r="AE569" s="4"/>
      <c r="AF569" s="4" t="str">
        <f>IFERROR(__xludf.DUMMYFUNCTION("""COMPUTED_VALUE"""),"BELUM")</f>
        <v>BELUM</v>
      </c>
      <c r="AG569" s="6">
        <f>IFERROR(__xludf.DUMMYFUNCTION("""COMPUTED_VALUE"""),46081.0)</f>
        <v>46081</v>
      </c>
      <c r="AH569" s="4"/>
      <c r="AI569" s="4"/>
    </row>
    <row r="570" ht="15.75" customHeight="1">
      <c r="A570" s="4" t="str">
        <f>IFERROR(__xludf.DUMMYFUNCTION("""COMPUTED_VALUE"""),"30cd4aed")</f>
        <v>30cd4aed</v>
      </c>
      <c r="B570" s="5">
        <f>IFERROR(__xludf.DUMMYFUNCTION("""COMPUTED_VALUE"""),46081.86835648148)</f>
        <v>46081.86836</v>
      </c>
      <c r="C570" s="4" t="str">
        <f>IFERROR(__xludf.DUMMYFUNCTION("""COMPUTED_VALUE"""),"-6.908439, 107.695633")</f>
        <v>-6.908439, 107.695633</v>
      </c>
      <c r="D570" s="4" t="str">
        <f>IFERROR(__xludf.DUMMYFUNCTION("""COMPUTED_VALUE"""),"Canra heei")</f>
        <v>Canra heei</v>
      </c>
      <c r="E570" s="4" t="str">
        <f>IFERROR(__xludf.DUMMYFUNCTION("""COMPUTED_VALUE"""),"BANDUNG")</f>
        <v>BANDUNG</v>
      </c>
      <c r="F570" s="4" t="str">
        <f>IFERROR(__xludf.DUMMYFUNCTION("""COMPUTED_VALUE"""),"UJUNGBERUNG")</f>
        <v>UJUNGBERUNG</v>
      </c>
      <c r="G570" s="4" t="str">
        <f>IFERROR(__xludf.DUMMYFUNCTION("""COMPUTED_VALUE"""),"UJUNGBERUNG")</f>
        <v>UJUNGBERUNG</v>
      </c>
      <c r="H570" s="4" t="str">
        <f>IFERROR(__xludf.DUMMYFUNCTION("""COMPUTED_VALUE"""),"UZO")</f>
        <v>UZO</v>
      </c>
      <c r="I570" s="4" t="str">
        <f>IFERROR(__xludf.DUMMYFUNCTION("""COMPUTED_VALUE"""),"GH ZIPUR - LBS PTU")</f>
        <v>GH ZIPUR - LBS PTU</v>
      </c>
      <c r="J570" s="4" t="str">
        <f>IFERROR(__xludf.DUMMYFUNCTION("""COMPUTED_VALUE"""),"ZONA 2")</f>
        <v>ZONA 2</v>
      </c>
      <c r="K570" s="4" t="str">
        <f>IFERROR(__xludf.DUMMYFUNCTION("""COMPUTED_VALUE"""),"006R022")</f>
        <v>006R022</v>
      </c>
      <c r="L570" s="4" t="str">
        <f>IFERROR(__xludf.DUMMYFUNCTION("""COMPUTED_VALUE"""),"TM - 4B/H (Afspan)")</f>
        <v>TM - 4B/H (Afspan)</v>
      </c>
      <c r="M570" s="4" t="str">
        <f>IFERROR(__xludf.DUMMYFUNCTION("""COMPUTED_VALUE"""),"Tidak Ada")</f>
        <v>Tidak Ada</v>
      </c>
      <c r="N570" s="4"/>
      <c r="O570" s="4" t="str">
        <f>IFERROR(__xludf.DUMMYFUNCTION("""COMPUTED_VALUE"""),"PEMBANDING SEJENIS")</f>
        <v>PEMBANDING SEJENIS</v>
      </c>
      <c r="P570" s="4" t="str">
        <f>IFERROR(__xludf.DUMMYFUNCTION("""COMPUTED_VALUE"""),"KONEKTOR/JUMPER")</f>
        <v>KONEKTOR/JUMPER</v>
      </c>
      <c r="Q570" s="4">
        <f>IFERROR(__xludf.DUMMYFUNCTION("""COMPUTED_VALUE"""),23.0)</f>
        <v>23</v>
      </c>
      <c r="R570" s="4">
        <f>IFERROR(__xludf.DUMMYFUNCTION("""COMPUTED_VALUE"""),23.0)</f>
        <v>23</v>
      </c>
      <c r="S570" s="4">
        <f>IFERROR(__xludf.DUMMYFUNCTION("""COMPUTED_VALUE"""),22.0)</f>
        <v>22</v>
      </c>
      <c r="T570" s="4"/>
      <c r="U570" s="4" t="str">
        <f>IFERROR(__xludf.DUMMYFUNCTION("""COMPUTED_VALUE"""),"BAIK")</f>
        <v>BAIK</v>
      </c>
      <c r="V570" s="4" t="str">
        <f>IFERROR(__xludf.DUMMYFUNCTION("""COMPUTED_VALUE"""),"Tidak Ada")</f>
        <v>Tidak Ada</v>
      </c>
      <c r="W570" s="4"/>
      <c r="X570" s="4"/>
      <c r="Y570" s="4"/>
      <c r="Z570" s="4"/>
      <c r="AA570" s="4"/>
      <c r="AB570" s="4"/>
      <c r="AC570" s="4" t="str">
        <f>IFERROR(__xludf.DUMMYFUNCTION("""COMPUTED_VALUE"""),"INSPEKSI SUTM - T2_Images/30cd4aed.FOTO.135115.jpg")</f>
        <v>INSPEKSI SUTM - T2_Images/30cd4aed.FOTO.135115.jpg</v>
      </c>
      <c r="AD570" s="4"/>
      <c r="AE570" s="4"/>
      <c r="AF570" s="4" t="str">
        <f>IFERROR(__xludf.DUMMYFUNCTION("""COMPUTED_VALUE"""),"BELUM")</f>
        <v>BELUM</v>
      </c>
      <c r="AG570" s="6">
        <f>IFERROR(__xludf.DUMMYFUNCTION("""COMPUTED_VALUE"""),46081.0)</f>
        <v>46081</v>
      </c>
      <c r="AH570" s="4"/>
      <c r="AI570" s="4"/>
    </row>
    <row r="571" ht="15.75" customHeight="1">
      <c r="A571" s="4" t="str">
        <f>IFERROR(__xludf.DUMMYFUNCTION("""COMPUTED_VALUE"""),"ce8707aa")</f>
        <v>ce8707aa</v>
      </c>
      <c r="B571" s="5">
        <f>IFERROR(__xludf.DUMMYFUNCTION("""COMPUTED_VALUE"""),46081.869479166664)</f>
        <v>46081.86948</v>
      </c>
      <c r="C571" s="4" t="str">
        <f>IFERROR(__xludf.DUMMYFUNCTION("""COMPUTED_VALUE"""),"-6.913017, 107.693771")</f>
        <v>-6.913017, 107.693771</v>
      </c>
      <c r="D571" s="4" t="str">
        <f>IFERROR(__xludf.DUMMYFUNCTION("""COMPUTED_VALUE"""),"Canra heri")</f>
        <v>Canra heri</v>
      </c>
      <c r="E571" s="4" t="str">
        <f>IFERROR(__xludf.DUMMYFUNCTION("""COMPUTED_VALUE"""),"BANDUNG")</f>
        <v>BANDUNG</v>
      </c>
      <c r="F571" s="4" t="str">
        <f>IFERROR(__xludf.DUMMYFUNCTION("""COMPUTED_VALUE"""),"UJUNGBERUNG")</f>
        <v>UJUNGBERUNG</v>
      </c>
      <c r="G571" s="4" t="str">
        <f>IFERROR(__xludf.DUMMYFUNCTION("""COMPUTED_VALUE"""),"UJUNGBERUNG")</f>
        <v>UJUNGBERUNG</v>
      </c>
      <c r="H571" s="4" t="str">
        <f>IFERROR(__xludf.DUMMYFUNCTION("""COMPUTED_VALUE"""),"UZO")</f>
        <v>UZO</v>
      </c>
      <c r="I571" s="4" t="str">
        <f>IFERROR(__xludf.DUMMYFUNCTION("""COMPUTED_VALUE"""),"GH ZIPUR - LBS PTU")</f>
        <v>GH ZIPUR - LBS PTU</v>
      </c>
      <c r="J571" s="4" t="str">
        <f>IFERROR(__xludf.DUMMYFUNCTION("""COMPUTED_VALUE"""),"ZONA 2")</f>
        <v>ZONA 2</v>
      </c>
      <c r="K571" s="4" t="str">
        <f>IFERROR(__xludf.DUMMYFUNCTION("""COMPUTED_VALUE"""),"011")</f>
        <v>011</v>
      </c>
      <c r="L571" s="4" t="str">
        <f>IFERROR(__xludf.DUMMYFUNCTION("""COMPUTED_VALUE"""),"TM - 8B/H (Percabangan)")</f>
        <v>TM - 8B/H (Percabangan)</v>
      </c>
      <c r="M571" s="4" t="str">
        <f>IFERROR(__xludf.DUMMYFUNCTION("""COMPUTED_VALUE"""),"Tidak Ada")</f>
        <v>Tidak Ada</v>
      </c>
      <c r="N571" s="4"/>
      <c r="O571" s="4" t="str">
        <f>IFERROR(__xludf.DUMMYFUNCTION("""COMPUTED_VALUE"""),"PEMBANDING SEJENIS")</f>
        <v>PEMBANDING SEJENIS</v>
      </c>
      <c r="P571" s="4" t="str">
        <f>IFERROR(__xludf.DUMMYFUNCTION("""COMPUTED_VALUE"""),"KONEKTOR/JUMPER")</f>
        <v>KONEKTOR/JUMPER</v>
      </c>
      <c r="Q571" s="4">
        <f>IFERROR(__xludf.DUMMYFUNCTION("""COMPUTED_VALUE"""),20.0)</f>
        <v>20</v>
      </c>
      <c r="R571" s="4">
        <f>IFERROR(__xludf.DUMMYFUNCTION("""COMPUTED_VALUE"""),20.0)</f>
        <v>20</v>
      </c>
      <c r="S571" s="4">
        <f>IFERROR(__xludf.DUMMYFUNCTION("""COMPUTED_VALUE"""),22.0)</f>
        <v>22</v>
      </c>
      <c r="T571" s="4"/>
      <c r="U571" s="4" t="str">
        <f>IFERROR(__xludf.DUMMYFUNCTION("""COMPUTED_VALUE"""),"BAIK")</f>
        <v>BAIK</v>
      </c>
      <c r="V571" s="4" t="str">
        <f>IFERROR(__xludf.DUMMYFUNCTION("""COMPUTED_VALUE"""),"Tidak Ada")</f>
        <v>Tidak Ada</v>
      </c>
      <c r="W571" s="4"/>
      <c r="X571" s="4"/>
      <c r="Y571" s="4"/>
      <c r="Z571" s="4"/>
      <c r="AA571" s="4"/>
      <c r="AB571" s="4"/>
      <c r="AC571" s="4" t="str">
        <f>IFERROR(__xludf.DUMMYFUNCTION("""COMPUTED_VALUE"""),"INSPEKSI SUTM - T2_Images/ce8707aa.FOTO.135251.jpg")</f>
        <v>INSPEKSI SUTM - T2_Images/ce8707aa.FOTO.135251.jpg</v>
      </c>
      <c r="AD571" s="4"/>
      <c r="AE571" s="4"/>
      <c r="AF571" s="4" t="str">
        <f>IFERROR(__xludf.DUMMYFUNCTION("""COMPUTED_VALUE"""),"BELUM")</f>
        <v>BELUM</v>
      </c>
      <c r="AG571" s="6">
        <f>IFERROR(__xludf.DUMMYFUNCTION("""COMPUTED_VALUE"""),46081.0)</f>
        <v>46081</v>
      </c>
      <c r="AH571" s="4"/>
      <c r="AI571" s="4"/>
    </row>
    <row r="572" ht="15.75" customHeight="1">
      <c r="A572" s="4" t="str">
        <f>IFERROR(__xludf.DUMMYFUNCTION("""COMPUTED_VALUE"""),"8ac86232")</f>
        <v>8ac86232</v>
      </c>
      <c r="B572" s="5">
        <f>IFERROR(__xludf.DUMMYFUNCTION("""COMPUTED_VALUE"""),46081.87053240741)</f>
        <v>46081.87053</v>
      </c>
      <c r="C572" s="4" t="str">
        <f>IFERROR(__xludf.DUMMYFUNCTION("""COMPUTED_VALUE"""),"-6.912780, 107.692864")</f>
        <v>-6.912780, 107.692864</v>
      </c>
      <c r="D572" s="4" t="str">
        <f>IFERROR(__xludf.DUMMYFUNCTION("""COMPUTED_VALUE"""),"Canra heri")</f>
        <v>Canra heri</v>
      </c>
      <c r="E572" s="4" t="str">
        <f>IFERROR(__xludf.DUMMYFUNCTION("""COMPUTED_VALUE"""),"BANDUNG")</f>
        <v>BANDUNG</v>
      </c>
      <c r="F572" s="4" t="str">
        <f>IFERROR(__xludf.DUMMYFUNCTION("""COMPUTED_VALUE"""),"UJUNGBERUNG")</f>
        <v>UJUNGBERUNG</v>
      </c>
      <c r="G572" s="4" t="str">
        <f>IFERROR(__xludf.DUMMYFUNCTION("""COMPUTED_VALUE"""),"UJUNGBERUNG")</f>
        <v>UJUNGBERUNG</v>
      </c>
      <c r="H572" s="4" t="str">
        <f>IFERROR(__xludf.DUMMYFUNCTION("""COMPUTED_VALUE"""),"UZO")</f>
        <v>UZO</v>
      </c>
      <c r="I572" s="4" t="str">
        <f>IFERROR(__xludf.DUMMYFUNCTION("""COMPUTED_VALUE"""),"GH ZIPUR - LBS PTU")</f>
        <v>GH ZIPUR - LBS PTU</v>
      </c>
      <c r="J572" s="4" t="str">
        <f>IFERROR(__xludf.DUMMYFUNCTION("""COMPUTED_VALUE"""),"ZONA 2")</f>
        <v>ZONA 2</v>
      </c>
      <c r="K572" s="4" t="str">
        <f>IFERROR(__xludf.DUMMYFUNCTION("""COMPUTED_VALUE"""),"014")</f>
        <v>014</v>
      </c>
      <c r="L572" s="4" t="str">
        <f>IFERROR(__xludf.DUMMYFUNCTION("""COMPUTED_VALUE"""),"TM - 8B/H (Percabangan)")</f>
        <v>TM - 8B/H (Percabangan)</v>
      </c>
      <c r="M572" s="4" t="str">
        <f>IFERROR(__xludf.DUMMYFUNCTION("""COMPUTED_VALUE"""),"Tidak Ada")</f>
        <v>Tidak Ada</v>
      </c>
      <c r="N572" s="4"/>
      <c r="O572" s="4" t="str">
        <f>IFERROR(__xludf.DUMMYFUNCTION("""COMPUTED_VALUE"""),"PEMBANDING SEJENIS")</f>
        <v>PEMBANDING SEJENIS</v>
      </c>
      <c r="P572" s="4" t="str">
        <f>IFERROR(__xludf.DUMMYFUNCTION("""COMPUTED_VALUE"""),"KONEKTOR/JUMPER")</f>
        <v>KONEKTOR/JUMPER</v>
      </c>
      <c r="Q572" s="4">
        <f>IFERROR(__xludf.DUMMYFUNCTION("""COMPUTED_VALUE"""),20.0)</f>
        <v>20</v>
      </c>
      <c r="R572" s="4">
        <f>IFERROR(__xludf.DUMMYFUNCTION("""COMPUTED_VALUE"""),22.0)</f>
        <v>22</v>
      </c>
      <c r="S572" s="4">
        <f>IFERROR(__xludf.DUMMYFUNCTION("""COMPUTED_VALUE"""),21.0)</f>
        <v>21</v>
      </c>
      <c r="T572" s="4"/>
      <c r="U572" s="4" t="str">
        <f>IFERROR(__xludf.DUMMYFUNCTION("""COMPUTED_VALUE"""),"BAIK")</f>
        <v>BAIK</v>
      </c>
      <c r="V572" s="4" t="str">
        <f>IFERROR(__xludf.DUMMYFUNCTION("""COMPUTED_VALUE"""),"Tidak Ada")</f>
        <v>Tidak Ada</v>
      </c>
      <c r="W572" s="4"/>
      <c r="X572" s="4"/>
      <c r="Y572" s="4"/>
      <c r="Z572" s="4"/>
      <c r="AA572" s="4"/>
      <c r="AB572" s="4"/>
      <c r="AC572" s="4" t="str">
        <f>IFERROR(__xludf.DUMMYFUNCTION("""COMPUTED_VALUE"""),"INSPEKSI SUTM - T2_Images/8ac86232.FOTO.135416.jpg")</f>
        <v>INSPEKSI SUTM - T2_Images/8ac86232.FOTO.135416.jpg</v>
      </c>
      <c r="AD572" s="4"/>
      <c r="AE572" s="4"/>
      <c r="AF572" s="4" t="str">
        <f>IFERROR(__xludf.DUMMYFUNCTION("""COMPUTED_VALUE"""),"BELUM")</f>
        <v>BELUM</v>
      </c>
      <c r="AG572" s="6">
        <f>IFERROR(__xludf.DUMMYFUNCTION("""COMPUTED_VALUE"""),46081.0)</f>
        <v>46081</v>
      </c>
      <c r="AH572" s="4"/>
      <c r="AI572" s="4"/>
    </row>
    <row r="573" ht="15.75" customHeight="1">
      <c r="A573" s="4" t="str">
        <f>IFERROR(__xludf.DUMMYFUNCTION("""COMPUTED_VALUE"""),"0c8de037")</f>
        <v>0c8de037</v>
      </c>
      <c r="B573" s="5">
        <f>IFERROR(__xludf.DUMMYFUNCTION("""COMPUTED_VALUE"""),46081.871458333335)</f>
        <v>46081.87146</v>
      </c>
      <c r="C573" s="4" t="str">
        <f>IFERROR(__xludf.DUMMYFUNCTION("""COMPUTED_VALUE"""),"-6.912755, 107.692808")</f>
        <v>-6.912755, 107.692808</v>
      </c>
      <c r="D573" s="4" t="str">
        <f>IFERROR(__xludf.DUMMYFUNCTION("""COMPUTED_VALUE"""),"Canra heri")</f>
        <v>Canra heri</v>
      </c>
      <c r="E573" s="4" t="str">
        <f>IFERROR(__xludf.DUMMYFUNCTION("""COMPUTED_VALUE"""),"BANDUNG")</f>
        <v>BANDUNG</v>
      </c>
      <c r="F573" s="4" t="str">
        <f>IFERROR(__xludf.DUMMYFUNCTION("""COMPUTED_VALUE"""),"UJUNGBERUNG")</f>
        <v>UJUNGBERUNG</v>
      </c>
      <c r="G573" s="4" t="str">
        <f>IFERROR(__xludf.DUMMYFUNCTION("""COMPUTED_VALUE"""),"UJUNGBERUNG")</f>
        <v>UJUNGBERUNG</v>
      </c>
      <c r="H573" s="4" t="str">
        <f>IFERROR(__xludf.DUMMYFUNCTION("""COMPUTED_VALUE"""),"UZO")</f>
        <v>UZO</v>
      </c>
      <c r="I573" s="4" t="str">
        <f>IFERROR(__xludf.DUMMYFUNCTION("""COMPUTED_VALUE"""),"GH ZIPUR - LBS PTU")</f>
        <v>GH ZIPUR - LBS PTU</v>
      </c>
      <c r="J573" s="4" t="str">
        <f>IFERROR(__xludf.DUMMYFUNCTION("""COMPUTED_VALUE"""),"ZONA 2")</f>
        <v>ZONA 2</v>
      </c>
      <c r="K573" s="4" t="str">
        <f>IFERROR(__xludf.DUMMYFUNCTION("""COMPUTED_VALUE"""),"015")</f>
        <v>015</v>
      </c>
      <c r="L573" s="4" t="str">
        <f>IFERROR(__xludf.DUMMYFUNCTION("""COMPUTED_VALUE"""),"TM - 4B/H (Afspan)")</f>
        <v>TM - 4B/H (Afspan)</v>
      </c>
      <c r="M573" s="4" t="str">
        <f>IFERROR(__xludf.DUMMYFUNCTION("""COMPUTED_VALUE"""),"Tidak Ada")</f>
        <v>Tidak Ada</v>
      </c>
      <c r="N573" s="4"/>
      <c r="O573" s="4" t="str">
        <f>IFERROR(__xludf.DUMMYFUNCTION("""COMPUTED_VALUE"""),"PEMBANDING SEJENIS")</f>
        <v>PEMBANDING SEJENIS</v>
      </c>
      <c r="P573" s="4" t="str">
        <f>IFERROR(__xludf.DUMMYFUNCTION("""COMPUTED_VALUE"""),"KONEKTOR/JUMPER")</f>
        <v>KONEKTOR/JUMPER</v>
      </c>
      <c r="Q573" s="4">
        <f>IFERROR(__xludf.DUMMYFUNCTION("""COMPUTED_VALUE"""),25.0)</f>
        <v>25</v>
      </c>
      <c r="R573" s="4">
        <f>IFERROR(__xludf.DUMMYFUNCTION("""COMPUTED_VALUE"""),26.0)</f>
        <v>26</v>
      </c>
      <c r="S573" s="4">
        <f>IFERROR(__xludf.DUMMYFUNCTION("""COMPUTED_VALUE"""),25.0)</f>
        <v>25</v>
      </c>
      <c r="T573" s="4"/>
      <c r="U573" s="4" t="str">
        <f>IFERROR(__xludf.DUMMYFUNCTION("""COMPUTED_VALUE"""),"BAIK")</f>
        <v>BAIK</v>
      </c>
      <c r="V573" s="4" t="str">
        <f>IFERROR(__xludf.DUMMYFUNCTION("""COMPUTED_VALUE"""),"Tidak Ada")</f>
        <v>Tidak Ada</v>
      </c>
      <c r="W573" s="4"/>
      <c r="X573" s="4"/>
      <c r="Y573" s="4"/>
      <c r="Z573" s="4"/>
      <c r="AA573" s="4"/>
      <c r="AB573" s="4"/>
      <c r="AC573" s="4" t="str">
        <f>IFERROR(__xludf.DUMMYFUNCTION("""COMPUTED_VALUE"""),"INSPEKSI SUTM - T2_Images/0c8de037.FOTO.135556.jpg")</f>
        <v>INSPEKSI SUTM - T2_Images/0c8de037.FOTO.135556.jpg</v>
      </c>
      <c r="AD573" s="4"/>
      <c r="AE573" s="4"/>
      <c r="AF573" s="4" t="str">
        <f>IFERROR(__xludf.DUMMYFUNCTION("""COMPUTED_VALUE"""),"BELUM")</f>
        <v>BELUM</v>
      </c>
      <c r="AG573" s="6">
        <f>IFERROR(__xludf.DUMMYFUNCTION("""COMPUTED_VALUE"""),46081.0)</f>
        <v>46081</v>
      </c>
      <c r="AH573" s="4"/>
      <c r="AI573" s="4"/>
    </row>
    <row r="574" ht="15.75" customHeight="1">
      <c r="A574" s="4" t="str">
        <f>IFERROR(__xludf.DUMMYFUNCTION("""COMPUTED_VALUE"""),"9b567d5b")</f>
        <v>9b567d5b</v>
      </c>
      <c r="B574" s="5">
        <f>IFERROR(__xludf.DUMMYFUNCTION("""COMPUTED_VALUE"""),46081.87291666667)</f>
        <v>46081.87292</v>
      </c>
      <c r="C574" s="4" t="str">
        <f>IFERROR(__xludf.DUMMYFUNCTION("""COMPUTED_VALUE"""),"-6.910994, 107.690082")</f>
        <v>-6.910994, 107.690082</v>
      </c>
      <c r="D574" s="4" t="str">
        <f>IFERROR(__xludf.DUMMYFUNCTION("""COMPUTED_VALUE"""),"Canra heri")</f>
        <v>Canra heri</v>
      </c>
      <c r="E574" s="4" t="str">
        <f>IFERROR(__xludf.DUMMYFUNCTION("""COMPUTED_VALUE"""),"BANDUNG")</f>
        <v>BANDUNG</v>
      </c>
      <c r="F574" s="4" t="str">
        <f>IFERROR(__xludf.DUMMYFUNCTION("""COMPUTED_VALUE"""),"UJUNGBERUNG")</f>
        <v>UJUNGBERUNG</v>
      </c>
      <c r="G574" s="4" t="str">
        <f>IFERROR(__xludf.DUMMYFUNCTION("""COMPUTED_VALUE"""),"UJUNGBERUNG")</f>
        <v>UJUNGBERUNG</v>
      </c>
      <c r="H574" s="4" t="str">
        <f>IFERROR(__xludf.DUMMYFUNCTION("""COMPUTED_VALUE"""),"UZO")</f>
        <v>UZO</v>
      </c>
      <c r="I574" s="4" t="str">
        <f>IFERROR(__xludf.DUMMYFUNCTION("""COMPUTED_VALUE"""),"GH ZIPUR - LBS PTU")</f>
        <v>GH ZIPUR - LBS PTU</v>
      </c>
      <c r="J574" s="4" t="str">
        <f>IFERROR(__xludf.DUMMYFUNCTION("""COMPUTED_VALUE"""),"ZONA 2")</f>
        <v>ZONA 2</v>
      </c>
      <c r="K574" s="4" t="str">
        <f>IFERROR(__xludf.DUMMYFUNCTION("""COMPUTED_VALUE"""),"024")</f>
        <v>024</v>
      </c>
      <c r="L574" s="4" t="str">
        <f>IFERROR(__xludf.DUMMYFUNCTION("""COMPUTED_VALUE"""),"TM - 8B/H (Percabangan)")</f>
        <v>TM - 8B/H (Percabangan)</v>
      </c>
      <c r="M574" s="4" t="str">
        <f>IFERROR(__xludf.DUMMYFUNCTION("""COMPUTED_VALUE"""),"Tidak Ada")</f>
        <v>Tidak Ada</v>
      </c>
      <c r="N574" s="4"/>
      <c r="O574" s="4" t="str">
        <f>IFERROR(__xludf.DUMMYFUNCTION("""COMPUTED_VALUE"""),"PEMBANDING SEJENIS")</f>
        <v>PEMBANDING SEJENIS</v>
      </c>
      <c r="P574" s="4" t="str">
        <f>IFERROR(__xludf.DUMMYFUNCTION("""COMPUTED_VALUE"""),"KONEKTOR/JUMPER")</f>
        <v>KONEKTOR/JUMPER</v>
      </c>
      <c r="Q574" s="4">
        <f>IFERROR(__xludf.DUMMYFUNCTION("""COMPUTED_VALUE"""),21.0)</f>
        <v>21</v>
      </c>
      <c r="R574" s="4">
        <f>IFERROR(__xludf.DUMMYFUNCTION("""COMPUTED_VALUE"""),21.0)</f>
        <v>21</v>
      </c>
      <c r="S574" s="4">
        <f>IFERROR(__xludf.DUMMYFUNCTION("""COMPUTED_VALUE"""),21.0)</f>
        <v>21</v>
      </c>
      <c r="T574" s="4"/>
      <c r="U574" s="4" t="str">
        <f>IFERROR(__xludf.DUMMYFUNCTION("""COMPUTED_VALUE"""),"BAIK")</f>
        <v>BAIK</v>
      </c>
      <c r="V574" s="4" t="str">
        <f>IFERROR(__xludf.DUMMYFUNCTION("""COMPUTED_VALUE"""),"Tidak Ada")</f>
        <v>Tidak Ada</v>
      </c>
      <c r="W574" s="4"/>
      <c r="X574" s="4"/>
      <c r="Y574" s="4"/>
      <c r="Z574" s="4"/>
      <c r="AA574" s="4"/>
      <c r="AB574" s="4"/>
      <c r="AC574" s="4" t="str">
        <f>IFERROR(__xludf.DUMMYFUNCTION("""COMPUTED_VALUE"""),"INSPEKSI SUTM - T2_Images/9b567d5b.FOTO.140149.jpg")</f>
        <v>INSPEKSI SUTM - T2_Images/9b567d5b.FOTO.140149.jpg</v>
      </c>
      <c r="AD574" s="4"/>
      <c r="AE574" s="4"/>
      <c r="AF574" s="4" t="str">
        <f>IFERROR(__xludf.DUMMYFUNCTION("""COMPUTED_VALUE"""),"BELUM")</f>
        <v>BELUM</v>
      </c>
      <c r="AG574" s="6">
        <f>IFERROR(__xludf.DUMMYFUNCTION("""COMPUTED_VALUE"""),46081.0)</f>
        <v>46081</v>
      </c>
      <c r="AH574" s="4"/>
      <c r="AI574" s="4"/>
    </row>
    <row r="575" ht="15.75" customHeight="1">
      <c r="A575" s="4" t="str">
        <f>IFERROR(__xludf.DUMMYFUNCTION("""COMPUTED_VALUE"""),"af04b760")</f>
        <v>af04b760</v>
      </c>
      <c r="B575" s="5">
        <f>IFERROR(__xludf.DUMMYFUNCTION("""COMPUTED_VALUE"""),46081.874548611115)</f>
        <v>46081.87455</v>
      </c>
      <c r="C575" s="4" t="str">
        <f>IFERROR(__xludf.DUMMYFUNCTION("""COMPUTED_VALUE"""),"-6.910621, 107.689790")</f>
        <v>-6.910621, 107.689790</v>
      </c>
      <c r="D575" s="4" t="str">
        <f>IFERROR(__xludf.DUMMYFUNCTION("""COMPUTED_VALUE"""),"Canra heri")</f>
        <v>Canra heri</v>
      </c>
      <c r="E575" s="4" t="str">
        <f>IFERROR(__xludf.DUMMYFUNCTION("""COMPUTED_VALUE"""),"BANDUNG")</f>
        <v>BANDUNG</v>
      </c>
      <c r="F575" s="4" t="str">
        <f>IFERROR(__xludf.DUMMYFUNCTION("""COMPUTED_VALUE"""),"UJUNGBERUNG")</f>
        <v>UJUNGBERUNG</v>
      </c>
      <c r="G575" s="4" t="str">
        <f>IFERROR(__xludf.DUMMYFUNCTION("""COMPUTED_VALUE"""),"UJUNGBERUNG")</f>
        <v>UJUNGBERUNG</v>
      </c>
      <c r="H575" s="4" t="str">
        <f>IFERROR(__xludf.DUMMYFUNCTION("""COMPUTED_VALUE"""),"UZO")</f>
        <v>UZO</v>
      </c>
      <c r="I575" s="4" t="str">
        <f>IFERROR(__xludf.DUMMYFUNCTION("""COMPUTED_VALUE"""),"GH ZIPUR - LBS PTU")</f>
        <v>GH ZIPUR - LBS PTU</v>
      </c>
      <c r="J575" s="4" t="str">
        <f>IFERROR(__xludf.DUMMYFUNCTION("""COMPUTED_VALUE"""),"ZONA 2")</f>
        <v>ZONA 2</v>
      </c>
      <c r="K575" s="4" t="str">
        <f>IFERROR(__xludf.DUMMYFUNCTION("""COMPUTED_VALUE"""),"025")</f>
        <v>025</v>
      </c>
      <c r="L575" s="4" t="str">
        <f>IFERROR(__xludf.DUMMYFUNCTION("""COMPUTED_VALUE"""),"TM - 7B/H (Afspan 90 Derajat)")</f>
        <v>TM - 7B/H (Afspan 90 Derajat)</v>
      </c>
      <c r="M575" s="4" t="str">
        <f>IFERROR(__xludf.DUMMYFUNCTION("""COMPUTED_VALUE"""),"Tidak Ada")</f>
        <v>Tidak Ada</v>
      </c>
      <c r="N575" s="4"/>
      <c r="O575" s="4" t="str">
        <f>IFERROR(__xludf.DUMMYFUNCTION("""COMPUTED_VALUE"""),"PEMBANDING SEJENIS")</f>
        <v>PEMBANDING SEJENIS</v>
      </c>
      <c r="P575" s="4" t="str">
        <f>IFERROR(__xludf.DUMMYFUNCTION("""COMPUTED_VALUE"""),"KONEKTOR/JUMPER")</f>
        <v>KONEKTOR/JUMPER</v>
      </c>
      <c r="Q575" s="4">
        <f>IFERROR(__xludf.DUMMYFUNCTION("""COMPUTED_VALUE"""),22.0)</f>
        <v>22</v>
      </c>
      <c r="R575" s="4">
        <f>IFERROR(__xludf.DUMMYFUNCTION("""COMPUTED_VALUE"""),21.0)</f>
        <v>21</v>
      </c>
      <c r="S575" s="4">
        <f>IFERROR(__xludf.DUMMYFUNCTION("""COMPUTED_VALUE"""),23.0)</f>
        <v>23</v>
      </c>
      <c r="T575" s="4"/>
      <c r="U575" s="4" t="str">
        <f>IFERROR(__xludf.DUMMYFUNCTION("""COMPUTED_VALUE"""),"BAIK")</f>
        <v>BAIK</v>
      </c>
      <c r="V575" s="4" t="str">
        <f>IFERROR(__xludf.DUMMYFUNCTION("""COMPUTED_VALUE"""),"Tidak Ada")</f>
        <v>Tidak Ada</v>
      </c>
      <c r="W575" s="4"/>
      <c r="X575" s="4"/>
      <c r="Y575" s="4"/>
      <c r="Z575" s="4"/>
      <c r="AA575" s="4"/>
      <c r="AB575" s="4"/>
      <c r="AC575" s="4" t="str">
        <f>IFERROR(__xludf.DUMMYFUNCTION("""COMPUTED_VALUE"""),"INSPEKSI SUTM - T2_Images/af04b760.FOTO.140155.jpg")</f>
        <v>INSPEKSI SUTM - T2_Images/af04b760.FOTO.140155.jpg</v>
      </c>
      <c r="AD575" s="4"/>
      <c r="AE575" s="4"/>
      <c r="AF575" s="4" t="str">
        <f>IFERROR(__xludf.DUMMYFUNCTION("""COMPUTED_VALUE"""),"BELUM")</f>
        <v>BELUM</v>
      </c>
      <c r="AG575" s="6">
        <f>IFERROR(__xludf.DUMMYFUNCTION("""COMPUTED_VALUE"""),46081.0)</f>
        <v>46081</v>
      </c>
      <c r="AH575" s="4"/>
      <c r="AI575" s="4"/>
    </row>
    <row r="576" ht="15.75" customHeight="1">
      <c r="A576" s="4" t="str">
        <f>IFERROR(__xludf.DUMMYFUNCTION("""COMPUTED_VALUE"""),"6cdb37e3")</f>
        <v>6cdb37e3</v>
      </c>
      <c r="B576" s="5">
        <f>IFERROR(__xludf.DUMMYFUNCTION("""COMPUTED_VALUE"""),46081.876284722224)</f>
        <v>46081.87628</v>
      </c>
      <c r="C576" s="4" t="str">
        <f>IFERROR(__xludf.DUMMYFUNCTION("""COMPUTED_VALUE"""),"-6.910042, 107.690208")</f>
        <v>-6.910042, 107.690208</v>
      </c>
      <c r="D576" s="4" t="str">
        <f>IFERROR(__xludf.DUMMYFUNCTION("""COMPUTED_VALUE"""),"Canra heei")</f>
        <v>Canra heei</v>
      </c>
      <c r="E576" s="4" t="str">
        <f>IFERROR(__xludf.DUMMYFUNCTION("""COMPUTED_VALUE"""),"BANDUNG")</f>
        <v>BANDUNG</v>
      </c>
      <c r="F576" s="4" t="str">
        <f>IFERROR(__xludf.DUMMYFUNCTION("""COMPUTED_VALUE"""),"UJUNGBERUNG")</f>
        <v>UJUNGBERUNG</v>
      </c>
      <c r="G576" s="4" t="str">
        <f>IFERROR(__xludf.DUMMYFUNCTION("""COMPUTED_VALUE"""),"UJUNGBERUNG")</f>
        <v>UJUNGBERUNG</v>
      </c>
      <c r="H576" s="4" t="str">
        <f>IFERROR(__xludf.DUMMYFUNCTION("""COMPUTED_VALUE"""),"UZO")</f>
        <v>UZO</v>
      </c>
      <c r="I576" s="4" t="str">
        <f>IFERROR(__xludf.DUMMYFUNCTION("""COMPUTED_VALUE"""),"GH ZIPUR - LBS PTU")</f>
        <v>GH ZIPUR - LBS PTU</v>
      </c>
      <c r="J576" s="4" t="str">
        <f>IFERROR(__xludf.DUMMYFUNCTION("""COMPUTED_VALUE"""),"ZONA 2")</f>
        <v>ZONA 2</v>
      </c>
      <c r="K576" s="4" t="str">
        <f>IFERROR(__xludf.DUMMYFUNCTION("""COMPUTED_VALUE"""),"027")</f>
        <v>027</v>
      </c>
      <c r="L576" s="4" t="str">
        <f>IFERROR(__xludf.DUMMYFUNCTION("""COMPUTED_VALUE"""),"TM - 16B/H (REC/SSO/LBS)")</f>
        <v>TM - 16B/H (REC/SSO/LBS)</v>
      </c>
      <c r="M576" s="4" t="str">
        <f>IFERROR(__xludf.DUMMYFUNCTION("""COMPUTED_VALUE"""),"LBS")</f>
        <v>LBS</v>
      </c>
      <c r="N576" s="4" t="str">
        <f>IFERROR(__xludf.DUMMYFUNCTION("""COMPUTED_VALUE"""),"Pkn")</f>
        <v>Pkn</v>
      </c>
      <c r="O576" s="4" t="str">
        <f>IFERROR(__xludf.DUMMYFUNCTION("""COMPUTED_VALUE"""),"PEMBANDING SEJENIS")</f>
        <v>PEMBANDING SEJENIS</v>
      </c>
      <c r="P576" s="4" t="str">
        <f>IFERROR(__xludf.DUMMYFUNCTION("""COMPUTED_VALUE"""),"KONEKTOR/JUMPER")</f>
        <v>KONEKTOR/JUMPER</v>
      </c>
      <c r="Q576" s="4">
        <f>IFERROR(__xludf.DUMMYFUNCTION("""COMPUTED_VALUE"""),24.0)</f>
        <v>24</v>
      </c>
      <c r="R576" s="4">
        <f>IFERROR(__xludf.DUMMYFUNCTION("""COMPUTED_VALUE"""),24.0)</f>
        <v>24</v>
      </c>
      <c r="S576" s="4">
        <f>IFERROR(__xludf.DUMMYFUNCTION("""COMPUTED_VALUE"""),24.0)</f>
        <v>24</v>
      </c>
      <c r="T576" s="4"/>
      <c r="U576" s="4" t="str">
        <f>IFERROR(__xludf.DUMMYFUNCTION("""COMPUTED_VALUE"""),"BAIK")</f>
        <v>BAIK</v>
      </c>
      <c r="V576" s="4" t="str">
        <f>IFERROR(__xludf.DUMMYFUNCTION("""COMPUTED_VALUE"""),"Tidak Ada")</f>
        <v>Tidak Ada</v>
      </c>
      <c r="W576" s="4"/>
      <c r="X576" s="4"/>
      <c r="Y576" s="4"/>
      <c r="Z576" s="4"/>
      <c r="AA576" s="4"/>
      <c r="AB576" s="4"/>
      <c r="AC576" s="4" t="str">
        <f>IFERROR(__xludf.DUMMYFUNCTION("""COMPUTED_VALUE"""),"INSPEKSI SUTM - T2_Images/6cdb37e3.FOTO.140250.jpg")</f>
        <v>INSPEKSI SUTM - T2_Images/6cdb37e3.FOTO.140250.jpg</v>
      </c>
      <c r="AD576" s="4"/>
      <c r="AE576" s="4"/>
      <c r="AF576" s="4" t="str">
        <f>IFERROR(__xludf.DUMMYFUNCTION("""COMPUTED_VALUE"""),"BELUM")</f>
        <v>BELUM</v>
      </c>
      <c r="AG576" s="6">
        <f>IFERROR(__xludf.DUMMYFUNCTION("""COMPUTED_VALUE"""),46081.0)</f>
        <v>46081</v>
      </c>
      <c r="AH576" s="4"/>
      <c r="AI576" s="4"/>
    </row>
    <row r="577" ht="15.75" customHeight="1">
      <c r="A577" s="4" t="str">
        <f>IFERROR(__xludf.DUMMYFUNCTION("""COMPUTED_VALUE"""),"2e0a108f")</f>
        <v>2e0a108f</v>
      </c>
      <c r="B577" s="5">
        <f>IFERROR(__xludf.DUMMYFUNCTION("""COMPUTED_VALUE"""),46081.87756944444)</f>
        <v>46081.87757</v>
      </c>
      <c r="C577" s="4" t="str">
        <f>IFERROR(__xludf.DUMMYFUNCTION("""COMPUTED_VALUE"""),"-6.909550, 107.690381")</f>
        <v>-6.909550, 107.690381</v>
      </c>
      <c r="D577" s="4" t="str">
        <f>IFERROR(__xludf.DUMMYFUNCTION("""COMPUTED_VALUE"""),"Canra heei")</f>
        <v>Canra heei</v>
      </c>
      <c r="E577" s="4" t="str">
        <f>IFERROR(__xludf.DUMMYFUNCTION("""COMPUTED_VALUE"""),"BANDUNG")</f>
        <v>BANDUNG</v>
      </c>
      <c r="F577" s="4" t="str">
        <f>IFERROR(__xludf.DUMMYFUNCTION("""COMPUTED_VALUE"""),"UJUNGBERUNG")</f>
        <v>UJUNGBERUNG</v>
      </c>
      <c r="G577" s="4" t="str">
        <f>IFERROR(__xludf.DUMMYFUNCTION("""COMPUTED_VALUE"""),"UJUNGBERUNG")</f>
        <v>UJUNGBERUNG</v>
      </c>
      <c r="H577" s="4" t="str">
        <f>IFERROR(__xludf.DUMMYFUNCTION("""COMPUTED_VALUE"""),"UZO")</f>
        <v>UZO</v>
      </c>
      <c r="I577" s="4" t="str">
        <f>IFERROR(__xludf.DUMMYFUNCTION("""COMPUTED_VALUE"""),"LBS PKN - UJUNG")</f>
        <v>LBS PKN - UJUNG</v>
      </c>
      <c r="J577" s="4" t="str">
        <f>IFERROR(__xludf.DUMMYFUNCTION("""COMPUTED_VALUE"""),"ZONA 2")</f>
        <v>ZONA 2</v>
      </c>
      <c r="K577" s="4" t="str">
        <f>IFERROR(__xludf.DUMMYFUNCTION("""COMPUTED_VALUE"""),"028")</f>
        <v>028</v>
      </c>
      <c r="L577" s="4" t="str">
        <f>IFERROR(__xludf.DUMMYFUNCTION("""COMPUTED_VALUE"""),"TM - 4B/H (Afspan)")</f>
        <v>TM - 4B/H (Afspan)</v>
      </c>
      <c r="M577" s="4" t="str">
        <f>IFERROR(__xludf.DUMMYFUNCTION("""COMPUTED_VALUE"""),"Tidak Ada")</f>
        <v>Tidak Ada</v>
      </c>
      <c r="N577" s="4"/>
      <c r="O577" s="4" t="str">
        <f>IFERROR(__xludf.DUMMYFUNCTION("""COMPUTED_VALUE"""),"PEMBANDING SEJENIS")</f>
        <v>PEMBANDING SEJENIS</v>
      </c>
      <c r="P577" s="4" t="str">
        <f>IFERROR(__xludf.DUMMYFUNCTION("""COMPUTED_VALUE"""),"KONEKTOR/JUMPER")</f>
        <v>KONEKTOR/JUMPER</v>
      </c>
      <c r="Q577" s="4">
        <f>IFERROR(__xludf.DUMMYFUNCTION("""COMPUTED_VALUE"""),22.0)</f>
        <v>22</v>
      </c>
      <c r="R577" s="4">
        <f>IFERROR(__xludf.DUMMYFUNCTION("""COMPUTED_VALUE"""),21.0)</f>
        <v>21</v>
      </c>
      <c r="S577" s="4">
        <f>IFERROR(__xludf.DUMMYFUNCTION("""COMPUTED_VALUE"""),23.0)</f>
        <v>23</v>
      </c>
      <c r="T577" s="4"/>
      <c r="U577" s="4" t="str">
        <f>IFERROR(__xludf.DUMMYFUNCTION("""COMPUTED_VALUE"""),"BAIK")</f>
        <v>BAIK</v>
      </c>
      <c r="V577" s="4" t="str">
        <f>IFERROR(__xludf.DUMMYFUNCTION("""COMPUTED_VALUE"""),"Tidak Ada")</f>
        <v>Tidak Ada</v>
      </c>
      <c r="W577" s="4"/>
      <c r="X577" s="4"/>
      <c r="Y577" s="4"/>
      <c r="Z577" s="4"/>
      <c r="AA577" s="4"/>
      <c r="AB577" s="4"/>
      <c r="AC577" s="4" t="str">
        <f>IFERROR(__xludf.DUMMYFUNCTION("""COMPUTED_VALUE"""),"INSPEKSI SUTM - T2_Images/2e0a108f.FOTO.140427.jpg")</f>
        <v>INSPEKSI SUTM - T2_Images/2e0a108f.FOTO.140427.jpg</v>
      </c>
      <c r="AD577" s="4"/>
      <c r="AE577" s="4"/>
      <c r="AF577" s="4" t="str">
        <f>IFERROR(__xludf.DUMMYFUNCTION("""COMPUTED_VALUE"""),"BELUM")</f>
        <v>BELUM</v>
      </c>
      <c r="AG577" s="6">
        <f>IFERROR(__xludf.DUMMYFUNCTION("""COMPUTED_VALUE"""),46081.0)</f>
        <v>46081</v>
      </c>
      <c r="AH577" s="4"/>
      <c r="AI577" s="4"/>
    </row>
    <row r="578" ht="15.75" customHeight="1">
      <c r="A578" s="4" t="str">
        <f>IFERROR(__xludf.DUMMYFUNCTION("""COMPUTED_VALUE"""),"31e7df04")</f>
        <v>31e7df04</v>
      </c>
      <c r="B578" s="5">
        <f>IFERROR(__xludf.DUMMYFUNCTION("""COMPUTED_VALUE"""),46081.87894675926)</f>
        <v>46081.87895</v>
      </c>
      <c r="C578" s="4" t="str">
        <f>IFERROR(__xludf.DUMMYFUNCTION("""COMPUTED_VALUE"""),"-6.909234, 107.690527")</f>
        <v>-6.909234, 107.690527</v>
      </c>
      <c r="D578" s="4" t="str">
        <f>IFERROR(__xludf.DUMMYFUNCTION("""COMPUTED_VALUE"""),"Canra heei")</f>
        <v>Canra heei</v>
      </c>
      <c r="E578" s="4" t="str">
        <f>IFERROR(__xludf.DUMMYFUNCTION("""COMPUTED_VALUE"""),"BANDUNG")</f>
        <v>BANDUNG</v>
      </c>
      <c r="F578" s="4" t="str">
        <f>IFERROR(__xludf.DUMMYFUNCTION("""COMPUTED_VALUE"""),"UJUNGBERUNG")</f>
        <v>UJUNGBERUNG</v>
      </c>
      <c r="G578" s="4" t="str">
        <f>IFERROR(__xludf.DUMMYFUNCTION("""COMPUTED_VALUE"""),"UJUNGBERUNG")</f>
        <v>UJUNGBERUNG</v>
      </c>
      <c r="H578" s="4" t="str">
        <f>IFERROR(__xludf.DUMMYFUNCTION("""COMPUTED_VALUE"""),"UZO")</f>
        <v>UZO</v>
      </c>
      <c r="I578" s="4" t="str">
        <f>IFERROR(__xludf.DUMMYFUNCTION("""COMPUTED_VALUE"""),"LBS PKN - UJUNG")</f>
        <v>LBS PKN - UJUNG</v>
      </c>
      <c r="J578" s="4" t="str">
        <f>IFERROR(__xludf.DUMMYFUNCTION("""COMPUTED_VALUE"""),"ZONA 2")</f>
        <v>ZONA 2</v>
      </c>
      <c r="K578" s="4" t="str">
        <f>IFERROR(__xludf.DUMMYFUNCTION("""COMPUTED_VALUE"""),"029")</f>
        <v>029</v>
      </c>
      <c r="L578" s="4" t="str">
        <f>IFERROR(__xludf.DUMMYFUNCTION("""COMPUTED_VALUE"""),"TM - 8B/H (Percabangan)")</f>
        <v>TM - 8B/H (Percabangan)</v>
      </c>
      <c r="M578" s="4" t="str">
        <f>IFERROR(__xludf.DUMMYFUNCTION("""COMPUTED_VALUE"""),"Tidak Ada")</f>
        <v>Tidak Ada</v>
      </c>
      <c r="N578" s="4"/>
      <c r="O578" s="4" t="str">
        <f>IFERROR(__xludf.DUMMYFUNCTION("""COMPUTED_VALUE"""),"PEMBANDING SEJENIS")</f>
        <v>PEMBANDING SEJENIS</v>
      </c>
      <c r="P578" s="4" t="str">
        <f>IFERROR(__xludf.DUMMYFUNCTION("""COMPUTED_VALUE"""),"KONEKTOR/JUMPER")</f>
        <v>KONEKTOR/JUMPER</v>
      </c>
      <c r="Q578" s="4">
        <f>IFERROR(__xludf.DUMMYFUNCTION("""COMPUTED_VALUE"""),24.0)</f>
        <v>24</v>
      </c>
      <c r="R578" s="4">
        <f>IFERROR(__xludf.DUMMYFUNCTION("""COMPUTED_VALUE"""),24.0)</f>
        <v>24</v>
      </c>
      <c r="S578" s="4">
        <f>IFERROR(__xludf.DUMMYFUNCTION("""COMPUTED_VALUE"""),24.0)</f>
        <v>24</v>
      </c>
      <c r="T578" s="4"/>
      <c r="U578" s="4" t="str">
        <f>IFERROR(__xludf.DUMMYFUNCTION("""COMPUTED_VALUE"""),"BAIK")</f>
        <v>BAIK</v>
      </c>
      <c r="V578" s="4" t="str">
        <f>IFERROR(__xludf.DUMMYFUNCTION("""COMPUTED_VALUE"""),"Tidak Ada")</f>
        <v>Tidak Ada</v>
      </c>
      <c r="W578" s="4"/>
      <c r="X578" s="4"/>
      <c r="Y578" s="4"/>
      <c r="Z578" s="4"/>
      <c r="AA578" s="4"/>
      <c r="AB578" s="4"/>
      <c r="AC578" s="4" t="str">
        <f>IFERROR(__xludf.DUMMYFUNCTION("""COMPUTED_VALUE"""),"INSPEKSI SUTM - T2_Images/31e7df04.FOTO.140625.jpg")</f>
        <v>INSPEKSI SUTM - T2_Images/31e7df04.FOTO.140625.jpg</v>
      </c>
      <c r="AD578" s="4"/>
      <c r="AE578" s="4"/>
      <c r="AF578" s="4" t="str">
        <f>IFERROR(__xludf.DUMMYFUNCTION("""COMPUTED_VALUE"""),"BELUM")</f>
        <v>BELUM</v>
      </c>
      <c r="AG578" s="6">
        <f>IFERROR(__xludf.DUMMYFUNCTION("""COMPUTED_VALUE"""),46081.0)</f>
        <v>46081</v>
      </c>
      <c r="AH578" s="4"/>
      <c r="AI578" s="4"/>
    </row>
    <row r="579" ht="15.75" customHeight="1">
      <c r="A579" s="4" t="str">
        <f>IFERROR(__xludf.DUMMYFUNCTION("""COMPUTED_VALUE"""),"6ad78d79")</f>
        <v>6ad78d79</v>
      </c>
      <c r="B579" s="5">
        <f>IFERROR(__xludf.DUMMYFUNCTION("""COMPUTED_VALUE"""),46081.879953703705)</f>
        <v>46081.87995</v>
      </c>
      <c r="C579" s="4" t="str">
        <f>IFERROR(__xludf.DUMMYFUNCTION("""COMPUTED_VALUE"""),"-6.908064, 107.690933")</f>
        <v>-6.908064, 107.690933</v>
      </c>
      <c r="D579" s="4" t="str">
        <f>IFERROR(__xludf.DUMMYFUNCTION("""COMPUTED_VALUE"""),"Canra heei")</f>
        <v>Canra heei</v>
      </c>
      <c r="E579" s="4" t="str">
        <f>IFERROR(__xludf.DUMMYFUNCTION("""COMPUTED_VALUE"""),"BANDUNG")</f>
        <v>BANDUNG</v>
      </c>
      <c r="F579" s="4" t="str">
        <f>IFERROR(__xludf.DUMMYFUNCTION("""COMPUTED_VALUE"""),"UJUNGBERUNG")</f>
        <v>UJUNGBERUNG</v>
      </c>
      <c r="G579" s="4" t="str">
        <f>IFERROR(__xludf.DUMMYFUNCTION("""COMPUTED_VALUE"""),"UJUNGBERUNG")</f>
        <v>UJUNGBERUNG</v>
      </c>
      <c r="H579" s="4" t="str">
        <f>IFERROR(__xludf.DUMMYFUNCTION("""COMPUTED_VALUE"""),"UZO")</f>
        <v>UZO</v>
      </c>
      <c r="I579" s="4" t="str">
        <f>IFERROR(__xludf.DUMMYFUNCTION("""COMPUTED_VALUE"""),"LBS PKN - UJUNG")</f>
        <v>LBS PKN - UJUNG</v>
      </c>
      <c r="J579" s="4" t="str">
        <f>IFERROR(__xludf.DUMMYFUNCTION("""COMPUTED_VALUE"""),"ZONA 2")</f>
        <v>ZONA 2</v>
      </c>
      <c r="K579" s="4" t="str">
        <f>IFERROR(__xludf.DUMMYFUNCTION("""COMPUTED_VALUE"""),"032")</f>
        <v>032</v>
      </c>
      <c r="L579" s="4" t="str">
        <f>IFERROR(__xludf.DUMMYFUNCTION("""COMPUTED_VALUE"""),"TM - 4B/H (Afspan)")</f>
        <v>TM - 4B/H (Afspan)</v>
      </c>
      <c r="M579" s="4" t="str">
        <f>IFERROR(__xludf.DUMMYFUNCTION("""COMPUTED_VALUE"""),"Tidak Ada")</f>
        <v>Tidak Ada</v>
      </c>
      <c r="N579" s="4"/>
      <c r="O579" s="4" t="str">
        <f>IFERROR(__xludf.DUMMYFUNCTION("""COMPUTED_VALUE"""),"PEMBANDING SEJENIS")</f>
        <v>PEMBANDING SEJENIS</v>
      </c>
      <c r="P579" s="4" t="str">
        <f>IFERROR(__xludf.DUMMYFUNCTION("""COMPUTED_VALUE"""),"KONEKTOR/JUMPER")</f>
        <v>KONEKTOR/JUMPER</v>
      </c>
      <c r="Q579" s="4">
        <f>IFERROR(__xludf.DUMMYFUNCTION("""COMPUTED_VALUE"""),23.0)</f>
        <v>23</v>
      </c>
      <c r="R579" s="4">
        <f>IFERROR(__xludf.DUMMYFUNCTION("""COMPUTED_VALUE"""),23.0)</f>
        <v>23</v>
      </c>
      <c r="S579" s="4">
        <f>IFERROR(__xludf.DUMMYFUNCTION("""COMPUTED_VALUE"""),24.0)</f>
        <v>24</v>
      </c>
      <c r="T579" s="4"/>
      <c r="U579" s="4" t="str">
        <f>IFERROR(__xludf.DUMMYFUNCTION("""COMPUTED_VALUE"""),"BAIK")</f>
        <v>BAIK</v>
      </c>
      <c r="V579" s="4" t="str">
        <f>IFERROR(__xludf.DUMMYFUNCTION("""COMPUTED_VALUE"""),"Tidak Ada")</f>
        <v>Tidak Ada</v>
      </c>
      <c r="W579" s="4"/>
      <c r="X579" s="4"/>
      <c r="Y579" s="4"/>
      <c r="Z579" s="4"/>
      <c r="AA579" s="4"/>
      <c r="AB579" s="4"/>
      <c r="AC579" s="4" t="str">
        <f>IFERROR(__xludf.DUMMYFUNCTION("""COMPUTED_VALUE"""),"INSPEKSI SUTM - T2_Images/6ad78d79.FOTO.140754.jpg")</f>
        <v>INSPEKSI SUTM - T2_Images/6ad78d79.FOTO.140754.jpg</v>
      </c>
      <c r="AD579" s="4"/>
      <c r="AE579" s="4"/>
      <c r="AF579" s="4" t="str">
        <f>IFERROR(__xludf.DUMMYFUNCTION("""COMPUTED_VALUE"""),"BELUM")</f>
        <v>BELUM</v>
      </c>
      <c r="AG579" s="6">
        <f>IFERROR(__xludf.DUMMYFUNCTION("""COMPUTED_VALUE"""),46081.0)</f>
        <v>46081</v>
      </c>
      <c r="AH579" s="4"/>
      <c r="AI579" s="4"/>
    </row>
    <row r="580" ht="15.75" customHeight="1">
      <c r="A580" s="4" t="str">
        <f>IFERROR(__xludf.DUMMYFUNCTION("""COMPUTED_VALUE"""),"723e97be")</f>
        <v>723e97be</v>
      </c>
      <c r="B580" s="5">
        <f>IFERROR(__xludf.DUMMYFUNCTION("""COMPUTED_VALUE"""),46081.88107638889)</f>
        <v>46081.88108</v>
      </c>
      <c r="C580" s="4" t="str">
        <f>IFERROR(__xludf.DUMMYFUNCTION("""COMPUTED_VALUE"""),"-6.906106, 107.691181")</f>
        <v>-6.906106, 107.691181</v>
      </c>
      <c r="D580" s="4" t="str">
        <f>IFERROR(__xludf.DUMMYFUNCTION("""COMPUTED_VALUE"""),"Canra heri")</f>
        <v>Canra heri</v>
      </c>
      <c r="E580" s="4" t="str">
        <f>IFERROR(__xludf.DUMMYFUNCTION("""COMPUTED_VALUE"""),"BANDUNG")</f>
        <v>BANDUNG</v>
      </c>
      <c r="F580" s="4" t="str">
        <f>IFERROR(__xludf.DUMMYFUNCTION("""COMPUTED_VALUE"""),"UJUNGBERUNG")</f>
        <v>UJUNGBERUNG</v>
      </c>
      <c r="G580" s="4" t="str">
        <f>IFERROR(__xludf.DUMMYFUNCTION("""COMPUTED_VALUE"""),"UJUNGBERUNG")</f>
        <v>UJUNGBERUNG</v>
      </c>
      <c r="H580" s="4" t="str">
        <f>IFERROR(__xludf.DUMMYFUNCTION("""COMPUTED_VALUE"""),"UZO")</f>
        <v>UZO</v>
      </c>
      <c r="I580" s="4" t="str">
        <f>IFERROR(__xludf.DUMMYFUNCTION("""COMPUTED_VALUE"""),"LBS PKN - UJUNG")</f>
        <v>LBS PKN - UJUNG</v>
      </c>
      <c r="J580" s="4" t="str">
        <f>IFERROR(__xludf.DUMMYFUNCTION("""COMPUTED_VALUE"""),"ZONA 2")</f>
        <v>ZONA 2</v>
      </c>
      <c r="K580" s="4" t="str">
        <f>IFERROR(__xludf.DUMMYFUNCTION("""COMPUTED_VALUE"""),"037")</f>
        <v>037</v>
      </c>
      <c r="L580" s="4" t="str">
        <f>IFERROR(__xludf.DUMMYFUNCTION("""COMPUTED_VALUE"""),"TM - 8B/H (Percabangan)")</f>
        <v>TM - 8B/H (Percabangan)</v>
      </c>
      <c r="M580" s="4" t="str">
        <f>IFERROR(__xludf.DUMMYFUNCTION("""COMPUTED_VALUE"""),"Tidak Ada")</f>
        <v>Tidak Ada</v>
      </c>
      <c r="N580" s="4"/>
      <c r="O580" s="4" t="str">
        <f>IFERROR(__xludf.DUMMYFUNCTION("""COMPUTED_VALUE"""),"PEMBANDING SEJENIS")</f>
        <v>PEMBANDING SEJENIS</v>
      </c>
      <c r="P580" s="4" t="str">
        <f>IFERROR(__xludf.DUMMYFUNCTION("""COMPUTED_VALUE"""),"KONEKTOR/JUMPER")</f>
        <v>KONEKTOR/JUMPER</v>
      </c>
      <c r="Q580" s="4">
        <f>IFERROR(__xludf.DUMMYFUNCTION("""COMPUTED_VALUE"""),44.0)</f>
        <v>44</v>
      </c>
      <c r="R580" s="4">
        <f>IFERROR(__xludf.DUMMYFUNCTION("""COMPUTED_VALUE"""),27.0)</f>
        <v>27</v>
      </c>
      <c r="S580" s="4">
        <f>IFERROR(__xludf.DUMMYFUNCTION("""COMPUTED_VALUE"""),23.0)</f>
        <v>23</v>
      </c>
      <c r="T580" s="4"/>
      <c r="U580" s="4" t="str">
        <f>IFERROR(__xludf.DUMMYFUNCTION("""COMPUTED_VALUE"""),"BURUK")</f>
        <v>BURUK</v>
      </c>
      <c r="V580" s="4" t="str">
        <f>IFERROR(__xludf.DUMMYFUNCTION("""COMPUTED_VALUE"""),"Tidak Ada")</f>
        <v>Tidak Ada</v>
      </c>
      <c r="W580" s="4"/>
      <c r="X580" s="4"/>
      <c r="Y580" s="4"/>
      <c r="Z580" s="4"/>
      <c r="AA580" s="4"/>
      <c r="AB580" s="4"/>
      <c r="AC580" s="4" t="str">
        <f>IFERROR(__xludf.DUMMYFUNCTION("""COMPUTED_VALUE"""),"INSPEKSI SUTM - T2_Images/723e97be.FOTO.140935.jpg")</f>
        <v>INSPEKSI SUTM - T2_Images/723e97be.FOTO.140935.jpg</v>
      </c>
      <c r="AD580" s="4"/>
      <c r="AE580" s="4"/>
      <c r="AF580" s="4" t="str">
        <f>IFERROR(__xludf.DUMMYFUNCTION("""COMPUTED_VALUE"""),"BELUM")</f>
        <v>BELUM</v>
      </c>
      <c r="AG580" s="6">
        <f>IFERROR(__xludf.DUMMYFUNCTION("""COMPUTED_VALUE"""),46081.0)</f>
        <v>46081</v>
      </c>
      <c r="AH580" s="4"/>
      <c r="AI580" s="4"/>
    </row>
    <row r="581" ht="15.75" customHeight="1">
      <c r="A581" s="4" t="str">
        <f>IFERROR(__xludf.DUMMYFUNCTION("""COMPUTED_VALUE"""),"3eeac3d9")</f>
        <v>3eeac3d9</v>
      </c>
      <c r="B581" s="5">
        <f>IFERROR(__xludf.DUMMYFUNCTION("""COMPUTED_VALUE"""),46081.88259259259)</f>
        <v>46081.88259</v>
      </c>
      <c r="C581" s="4" t="str">
        <f>IFERROR(__xludf.DUMMYFUNCTION("""COMPUTED_VALUE"""),"-6.904725, 107.690739")</f>
        <v>-6.904725, 107.690739</v>
      </c>
      <c r="D581" s="4" t="str">
        <f>IFERROR(__xludf.DUMMYFUNCTION("""COMPUTED_VALUE"""),"Canra heri")</f>
        <v>Canra heri</v>
      </c>
      <c r="E581" s="4" t="str">
        <f>IFERROR(__xludf.DUMMYFUNCTION("""COMPUTED_VALUE"""),"BANDUNG")</f>
        <v>BANDUNG</v>
      </c>
      <c r="F581" s="4" t="str">
        <f>IFERROR(__xludf.DUMMYFUNCTION("""COMPUTED_VALUE"""),"UJUNGBERUNG")</f>
        <v>UJUNGBERUNG</v>
      </c>
      <c r="G581" s="4" t="str">
        <f>IFERROR(__xludf.DUMMYFUNCTION("""COMPUTED_VALUE"""),"UJUNGBERUNG")</f>
        <v>UJUNGBERUNG</v>
      </c>
      <c r="H581" s="4" t="str">
        <f>IFERROR(__xludf.DUMMYFUNCTION("""COMPUTED_VALUE"""),"UZO")</f>
        <v>UZO</v>
      </c>
      <c r="I581" s="4" t="str">
        <f>IFERROR(__xludf.DUMMYFUNCTION("""COMPUTED_VALUE"""),"LBS PKN - UJUNG")</f>
        <v>LBS PKN - UJUNG</v>
      </c>
      <c r="J581" s="4" t="str">
        <f>IFERROR(__xludf.DUMMYFUNCTION("""COMPUTED_VALUE"""),"ZONA 2")</f>
        <v>ZONA 2</v>
      </c>
      <c r="K581" s="4" t="str">
        <f>IFERROR(__xludf.DUMMYFUNCTION("""COMPUTED_VALUE"""),"037L03")</f>
        <v>037L03</v>
      </c>
      <c r="L581" s="4" t="str">
        <f>IFERROR(__xludf.DUMMYFUNCTION("""COMPUTED_VALUE"""),"TM - 8B/H (Percabangan)")</f>
        <v>TM - 8B/H (Percabangan)</v>
      </c>
      <c r="M581" s="4" t="str">
        <f>IFERROR(__xludf.DUMMYFUNCTION("""COMPUTED_VALUE"""),"Tidak Ada")</f>
        <v>Tidak Ada</v>
      </c>
      <c r="N581" s="4"/>
      <c r="O581" s="4" t="str">
        <f>IFERROR(__xludf.DUMMYFUNCTION("""COMPUTED_VALUE"""),"PEMBANDING SEJENIS")</f>
        <v>PEMBANDING SEJENIS</v>
      </c>
      <c r="P581" s="4" t="str">
        <f>IFERROR(__xludf.DUMMYFUNCTION("""COMPUTED_VALUE"""),"KONEKTOR/JUMPER")</f>
        <v>KONEKTOR/JUMPER</v>
      </c>
      <c r="Q581" s="4">
        <f>IFERROR(__xludf.DUMMYFUNCTION("""COMPUTED_VALUE"""),32.0)</f>
        <v>32</v>
      </c>
      <c r="R581" s="4">
        <f>IFERROR(__xludf.DUMMYFUNCTION("""COMPUTED_VALUE"""),37.0)</f>
        <v>37</v>
      </c>
      <c r="S581" s="4">
        <f>IFERROR(__xludf.DUMMYFUNCTION("""COMPUTED_VALUE"""),23.0)</f>
        <v>23</v>
      </c>
      <c r="T581" s="4"/>
      <c r="U581" s="4" t="str">
        <f>IFERROR(__xludf.DUMMYFUNCTION("""COMPUTED_VALUE"""),"KURANG")</f>
        <v>KURANG</v>
      </c>
      <c r="V581" s="4" t="str">
        <f>IFERROR(__xludf.DUMMYFUNCTION("""COMPUTED_VALUE"""),"Tidak Ada")</f>
        <v>Tidak Ada</v>
      </c>
      <c r="W581" s="4"/>
      <c r="X581" s="4"/>
      <c r="Y581" s="4"/>
      <c r="Z581" s="4"/>
      <c r="AA581" s="4"/>
      <c r="AB581" s="4"/>
      <c r="AC581" s="4" t="str">
        <f>IFERROR(__xludf.DUMMYFUNCTION("""COMPUTED_VALUE"""),"INSPEKSI SUTM - T2_Images/3eeac3d9.FOTO.141140.jpg")</f>
        <v>INSPEKSI SUTM - T2_Images/3eeac3d9.FOTO.141140.jpg</v>
      </c>
      <c r="AD581" s="4"/>
      <c r="AE581" s="4"/>
      <c r="AF581" s="4" t="str">
        <f>IFERROR(__xludf.DUMMYFUNCTION("""COMPUTED_VALUE"""),"BELUM")</f>
        <v>BELUM</v>
      </c>
      <c r="AG581" s="6">
        <f>IFERROR(__xludf.DUMMYFUNCTION("""COMPUTED_VALUE"""),46081.0)</f>
        <v>46081</v>
      </c>
      <c r="AH581" s="4"/>
      <c r="AI581" s="4"/>
    </row>
    <row r="582" ht="15.75" customHeight="1">
      <c r="A582" s="4" t="str">
        <f>IFERROR(__xludf.DUMMYFUNCTION("""COMPUTED_VALUE"""),"6777f60d")</f>
        <v>6777f60d</v>
      </c>
      <c r="B582" s="5">
        <f>IFERROR(__xludf.DUMMYFUNCTION("""COMPUTED_VALUE"""),46081.88358796296)</f>
        <v>46081.88359</v>
      </c>
      <c r="C582" s="4" t="str">
        <f>IFERROR(__xludf.DUMMYFUNCTION("""COMPUTED_VALUE"""),"-6.904677, 107.690140")</f>
        <v>-6.904677, 107.690140</v>
      </c>
      <c r="D582" s="4" t="str">
        <f>IFERROR(__xludf.DUMMYFUNCTION("""COMPUTED_VALUE"""),"Canra heei")</f>
        <v>Canra heei</v>
      </c>
      <c r="E582" s="4" t="str">
        <f>IFERROR(__xludf.DUMMYFUNCTION("""COMPUTED_VALUE"""),"BANDUNG")</f>
        <v>BANDUNG</v>
      </c>
      <c r="F582" s="4" t="str">
        <f>IFERROR(__xludf.DUMMYFUNCTION("""COMPUTED_VALUE"""),"UJUNGBERUNG")</f>
        <v>UJUNGBERUNG</v>
      </c>
      <c r="G582" s="4" t="str">
        <f>IFERROR(__xludf.DUMMYFUNCTION("""COMPUTED_VALUE"""),"UJUNGBERUNG")</f>
        <v>UJUNGBERUNG</v>
      </c>
      <c r="H582" s="4" t="str">
        <f>IFERROR(__xludf.DUMMYFUNCTION("""COMPUTED_VALUE"""),"UZO")</f>
        <v>UZO</v>
      </c>
      <c r="I582" s="4" t="str">
        <f>IFERROR(__xludf.DUMMYFUNCTION("""COMPUTED_VALUE"""),"LBS PKN - UJUNG")</f>
        <v>LBS PKN - UJUNG</v>
      </c>
      <c r="J582" s="4" t="str">
        <f>IFERROR(__xludf.DUMMYFUNCTION("""COMPUTED_VALUE"""),"ZONA 2")</f>
        <v>ZONA 2</v>
      </c>
      <c r="K582" s="4" t="str">
        <f>IFERROR(__xludf.DUMMYFUNCTION("""COMPUTED_VALUE"""),"037L05")</f>
        <v>037L05</v>
      </c>
      <c r="L582" s="4" t="str">
        <f>IFERROR(__xludf.DUMMYFUNCTION("""COMPUTED_VALUE"""),"TM - 7B/H (Afspan 90 Derajat)")</f>
        <v>TM - 7B/H (Afspan 90 Derajat)</v>
      </c>
      <c r="M582" s="4" t="str">
        <f>IFERROR(__xludf.DUMMYFUNCTION("""COMPUTED_VALUE"""),"Tidak Ada")</f>
        <v>Tidak Ada</v>
      </c>
      <c r="N582" s="4"/>
      <c r="O582" s="4" t="str">
        <f>IFERROR(__xludf.DUMMYFUNCTION("""COMPUTED_VALUE"""),"PEMBANDING SEJENIS")</f>
        <v>PEMBANDING SEJENIS</v>
      </c>
      <c r="P582" s="4" t="str">
        <f>IFERROR(__xludf.DUMMYFUNCTION("""COMPUTED_VALUE"""),"KONEKTOR/JUMPER")</f>
        <v>KONEKTOR/JUMPER</v>
      </c>
      <c r="Q582" s="4">
        <f>IFERROR(__xludf.DUMMYFUNCTION("""COMPUTED_VALUE"""),23.0)</f>
        <v>23</v>
      </c>
      <c r="R582" s="4">
        <f>IFERROR(__xludf.DUMMYFUNCTION("""COMPUTED_VALUE"""),23.0)</f>
        <v>23</v>
      </c>
      <c r="S582" s="4">
        <f>IFERROR(__xludf.DUMMYFUNCTION("""COMPUTED_VALUE"""),22.0)</f>
        <v>22</v>
      </c>
      <c r="T582" s="4"/>
      <c r="U582" s="4" t="str">
        <f>IFERROR(__xludf.DUMMYFUNCTION("""COMPUTED_VALUE"""),"BAIK")</f>
        <v>BAIK</v>
      </c>
      <c r="V582" s="4" t="str">
        <f>IFERROR(__xludf.DUMMYFUNCTION("""COMPUTED_VALUE"""),"Tidak Ada")</f>
        <v>Tidak Ada</v>
      </c>
      <c r="W582" s="4"/>
      <c r="X582" s="4"/>
      <c r="Y582" s="4"/>
      <c r="Z582" s="4"/>
      <c r="AA582" s="4"/>
      <c r="AB582" s="4"/>
      <c r="AC582" s="4" t="str">
        <f>IFERROR(__xludf.DUMMYFUNCTION("""COMPUTED_VALUE"""),"INSPEKSI SUTM - T2_Images/6777f60d.FOTO.141306.jpg")</f>
        <v>INSPEKSI SUTM - T2_Images/6777f60d.FOTO.141306.jpg</v>
      </c>
      <c r="AD582" s="4"/>
      <c r="AE582" s="4"/>
      <c r="AF582" s="4" t="str">
        <f>IFERROR(__xludf.DUMMYFUNCTION("""COMPUTED_VALUE"""),"BELUM")</f>
        <v>BELUM</v>
      </c>
      <c r="AG582" s="6">
        <f>IFERROR(__xludf.DUMMYFUNCTION("""COMPUTED_VALUE"""),46081.0)</f>
        <v>46081</v>
      </c>
      <c r="AH582" s="4"/>
      <c r="AI582" s="4"/>
    </row>
    <row r="583" ht="15.75" customHeight="1">
      <c r="A583" s="4" t="str">
        <f>IFERROR(__xludf.DUMMYFUNCTION("""COMPUTED_VALUE"""),"b3930342")</f>
        <v>b3930342</v>
      </c>
      <c r="B583" s="5">
        <f>IFERROR(__xludf.DUMMYFUNCTION("""COMPUTED_VALUE"""),46081.88481481482)</f>
        <v>46081.88481</v>
      </c>
      <c r="C583" s="4" t="str">
        <f>IFERROR(__xludf.DUMMYFUNCTION("""COMPUTED_VALUE"""),"-6.904424, 107.689978")</f>
        <v>-6.904424, 107.689978</v>
      </c>
      <c r="D583" s="4" t="str">
        <f>IFERROR(__xludf.DUMMYFUNCTION("""COMPUTED_VALUE"""),"Canra heri")</f>
        <v>Canra heri</v>
      </c>
      <c r="E583" s="4" t="str">
        <f>IFERROR(__xludf.DUMMYFUNCTION("""COMPUTED_VALUE"""),"BANDUNG")</f>
        <v>BANDUNG</v>
      </c>
      <c r="F583" s="4" t="str">
        <f>IFERROR(__xludf.DUMMYFUNCTION("""COMPUTED_VALUE"""),"UJUNGBERUNG")</f>
        <v>UJUNGBERUNG</v>
      </c>
      <c r="G583" s="4" t="str">
        <f>IFERROR(__xludf.DUMMYFUNCTION("""COMPUTED_VALUE"""),"UJUNGBERUNG")</f>
        <v>UJUNGBERUNG</v>
      </c>
      <c r="H583" s="4" t="str">
        <f>IFERROR(__xludf.DUMMYFUNCTION("""COMPUTED_VALUE"""),"UZO")</f>
        <v>UZO</v>
      </c>
      <c r="I583" s="4" t="str">
        <f>IFERROR(__xludf.DUMMYFUNCTION("""COMPUTED_VALUE"""),"LBS PKN - UJUNG")</f>
        <v>LBS PKN - UJUNG</v>
      </c>
      <c r="J583" s="4" t="str">
        <f>IFERROR(__xludf.DUMMYFUNCTION("""COMPUTED_VALUE"""),"ZONA 2")</f>
        <v>ZONA 2</v>
      </c>
      <c r="K583" s="4" t="str">
        <f>IFERROR(__xludf.DUMMYFUNCTION("""COMPUTED_VALUE"""),"037L06")</f>
        <v>037L06</v>
      </c>
      <c r="L583" s="4" t="str">
        <f>IFERROR(__xludf.DUMMYFUNCTION("""COMPUTED_VALUE"""),"TM - 1B/H (Tumpu)")</f>
        <v>TM - 1B/H (Tumpu)</v>
      </c>
      <c r="M583" s="4" t="str">
        <f>IFERROR(__xludf.DUMMYFUNCTION("""COMPUTED_VALUE"""),"Tidak Ada")</f>
        <v>Tidak Ada</v>
      </c>
      <c r="N583" s="4"/>
      <c r="O583" s="4" t="str">
        <f>IFERROR(__xludf.DUMMYFUNCTION("""COMPUTED_VALUE"""),"PEMBANDING SEJENIS")</f>
        <v>PEMBANDING SEJENIS</v>
      </c>
      <c r="P583" s="4" t="str">
        <f>IFERROR(__xludf.DUMMYFUNCTION("""COMPUTED_VALUE"""),"ARRESTER")</f>
        <v>ARRESTER</v>
      </c>
      <c r="Q583" s="4">
        <f>IFERROR(__xludf.DUMMYFUNCTION("""COMPUTED_VALUE"""),21.0)</f>
        <v>21</v>
      </c>
      <c r="R583" s="4">
        <f>IFERROR(__xludf.DUMMYFUNCTION("""COMPUTED_VALUE"""),21.0)</f>
        <v>21</v>
      </c>
      <c r="S583" s="4">
        <f>IFERROR(__xludf.DUMMYFUNCTION("""COMPUTED_VALUE"""),20.0)</f>
        <v>20</v>
      </c>
      <c r="T583" s="4"/>
      <c r="U583" s="4" t="str">
        <f>IFERROR(__xludf.DUMMYFUNCTION("""COMPUTED_VALUE"""),"BAIK")</f>
        <v>BAIK</v>
      </c>
      <c r="V583" s="4" t="str">
        <f>IFERROR(__xludf.DUMMYFUNCTION("""COMPUTED_VALUE"""),"Tidak Ada")</f>
        <v>Tidak Ada</v>
      </c>
      <c r="W583" s="4"/>
      <c r="X583" s="4"/>
      <c r="Y583" s="4"/>
      <c r="Z583" s="4"/>
      <c r="AA583" s="4"/>
      <c r="AB583" s="4"/>
      <c r="AC583" s="4" t="str">
        <f>IFERROR(__xludf.DUMMYFUNCTION("""COMPUTED_VALUE"""),"INSPEKSI SUTM - T2_Images/b3930342.FOTO.141500.jpg")</f>
        <v>INSPEKSI SUTM - T2_Images/b3930342.FOTO.141500.jpg</v>
      </c>
      <c r="AD583" s="4"/>
      <c r="AE583" s="4"/>
      <c r="AF583" s="4" t="str">
        <f>IFERROR(__xludf.DUMMYFUNCTION("""COMPUTED_VALUE"""),"BELUM")</f>
        <v>BELUM</v>
      </c>
      <c r="AG583" s="6">
        <f>IFERROR(__xludf.DUMMYFUNCTION("""COMPUTED_VALUE"""),46081.0)</f>
        <v>46081</v>
      </c>
      <c r="AH583" s="4"/>
      <c r="AI583" s="4"/>
    </row>
    <row r="584" ht="15.75" customHeight="1">
      <c r="A584" s="4" t="str">
        <f>IFERROR(__xludf.DUMMYFUNCTION("""COMPUTED_VALUE"""),"98e33ce8")</f>
        <v>98e33ce8</v>
      </c>
      <c r="B584" s="5">
        <f>IFERROR(__xludf.DUMMYFUNCTION("""COMPUTED_VALUE"""),46081.886099537034)</f>
        <v>46081.8861</v>
      </c>
      <c r="C584" s="4" t="str">
        <f>IFERROR(__xludf.DUMMYFUNCTION("""COMPUTED_VALUE"""),"-6.903628, 107.689577")</f>
        <v>-6.903628, 107.689577</v>
      </c>
      <c r="D584" s="4" t="str">
        <f>IFERROR(__xludf.DUMMYFUNCTION("""COMPUTED_VALUE"""),"Canra heei")</f>
        <v>Canra heei</v>
      </c>
      <c r="E584" s="4" t="str">
        <f>IFERROR(__xludf.DUMMYFUNCTION("""COMPUTED_VALUE"""),"BANDUNG")</f>
        <v>BANDUNG</v>
      </c>
      <c r="F584" s="4" t="str">
        <f>IFERROR(__xludf.DUMMYFUNCTION("""COMPUTED_VALUE"""),"UJUNGBERUNG")</f>
        <v>UJUNGBERUNG</v>
      </c>
      <c r="G584" s="4" t="str">
        <f>IFERROR(__xludf.DUMMYFUNCTION("""COMPUTED_VALUE"""),"UJUNGBERUNG")</f>
        <v>UJUNGBERUNG</v>
      </c>
      <c r="H584" s="4" t="str">
        <f>IFERROR(__xludf.DUMMYFUNCTION("""COMPUTED_VALUE"""),"UZO")</f>
        <v>UZO</v>
      </c>
      <c r="I584" s="4" t="str">
        <f>IFERROR(__xludf.DUMMYFUNCTION("""COMPUTED_VALUE"""),"LBS PKN - UJUNG")</f>
        <v>LBS PKN - UJUNG</v>
      </c>
      <c r="J584" s="4" t="str">
        <f>IFERROR(__xludf.DUMMYFUNCTION("""COMPUTED_VALUE"""),"ZONA 2")</f>
        <v>ZONA 2</v>
      </c>
      <c r="K584" s="4" t="str">
        <f>IFERROR(__xludf.DUMMYFUNCTION("""COMPUTED_VALUE"""),"037L09")</f>
        <v>037L09</v>
      </c>
      <c r="L584" s="4" t="str">
        <f>IFERROR(__xludf.DUMMYFUNCTION("""COMPUTED_VALUE"""),"TM - 8B/H (Percabangan)")</f>
        <v>TM - 8B/H (Percabangan)</v>
      </c>
      <c r="M584" s="4" t="str">
        <f>IFERROR(__xludf.DUMMYFUNCTION("""COMPUTED_VALUE"""),"Tidak Ada")</f>
        <v>Tidak Ada</v>
      </c>
      <c r="N584" s="4"/>
      <c r="O584" s="4" t="str">
        <f>IFERROR(__xludf.DUMMYFUNCTION("""COMPUTED_VALUE"""),"PEMBANDING SEJENIS")</f>
        <v>PEMBANDING SEJENIS</v>
      </c>
      <c r="P584" s="4" t="str">
        <f>IFERROR(__xludf.DUMMYFUNCTION("""COMPUTED_VALUE"""),"KONEKTOR/JUMPER")</f>
        <v>KONEKTOR/JUMPER</v>
      </c>
      <c r="Q584" s="4">
        <f>IFERROR(__xludf.DUMMYFUNCTION("""COMPUTED_VALUE"""),22.0)</f>
        <v>22</v>
      </c>
      <c r="R584" s="4">
        <f>IFERROR(__xludf.DUMMYFUNCTION("""COMPUTED_VALUE"""),20.0)</f>
        <v>20</v>
      </c>
      <c r="S584" s="4">
        <f>IFERROR(__xludf.DUMMYFUNCTION("""COMPUTED_VALUE"""),22.0)</f>
        <v>22</v>
      </c>
      <c r="T584" s="4"/>
      <c r="U584" s="4" t="str">
        <f>IFERROR(__xludf.DUMMYFUNCTION("""COMPUTED_VALUE"""),"BAIK")</f>
        <v>BAIK</v>
      </c>
      <c r="V584" s="4" t="str">
        <f>IFERROR(__xludf.DUMMYFUNCTION("""COMPUTED_VALUE"""),"Tidak Ada")</f>
        <v>Tidak Ada</v>
      </c>
      <c r="W584" s="4"/>
      <c r="X584" s="4"/>
      <c r="Y584" s="4"/>
      <c r="Z584" s="4"/>
      <c r="AA584" s="4"/>
      <c r="AB584" s="4"/>
      <c r="AC584" s="4" t="str">
        <f>IFERROR(__xludf.DUMMYFUNCTION("""COMPUTED_VALUE"""),"INSPEKSI SUTM - T2_Images/98e33ce8.FOTO.141650.jpg")</f>
        <v>INSPEKSI SUTM - T2_Images/98e33ce8.FOTO.141650.jpg</v>
      </c>
      <c r="AD584" s="4"/>
      <c r="AE584" s="4"/>
      <c r="AF584" s="4" t="str">
        <f>IFERROR(__xludf.DUMMYFUNCTION("""COMPUTED_VALUE"""),"BELUM")</f>
        <v>BELUM</v>
      </c>
      <c r="AG584" s="6">
        <f>IFERROR(__xludf.DUMMYFUNCTION("""COMPUTED_VALUE"""),46081.0)</f>
        <v>46081</v>
      </c>
      <c r="AH584" s="4"/>
      <c r="AI584" s="4"/>
    </row>
    <row r="585" ht="15.75" customHeight="1">
      <c r="A585" s="4" t="str">
        <f>IFERROR(__xludf.DUMMYFUNCTION("""COMPUTED_VALUE"""),"0ce9624c")</f>
        <v>0ce9624c</v>
      </c>
      <c r="B585" s="5">
        <f>IFERROR(__xludf.DUMMYFUNCTION("""COMPUTED_VALUE"""),46081.88784722222)</f>
        <v>46081.88785</v>
      </c>
      <c r="C585" s="4" t="str">
        <f>IFERROR(__xludf.DUMMYFUNCTION("""COMPUTED_VALUE"""),"-6.906569, 107.692782")</f>
        <v>-6.906569, 107.692782</v>
      </c>
      <c r="D585" s="4" t="str">
        <f>IFERROR(__xludf.DUMMYFUNCTION("""COMPUTED_VALUE"""),"Canra hwei")</f>
        <v>Canra hwei</v>
      </c>
      <c r="E585" s="4" t="str">
        <f>IFERROR(__xludf.DUMMYFUNCTION("""COMPUTED_VALUE"""),"BANDUNG")</f>
        <v>BANDUNG</v>
      </c>
      <c r="F585" s="4" t="str">
        <f>IFERROR(__xludf.DUMMYFUNCTION("""COMPUTED_VALUE"""),"UJUNGBERUNG")</f>
        <v>UJUNGBERUNG</v>
      </c>
      <c r="G585" s="4" t="str">
        <f>IFERROR(__xludf.DUMMYFUNCTION("""COMPUTED_VALUE"""),"UJUNGBERUNG")</f>
        <v>UJUNGBERUNG</v>
      </c>
      <c r="H585" s="4" t="str">
        <f>IFERROR(__xludf.DUMMYFUNCTION("""COMPUTED_VALUE"""),"UZO")</f>
        <v>UZO</v>
      </c>
      <c r="I585" s="4" t="str">
        <f>IFERROR(__xludf.DUMMYFUNCTION("""COMPUTED_VALUE"""),"LBS PKN - UJUNG")</f>
        <v>LBS PKN - UJUNG</v>
      </c>
      <c r="J585" s="4" t="str">
        <f>IFERROR(__xludf.DUMMYFUNCTION("""COMPUTED_VALUE"""),"ZONA 2")</f>
        <v>ZONA 2</v>
      </c>
      <c r="K585" s="4" t="str">
        <f>IFERROR(__xludf.DUMMYFUNCTION("""COMPUTED_VALUE"""),"043")</f>
        <v>043</v>
      </c>
      <c r="L585" s="4" t="str">
        <f>IFERROR(__xludf.DUMMYFUNCTION("""COMPUTED_VALUE"""),"TM - 7B/H (Afspan 90 Derajat)")</f>
        <v>TM - 7B/H (Afspan 90 Derajat)</v>
      </c>
      <c r="M585" s="4" t="str">
        <f>IFERROR(__xludf.DUMMYFUNCTION("""COMPUTED_VALUE"""),"Tidak Ada")</f>
        <v>Tidak Ada</v>
      </c>
      <c r="N585" s="4"/>
      <c r="O585" s="4" t="str">
        <f>IFERROR(__xludf.DUMMYFUNCTION("""COMPUTED_VALUE"""),"PEMBANDING SEJENIS")</f>
        <v>PEMBANDING SEJENIS</v>
      </c>
      <c r="P585" s="4" t="str">
        <f>IFERROR(__xludf.DUMMYFUNCTION("""COMPUTED_VALUE"""),"KONEKTOR/JUMPER")</f>
        <v>KONEKTOR/JUMPER</v>
      </c>
      <c r="Q585" s="4">
        <f>IFERROR(__xludf.DUMMYFUNCTION("""COMPUTED_VALUE"""),23.0)</f>
        <v>23</v>
      </c>
      <c r="R585" s="4">
        <f>IFERROR(__xludf.DUMMYFUNCTION("""COMPUTED_VALUE"""),21.0)</f>
        <v>21</v>
      </c>
      <c r="S585" s="4">
        <f>IFERROR(__xludf.DUMMYFUNCTION("""COMPUTED_VALUE"""),23.0)</f>
        <v>23</v>
      </c>
      <c r="T585" s="4"/>
      <c r="U585" s="4" t="str">
        <f>IFERROR(__xludf.DUMMYFUNCTION("""COMPUTED_VALUE"""),"BAIK")</f>
        <v>BAIK</v>
      </c>
      <c r="V585" s="4" t="str">
        <f>IFERROR(__xludf.DUMMYFUNCTION("""COMPUTED_VALUE"""),"Tidak Ada")</f>
        <v>Tidak Ada</v>
      </c>
      <c r="W585" s="4"/>
      <c r="X585" s="4"/>
      <c r="Y585" s="4"/>
      <c r="Z585" s="4"/>
      <c r="AA585" s="4"/>
      <c r="AB585" s="4"/>
      <c r="AC585" s="4" t="str">
        <f>IFERROR(__xludf.DUMMYFUNCTION("""COMPUTED_VALUE"""),"INSPEKSI SUTM - T2_Images/0ce9624c.FOTO.141917.jpg")</f>
        <v>INSPEKSI SUTM - T2_Images/0ce9624c.FOTO.141917.jpg</v>
      </c>
      <c r="AD585" s="4"/>
      <c r="AE585" s="4"/>
      <c r="AF585" s="4" t="str">
        <f>IFERROR(__xludf.DUMMYFUNCTION("""COMPUTED_VALUE"""),"BELUM")</f>
        <v>BELUM</v>
      </c>
      <c r="AG585" s="6">
        <f>IFERROR(__xludf.DUMMYFUNCTION("""COMPUTED_VALUE"""),46081.0)</f>
        <v>46081</v>
      </c>
      <c r="AH585" s="4"/>
      <c r="AI585" s="4"/>
    </row>
    <row r="586" ht="15.75" customHeight="1">
      <c r="A586" s="4" t="str">
        <f>IFERROR(__xludf.DUMMYFUNCTION("""COMPUTED_VALUE"""),"c373085b")</f>
        <v>c373085b</v>
      </c>
      <c r="B586" s="5">
        <f>IFERROR(__xludf.DUMMYFUNCTION("""COMPUTED_VALUE"""),46081.88888888889)</f>
        <v>46081.88889</v>
      </c>
      <c r="C586" s="4" t="str">
        <f>IFERROR(__xludf.DUMMYFUNCTION("""COMPUTED_VALUE"""),"-6.905968, 107.693708")</f>
        <v>-6.905968, 107.693708</v>
      </c>
      <c r="D586" s="4" t="str">
        <f>IFERROR(__xludf.DUMMYFUNCTION("""COMPUTED_VALUE"""),"Canra heei")</f>
        <v>Canra heei</v>
      </c>
      <c r="E586" s="4" t="str">
        <f>IFERROR(__xludf.DUMMYFUNCTION("""COMPUTED_VALUE"""),"BANDUNG")</f>
        <v>BANDUNG</v>
      </c>
      <c r="F586" s="4" t="str">
        <f>IFERROR(__xludf.DUMMYFUNCTION("""COMPUTED_VALUE"""),"UJUNGBERUNG")</f>
        <v>UJUNGBERUNG</v>
      </c>
      <c r="G586" s="4" t="str">
        <f>IFERROR(__xludf.DUMMYFUNCTION("""COMPUTED_VALUE"""),"UJUNGBERUNG")</f>
        <v>UJUNGBERUNG</v>
      </c>
      <c r="H586" s="4" t="str">
        <f>IFERROR(__xludf.DUMMYFUNCTION("""COMPUTED_VALUE"""),"UZO")</f>
        <v>UZO</v>
      </c>
      <c r="I586" s="4" t="str">
        <f>IFERROR(__xludf.DUMMYFUNCTION("""COMPUTED_VALUE"""),"LBS PKN - UJUNG")</f>
        <v>LBS PKN - UJUNG</v>
      </c>
      <c r="J586" s="4" t="str">
        <f>IFERROR(__xludf.DUMMYFUNCTION("""COMPUTED_VALUE"""),"ZONA 2")</f>
        <v>ZONA 2</v>
      </c>
      <c r="K586" s="4" t="str">
        <f>IFERROR(__xludf.DUMMYFUNCTION("""COMPUTED_VALUE"""),"045")</f>
        <v>045</v>
      </c>
      <c r="L586" s="4" t="str">
        <f>IFERROR(__xludf.DUMMYFUNCTION("""COMPUTED_VALUE"""),"TM - 7B/H (Afspan 90 Derajat)")</f>
        <v>TM - 7B/H (Afspan 90 Derajat)</v>
      </c>
      <c r="M586" s="4" t="str">
        <f>IFERROR(__xludf.DUMMYFUNCTION("""COMPUTED_VALUE"""),"Tidak Ada")</f>
        <v>Tidak Ada</v>
      </c>
      <c r="N586" s="4"/>
      <c r="O586" s="4" t="str">
        <f>IFERROR(__xludf.DUMMYFUNCTION("""COMPUTED_VALUE"""),"PEMBANDING SEJENIS")</f>
        <v>PEMBANDING SEJENIS</v>
      </c>
      <c r="P586" s="4" t="str">
        <f>IFERROR(__xludf.DUMMYFUNCTION("""COMPUTED_VALUE"""),"KONEKTOR/JUMPER")</f>
        <v>KONEKTOR/JUMPER</v>
      </c>
      <c r="Q586" s="4">
        <f>IFERROR(__xludf.DUMMYFUNCTION("""COMPUTED_VALUE"""),17.0)</f>
        <v>17</v>
      </c>
      <c r="R586" s="4">
        <f>IFERROR(__xludf.DUMMYFUNCTION("""COMPUTED_VALUE"""),23.0)</f>
        <v>23</v>
      </c>
      <c r="S586" s="4">
        <f>IFERROR(__xludf.DUMMYFUNCTION("""COMPUTED_VALUE"""),23.0)</f>
        <v>23</v>
      </c>
      <c r="T586" s="4"/>
      <c r="U586" s="4" t="str">
        <f>IFERROR(__xludf.DUMMYFUNCTION("""COMPUTED_VALUE"""),"CUKUP")</f>
        <v>CUKUP</v>
      </c>
      <c r="V586" s="4" t="str">
        <f>IFERROR(__xludf.DUMMYFUNCTION("""COMPUTED_VALUE"""),"Tidak Ada")</f>
        <v>Tidak Ada</v>
      </c>
      <c r="W586" s="4"/>
      <c r="X586" s="4"/>
      <c r="Y586" s="4"/>
      <c r="Z586" s="4"/>
      <c r="AA586" s="4"/>
      <c r="AB586" s="4"/>
      <c r="AC586" s="4" t="str">
        <f>IFERROR(__xludf.DUMMYFUNCTION("""COMPUTED_VALUE"""),"INSPEKSI SUTM - T2_Images/c373085b.FOTO.142112.jpg")</f>
        <v>INSPEKSI SUTM - T2_Images/c373085b.FOTO.142112.jpg</v>
      </c>
      <c r="AD586" s="4"/>
      <c r="AE586" s="4"/>
      <c r="AF586" s="4" t="str">
        <f>IFERROR(__xludf.DUMMYFUNCTION("""COMPUTED_VALUE"""),"BELUM")</f>
        <v>BELUM</v>
      </c>
      <c r="AG586" s="6">
        <f>IFERROR(__xludf.DUMMYFUNCTION("""COMPUTED_VALUE"""),46081.0)</f>
        <v>46081</v>
      </c>
      <c r="AH586" s="4"/>
      <c r="AI586" s="4"/>
    </row>
    <row r="587" ht="15.75" customHeight="1">
      <c r="A587" s="4" t="str">
        <f>IFERROR(__xludf.DUMMYFUNCTION("""COMPUTED_VALUE"""),"150582b2")</f>
        <v>150582b2</v>
      </c>
      <c r="B587" s="5">
        <f>IFERROR(__xludf.DUMMYFUNCTION("""COMPUTED_VALUE"""),46081.89050925926)</f>
        <v>46081.89051</v>
      </c>
      <c r="C587" s="4" t="str">
        <f>IFERROR(__xludf.DUMMYFUNCTION("""COMPUTED_VALUE"""),"-6.905923, 107.693099")</f>
        <v>-6.905923, 107.693099</v>
      </c>
      <c r="D587" s="4" t="str">
        <f>IFERROR(__xludf.DUMMYFUNCTION("""COMPUTED_VALUE"""),"Canra heei")</f>
        <v>Canra heei</v>
      </c>
      <c r="E587" s="4" t="str">
        <f>IFERROR(__xludf.DUMMYFUNCTION("""COMPUTED_VALUE"""),"BANDUNG")</f>
        <v>BANDUNG</v>
      </c>
      <c r="F587" s="4" t="str">
        <f>IFERROR(__xludf.DUMMYFUNCTION("""COMPUTED_VALUE"""),"UJUNGBERUNG")</f>
        <v>UJUNGBERUNG</v>
      </c>
      <c r="G587" s="4" t="str">
        <f>IFERROR(__xludf.DUMMYFUNCTION("""COMPUTED_VALUE"""),"UJUNGBERUNG")</f>
        <v>UJUNGBERUNG</v>
      </c>
      <c r="H587" s="4" t="str">
        <f>IFERROR(__xludf.DUMMYFUNCTION("""COMPUTED_VALUE"""),"UZO")</f>
        <v>UZO</v>
      </c>
      <c r="I587" s="4" t="str">
        <f>IFERROR(__xludf.DUMMYFUNCTION("""COMPUTED_VALUE"""),"LBS PKN - UJUNG")</f>
        <v>LBS PKN - UJUNG</v>
      </c>
      <c r="J587" s="4" t="str">
        <f>IFERROR(__xludf.DUMMYFUNCTION("""COMPUTED_VALUE"""),"ZONA 2")</f>
        <v>ZONA 2</v>
      </c>
      <c r="K587" s="4" t="str">
        <f>IFERROR(__xludf.DUMMYFUNCTION("""COMPUTED_VALUE"""),"047")</f>
        <v>047</v>
      </c>
      <c r="L587" s="4" t="str">
        <f>IFERROR(__xludf.DUMMYFUNCTION("""COMPUTED_VALUE"""),"TM - 7B/H (Afspan 90 Derajat)")</f>
        <v>TM - 7B/H (Afspan 90 Derajat)</v>
      </c>
      <c r="M587" s="4" t="str">
        <f>IFERROR(__xludf.DUMMYFUNCTION("""COMPUTED_VALUE"""),"Tidak Ada")</f>
        <v>Tidak Ada</v>
      </c>
      <c r="N587" s="4"/>
      <c r="O587" s="4" t="str">
        <f>IFERROR(__xludf.DUMMYFUNCTION("""COMPUTED_VALUE"""),"PEMBANDING SEJENIS")</f>
        <v>PEMBANDING SEJENIS</v>
      </c>
      <c r="P587" s="4" t="str">
        <f>IFERROR(__xludf.DUMMYFUNCTION("""COMPUTED_VALUE"""),"KONEKTOR/JUMPER")</f>
        <v>KONEKTOR/JUMPER</v>
      </c>
      <c r="Q587" s="4">
        <f>IFERROR(__xludf.DUMMYFUNCTION("""COMPUTED_VALUE"""),23.0)</f>
        <v>23</v>
      </c>
      <c r="R587" s="4">
        <f>IFERROR(__xludf.DUMMYFUNCTION("""COMPUTED_VALUE"""),23.0)</f>
        <v>23</v>
      </c>
      <c r="S587" s="4">
        <f>IFERROR(__xludf.DUMMYFUNCTION("""COMPUTED_VALUE"""),23.0)</f>
        <v>23</v>
      </c>
      <c r="T587" s="4"/>
      <c r="U587" s="4" t="str">
        <f>IFERROR(__xludf.DUMMYFUNCTION("""COMPUTED_VALUE"""),"BAIK")</f>
        <v>BAIK</v>
      </c>
      <c r="V587" s="4" t="str">
        <f>IFERROR(__xludf.DUMMYFUNCTION("""COMPUTED_VALUE"""),"Tidak Ada")</f>
        <v>Tidak Ada</v>
      </c>
      <c r="W587" s="4"/>
      <c r="X587" s="4"/>
      <c r="Y587" s="4"/>
      <c r="Z587" s="4"/>
      <c r="AA587" s="4"/>
      <c r="AB587" s="4"/>
      <c r="AC587" s="4" t="str">
        <f>IFERROR(__xludf.DUMMYFUNCTION("""COMPUTED_VALUE"""),"INSPEKSI SUTM - T2_Images/150582b2.FOTO.142308.jpg")</f>
        <v>INSPEKSI SUTM - T2_Images/150582b2.FOTO.142308.jpg</v>
      </c>
      <c r="AD587" s="4"/>
      <c r="AE587" s="4"/>
      <c r="AF587" s="4" t="str">
        <f>IFERROR(__xludf.DUMMYFUNCTION("""COMPUTED_VALUE"""),"BELUM")</f>
        <v>BELUM</v>
      </c>
      <c r="AG587" s="6">
        <f>IFERROR(__xludf.DUMMYFUNCTION("""COMPUTED_VALUE"""),46081.0)</f>
        <v>46081</v>
      </c>
      <c r="AH587" s="4"/>
      <c r="AI587" s="4"/>
    </row>
    <row r="588" ht="15.75" customHeight="1">
      <c r="A588" s="4" t="str">
        <f>IFERROR(__xludf.DUMMYFUNCTION("""COMPUTED_VALUE"""),"b0743a0a")</f>
        <v>b0743a0a</v>
      </c>
      <c r="B588" s="5">
        <f>IFERROR(__xludf.DUMMYFUNCTION("""COMPUTED_VALUE"""),46081.8915625)</f>
        <v>46081.89156</v>
      </c>
      <c r="C588" s="4" t="str">
        <f>IFERROR(__xludf.DUMMYFUNCTION("""COMPUTED_VALUE"""),"-6.905572, 107.693848")</f>
        <v>-6.905572, 107.693848</v>
      </c>
      <c r="D588" s="4" t="str">
        <f>IFERROR(__xludf.DUMMYFUNCTION("""COMPUTED_VALUE"""),"Canra heei")</f>
        <v>Canra heei</v>
      </c>
      <c r="E588" s="4" t="str">
        <f>IFERROR(__xludf.DUMMYFUNCTION("""COMPUTED_VALUE"""),"BANDUNG")</f>
        <v>BANDUNG</v>
      </c>
      <c r="F588" s="4" t="str">
        <f>IFERROR(__xludf.DUMMYFUNCTION("""COMPUTED_VALUE"""),"UJUNGBERUNG")</f>
        <v>UJUNGBERUNG</v>
      </c>
      <c r="G588" s="4" t="str">
        <f>IFERROR(__xludf.DUMMYFUNCTION("""COMPUTED_VALUE"""),"UJUNGBERUNG")</f>
        <v>UJUNGBERUNG</v>
      </c>
      <c r="H588" s="4" t="str">
        <f>IFERROR(__xludf.DUMMYFUNCTION("""COMPUTED_VALUE"""),"UZO")</f>
        <v>UZO</v>
      </c>
      <c r="I588" s="4" t="str">
        <f>IFERROR(__xludf.DUMMYFUNCTION("""COMPUTED_VALUE"""),"LBS PKN - UJUNG")</f>
        <v>LBS PKN - UJUNG</v>
      </c>
      <c r="J588" s="4" t="str">
        <f>IFERROR(__xludf.DUMMYFUNCTION("""COMPUTED_VALUE"""),"ZONA 2")</f>
        <v>ZONA 2</v>
      </c>
      <c r="K588" s="4" t="str">
        <f>IFERROR(__xludf.DUMMYFUNCTION("""COMPUTED_VALUE"""),"049")</f>
        <v>049</v>
      </c>
      <c r="L588" s="4" t="str">
        <f>IFERROR(__xludf.DUMMYFUNCTION("""COMPUTED_VALUE"""),"TM - 7B/H (Afspan 90 Derajat)")</f>
        <v>TM - 7B/H (Afspan 90 Derajat)</v>
      </c>
      <c r="M588" s="4" t="str">
        <f>IFERROR(__xludf.DUMMYFUNCTION("""COMPUTED_VALUE"""),"Tidak Ada")</f>
        <v>Tidak Ada</v>
      </c>
      <c r="N588" s="4"/>
      <c r="O588" s="4" t="str">
        <f>IFERROR(__xludf.DUMMYFUNCTION("""COMPUTED_VALUE"""),"PEMBANDING SEJENIS")</f>
        <v>PEMBANDING SEJENIS</v>
      </c>
      <c r="P588" s="4" t="str">
        <f>IFERROR(__xludf.DUMMYFUNCTION("""COMPUTED_VALUE"""),"KONEKTOR/JUMPER")</f>
        <v>KONEKTOR/JUMPER</v>
      </c>
      <c r="Q588" s="4">
        <f>IFERROR(__xludf.DUMMYFUNCTION("""COMPUTED_VALUE"""),23.0)</f>
        <v>23</v>
      </c>
      <c r="R588" s="4">
        <f>IFERROR(__xludf.DUMMYFUNCTION("""COMPUTED_VALUE"""),23.0)</f>
        <v>23</v>
      </c>
      <c r="S588" s="4">
        <f>IFERROR(__xludf.DUMMYFUNCTION("""COMPUTED_VALUE"""),24.0)</f>
        <v>24</v>
      </c>
      <c r="T588" s="4"/>
      <c r="U588" s="4" t="str">
        <f>IFERROR(__xludf.DUMMYFUNCTION("""COMPUTED_VALUE"""),"BAIK")</f>
        <v>BAIK</v>
      </c>
      <c r="V588" s="4" t="str">
        <f>IFERROR(__xludf.DUMMYFUNCTION("""COMPUTED_VALUE"""),"Tidak Ada")</f>
        <v>Tidak Ada</v>
      </c>
      <c r="W588" s="4"/>
      <c r="X588" s="4"/>
      <c r="Y588" s="4"/>
      <c r="Z588" s="4"/>
      <c r="AA588" s="4"/>
      <c r="AB588" s="4"/>
      <c r="AC588" s="4" t="str">
        <f>IFERROR(__xludf.DUMMYFUNCTION("""COMPUTED_VALUE"""),"INSPEKSI SUTM - T2_Images/b0743a0a.FOTO.142439.jpg")</f>
        <v>INSPEKSI SUTM - T2_Images/b0743a0a.FOTO.142439.jpg</v>
      </c>
      <c r="AD588" s="4"/>
      <c r="AE588" s="4"/>
      <c r="AF588" s="4" t="str">
        <f>IFERROR(__xludf.DUMMYFUNCTION("""COMPUTED_VALUE"""),"BELUM")</f>
        <v>BELUM</v>
      </c>
      <c r="AG588" s="6">
        <f>IFERROR(__xludf.DUMMYFUNCTION("""COMPUTED_VALUE"""),46081.0)</f>
        <v>46081</v>
      </c>
      <c r="AH588" s="4"/>
      <c r="AI588" s="4"/>
    </row>
    <row r="589" ht="15.75" customHeight="1">
      <c r="A589" s="4" t="str">
        <f>IFERROR(__xludf.DUMMYFUNCTION("""COMPUTED_VALUE"""),"4a5bf9a8")</f>
        <v>4a5bf9a8</v>
      </c>
      <c r="B589" s="5">
        <f>IFERROR(__xludf.DUMMYFUNCTION("""COMPUTED_VALUE"""),46081.89246527778)</f>
        <v>46081.89247</v>
      </c>
      <c r="C589" s="4" t="str">
        <f>IFERROR(__xludf.DUMMYFUNCTION("""COMPUTED_VALUE"""),"-6.905636, 107.694202")</f>
        <v>-6.905636, 107.694202</v>
      </c>
      <c r="D589" s="4" t="str">
        <f>IFERROR(__xludf.DUMMYFUNCTION("""COMPUTED_VALUE"""),"Canra heei")</f>
        <v>Canra heei</v>
      </c>
      <c r="E589" s="4" t="str">
        <f>IFERROR(__xludf.DUMMYFUNCTION("""COMPUTED_VALUE"""),"BANDUNG")</f>
        <v>BANDUNG</v>
      </c>
      <c r="F589" s="4" t="str">
        <f>IFERROR(__xludf.DUMMYFUNCTION("""COMPUTED_VALUE"""),"UJUNGBERUNG")</f>
        <v>UJUNGBERUNG</v>
      </c>
      <c r="G589" s="4" t="str">
        <f>IFERROR(__xludf.DUMMYFUNCTION("""COMPUTED_VALUE"""),"UJUNGBERUNG")</f>
        <v>UJUNGBERUNG</v>
      </c>
      <c r="H589" s="4" t="str">
        <f>IFERROR(__xludf.DUMMYFUNCTION("""COMPUTED_VALUE"""),"UZO")</f>
        <v>UZO</v>
      </c>
      <c r="I589" s="4" t="str">
        <f>IFERROR(__xludf.DUMMYFUNCTION("""COMPUTED_VALUE"""),"LBS PKN - UJUNG")</f>
        <v>LBS PKN - UJUNG</v>
      </c>
      <c r="J589" s="4" t="str">
        <f>IFERROR(__xludf.DUMMYFUNCTION("""COMPUTED_VALUE"""),"ZONA 2")</f>
        <v>ZONA 2</v>
      </c>
      <c r="K589" s="4" t="str">
        <f>IFERROR(__xludf.DUMMYFUNCTION("""COMPUTED_VALUE"""),"050")</f>
        <v>050</v>
      </c>
      <c r="L589" s="4" t="str">
        <f>IFERROR(__xludf.DUMMYFUNCTION("""COMPUTED_VALUE"""),"TM - 8B/H (Percabangan)")</f>
        <v>TM - 8B/H (Percabangan)</v>
      </c>
      <c r="M589" s="4" t="str">
        <f>IFERROR(__xludf.DUMMYFUNCTION("""COMPUTED_VALUE"""),"Tidak Ada")</f>
        <v>Tidak Ada</v>
      </c>
      <c r="N589" s="4"/>
      <c r="O589" s="4" t="str">
        <f>IFERROR(__xludf.DUMMYFUNCTION("""COMPUTED_VALUE"""),"PEMBANDING SEJENIS")</f>
        <v>PEMBANDING SEJENIS</v>
      </c>
      <c r="P589" s="4" t="str">
        <f>IFERROR(__xludf.DUMMYFUNCTION("""COMPUTED_VALUE"""),"KONEKTOR/JUMPER")</f>
        <v>KONEKTOR/JUMPER</v>
      </c>
      <c r="Q589" s="4">
        <f>IFERROR(__xludf.DUMMYFUNCTION("""COMPUTED_VALUE"""),23.0)</f>
        <v>23</v>
      </c>
      <c r="R589" s="4">
        <f>IFERROR(__xludf.DUMMYFUNCTION("""COMPUTED_VALUE"""),23.0)</f>
        <v>23</v>
      </c>
      <c r="S589" s="4">
        <f>IFERROR(__xludf.DUMMYFUNCTION("""COMPUTED_VALUE"""),20.0)</f>
        <v>20</v>
      </c>
      <c r="T589" s="4"/>
      <c r="U589" s="4" t="str">
        <f>IFERROR(__xludf.DUMMYFUNCTION("""COMPUTED_VALUE"""),"CUKUP")</f>
        <v>CUKUP</v>
      </c>
      <c r="V589" s="4" t="str">
        <f>IFERROR(__xludf.DUMMYFUNCTION("""COMPUTED_VALUE"""),"Tidak Ada")</f>
        <v>Tidak Ada</v>
      </c>
      <c r="W589" s="4"/>
      <c r="X589" s="4"/>
      <c r="Y589" s="4"/>
      <c r="Z589" s="4"/>
      <c r="AA589" s="4"/>
      <c r="AB589" s="4"/>
      <c r="AC589" s="4" t="str">
        <f>IFERROR(__xludf.DUMMYFUNCTION("""COMPUTED_VALUE"""),"INSPEKSI SUTM - T2_Images/4a5bf9a8.FOTO.142554.jpg")</f>
        <v>INSPEKSI SUTM - T2_Images/4a5bf9a8.FOTO.142554.jpg</v>
      </c>
      <c r="AD589" s="4"/>
      <c r="AE589" s="4"/>
      <c r="AF589" s="4" t="str">
        <f>IFERROR(__xludf.DUMMYFUNCTION("""COMPUTED_VALUE"""),"BELUM")</f>
        <v>BELUM</v>
      </c>
      <c r="AG589" s="6">
        <f>IFERROR(__xludf.DUMMYFUNCTION("""COMPUTED_VALUE"""),46081.0)</f>
        <v>46081</v>
      </c>
      <c r="AH589" s="4"/>
      <c r="AI589" s="4"/>
    </row>
    <row r="590" ht="15.75" customHeight="1">
      <c r="A590" s="4" t="str">
        <f>IFERROR(__xludf.DUMMYFUNCTION("""COMPUTED_VALUE"""),"fff59523")</f>
        <v>fff59523</v>
      </c>
      <c r="B590" s="5">
        <f>IFERROR(__xludf.DUMMYFUNCTION("""COMPUTED_VALUE"""),46081.89388888889)</f>
        <v>46081.89389</v>
      </c>
      <c r="C590" s="4" t="str">
        <f>IFERROR(__xludf.DUMMYFUNCTION("""COMPUTED_VALUE"""),"-6.904753, 107.695466")</f>
        <v>-6.904753, 107.695466</v>
      </c>
      <c r="D590" s="4" t="str">
        <f>IFERROR(__xludf.DUMMYFUNCTION("""COMPUTED_VALUE"""),"Canra heei")</f>
        <v>Canra heei</v>
      </c>
      <c r="E590" s="4" t="str">
        <f>IFERROR(__xludf.DUMMYFUNCTION("""COMPUTED_VALUE"""),"BANDUNG")</f>
        <v>BANDUNG</v>
      </c>
      <c r="F590" s="4" t="str">
        <f>IFERROR(__xludf.DUMMYFUNCTION("""COMPUTED_VALUE"""),"UJUNGBERUNG")</f>
        <v>UJUNGBERUNG</v>
      </c>
      <c r="G590" s="4" t="str">
        <f>IFERROR(__xludf.DUMMYFUNCTION("""COMPUTED_VALUE"""),"UJUNGBERUNG")</f>
        <v>UJUNGBERUNG</v>
      </c>
      <c r="H590" s="4" t="str">
        <f>IFERROR(__xludf.DUMMYFUNCTION("""COMPUTED_VALUE"""),"UZO")</f>
        <v>UZO</v>
      </c>
      <c r="I590" s="4" t="str">
        <f>IFERROR(__xludf.DUMMYFUNCTION("""COMPUTED_VALUE"""),"LBS PKN - UJUNG")</f>
        <v>LBS PKN - UJUNG</v>
      </c>
      <c r="J590" s="4" t="str">
        <f>IFERROR(__xludf.DUMMYFUNCTION("""COMPUTED_VALUE"""),"ZONA 2")</f>
        <v>ZONA 2</v>
      </c>
      <c r="K590" s="4" t="str">
        <f>IFERROR(__xludf.DUMMYFUNCTION("""COMPUTED_VALUE"""),"050L06")</f>
        <v>050L06</v>
      </c>
      <c r="L590" s="4" t="str">
        <f>IFERROR(__xludf.DUMMYFUNCTION("""COMPUTED_VALUE"""),"TM - 4B/H (Afspan)")</f>
        <v>TM - 4B/H (Afspan)</v>
      </c>
      <c r="M590" s="4" t="str">
        <f>IFERROR(__xludf.DUMMYFUNCTION("""COMPUTED_VALUE"""),"Tidak Ada")</f>
        <v>Tidak Ada</v>
      </c>
      <c r="N590" s="4"/>
      <c r="O590" s="4" t="str">
        <f>IFERROR(__xludf.DUMMYFUNCTION("""COMPUTED_VALUE"""),"PEMBANDING SEJENIS")</f>
        <v>PEMBANDING SEJENIS</v>
      </c>
      <c r="P590" s="4" t="str">
        <f>IFERROR(__xludf.DUMMYFUNCTION("""COMPUTED_VALUE"""),"KONEKTOR/JUMPER")</f>
        <v>KONEKTOR/JUMPER</v>
      </c>
      <c r="Q590" s="4">
        <f>IFERROR(__xludf.DUMMYFUNCTION("""COMPUTED_VALUE"""),22.0)</f>
        <v>22</v>
      </c>
      <c r="R590" s="4">
        <f>IFERROR(__xludf.DUMMYFUNCTION("""COMPUTED_VALUE"""),23.0)</f>
        <v>23</v>
      </c>
      <c r="S590" s="4">
        <f>IFERROR(__xludf.DUMMYFUNCTION("""COMPUTED_VALUE"""),23.0)</f>
        <v>23</v>
      </c>
      <c r="T590" s="4"/>
      <c r="U590" s="4" t="str">
        <f>IFERROR(__xludf.DUMMYFUNCTION("""COMPUTED_VALUE"""),"BAIK")</f>
        <v>BAIK</v>
      </c>
      <c r="V590" s="4" t="str">
        <f>IFERROR(__xludf.DUMMYFUNCTION("""COMPUTED_VALUE"""),"Tidak Ada")</f>
        <v>Tidak Ada</v>
      </c>
      <c r="W590" s="4"/>
      <c r="X590" s="4"/>
      <c r="Y590" s="4"/>
      <c r="Z590" s="4"/>
      <c r="AA590" s="4"/>
      <c r="AB590" s="4"/>
      <c r="AC590" s="4" t="str">
        <f>IFERROR(__xludf.DUMMYFUNCTION("""COMPUTED_VALUE"""),"INSPEKSI SUTM - T2_Images/fff59523.FOTO.142801.jpg")</f>
        <v>INSPEKSI SUTM - T2_Images/fff59523.FOTO.142801.jpg</v>
      </c>
      <c r="AD590" s="4"/>
      <c r="AE590" s="4"/>
      <c r="AF590" s="4" t="str">
        <f>IFERROR(__xludf.DUMMYFUNCTION("""COMPUTED_VALUE"""),"BELUM")</f>
        <v>BELUM</v>
      </c>
      <c r="AG590" s="6">
        <f>IFERROR(__xludf.DUMMYFUNCTION("""COMPUTED_VALUE"""),46081.0)</f>
        <v>46081</v>
      </c>
      <c r="AH590" s="4"/>
      <c r="AI590" s="4"/>
    </row>
    <row r="591" ht="15.75" customHeight="1">
      <c r="A591" s="4" t="str">
        <f>IFERROR(__xludf.DUMMYFUNCTION("""COMPUTED_VALUE"""),"ef5f9e92")</f>
        <v>ef5f9e92</v>
      </c>
      <c r="B591" s="5">
        <f>IFERROR(__xludf.DUMMYFUNCTION("""COMPUTED_VALUE"""),46081.89523148148)</f>
        <v>46081.89523</v>
      </c>
      <c r="C591" s="4" t="str">
        <f>IFERROR(__xludf.DUMMYFUNCTION("""COMPUTED_VALUE"""),"-6.904679, 107.695538")</f>
        <v>-6.904679, 107.695538</v>
      </c>
      <c r="D591" s="4" t="str">
        <f>IFERROR(__xludf.DUMMYFUNCTION("""COMPUTED_VALUE"""),"Canra heei")</f>
        <v>Canra heei</v>
      </c>
      <c r="E591" s="4" t="str">
        <f>IFERROR(__xludf.DUMMYFUNCTION("""COMPUTED_VALUE"""),"BANDUNG")</f>
        <v>BANDUNG</v>
      </c>
      <c r="F591" s="4" t="str">
        <f>IFERROR(__xludf.DUMMYFUNCTION("""COMPUTED_VALUE"""),"UJUNGBERUNG")</f>
        <v>UJUNGBERUNG</v>
      </c>
      <c r="G591" s="4" t="str">
        <f>IFERROR(__xludf.DUMMYFUNCTION("""COMPUTED_VALUE"""),"UJUNGBERUNG")</f>
        <v>UJUNGBERUNG</v>
      </c>
      <c r="H591" s="4" t="str">
        <f>IFERROR(__xludf.DUMMYFUNCTION("""COMPUTED_VALUE"""),"UZO")</f>
        <v>UZO</v>
      </c>
      <c r="I591" s="4" t="str">
        <f>IFERROR(__xludf.DUMMYFUNCTION("""COMPUTED_VALUE"""),"LBS PKN - UJUNG")</f>
        <v>LBS PKN - UJUNG</v>
      </c>
      <c r="J591" s="4" t="str">
        <f>IFERROR(__xludf.DUMMYFUNCTION("""COMPUTED_VALUE"""),"ZONA 2")</f>
        <v>ZONA 2</v>
      </c>
      <c r="K591" s="4" t="str">
        <f>IFERROR(__xludf.DUMMYFUNCTION("""COMPUTED_VALUE"""),"050L07")</f>
        <v>050L07</v>
      </c>
      <c r="L591" s="4" t="str">
        <f>IFERROR(__xludf.DUMMYFUNCTION("""COMPUTED_VALUE"""),"TM - 4BC/HC (Afspan dengan CO)")</f>
        <v>TM - 4BC/HC (Afspan dengan CO)</v>
      </c>
      <c r="M591" s="4" t="str">
        <f>IFERROR(__xludf.DUMMYFUNCTION("""COMPUTED_VALUE"""),"Tidak Ada")</f>
        <v>Tidak Ada</v>
      </c>
      <c r="N591" s="4"/>
      <c r="O591" s="4" t="str">
        <f>IFERROR(__xludf.DUMMYFUNCTION("""COMPUTED_VALUE"""),"PEMBANDING SEJENIS")</f>
        <v>PEMBANDING SEJENIS</v>
      </c>
      <c r="P591" s="4" t="str">
        <f>IFERROR(__xludf.DUMMYFUNCTION("""COMPUTED_VALUE"""),"KONEKTOR/JUMPER")</f>
        <v>KONEKTOR/JUMPER</v>
      </c>
      <c r="Q591" s="4">
        <f>IFERROR(__xludf.DUMMYFUNCTION("""COMPUTED_VALUE"""),22.0)</f>
        <v>22</v>
      </c>
      <c r="R591" s="4">
        <f>IFERROR(__xludf.DUMMYFUNCTION("""COMPUTED_VALUE"""),23.0)</f>
        <v>23</v>
      </c>
      <c r="S591" s="4">
        <f>IFERROR(__xludf.DUMMYFUNCTION("""COMPUTED_VALUE"""),23.0)</f>
        <v>23</v>
      </c>
      <c r="T591" s="4"/>
      <c r="U591" s="4" t="str">
        <f>IFERROR(__xludf.DUMMYFUNCTION("""COMPUTED_VALUE"""),"BAIK")</f>
        <v>BAIK</v>
      </c>
      <c r="V591" s="4" t="str">
        <f>IFERROR(__xludf.DUMMYFUNCTION("""COMPUTED_VALUE"""),"Tidak Ada")</f>
        <v>Tidak Ada</v>
      </c>
      <c r="W591" s="4"/>
      <c r="X591" s="4"/>
      <c r="Y591" s="4"/>
      <c r="Z591" s="4"/>
      <c r="AA591" s="4"/>
      <c r="AB591" s="4"/>
      <c r="AC591" s="4" t="str">
        <f>IFERROR(__xludf.DUMMYFUNCTION("""COMPUTED_VALUE"""),"INSPEKSI SUTM - T2_Images/ef5f9e92.FOTO.143003.jpg")</f>
        <v>INSPEKSI SUTM - T2_Images/ef5f9e92.FOTO.143003.jpg</v>
      </c>
      <c r="AD591" s="4"/>
      <c r="AE591" s="4"/>
      <c r="AF591" s="4" t="str">
        <f>IFERROR(__xludf.DUMMYFUNCTION("""COMPUTED_VALUE"""),"BELUM")</f>
        <v>BELUM</v>
      </c>
      <c r="AG591" s="6">
        <f>IFERROR(__xludf.DUMMYFUNCTION("""COMPUTED_VALUE"""),46081.0)</f>
        <v>46081</v>
      </c>
      <c r="AH591" s="4"/>
      <c r="AI591" s="4"/>
    </row>
    <row r="592" ht="15.75" customHeight="1">
      <c r="A592" s="4" t="str">
        <f>IFERROR(__xludf.DUMMYFUNCTION("""COMPUTED_VALUE"""),"f35a9262")</f>
        <v>f35a9262</v>
      </c>
      <c r="B592" s="5">
        <f>IFERROR(__xludf.DUMMYFUNCTION("""COMPUTED_VALUE"""),46081.89672453704)</f>
        <v>46081.89672</v>
      </c>
      <c r="C592" s="4" t="str">
        <f>IFERROR(__xludf.DUMMYFUNCTION("""COMPUTED_VALUE"""),"-6.904308, 107.695878")</f>
        <v>-6.904308, 107.695878</v>
      </c>
      <c r="D592" s="4" t="str">
        <f>IFERROR(__xludf.DUMMYFUNCTION("""COMPUTED_VALUE"""),"Canra heei")</f>
        <v>Canra heei</v>
      </c>
      <c r="E592" s="4" t="str">
        <f>IFERROR(__xludf.DUMMYFUNCTION("""COMPUTED_VALUE"""),"BANDUNG")</f>
        <v>BANDUNG</v>
      </c>
      <c r="F592" s="4" t="str">
        <f>IFERROR(__xludf.DUMMYFUNCTION("""COMPUTED_VALUE"""),"UJUNGBERUNG")</f>
        <v>UJUNGBERUNG</v>
      </c>
      <c r="G592" s="4" t="str">
        <f>IFERROR(__xludf.DUMMYFUNCTION("""COMPUTED_VALUE"""),"UJUNGBERUNG")</f>
        <v>UJUNGBERUNG</v>
      </c>
      <c r="H592" s="4" t="str">
        <f>IFERROR(__xludf.DUMMYFUNCTION("""COMPUTED_VALUE"""),"UZO")</f>
        <v>UZO</v>
      </c>
      <c r="I592" s="4" t="str">
        <f>IFERROR(__xludf.DUMMYFUNCTION("""COMPUTED_VALUE"""),"LBS PKN - UJUNG")</f>
        <v>LBS PKN - UJUNG</v>
      </c>
      <c r="J592" s="4" t="str">
        <f>IFERROR(__xludf.DUMMYFUNCTION("""COMPUTED_VALUE"""),"ZONA 2")</f>
        <v>ZONA 2</v>
      </c>
      <c r="K592" s="4" t="str">
        <f>IFERROR(__xludf.DUMMYFUNCTION("""COMPUTED_VALUE"""),"050L011")</f>
        <v>050L011</v>
      </c>
      <c r="L592" s="4" t="str">
        <f>IFERROR(__xludf.DUMMYFUNCTION("""COMPUTED_VALUE"""),"TM - 7B/H (Afspan 90 Derajat)")</f>
        <v>TM - 7B/H (Afspan 90 Derajat)</v>
      </c>
      <c r="M592" s="4" t="str">
        <f>IFERROR(__xludf.DUMMYFUNCTION("""COMPUTED_VALUE"""),"Tidak Ada")</f>
        <v>Tidak Ada</v>
      </c>
      <c r="N592" s="4"/>
      <c r="O592" s="4" t="str">
        <f>IFERROR(__xludf.DUMMYFUNCTION("""COMPUTED_VALUE"""),"PEMBANDING SEJENIS")</f>
        <v>PEMBANDING SEJENIS</v>
      </c>
      <c r="P592" s="4" t="str">
        <f>IFERROR(__xludf.DUMMYFUNCTION("""COMPUTED_VALUE"""),"KONEKTOR/JUMPER")</f>
        <v>KONEKTOR/JUMPER</v>
      </c>
      <c r="Q592" s="4">
        <f>IFERROR(__xludf.DUMMYFUNCTION("""COMPUTED_VALUE"""),20.0)</f>
        <v>20</v>
      </c>
      <c r="R592" s="4">
        <f>IFERROR(__xludf.DUMMYFUNCTION("""COMPUTED_VALUE"""),24.0)</f>
        <v>24</v>
      </c>
      <c r="S592" s="4">
        <f>IFERROR(__xludf.DUMMYFUNCTION("""COMPUTED_VALUE"""),23.0)</f>
        <v>23</v>
      </c>
      <c r="T592" s="4"/>
      <c r="U592" s="4" t="str">
        <f>IFERROR(__xludf.DUMMYFUNCTION("""COMPUTED_VALUE"""),"CUKUP")</f>
        <v>CUKUP</v>
      </c>
      <c r="V592" s="4" t="str">
        <f>IFERROR(__xludf.DUMMYFUNCTION("""COMPUTED_VALUE"""),"Tidak Ada")</f>
        <v>Tidak Ada</v>
      </c>
      <c r="W592" s="4"/>
      <c r="X592" s="4"/>
      <c r="Y592" s="4"/>
      <c r="Z592" s="4"/>
      <c r="AA592" s="4"/>
      <c r="AB592" s="4"/>
      <c r="AC592" s="4" t="str">
        <f>IFERROR(__xludf.DUMMYFUNCTION("""COMPUTED_VALUE"""),"INSPEKSI SUTM - T2_Images/f35a9262.FOTO.143212.jpg")</f>
        <v>INSPEKSI SUTM - T2_Images/f35a9262.FOTO.143212.jpg</v>
      </c>
      <c r="AD592" s="4"/>
      <c r="AE592" s="4"/>
      <c r="AF592" s="4" t="str">
        <f>IFERROR(__xludf.DUMMYFUNCTION("""COMPUTED_VALUE"""),"BELUM")</f>
        <v>BELUM</v>
      </c>
      <c r="AG592" s="6">
        <f>IFERROR(__xludf.DUMMYFUNCTION("""COMPUTED_VALUE"""),46081.0)</f>
        <v>46081</v>
      </c>
      <c r="AH592" s="4"/>
      <c r="AI592" s="4"/>
    </row>
    <row r="593" ht="15.75" customHeight="1">
      <c r="A593" s="4" t="str">
        <f>IFERROR(__xludf.DUMMYFUNCTION("""COMPUTED_VALUE"""),"881cb74e")</f>
        <v>881cb74e</v>
      </c>
      <c r="B593" s="5">
        <f>IFERROR(__xludf.DUMMYFUNCTION("""COMPUTED_VALUE"""),46081.897997685184)</f>
        <v>46081.898</v>
      </c>
      <c r="C593" s="4" t="str">
        <f>IFERROR(__xludf.DUMMYFUNCTION("""COMPUTED_VALUE"""),"-6.906517, 107.695655")</f>
        <v>-6.906517, 107.695655</v>
      </c>
      <c r="D593" s="4" t="str">
        <f>IFERROR(__xludf.DUMMYFUNCTION("""COMPUTED_VALUE"""),"Canra heei")</f>
        <v>Canra heei</v>
      </c>
      <c r="E593" s="4" t="str">
        <f>IFERROR(__xludf.DUMMYFUNCTION("""COMPUTED_VALUE"""),"BANDUNG")</f>
        <v>BANDUNG</v>
      </c>
      <c r="F593" s="4" t="str">
        <f>IFERROR(__xludf.DUMMYFUNCTION("""COMPUTED_VALUE"""),"UJUNGBERUNG")</f>
        <v>UJUNGBERUNG</v>
      </c>
      <c r="G593" s="4" t="str">
        <f>IFERROR(__xludf.DUMMYFUNCTION("""COMPUTED_VALUE"""),"UJUNGBERUNG")</f>
        <v>UJUNGBERUNG</v>
      </c>
      <c r="H593" s="4" t="str">
        <f>IFERROR(__xludf.DUMMYFUNCTION("""COMPUTED_VALUE"""),"UZO")</f>
        <v>UZO</v>
      </c>
      <c r="I593" s="4" t="str">
        <f>IFERROR(__xludf.DUMMYFUNCTION("""COMPUTED_VALUE"""),"LBS PKN - UJUNG")</f>
        <v>LBS PKN - UJUNG</v>
      </c>
      <c r="J593" s="4" t="str">
        <f>IFERROR(__xludf.DUMMYFUNCTION("""COMPUTED_VALUE"""),"ZONA 2")</f>
        <v>ZONA 2</v>
      </c>
      <c r="K593" s="4" t="str">
        <f>IFERROR(__xludf.DUMMYFUNCTION("""COMPUTED_VALUE"""),"057")</f>
        <v>057</v>
      </c>
      <c r="L593" s="4" t="str">
        <f>IFERROR(__xludf.DUMMYFUNCTION("""COMPUTED_VALUE"""),"TM - 7B/H (Afspan 90 Derajat)")</f>
        <v>TM - 7B/H (Afspan 90 Derajat)</v>
      </c>
      <c r="M593" s="4" t="str">
        <f>IFERROR(__xludf.DUMMYFUNCTION("""COMPUTED_VALUE"""),"Tidak Ada")</f>
        <v>Tidak Ada</v>
      </c>
      <c r="N593" s="4"/>
      <c r="O593" s="4" t="str">
        <f>IFERROR(__xludf.DUMMYFUNCTION("""COMPUTED_VALUE"""),"PEMBANDING SEJENIS")</f>
        <v>PEMBANDING SEJENIS</v>
      </c>
      <c r="P593" s="4" t="str">
        <f>IFERROR(__xludf.DUMMYFUNCTION("""COMPUTED_VALUE"""),"KONEKTOR/JUMPER")</f>
        <v>KONEKTOR/JUMPER</v>
      </c>
      <c r="Q593" s="4">
        <f>IFERROR(__xludf.DUMMYFUNCTION("""COMPUTED_VALUE"""),24.0)</f>
        <v>24</v>
      </c>
      <c r="R593" s="4">
        <f>IFERROR(__xludf.DUMMYFUNCTION("""COMPUTED_VALUE"""),23.0)</f>
        <v>23</v>
      </c>
      <c r="S593" s="4">
        <f>IFERROR(__xludf.DUMMYFUNCTION("""COMPUTED_VALUE"""),24.0)</f>
        <v>24</v>
      </c>
      <c r="T593" s="4"/>
      <c r="U593" s="4" t="str">
        <f>IFERROR(__xludf.DUMMYFUNCTION("""COMPUTED_VALUE"""),"BAIK")</f>
        <v>BAIK</v>
      </c>
      <c r="V593" s="4" t="str">
        <f>IFERROR(__xludf.DUMMYFUNCTION("""COMPUTED_VALUE"""),"Tidak Ada")</f>
        <v>Tidak Ada</v>
      </c>
      <c r="W593" s="4"/>
      <c r="X593" s="4"/>
      <c r="Y593" s="4"/>
      <c r="Z593" s="4"/>
      <c r="AA593" s="4"/>
      <c r="AB593" s="4"/>
      <c r="AC593" s="4" t="str">
        <f>IFERROR(__xludf.DUMMYFUNCTION("""COMPUTED_VALUE"""),"INSPEKSI SUTM - T2_Images/881cb74e.FOTO.143351.jpg")</f>
        <v>INSPEKSI SUTM - T2_Images/881cb74e.FOTO.143351.jpg</v>
      </c>
      <c r="AD593" s="4"/>
      <c r="AE593" s="4"/>
      <c r="AF593" s="4" t="str">
        <f>IFERROR(__xludf.DUMMYFUNCTION("""COMPUTED_VALUE"""),"BELUM")</f>
        <v>BELUM</v>
      </c>
      <c r="AG593" s="6">
        <f>IFERROR(__xludf.DUMMYFUNCTION("""COMPUTED_VALUE"""),46081.0)</f>
        <v>46081</v>
      </c>
      <c r="AH593" s="4"/>
      <c r="AI593" s="4"/>
    </row>
    <row r="594" ht="15.75" customHeight="1">
      <c r="A594" s="4" t="str">
        <f>IFERROR(__xludf.DUMMYFUNCTION("""COMPUTED_VALUE"""),"236d1b87")</f>
        <v>236d1b87</v>
      </c>
      <c r="B594" s="5">
        <f>IFERROR(__xludf.DUMMYFUNCTION("""COMPUTED_VALUE"""),46081.898981481485)</f>
        <v>46081.89898</v>
      </c>
      <c r="C594" s="4" t="str">
        <f>IFERROR(__xludf.DUMMYFUNCTION("""COMPUTED_VALUE"""),"-6.904499, 107.697041")</f>
        <v>-6.904499, 107.697041</v>
      </c>
      <c r="D594" s="4" t="str">
        <f>IFERROR(__xludf.DUMMYFUNCTION("""COMPUTED_VALUE"""),"Canra heei")</f>
        <v>Canra heei</v>
      </c>
      <c r="E594" s="4" t="str">
        <f>IFERROR(__xludf.DUMMYFUNCTION("""COMPUTED_VALUE"""),"BANDUNG")</f>
        <v>BANDUNG</v>
      </c>
      <c r="F594" s="4" t="str">
        <f>IFERROR(__xludf.DUMMYFUNCTION("""COMPUTED_VALUE"""),"UJUNGBERUNG")</f>
        <v>UJUNGBERUNG</v>
      </c>
      <c r="G594" s="4" t="str">
        <f>IFERROR(__xludf.DUMMYFUNCTION("""COMPUTED_VALUE"""),"UJUNGBERUNG")</f>
        <v>UJUNGBERUNG</v>
      </c>
      <c r="H594" s="4" t="str">
        <f>IFERROR(__xludf.DUMMYFUNCTION("""COMPUTED_VALUE"""),"UZO")</f>
        <v>UZO</v>
      </c>
      <c r="I594" s="4" t="str">
        <f>IFERROR(__xludf.DUMMYFUNCTION("""COMPUTED_VALUE"""),"LBS PKN - UJUNG")</f>
        <v>LBS PKN - UJUNG</v>
      </c>
      <c r="J594" s="4" t="str">
        <f>IFERROR(__xludf.DUMMYFUNCTION("""COMPUTED_VALUE"""),"ZONA 2")</f>
        <v>ZONA 2</v>
      </c>
      <c r="K594" s="4" t="str">
        <f>IFERROR(__xludf.DUMMYFUNCTION("""COMPUTED_VALUE"""),"064")</f>
        <v>064</v>
      </c>
      <c r="L594" s="4" t="str">
        <f>IFERROR(__xludf.DUMMYFUNCTION("""COMPUTED_VALUE"""),"TM - 4B/H (Afspan)")</f>
        <v>TM - 4B/H (Afspan)</v>
      </c>
      <c r="M594" s="4" t="str">
        <f>IFERROR(__xludf.DUMMYFUNCTION("""COMPUTED_VALUE"""),"Tidak Ada")</f>
        <v>Tidak Ada</v>
      </c>
      <c r="N594" s="4"/>
      <c r="O594" s="4" t="str">
        <f>IFERROR(__xludf.DUMMYFUNCTION("""COMPUTED_VALUE"""),"PEMBANDING SEJENIS")</f>
        <v>PEMBANDING SEJENIS</v>
      </c>
      <c r="P594" s="4" t="str">
        <f>IFERROR(__xludf.DUMMYFUNCTION("""COMPUTED_VALUE"""),"KONEKTOR/JUMPER")</f>
        <v>KONEKTOR/JUMPER</v>
      </c>
      <c r="Q594" s="4">
        <f>IFERROR(__xludf.DUMMYFUNCTION("""COMPUTED_VALUE"""),23.0)</f>
        <v>23</v>
      </c>
      <c r="R594" s="4">
        <f>IFERROR(__xludf.DUMMYFUNCTION("""COMPUTED_VALUE"""),21.0)</f>
        <v>21</v>
      </c>
      <c r="S594" s="4">
        <f>IFERROR(__xludf.DUMMYFUNCTION("""COMPUTED_VALUE"""),21.0)</f>
        <v>21</v>
      </c>
      <c r="T594" s="4"/>
      <c r="U594" s="4" t="str">
        <f>IFERROR(__xludf.DUMMYFUNCTION("""COMPUTED_VALUE"""),"BAIK")</f>
        <v>BAIK</v>
      </c>
      <c r="V594" s="4" t="str">
        <f>IFERROR(__xludf.DUMMYFUNCTION("""COMPUTED_VALUE"""),"Tidak Ada")</f>
        <v>Tidak Ada</v>
      </c>
      <c r="W594" s="4"/>
      <c r="X594" s="4"/>
      <c r="Y594" s="4"/>
      <c r="Z594" s="4"/>
      <c r="AA594" s="4"/>
      <c r="AB594" s="4"/>
      <c r="AC594" s="4" t="str">
        <f>IFERROR(__xludf.DUMMYFUNCTION("""COMPUTED_VALUE"""),"INSPEKSI SUTM - T2_Images/236d1b87.FOTO.143517.jpg")</f>
        <v>INSPEKSI SUTM - T2_Images/236d1b87.FOTO.143517.jpg</v>
      </c>
      <c r="AD594" s="4"/>
      <c r="AE594" s="4"/>
      <c r="AF594" s="4" t="str">
        <f>IFERROR(__xludf.DUMMYFUNCTION("""COMPUTED_VALUE"""),"BELUM")</f>
        <v>BELUM</v>
      </c>
      <c r="AG594" s="6">
        <f>IFERROR(__xludf.DUMMYFUNCTION("""COMPUTED_VALUE"""),46081.0)</f>
        <v>46081</v>
      </c>
      <c r="AH594" s="4"/>
      <c r="AI594" s="4"/>
    </row>
    <row r="595" ht="15.75" customHeight="1">
      <c r="A595" s="4" t="str">
        <f>IFERROR(__xludf.DUMMYFUNCTION("""COMPUTED_VALUE"""),"411240ce")</f>
        <v>411240ce</v>
      </c>
      <c r="B595" s="5">
        <f>IFERROR(__xludf.DUMMYFUNCTION("""COMPUTED_VALUE"""),46081.89983796296)</f>
        <v>46081.89984</v>
      </c>
      <c r="C595" s="4" t="str">
        <f>IFERROR(__xludf.DUMMYFUNCTION("""COMPUTED_VALUE"""),"-6.904325, 107.697112")</f>
        <v>-6.904325, 107.697112</v>
      </c>
      <c r="D595" s="4" t="str">
        <f>IFERROR(__xludf.DUMMYFUNCTION("""COMPUTED_VALUE"""),"Canra heei")</f>
        <v>Canra heei</v>
      </c>
      <c r="E595" s="4" t="str">
        <f>IFERROR(__xludf.DUMMYFUNCTION("""COMPUTED_VALUE"""),"BANDUNG")</f>
        <v>BANDUNG</v>
      </c>
      <c r="F595" s="4" t="str">
        <f>IFERROR(__xludf.DUMMYFUNCTION("""COMPUTED_VALUE"""),"UJUNGBERUNG")</f>
        <v>UJUNGBERUNG</v>
      </c>
      <c r="G595" s="4" t="str">
        <f>IFERROR(__xludf.DUMMYFUNCTION("""COMPUTED_VALUE"""),"UJUNGBERUNG")</f>
        <v>UJUNGBERUNG</v>
      </c>
      <c r="H595" s="4" t="str">
        <f>IFERROR(__xludf.DUMMYFUNCTION("""COMPUTED_VALUE"""),"UZO")</f>
        <v>UZO</v>
      </c>
      <c r="I595" s="4" t="str">
        <f>IFERROR(__xludf.DUMMYFUNCTION("""COMPUTED_VALUE"""),"LBS PKN - UJUNG")</f>
        <v>LBS PKN - UJUNG</v>
      </c>
      <c r="J595" s="4" t="str">
        <f>IFERROR(__xludf.DUMMYFUNCTION("""COMPUTED_VALUE"""),"ZONA 2")</f>
        <v>ZONA 2</v>
      </c>
      <c r="K595" s="4" t="str">
        <f>IFERROR(__xludf.DUMMYFUNCTION("""COMPUTED_VALUE"""),"065")</f>
        <v>065</v>
      </c>
      <c r="L595" s="4" t="str">
        <f>IFERROR(__xludf.DUMMYFUNCTION("""COMPUTED_VALUE"""),"TM - 16B/H (REC/SSO/LBS)")</f>
        <v>TM - 16B/H (REC/SSO/LBS)</v>
      </c>
      <c r="M595" s="4" t="str">
        <f>IFERROR(__xludf.DUMMYFUNCTION("""COMPUTED_VALUE"""),"REC")</f>
        <v>REC</v>
      </c>
      <c r="N595" s="4" t="str">
        <f>IFERROR(__xludf.DUMMYFUNCTION("""COMPUTED_VALUE"""),"Kpia")</f>
        <v>Kpia</v>
      </c>
      <c r="O595" s="4" t="str">
        <f>IFERROR(__xludf.DUMMYFUNCTION("""COMPUTED_VALUE"""),"PEMBANDING SEJENIS")</f>
        <v>PEMBANDING SEJENIS</v>
      </c>
      <c r="P595" s="4" t="str">
        <f>IFERROR(__xludf.DUMMYFUNCTION("""COMPUTED_VALUE"""),"KONEKTOR/JUMPER")</f>
        <v>KONEKTOR/JUMPER</v>
      </c>
      <c r="Q595" s="4">
        <f>IFERROR(__xludf.DUMMYFUNCTION("""COMPUTED_VALUE"""),25.0)</f>
        <v>25</v>
      </c>
      <c r="R595" s="4">
        <f>IFERROR(__xludf.DUMMYFUNCTION("""COMPUTED_VALUE"""),26.0)</f>
        <v>26</v>
      </c>
      <c r="S595" s="4">
        <f>IFERROR(__xludf.DUMMYFUNCTION("""COMPUTED_VALUE"""),23.0)</f>
        <v>23</v>
      </c>
      <c r="T595" s="4"/>
      <c r="U595" s="4" t="str">
        <f>IFERROR(__xludf.DUMMYFUNCTION("""COMPUTED_VALUE"""),"CUKUP")</f>
        <v>CUKUP</v>
      </c>
      <c r="V595" s="4" t="str">
        <f>IFERROR(__xludf.DUMMYFUNCTION("""COMPUTED_VALUE"""),"Tidak Ada")</f>
        <v>Tidak Ada</v>
      </c>
      <c r="W595" s="4"/>
      <c r="X595" s="4"/>
      <c r="Y595" s="4"/>
      <c r="Z595" s="4"/>
      <c r="AA595" s="4"/>
      <c r="AB595" s="4"/>
      <c r="AC595" s="4" t="str">
        <f>IFERROR(__xludf.DUMMYFUNCTION("""COMPUTED_VALUE"""),"INSPEKSI SUTM - T2_Images/411240ce.FOTO.143651.jpg")</f>
        <v>INSPEKSI SUTM - T2_Images/411240ce.FOTO.143651.jpg</v>
      </c>
      <c r="AD595" s="4"/>
      <c r="AE595" s="4"/>
      <c r="AF595" s="4" t="str">
        <f>IFERROR(__xludf.DUMMYFUNCTION("""COMPUTED_VALUE"""),"BELUM")</f>
        <v>BELUM</v>
      </c>
      <c r="AG595" s="6">
        <f>IFERROR(__xludf.DUMMYFUNCTION("""COMPUTED_VALUE"""),46081.0)</f>
        <v>46081</v>
      </c>
      <c r="AH595" s="4"/>
      <c r="AI595" s="4"/>
    </row>
    <row r="596" ht="15.75" customHeight="1">
      <c r="A596" s="4" t="str">
        <f>IFERROR(__xludf.DUMMYFUNCTION("""COMPUTED_VALUE"""),"90d75286")</f>
        <v>90d75286</v>
      </c>
      <c r="B596" s="5">
        <f>IFERROR(__xludf.DUMMYFUNCTION("""COMPUTED_VALUE"""),46081.94795138889)</f>
        <v>46081.94795</v>
      </c>
      <c r="C596" s="4" t="str">
        <f>IFERROR(__xludf.DUMMYFUNCTION("""COMPUTED_VALUE"""),"-6.903774, 107.697233")</f>
        <v>-6.903774, 107.697233</v>
      </c>
      <c r="D596" s="4" t="str">
        <f>IFERROR(__xludf.DUMMYFUNCTION("""COMPUTED_VALUE"""),"Heri chandra")</f>
        <v>Heri chandra</v>
      </c>
      <c r="E596" s="4" t="str">
        <f>IFERROR(__xludf.DUMMYFUNCTION("""COMPUTED_VALUE"""),"BANDUNG")</f>
        <v>BANDUNG</v>
      </c>
      <c r="F596" s="4" t="str">
        <f>IFERROR(__xludf.DUMMYFUNCTION("""COMPUTED_VALUE"""),"UJUNGBERUNG")</f>
        <v>UJUNGBERUNG</v>
      </c>
      <c r="G596" s="4" t="str">
        <f>IFERROR(__xludf.DUMMYFUNCTION("""COMPUTED_VALUE"""),"UJUNGBERUNG")</f>
        <v>UJUNGBERUNG</v>
      </c>
      <c r="H596" s="4" t="str">
        <f>IFERROR(__xludf.DUMMYFUNCTION("""COMPUTED_VALUE"""),"UZO")</f>
        <v>UZO</v>
      </c>
      <c r="I596" s="4" t="str">
        <f>IFERROR(__xludf.DUMMYFUNCTION("""COMPUTED_VALUE"""),"LBS PKN - UJUNG")</f>
        <v>LBS PKN - UJUNG</v>
      </c>
      <c r="J596" s="4" t="str">
        <f>IFERROR(__xludf.DUMMYFUNCTION("""COMPUTED_VALUE"""),"ZONA 2")</f>
        <v>ZONA 2</v>
      </c>
      <c r="K596" s="4" t="str">
        <f>IFERROR(__xludf.DUMMYFUNCTION("""COMPUTED_VALUE"""),"067")</f>
        <v>067</v>
      </c>
      <c r="L596" s="4" t="str">
        <f>IFERROR(__xludf.DUMMYFUNCTION("""COMPUTED_VALUE"""),"TM - 1B/H (Tumpu)")</f>
        <v>TM - 1B/H (Tumpu)</v>
      </c>
      <c r="M596" s="4" t="str">
        <f>IFERROR(__xludf.DUMMYFUNCTION("""COMPUTED_VALUE"""),"Tidak Ada")</f>
        <v>Tidak Ada</v>
      </c>
      <c r="N596" s="4"/>
      <c r="O596" s="4" t="str">
        <f>IFERROR(__xludf.DUMMYFUNCTION("""COMPUTED_VALUE"""),"PEMBANDING SEJENIS")</f>
        <v>PEMBANDING SEJENIS</v>
      </c>
      <c r="P596" s="4" t="str">
        <f>IFERROR(__xludf.DUMMYFUNCTION("""COMPUTED_VALUE"""),"ARRESTER")</f>
        <v>ARRESTER</v>
      </c>
      <c r="Q596" s="4">
        <f>IFERROR(__xludf.DUMMYFUNCTION("""COMPUTED_VALUE"""),22.1)</f>
        <v>22.1</v>
      </c>
      <c r="R596" s="4">
        <f>IFERROR(__xludf.DUMMYFUNCTION("""COMPUTED_VALUE"""),22.2)</f>
        <v>22.2</v>
      </c>
      <c r="S596" s="4">
        <f>IFERROR(__xludf.DUMMYFUNCTION("""COMPUTED_VALUE"""),22.1)</f>
        <v>22.1</v>
      </c>
      <c r="T596" s="4"/>
      <c r="U596" s="4" t="str">
        <f>IFERROR(__xludf.DUMMYFUNCTION("""COMPUTED_VALUE"""),"BAIK")</f>
        <v>BAIK</v>
      </c>
      <c r="V596" s="4" t="str">
        <f>IFERROR(__xludf.DUMMYFUNCTION("""COMPUTED_VALUE"""),"Tidak Ada")</f>
        <v>Tidak Ada</v>
      </c>
      <c r="W596" s="4"/>
      <c r="X596" s="4"/>
      <c r="Y596" s="4"/>
      <c r="Z596" s="4"/>
      <c r="AA596" s="4"/>
      <c r="AB596" s="4"/>
      <c r="AC596" s="4" t="str">
        <f>IFERROR(__xludf.DUMMYFUNCTION("""COMPUTED_VALUE"""),"INSPEKSI SUTM - T2_Images/90d75286.FOTO.154552.jpg")</f>
        <v>INSPEKSI SUTM - T2_Images/90d75286.FOTO.154552.jpg</v>
      </c>
      <c r="AD596" s="4"/>
      <c r="AE596" s="4"/>
      <c r="AF596" s="4" t="str">
        <f>IFERROR(__xludf.DUMMYFUNCTION("""COMPUTED_VALUE"""),"BELUM")</f>
        <v>BELUM</v>
      </c>
      <c r="AG596" s="6">
        <f>IFERROR(__xludf.DUMMYFUNCTION("""COMPUTED_VALUE"""),46081.0)</f>
        <v>46081</v>
      </c>
      <c r="AH596" s="4"/>
      <c r="AI596" s="4"/>
    </row>
    <row r="597" ht="15.75" customHeight="1">
      <c r="A597" s="4" t="str">
        <f>IFERROR(__xludf.DUMMYFUNCTION("""COMPUTED_VALUE"""),"9162c5b9")</f>
        <v>9162c5b9</v>
      </c>
      <c r="B597" s="5">
        <f>IFERROR(__xludf.DUMMYFUNCTION("""COMPUTED_VALUE"""),46081.94856481482)</f>
        <v>46081.94856</v>
      </c>
      <c r="C597" s="4" t="str">
        <f>IFERROR(__xludf.DUMMYFUNCTION("""COMPUTED_VALUE"""),"-6.903785, 107.697235")</f>
        <v>-6.903785, 107.697235</v>
      </c>
      <c r="D597" s="4" t="str">
        <f>IFERROR(__xludf.DUMMYFUNCTION("""COMPUTED_VALUE"""),"Heri chsndra")</f>
        <v>Heri chsndra</v>
      </c>
      <c r="E597" s="4" t="str">
        <f>IFERROR(__xludf.DUMMYFUNCTION("""COMPUTED_VALUE"""),"BANDUNG")</f>
        <v>BANDUNG</v>
      </c>
      <c r="F597" s="4" t="str">
        <f>IFERROR(__xludf.DUMMYFUNCTION("""COMPUTED_VALUE"""),"UJUNGBERUNG")</f>
        <v>UJUNGBERUNG</v>
      </c>
      <c r="G597" s="4" t="str">
        <f>IFERROR(__xludf.DUMMYFUNCTION("""COMPUTED_VALUE"""),"UJUNGBERUNG")</f>
        <v>UJUNGBERUNG</v>
      </c>
      <c r="H597" s="4" t="str">
        <f>IFERROR(__xludf.DUMMYFUNCTION("""COMPUTED_VALUE"""),"UZO")</f>
        <v>UZO</v>
      </c>
      <c r="I597" s="4" t="str">
        <f>IFERROR(__xludf.DUMMYFUNCTION("""COMPUTED_VALUE"""),"LBS PKN - UJUNG")</f>
        <v>LBS PKN - UJUNG</v>
      </c>
      <c r="J597" s="4" t="str">
        <f>IFERROR(__xludf.DUMMYFUNCTION("""COMPUTED_VALUE"""),"ZONA 2")</f>
        <v>ZONA 2</v>
      </c>
      <c r="K597" s="4" t="str">
        <f>IFERROR(__xludf.DUMMYFUNCTION("""COMPUTED_VALUE"""),"070")</f>
        <v>070</v>
      </c>
      <c r="L597" s="4" t="str">
        <f>IFERROR(__xludf.DUMMYFUNCTION("""COMPUTED_VALUE"""),"TM - 8B/H (Percabangan)")</f>
        <v>TM - 8B/H (Percabangan)</v>
      </c>
      <c r="M597" s="4" t="str">
        <f>IFERROR(__xludf.DUMMYFUNCTION("""COMPUTED_VALUE"""),"Tidak Ada")</f>
        <v>Tidak Ada</v>
      </c>
      <c r="N597" s="4"/>
      <c r="O597" s="4" t="str">
        <f>IFERROR(__xludf.DUMMYFUNCTION("""COMPUTED_VALUE"""),"PEMBANDING SEJENIS")</f>
        <v>PEMBANDING SEJENIS</v>
      </c>
      <c r="P597" s="4" t="str">
        <f>IFERROR(__xludf.DUMMYFUNCTION("""COMPUTED_VALUE"""),"KONEKTOR/JUMPER")</f>
        <v>KONEKTOR/JUMPER</v>
      </c>
      <c r="Q597" s="4">
        <f>IFERROR(__xludf.DUMMYFUNCTION("""COMPUTED_VALUE"""),20.7)</f>
        <v>20.7</v>
      </c>
      <c r="R597" s="4">
        <f>IFERROR(__xludf.DUMMYFUNCTION("""COMPUTED_VALUE"""),18.1)</f>
        <v>18.1</v>
      </c>
      <c r="S597" s="4">
        <f>IFERROR(__xludf.DUMMYFUNCTION("""COMPUTED_VALUE"""),21.4)</f>
        <v>21.4</v>
      </c>
      <c r="T597" s="4"/>
      <c r="U597" s="4" t="str">
        <f>IFERROR(__xludf.DUMMYFUNCTION("""COMPUTED_VALUE"""),"CUKUP")</f>
        <v>CUKUP</v>
      </c>
      <c r="V597" s="4" t="str">
        <f>IFERROR(__xludf.DUMMYFUNCTION("""COMPUTED_VALUE"""),"Tidak Ada")</f>
        <v>Tidak Ada</v>
      </c>
      <c r="W597" s="4"/>
      <c r="X597" s="4"/>
      <c r="Y597" s="4"/>
      <c r="Z597" s="4"/>
      <c r="AA597" s="4"/>
      <c r="AB597" s="4"/>
      <c r="AC597" s="4" t="str">
        <f>IFERROR(__xludf.DUMMYFUNCTION("""COMPUTED_VALUE"""),"INSPEKSI SUTM - T2_Images/9162c5b9.FOTO.154651.jpg")</f>
        <v>INSPEKSI SUTM - T2_Images/9162c5b9.FOTO.154651.jpg</v>
      </c>
      <c r="AD597" s="4"/>
      <c r="AE597" s="4"/>
      <c r="AF597" s="4" t="str">
        <f>IFERROR(__xludf.DUMMYFUNCTION("""COMPUTED_VALUE"""),"BELUM")</f>
        <v>BELUM</v>
      </c>
      <c r="AG597" s="6">
        <f>IFERROR(__xludf.DUMMYFUNCTION("""COMPUTED_VALUE"""),46081.0)</f>
        <v>46081</v>
      </c>
      <c r="AH597" s="4"/>
      <c r="AI597" s="4"/>
    </row>
    <row r="598" ht="15.75" customHeight="1">
      <c r="A598" s="4" t="str">
        <f>IFERROR(__xludf.DUMMYFUNCTION("""COMPUTED_VALUE"""),"f0844ec9")</f>
        <v>f0844ec9</v>
      </c>
      <c r="B598" s="5">
        <f>IFERROR(__xludf.DUMMYFUNCTION("""COMPUTED_VALUE"""),46081.949479166666)</f>
        <v>46081.94948</v>
      </c>
      <c r="C598" s="4" t="str">
        <f>IFERROR(__xludf.DUMMYFUNCTION("""COMPUTED_VALUE"""),"-6.901136, 107.697688")</f>
        <v>-6.901136, 107.697688</v>
      </c>
      <c r="D598" s="4" t="str">
        <f>IFERROR(__xludf.DUMMYFUNCTION("""COMPUTED_VALUE"""),"Heri chabdra")</f>
        <v>Heri chabdra</v>
      </c>
      <c r="E598" s="4" t="str">
        <f>IFERROR(__xludf.DUMMYFUNCTION("""COMPUTED_VALUE"""),"BANDUNG")</f>
        <v>BANDUNG</v>
      </c>
      <c r="F598" s="4" t="str">
        <f>IFERROR(__xludf.DUMMYFUNCTION("""COMPUTED_VALUE"""),"UJUNGBERUNG")</f>
        <v>UJUNGBERUNG</v>
      </c>
      <c r="G598" s="4" t="str">
        <f>IFERROR(__xludf.DUMMYFUNCTION("""COMPUTED_VALUE"""),"UJUNGBERUNG")</f>
        <v>UJUNGBERUNG</v>
      </c>
      <c r="H598" s="4" t="str">
        <f>IFERROR(__xludf.DUMMYFUNCTION("""COMPUTED_VALUE"""),"UZO")</f>
        <v>UZO</v>
      </c>
      <c r="I598" s="4" t="str">
        <f>IFERROR(__xludf.DUMMYFUNCTION("""COMPUTED_VALUE"""),"LBS PKN - UJUNG")</f>
        <v>LBS PKN - UJUNG</v>
      </c>
      <c r="J598" s="4" t="str">
        <f>IFERROR(__xludf.DUMMYFUNCTION("""COMPUTED_VALUE"""),"ZONA 2")</f>
        <v>ZONA 2</v>
      </c>
      <c r="K598" s="4" t="str">
        <f>IFERROR(__xludf.DUMMYFUNCTION("""COMPUTED_VALUE"""),"076")</f>
        <v>076</v>
      </c>
      <c r="L598" s="4" t="str">
        <f>IFERROR(__xludf.DUMMYFUNCTION("""COMPUTED_VALUE"""),"TM - 8B/H (Percabangan)")</f>
        <v>TM - 8B/H (Percabangan)</v>
      </c>
      <c r="M598" s="4" t="str">
        <f>IFERROR(__xludf.DUMMYFUNCTION("""COMPUTED_VALUE"""),"Tidak Ada")</f>
        <v>Tidak Ada</v>
      </c>
      <c r="N598" s="4"/>
      <c r="O598" s="4" t="str">
        <f>IFERROR(__xludf.DUMMYFUNCTION("""COMPUTED_VALUE"""),"PEMBANDING SEJENIS")</f>
        <v>PEMBANDING SEJENIS</v>
      </c>
      <c r="P598" s="4" t="str">
        <f>IFERROR(__xludf.DUMMYFUNCTION("""COMPUTED_VALUE"""),"KONEKTOR/JUMPER")</f>
        <v>KONEKTOR/JUMPER</v>
      </c>
      <c r="Q598" s="4">
        <f>IFERROR(__xludf.DUMMYFUNCTION("""COMPUTED_VALUE"""),20.0)</f>
        <v>20</v>
      </c>
      <c r="R598" s="4">
        <f>IFERROR(__xludf.DUMMYFUNCTION("""COMPUTED_VALUE"""),20.8)</f>
        <v>20.8</v>
      </c>
      <c r="S598" s="4">
        <f>IFERROR(__xludf.DUMMYFUNCTION("""COMPUTED_VALUE"""),20.3)</f>
        <v>20.3</v>
      </c>
      <c r="T598" s="4"/>
      <c r="U598" s="4" t="str">
        <f>IFERROR(__xludf.DUMMYFUNCTION("""COMPUTED_VALUE"""),"BAIK")</f>
        <v>BAIK</v>
      </c>
      <c r="V598" s="4" t="str">
        <f>IFERROR(__xludf.DUMMYFUNCTION("""COMPUTED_VALUE"""),"Tidak Ada")</f>
        <v>Tidak Ada</v>
      </c>
      <c r="W598" s="4"/>
      <c r="X598" s="4"/>
      <c r="Y598" s="4"/>
      <c r="Z598" s="4"/>
      <c r="AA598" s="4"/>
      <c r="AB598" s="4"/>
      <c r="AC598" s="4" t="str">
        <f>IFERROR(__xludf.DUMMYFUNCTION("""COMPUTED_VALUE"""),"INSPEKSI SUTM - T2_Images/f0844ec9.FOTO.154757.jpg")</f>
        <v>INSPEKSI SUTM - T2_Images/f0844ec9.FOTO.154757.jpg</v>
      </c>
      <c r="AD598" s="4"/>
      <c r="AE598" s="4"/>
      <c r="AF598" s="4" t="str">
        <f>IFERROR(__xludf.DUMMYFUNCTION("""COMPUTED_VALUE"""),"BELUM")</f>
        <v>BELUM</v>
      </c>
      <c r="AG598" s="6">
        <f>IFERROR(__xludf.DUMMYFUNCTION("""COMPUTED_VALUE"""),46081.0)</f>
        <v>46081</v>
      </c>
      <c r="AH598" s="4"/>
      <c r="AI598" s="4"/>
    </row>
    <row r="599" ht="15.75" customHeight="1">
      <c r="A599" s="4" t="str">
        <f>IFERROR(__xludf.DUMMYFUNCTION("""COMPUTED_VALUE"""),"6c8b649a")</f>
        <v>6c8b649a</v>
      </c>
      <c r="B599" s="5">
        <f>IFERROR(__xludf.DUMMYFUNCTION("""COMPUTED_VALUE"""),46081.95019675926)</f>
        <v>46081.9502</v>
      </c>
      <c r="C599" s="4" t="str">
        <f>IFERROR(__xludf.DUMMYFUNCTION("""COMPUTED_VALUE"""),"-6.900823, 107.697660")</f>
        <v>-6.900823, 107.697660</v>
      </c>
      <c r="D599" s="4" t="str">
        <f>IFERROR(__xludf.DUMMYFUNCTION("""COMPUTED_VALUE"""),"Heri chandra")</f>
        <v>Heri chandra</v>
      </c>
      <c r="E599" s="4" t="str">
        <f>IFERROR(__xludf.DUMMYFUNCTION("""COMPUTED_VALUE"""),"BANDUNG")</f>
        <v>BANDUNG</v>
      </c>
      <c r="F599" s="4" t="str">
        <f>IFERROR(__xludf.DUMMYFUNCTION("""COMPUTED_VALUE"""),"UJUNGBERUNG")</f>
        <v>UJUNGBERUNG</v>
      </c>
      <c r="G599" s="4" t="str">
        <f>IFERROR(__xludf.DUMMYFUNCTION("""COMPUTED_VALUE"""),"UJUNGBERUNG")</f>
        <v>UJUNGBERUNG</v>
      </c>
      <c r="H599" s="4" t="str">
        <f>IFERROR(__xludf.DUMMYFUNCTION("""COMPUTED_VALUE"""),"UZO")</f>
        <v>UZO</v>
      </c>
      <c r="I599" s="4" t="str">
        <f>IFERROR(__xludf.DUMMYFUNCTION("""COMPUTED_VALUE"""),"LBS PKN - UJUNG")</f>
        <v>LBS PKN - UJUNG</v>
      </c>
      <c r="J599" s="4" t="str">
        <f>IFERROR(__xludf.DUMMYFUNCTION("""COMPUTED_VALUE"""),"ZONA 2")</f>
        <v>ZONA 2</v>
      </c>
      <c r="K599" s="4" t="str">
        <f>IFERROR(__xludf.DUMMYFUNCTION("""COMPUTED_VALUE"""),"076L01")</f>
        <v>076L01</v>
      </c>
      <c r="L599" s="4" t="str">
        <f>IFERROR(__xludf.DUMMYFUNCTION("""COMPUTED_VALUE"""),"TM - 1B/H (Tumpu)")</f>
        <v>TM - 1B/H (Tumpu)</v>
      </c>
      <c r="M599" s="4" t="str">
        <f>IFERROR(__xludf.DUMMYFUNCTION("""COMPUTED_VALUE"""),"Tidak Ada")</f>
        <v>Tidak Ada</v>
      </c>
      <c r="N599" s="4"/>
      <c r="O599" s="4" t="str">
        <f>IFERROR(__xludf.DUMMYFUNCTION("""COMPUTED_VALUE"""),"PEMBANDING SEJENIS")</f>
        <v>PEMBANDING SEJENIS</v>
      </c>
      <c r="P599" s="4" t="str">
        <f>IFERROR(__xludf.DUMMYFUNCTION("""COMPUTED_VALUE"""),"ARRESTER")</f>
        <v>ARRESTER</v>
      </c>
      <c r="Q599" s="4">
        <f>IFERROR(__xludf.DUMMYFUNCTION("""COMPUTED_VALUE"""),22.1)</f>
        <v>22.1</v>
      </c>
      <c r="R599" s="4">
        <f>IFERROR(__xludf.DUMMYFUNCTION("""COMPUTED_VALUE"""),22.2)</f>
        <v>22.2</v>
      </c>
      <c r="S599" s="4">
        <f>IFERROR(__xludf.DUMMYFUNCTION("""COMPUTED_VALUE"""),21.6)</f>
        <v>21.6</v>
      </c>
      <c r="T599" s="4"/>
      <c r="U599" s="4" t="str">
        <f>IFERROR(__xludf.DUMMYFUNCTION("""COMPUTED_VALUE"""),"BAIK")</f>
        <v>BAIK</v>
      </c>
      <c r="V599" s="4" t="str">
        <f>IFERROR(__xludf.DUMMYFUNCTION("""COMPUTED_VALUE"""),"Tidak Ada")</f>
        <v>Tidak Ada</v>
      </c>
      <c r="W599" s="4"/>
      <c r="X599" s="4"/>
      <c r="Y599" s="4"/>
      <c r="Z599" s="4"/>
      <c r="AA599" s="4"/>
      <c r="AB599" s="4"/>
      <c r="AC599" s="4" t="str">
        <f>IFERROR(__xludf.DUMMYFUNCTION("""COMPUTED_VALUE"""),"INSPEKSI SUTM - T2_Images/6c8b649a.FOTO.154901.jpg")</f>
        <v>INSPEKSI SUTM - T2_Images/6c8b649a.FOTO.154901.jpg</v>
      </c>
      <c r="AD599" s="4"/>
      <c r="AE599" s="4"/>
      <c r="AF599" s="4" t="str">
        <f>IFERROR(__xludf.DUMMYFUNCTION("""COMPUTED_VALUE"""),"BELUM")</f>
        <v>BELUM</v>
      </c>
      <c r="AG599" s="6">
        <f>IFERROR(__xludf.DUMMYFUNCTION("""COMPUTED_VALUE"""),46081.0)</f>
        <v>46081</v>
      </c>
      <c r="AH599" s="4"/>
      <c r="AI599" s="4"/>
    </row>
    <row r="600" ht="15.75" customHeight="1">
      <c r="A600" s="4" t="str">
        <f>IFERROR(__xludf.DUMMYFUNCTION("""COMPUTED_VALUE"""),"fac4d88a")</f>
        <v>fac4d88a</v>
      </c>
      <c r="B600" s="5">
        <f>IFERROR(__xludf.DUMMYFUNCTION("""COMPUTED_VALUE"""),46081.95101851852)</f>
        <v>46081.95102</v>
      </c>
      <c r="C600" s="4" t="str">
        <f>IFERROR(__xludf.DUMMYFUNCTION("""COMPUTED_VALUE"""),"-6.900200, 107.697601")</f>
        <v>-6.900200, 107.697601</v>
      </c>
      <c r="D600" s="4" t="str">
        <f>IFERROR(__xludf.DUMMYFUNCTION("""COMPUTED_VALUE"""),"Heri chabdra")</f>
        <v>Heri chabdra</v>
      </c>
      <c r="E600" s="4" t="str">
        <f>IFERROR(__xludf.DUMMYFUNCTION("""COMPUTED_VALUE"""),"BANDUNG")</f>
        <v>BANDUNG</v>
      </c>
      <c r="F600" s="4" t="str">
        <f>IFERROR(__xludf.DUMMYFUNCTION("""COMPUTED_VALUE"""),"UJUNGBERUNG")</f>
        <v>UJUNGBERUNG</v>
      </c>
      <c r="G600" s="4" t="str">
        <f>IFERROR(__xludf.DUMMYFUNCTION("""COMPUTED_VALUE"""),"UJUNGBERUNG")</f>
        <v>UJUNGBERUNG</v>
      </c>
      <c r="H600" s="4" t="str">
        <f>IFERROR(__xludf.DUMMYFUNCTION("""COMPUTED_VALUE"""),"UZO")</f>
        <v>UZO</v>
      </c>
      <c r="I600" s="4" t="str">
        <f>IFERROR(__xludf.DUMMYFUNCTION("""COMPUTED_VALUE"""),"LBS PKN - UJUNG")</f>
        <v>LBS PKN - UJUNG</v>
      </c>
      <c r="J600" s="4" t="str">
        <f>IFERROR(__xludf.DUMMYFUNCTION("""COMPUTED_VALUE"""),"ZONA 2")</f>
        <v>ZONA 2</v>
      </c>
      <c r="K600" s="4" t="str">
        <f>IFERROR(__xludf.DUMMYFUNCTION("""COMPUTED_VALUE"""),"076L04")</f>
        <v>076L04</v>
      </c>
      <c r="L600" s="4" t="str">
        <f>IFERROR(__xludf.DUMMYFUNCTION("""COMPUTED_VALUE"""),"TM - 8B/H (Percabangan)")</f>
        <v>TM - 8B/H (Percabangan)</v>
      </c>
      <c r="M600" s="4" t="str">
        <f>IFERROR(__xludf.DUMMYFUNCTION("""COMPUTED_VALUE"""),"Tidak Ada")</f>
        <v>Tidak Ada</v>
      </c>
      <c r="N600" s="4"/>
      <c r="O600" s="4" t="str">
        <f>IFERROR(__xludf.DUMMYFUNCTION("""COMPUTED_VALUE"""),"PEMBANDING SEJENIS")</f>
        <v>PEMBANDING SEJENIS</v>
      </c>
      <c r="P600" s="4" t="str">
        <f>IFERROR(__xludf.DUMMYFUNCTION("""COMPUTED_VALUE"""),"KONEKTOR/JUMPER")</f>
        <v>KONEKTOR/JUMPER</v>
      </c>
      <c r="Q600" s="4">
        <f>IFERROR(__xludf.DUMMYFUNCTION("""COMPUTED_VALUE"""),19.9)</f>
        <v>19.9</v>
      </c>
      <c r="R600" s="4">
        <f>IFERROR(__xludf.DUMMYFUNCTION("""COMPUTED_VALUE"""),19.9)</f>
        <v>19.9</v>
      </c>
      <c r="S600" s="4">
        <f>IFERROR(__xludf.DUMMYFUNCTION("""COMPUTED_VALUE"""),21.6)</f>
        <v>21.6</v>
      </c>
      <c r="T600" s="4"/>
      <c r="U600" s="4" t="str">
        <f>IFERROR(__xludf.DUMMYFUNCTION("""COMPUTED_VALUE"""),"BAIK")</f>
        <v>BAIK</v>
      </c>
      <c r="V600" s="4" t="str">
        <f>IFERROR(__xludf.DUMMYFUNCTION("""COMPUTED_VALUE"""),"Tidak Ada")</f>
        <v>Tidak Ada</v>
      </c>
      <c r="W600" s="4"/>
      <c r="X600" s="4"/>
      <c r="Y600" s="4"/>
      <c r="Z600" s="4"/>
      <c r="AA600" s="4"/>
      <c r="AB600" s="4"/>
      <c r="AC600" s="4" t="str">
        <f>IFERROR(__xludf.DUMMYFUNCTION("""COMPUTED_VALUE"""),"INSPEKSI SUTM - T2_Images/fac4d88a.FOTO.155020.jpg")</f>
        <v>INSPEKSI SUTM - T2_Images/fac4d88a.FOTO.155020.jpg</v>
      </c>
      <c r="AD600" s="4"/>
      <c r="AE600" s="4"/>
      <c r="AF600" s="4" t="str">
        <f>IFERROR(__xludf.DUMMYFUNCTION("""COMPUTED_VALUE"""),"BELUM")</f>
        <v>BELUM</v>
      </c>
      <c r="AG600" s="6">
        <f>IFERROR(__xludf.DUMMYFUNCTION("""COMPUTED_VALUE"""),46081.0)</f>
        <v>46081</v>
      </c>
      <c r="AH600" s="4"/>
      <c r="AI600" s="4"/>
    </row>
    <row r="601" ht="15.75" customHeight="1">
      <c r="A601" s="4" t="str">
        <f>IFERROR(__xludf.DUMMYFUNCTION("""COMPUTED_VALUE"""),"836f9cef")</f>
        <v>836f9cef</v>
      </c>
      <c r="B601" s="5">
        <f>IFERROR(__xludf.DUMMYFUNCTION("""COMPUTED_VALUE"""),46081.952256944445)</f>
        <v>46081.95226</v>
      </c>
      <c r="C601" s="4" t="str">
        <f>IFERROR(__xludf.DUMMYFUNCTION("""COMPUTED_VALUE"""),"-6.900137, 107.697256")</f>
        <v>-6.900137, 107.697256</v>
      </c>
      <c r="D601" s="4" t="str">
        <f>IFERROR(__xludf.DUMMYFUNCTION("""COMPUTED_VALUE"""),"Herichandra")</f>
        <v>Herichandra</v>
      </c>
      <c r="E601" s="4" t="str">
        <f>IFERROR(__xludf.DUMMYFUNCTION("""COMPUTED_VALUE"""),"BANDUNG")</f>
        <v>BANDUNG</v>
      </c>
      <c r="F601" s="4" t="str">
        <f>IFERROR(__xludf.DUMMYFUNCTION("""COMPUTED_VALUE"""),"UJUNGBERUNG")</f>
        <v>UJUNGBERUNG</v>
      </c>
      <c r="G601" s="4" t="str">
        <f>IFERROR(__xludf.DUMMYFUNCTION("""COMPUTED_VALUE"""),"UJUNGBERUNG")</f>
        <v>UJUNGBERUNG</v>
      </c>
      <c r="H601" s="4" t="str">
        <f>IFERROR(__xludf.DUMMYFUNCTION("""COMPUTED_VALUE"""),"UZO")</f>
        <v>UZO</v>
      </c>
      <c r="I601" s="4" t="str">
        <f>IFERROR(__xludf.DUMMYFUNCTION("""COMPUTED_VALUE"""),"LBS PKN - UJUNG")</f>
        <v>LBS PKN - UJUNG</v>
      </c>
      <c r="J601" s="4" t="str">
        <f>IFERROR(__xludf.DUMMYFUNCTION("""COMPUTED_VALUE"""),"ZONA 2")</f>
        <v>ZONA 2</v>
      </c>
      <c r="K601" s="4" t="str">
        <f>IFERROR(__xludf.DUMMYFUNCTION("""COMPUTED_VALUE"""),"076L05")</f>
        <v>076L05</v>
      </c>
      <c r="L601" s="4" t="str">
        <f>IFERROR(__xludf.DUMMYFUNCTION("""COMPUTED_VALUE"""),"TM - 7B/H (Afspan 90 Derajat)")</f>
        <v>TM - 7B/H (Afspan 90 Derajat)</v>
      </c>
      <c r="M601" s="4" t="str">
        <f>IFERROR(__xludf.DUMMYFUNCTION("""COMPUTED_VALUE"""),"Tidak Ada")</f>
        <v>Tidak Ada</v>
      </c>
      <c r="N601" s="4"/>
      <c r="O601" s="4" t="str">
        <f>IFERROR(__xludf.DUMMYFUNCTION("""COMPUTED_VALUE"""),"PEMBANDING SEJENIS")</f>
        <v>PEMBANDING SEJENIS</v>
      </c>
      <c r="P601" s="4" t="str">
        <f>IFERROR(__xludf.DUMMYFUNCTION("""COMPUTED_VALUE"""),"KONEKTOR/JUMPER")</f>
        <v>KONEKTOR/JUMPER</v>
      </c>
      <c r="Q601" s="4">
        <f>IFERROR(__xludf.DUMMYFUNCTION("""COMPUTED_VALUE"""),20.5)</f>
        <v>20.5</v>
      </c>
      <c r="R601" s="4">
        <f>IFERROR(__xludf.DUMMYFUNCTION("""COMPUTED_VALUE"""),20.5)</f>
        <v>20.5</v>
      </c>
      <c r="S601" s="4">
        <f>IFERROR(__xludf.DUMMYFUNCTION("""COMPUTED_VALUE"""),22.2)</f>
        <v>22.2</v>
      </c>
      <c r="T601" s="4"/>
      <c r="U601" s="4" t="str">
        <f>IFERROR(__xludf.DUMMYFUNCTION("""COMPUTED_VALUE"""),"BAIK")</f>
        <v>BAIK</v>
      </c>
      <c r="V601" s="4" t="str">
        <f>IFERROR(__xludf.DUMMYFUNCTION("""COMPUTED_VALUE"""),"Tidak Ada")</f>
        <v>Tidak Ada</v>
      </c>
      <c r="W601" s="4"/>
      <c r="X601" s="4"/>
      <c r="Y601" s="4"/>
      <c r="Z601" s="4"/>
      <c r="AA601" s="4"/>
      <c r="AB601" s="4"/>
      <c r="AC601" s="4" t="str">
        <f>IFERROR(__xludf.DUMMYFUNCTION("""COMPUTED_VALUE"""),"INSPEKSI SUTM - T2_Images/836f9cef.FOTO.155206.jpg")</f>
        <v>INSPEKSI SUTM - T2_Images/836f9cef.FOTO.155206.jpg</v>
      </c>
      <c r="AD601" s="4"/>
      <c r="AE601" s="4"/>
      <c r="AF601" s="4" t="str">
        <f>IFERROR(__xludf.DUMMYFUNCTION("""COMPUTED_VALUE"""),"BELUM")</f>
        <v>BELUM</v>
      </c>
      <c r="AG601" s="6">
        <f>IFERROR(__xludf.DUMMYFUNCTION("""COMPUTED_VALUE"""),46081.0)</f>
        <v>46081</v>
      </c>
      <c r="AH601" s="4"/>
      <c r="AI601" s="4"/>
    </row>
    <row r="602" ht="15.75" customHeight="1">
      <c r="A602" s="4" t="str">
        <f>IFERROR(__xludf.DUMMYFUNCTION("""COMPUTED_VALUE"""),"a3d0e753")</f>
        <v>a3d0e753</v>
      </c>
      <c r="B602" s="5">
        <f>IFERROR(__xludf.DUMMYFUNCTION("""COMPUTED_VALUE"""),46081.95303240741)</f>
        <v>46081.95303</v>
      </c>
      <c r="C602" s="4" t="str">
        <f>IFERROR(__xludf.DUMMYFUNCTION("""COMPUTED_VALUE"""),"-6.899865, 107.697643")</f>
        <v>-6.899865, 107.697643</v>
      </c>
      <c r="D602" s="4" t="str">
        <f>IFERROR(__xludf.DUMMYFUNCTION("""COMPUTED_VALUE"""),"Heri chandra")</f>
        <v>Heri chandra</v>
      </c>
      <c r="E602" s="4" t="str">
        <f>IFERROR(__xludf.DUMMYFUNCTION("""COMPUTED_VALUE"""),"BANDUNG")</f>
        <v>BANDUNG</v>
      </c>
      <c r="F602" s="4" t="str">
        <f>IFERROR(__xludf.DUMMYFUNCTION("""COMPUTED_VALUE"""),"UJUNGBERUNG")</f>
        <v>UJUNGBERUNG</v>
      </c>
      <c r="G602" s="4" t="str">
        <f>IFERROR(__xludf.DUMMYFUNCTION("""COMPUTED_VALUE"""),"UJUNGBERUNG")</f>
        <v>UJUNGBERUNG</v>
      </c>
      <c r="H602" s="4" t="str">
        <f>IFERROR(__xludf.DUMMYFUNCTION("""COMPUTED_VALUE"""),"UZO")</f>
        <v>UZO</v>
      </c>
      <c r="I602" s="4" t="str">
        <f>IFERROR(__xludf.DUMMYFUNCTION("""COMPUTED_VALUE"""),"LBS PKN - UJUNG")</f>
        <v>LBS PKN - UJUNG</v>
      </c>
      <c r="J602" s="4" t="str">
        <f>IFERROR(__xludf.DUMMYFUNCTION("""COMPUTED_VALUE"""),"ZONA 2")</f>
        <v>ZONA 2</v>
      </c>
      <c r="K602" s="4" t="str">
        <f>IFERROR(__xludf.DUMMYFUNCTION("""COMPUTED_VALUE"""),"076L07")</f>
        <v>076L07</v>
      </c>
      <c r="L602" s="4" t="str">
        <f>IFERROR(__xludf.DUMMYFUNCTION("""COMPUTED_VALUE"""),"TM - 7B/H (Afspan 90 Derajat)")</f>
        <v>TM - 7B/H (Afspan 90 Derajat)</v>
      </c>
      <c r="M602" s="4" t="str">
        <f>IFERROR(__xludf.DUMMYFUNCTION("""COMPUTED_VALUE"""),"Tidak Ada")</f>
        <v>Tidak Ada</v>
      </c>
      <c r="N602" s="4"/>
      <c r="O602" s="4" t="str">
        <f>IFERROR(__xludf.DUMMYFUNCTION("""COMPUTED_VALUE"""),"PEMBANDING SEJENIS")</f>
        <v>PEMBANDING SEJENIS</v>
      </c>
      <c r="P602" s="4" t="str">
        <f>IFERROR(__xludf.DUMMYFUNCTION("""COMPUTED_VALUE"""),"KONEKTOR/JUMPER")</f>
        <v>KONEKTOR/JUMPER</v>
      </c>
      <c r="Q602" s="4">
        <f>IFERROR(__xludf.DUMMYFUNCTION("""COMPUTED_VALUE"""),20.7)</f>
        <v>20.7</v>
      </c>
      <c r="R602" s="4">
        <f>IFERROR(__xludf.DUMMYFUNCTION("""COMPUTED_VALUE"""),20.8)</f>
        <v>20.8</v>
      </c>
      <c r="S602" s="4">
        <f>IFERROR(__xludf.DUMMYFUNCTION("""COMPUTED_VALUE"""),18.5)</f>
        <v>18.5</v>
      </c>
      <c r="T602" s="4"/>
      <c r="U602" s="4" t="str">
        <f>IFERROR(__xludf.DUMMYFUNCTION("""COMPUTED_VALUE"""),"BAIK")</f>
        <v>BAIK</v>
      </c>
      <c r="V602" s="4" t="str">
        <f>IFERROR(__xludf.DUMMYFUNCTION("""COMPUTED_VALUE"""),"Tidak Ada")</f>
        <v>Tidak Ada</v>
      </c>
      <c r="W602" s="4"/>
      <c r="X602" s="4"/>
      <c r="Y602" s="4"/>
      <c r="Z602" s="4"/>
      <c r="AA602" s="4"/>
      <c r="AB602" s="4"/>
      <c r="AC602" s="4" t="str">
        <f>IFERROR(__xludf.DUMMYFUNCTION("""COMPUTED_VALUE"""),"INSPEKSI SUTM - T2_Images/a3d0e753.FOTO.155324.jpg")</f>
        <v>INSPEKSI SUTM - T2_Images/a3d0e753.FOTO.155324.jpg</v>
      </c>
      <c r="AD602" s="4"/>
      <c r="AE602" s="4"/>
      <c r="AF602" s="4" t="str">
        <f>IFERROR(__xludf.DUMMYFUNCTION("""COMPUTED_VALUE"""),"BELUM")</f>
        <v>BELUM</v>
      </c>
      <c r="AG602" s="6">
        <f>IFERROR(__xludf.DUMMYFUNCTION("""COMPUTED_VALUE"""),46081.0)</f>
        <v>46081</v>
      </c>
      <c r="AH602" s="4"/>
      <c r="AI602" s="4"/>
    </row>
    <row r="603" ht="15.75" customHeight="1">
      <c r="A603" s="4" t="str">
        <f>IFERROR(__xludf.DUMMYFUNCTION("""COMPUTED_VALUE"""),"bb77d27d")</f>
        <v>bb77d27d</v>
      </c>
      <c r="B603" s="5">
        <f>IFERROR(__xludf.DUMMYFUNCTION("""COMPUTED_VALUE"""),46081.95386574074)</f>
        <v>46081.95387</v>
      </c>
      <c r="C603" s="4" t="str">
        <f>IFERROR(__xludf.DUMMYFUNCTION("""COMPUTED_VALUE"""),"-6.898735, 107.695931")</f>
        <v>-6.898735, 107.695931</v>
      </c>
      <c r="D603" s="4" t="str">
        <f>IFERROR(__xludf.DUMMYFUNCTION("""COMPUTED_VALUE"""),"Heri chandra")</f>
        <v>Heri chandra</v>
      </c>
      <c r="E603" s="4" t="str">
        <f>IFERROR(__xludf.DUMMYFUNCTION("""COMPUTED_VALUE"""),"BANDUNG")</f>
        <v>BANDUNG</v>
      </c>
      <c r="F603" s="4" t="str">
        <f>IFERROR(__xludf.DUMMYFUNCTION("""COMPUTED_VALUE"""),"UJUNGBERUNG")</f>
        <v>UJUNGBERUNG</v>
      </c>
      <c r="G603" s="4" t="str">
        <f>IFERROR(__xludf.DUMMYFUNCTION("""COMPUTED_VALUE"""),"UJUNGBERUNG")</f>
        <v>UJUNGBERUNG</v>
      </c>
      <c r="H603" s="4" t="str">
        <f>IFERROR(__xludf.DUMMYFUNCTION("""COMPUTED_VALUE"""),"UZO")</f>
        <v>UZO</v>
      </c>
      <c r="I603" s="4" t="str">
        <f>IFERROR(__xludf.DUMMYFUNCTION("""COMPUTED_VALUE"""),"LBS PKN - UJUNG")</f>
        <v>LBS PKN - UJUNG</v>
      </c>
      <c r="J603" s="4" t="str">
        <f>IFERROR(__xludf.DUMMYFUNCTION("""COMPUTED_VALUE"""),"ZONA 2")</f>
        <v>ZONA 2</v>
      </c>
      <c r="K603" s="4" t="str">
        <f>IFERROR(__xludf.DUMMYFUNCTION("""COMPUTED_VALUE"""),"076L013")</f>
        <v>076L013</v>
      </c>
      <c r="L603" s="4" t="str">
        <f>IFERROR(__xludf.DUMMYFUNCTION("""COMPUTED_VALUE"""),"TM - 7B/H (Afspan 90 Derajat)")</f>
        <v>TM - 7B/H (Afspan 90 Derajat)</v>
      </c>
      <c r="M603" s="4" t="str">
        <f>IFERROR(__xludf.DUMMYFUNCTION("""COMPUTED_VALUE"""),"Tidak Ada")</f>
        <v>Tidak Ada</v>
      </c>
      <c r="N603" s="4"/>
      <c r="O603" s="4" t="str">
        <f>IFERROR(__xludf.DUMMYFUNCTION("""COMPUTED_VALUE"""),"PEMBANDING SEJENIS")</f>
        <v>PEMBANDING SEJENIS</v>
      </c>
      <c r="P603" s="4" t="str">
        <f>IFERROR(__xludf.DUMMYFUNCTION("""COMPUTED_VALUE"""),"KONEKTOR/JUMPER")</f>
        <v>KONEKTOR/JUMPER</v>
      </c>
      <c r="Q603" s="4">
        <f>IFERROR(__xludf.DUMMYFUNCTION("""COMPUTED_VALUE"""),22.1)</f>
        <v>22.1</v>
      </c>
      <c r="R603" s="4">
        <f>IFERROR(__xludf.DUMMYFUNCTION("""COMPUTED_VALUE"""),20.9)</f>
        <v>20.9</v>
      </c>
      <c r="S603" s="4">
        <f>IFERROR(__xludf.DUMMYFUNCTION("""COMPUTED_VALUE"""),20.7)</f>
        <v>20.7</v>
      </c>
      <c r="T603" s="4"/>
      <c r="U603" s="4" t="str">
        <f>IFERROR(__xludf.DUMMYFUNCTION("""COMPUTED_VALUE"""),"BAIK")</f>
        <v>BAIK</v>
      </c>
      <c r="V603" s="4" t="str">
        <f>IFERROR(__xludf.DUMMYFUNCTION("""COMPUTED_VALUE"""),"Tidak Ada")</f>
        <v>Tidak Ada</v>
      </c>
      <c r="W603" s="4"/>
      <c r="X603" s="4"/>
      <c r="Y603" s="4"/>
      <c r="Z603" s="4"/>
      <c r="AA603" s="4"/>
      <c r="AB603" s="4"/>
      <c r="AC603" s="4" t="str">
        <f>IFERROR(__xludf.DUMMYFUNCTION("""COMPUTED_VALUE"""),"INSPEKSI SUTM - T2_Images/bb77d27d.FOTO.155429.jpg")</f>
        <v>INSPEKSI SUTM - T2_Images/bb77d27d.FOTO.155429.jpg</v>
      </c>
      <c r="AD603" s="4"/>
      <c r="AE603" s="4"/>
      <c r="AF603" s="4" t="str">
        <f>IFERROR(__xludf.DUMMYFUNCTION("""COMPUTED_VALUE"""),"BELUM")</f>
        <v>BELUM</v>
      </c>
      <c r="AG603" s="6">
        <f>IFERROR(__xludf.DUMMYFUNCTION("""COMPUTED_VALUE"""),46081.0)</f>
        <v>46081</v>
      </c>
      <c r="AH603" s="4"/>
      <c r="AI603" s="4"/>
    </row>
    <row r="604" ht="15.75" customHeight="1">
      <c r="A604" s="4" t="str">
        <f>IFERROR(__xludf.DUMMYFUNCTION("""COMPUTED_VALUE"""),"771cf979")</f>
        <v>771cf979</v>
      </c>
      <c r="B604" s="5">
        <f>IFERROR(__xludf.DUMMYFUNCTION("""COMPUTED_VALUE"""),46081.95549768519)</f>
        <v>46081.9555</v>
      </c>
      <c r="C604" s="4" t="str">
        <f>IFERROR(__xludf.DUMMYFUNCTION("""COMPUTED_VALUE"""),"-6.897732, 107.695767")</f>
        <v>-6.897732, 107.695767</v>
      </c>
      <c r="D604" s="4" t="str">
        <f>IFERROR(__xludf.DUMMYFUNCTION("""COMPUTED_VALUE"""),"Heri chandra")</f>
        <v>Heri chandra</v>
      </c>
      <c r="E604" s="4" t="str">
        <f>IFERROR(__xludf.DUMMYFUNCTION("""COMPUTED_VALUE"""),"BANDUNG")</f>
        <v>BANDUNG</v>
      </c>
      <c r="F604" s="4" t="str">
        <f>IFERROR(__xludf.DUMMYFUNCTION("""COMPUTED_VALUE"""),"UJUNGBERUNG")</f>
        <v>UJUNGBERUNG</v>
      </c>
      <c r="G604" s="4" t="str">
        <f>IFERROR(__xludf.DUMMYFUNCTION("""COMPUTED_VALUE"""),"UJUNGBERUNG")</f>
        <v>UJUNGBERUNG</v>
      </c>
      <c r="H604" s="4" t="str">
        <f>IFERROR(__xludf.DUMMYFUNCTION("""COMPUTED_VALUE"""),"UZO")</f>
        <v>UZO</v>
      </c>
      <c r="I604" s="4" t="str">
        <f>IFERROR(__xludf.DUMMYFUNCTION("""COMPUTED_VALUE"""),"LBS PKN - UJUNG")</f>
        <v>LBS PKN - UJUNG</v>
      </c>
      <c r="J604" s="4" t="str">
        <f>IFERROR(__xludf.DUMMYFUNCTION("""COMPUTED_VALUE"""),"ZONA 2")</f>
        <v>ZONA 2</v>
      </c>
      <c r="K604" s="4" t="str">
        <f>IFERROR(__xludf.DUMMYFUNCTION("""COMPUTED_VALUE"""),"076L017")</f>
        <v>076L017</v>
      </c>
      <c r="L604" s="4" t="str">
        <f>IFERROR(__xludf.DUMMYFUNCTION("""COMPUTED_VALUE"""),"TM - 8B/H (Percabangan)")</f>
        <v>TM - 8B/H (Percabangan)</v>
      </c>
      <c r="M604" s="4" t="str">
        <f>IFERROR(__xludf.DUMMYFUNCTION("""COMPUTED_VALUE"""),"Tidak Ada")</f>
        <v>Tidak Ada</v>
      </c>
      <c r="N604" s="4"/>
      <c r="O604" s="4" t="str">
        <f>IFERROR(__xludf.DUMMYFUNCTION("""COMPUTED_VALUE"""),"PEMBANDING SEJENIS")</f>
        <v>PEMBANDING SEJENIS</v>
      </c>
      <c r="P604" s="4" t="str">
        <f>IFERROR(__xludf.DUMMYFUNCTION("""COMPUTED_VALUE"""),"KONEKTOR/JUMPER")</f>
        <v>KONEKTOR/JUMPER</v>
      </c>
      <c r="Q604" s="4">
        <f>IFERROR(__xludf.DUMMYFUNCTION("""COMPUTED_VALUE"""),21.4)</f>
        <v>21.4</v>
      </c>
      <c r="R604" s="4">
        <f>IFERROR(__xludf.DUMMYFUNCTION("""COMPUTED_VALUE"""),19.8)</f>
        <v>19.8</v>
      </c>
      <c r="S604" s="4">
        <f>IFERROR(__xludf.DUMMYFUNCTION("""COMPUTED_VALUE"""),21.2)</f>
        <v>21.2</v>
      </c>
      <c r="T604" s="4"/>
      <c r="U604" s="4" t="str">
        <f>IFERROR(__xludf.DUMMYFUNCTION("""COMPUTED_VALUE"""),"BAIK")</f>
        <v>BAIK</v>
      </c>
      <c r="V604" s="4" t="str">
        <f>IFERROR(__xludf.DUMMYFUNCTION("""COMPUTED_VALUE"""),"Tidak Ada")</f>
        <v>Tidak Ada</v>
      </c>
      <c r="W604" s="4"/>
      <c r="X604" s="4"/>
      <c r="Y604" s="4"/>
      <c r="Z604" s="4"/>
      <c r="AA604" s="4"/>
      <c r="AB604" s="4"/>
      <c r="AC604" s="4" t="str">
        <f>IFERROR(__xludf.DUMMYFUNCTION("""COMPUTED_VALUE"""),"INSPEKSI SUTM - T2_Images/771cf979.FOTO.155643.jpg")</f>
        <v>INSPEKSI SUTM - T2_Images/771cf979.FOTO.155643.jpg</v>
      </c>
      <c r="AD604" s="4"/>
      <c r="AE604" s="4"/>
      <c r="AF604" s="4" t="str">
        <f>IFERROR(__xludf.DUMMYFUNCTION("""COMPUTED_VALUE"""),"BELUM")</f>
        <v>BELUM</v>
      </c>
      <c r="AG604" s="6">
        <f>IFERROR(__xludf.DUMMYFUNCTION("""COMPUTED_VALUE"""),46081.0)</f>
        <v>46081</v>
      </c>
      <c r="AH604" s="4"/>
      <c r="AI604" s="4"/>
    </row>
    <row r="605" ht="15.75" customHeight="1">
      <c r="A605" s="4" t="str">
        <f>IFERROR(__xludf.DUMMYFUNCTION("""COMPUTED_VALUE"""),"ae9a4606")</f>
        <v>ae9a4606</v>
      </c>
      <c r="B605" s="5">
        <f>IFERROR(__xludf.DUMMYFUNCTION("""COMPUTED_VALUE"""),46081.95732638889)</f>
        <v>46081.95733</v>
      </c>
      <c r="C605" s="4" t="str">
        <f>IFERROR(__xludf.DUMMYFUNCTION("""COMPUTED_VALUE"""),"-6.897789, 107.695481")</f>
        <v>-6.897789, 107.695481</v>
      </c>
      <c r="D605" s="4" t="str">
        <f>IFERROR(__xludf.DUMMYFUNCTION("""COMPUTED_VALUE"""),"Herj chandra")</f>
        <v>Herj chandra</v>
      </c>
      <c r="E605" s="4" t="str">
        <f>IFERROR(__xludf.DUMMYFUNCTION("""COMPUTED_VALUE"""),"BANDUNG")</f>
        <v>BANDUNG</v>
      </c>
      <c r="F605" s="4" t="str">
        <f>IFERROR(__xludf.DUMMYFUNCTION("""COMPUTED_VALUE"""),"UJUNGBERUNG")</f>
        <v>UJUNGBERUNG</v>
      </c>
      <c r="G605" s="4" t="str">
        <f>IFERROR(__xludf.DUMMYFUNCTION("""COMPUTED_VALUE"""),"UJUNGBERUNG")</f>
        <v>UJUNGBERUNG</v>
      </c>
      <c r="H605" s="4" t="str">
        <f>IFERROR(__xludf.DUMMYFUNCTION("""COMPUTED_VALUE"""),"UZO")</f>
        <v>UZO</v>
      </c>
      <c r="I605" s="4" t="str">
        <f>IFERROR(__xludf.DUMMYFUNCTION("""COMPUTED_VALUE"""),"LBS PKN - UJUNG")</f>
        <v>LBS PKN - UJUNG</v>
      </c>
      <c r="J605" s="4" t="str">
        <f>IFERROR(__xludf.DUMMYFUNCTION("""COMPUTED_VALUE"""),"ZONA 2")</f>
        <v>ZONA 2</v>
      </c>
      <c r="K605" s="4" t="str">
        <f>IFERROR(__xludf.DUMMYFUNCTION("""COMPUTED_VALUE"""),"076L017L01")</f>
        <v>076L017L01</v>
      </c>
      <c r="L605" s="4" t="str">
        <f>IFERROR(__xludf.DUMMYFUNCTION("""COMPUTED_VALUE"""),"TM - 7B/H (Afspan 90 Derajat)")</f>
        <v>TM - 7B/H (Afspan 90 Derajat)</v>
      </c>
      <c r="M605" s="4" t="str">
        <f>IFERROR(__xludf.DUMMYFUNCTION("""COMPUTED_VALUE"""),"Tidak Ada")</f>
        <v>Tidak Ada</v>
      </c>
      <c r="N605" s="4"/>
      <c r="O605" s="4" t="str">
        <f>IFERROR(__xludf.DUMMYFUNCTION("""COMPUTED_VALUE"""),"PEMBANDING SEJENIS")</f>
        <v>PEMBANDING SEJENIS</v>
      </c>
      <c r="P605" s="4" t="str">
        <f>IFERROR(__xludf.DUMMYFUNCTION("""COMPUTED_VALUE"""),"KONEKTOR/JUMPER")</f>
        <v>KONEKTOR/JUMPER</v>
      </c>
      <c r="Q605" s="4">
        <f>IFERROR(__xludf.DUMMYFUNCTION("""COMPUTED_VALUE"""),21.3)</f>
        <v>21.3</v>
      </c>
      <c r="R605" s="4">
        <f>IFERROR(__xludf.DUMMYFUNCTION("""COMPUTED_VALUE"""),21.5)</f>
        <v>21.5</v>
      </c>
      <c r="S605" s="4">
        <f>IFERROR(__xludf.DUMMYFUNCTION("""COMPUTED_VALUE"""),21.5)</f>
        <v>21.5</v>
      </c>
      <c r="T605" s="4"/>
      <c r="U605" s="4" t="str">
        <f>IFERROR(__xludf.DUMMYFUNCTION("""COMPUTED_VALUE"""),"BAIK")</f>
        <v>BAIK</v>
      </c>
      <c r="V605" s="4" t="str">
        <f>IFERROR(__xludf.DUMMYFUNCTION("""COMPUTED_VALUE"""),"Tidak Ada")</f>
        <v>Tidak Ada</v>
      </c>
      <c r="W605" s="4"/>
      <c r="X605" s="4"/>
      <c r="Y605" s="4"/>
      <c r="Z605" s="4"/>
      <c r="AA605" s="4"/>
      <c r="AB605" s="4"/>
      <c r="AC605" s="4" t="str">
        <f>IFERROR(__xludf.DUMMYFUNCTION("""COMPUTED_VALUE"""),"INSPEKSI SUTM - T2_Images/ae9a4606.FOTO.155945.jpg")</f>
        <v>INSPEKSI SUTM - T2_Images/ae9a4606.FOTO.155945.jpg</v>
      </c>
      <c r="AD605" s="4"/>
      <c r="AE605" s="4"/>
      <c r="AF605" s="4" t="str">
        <f>IFERROR(__xludf.DUMMYFUNCTION("""COMPUTED_VALUE"""),"BELUM")</f>
        <v>BELUM</v>
      </c>
      <c r="AG605" s="6">
        <f>IFERROR(__xludf.DUMMYFUNCTION("""COMPUTED_VALUE"""),46081.0)</f>
        <v>46081</v>
      </c>
      <c r="AH605" s="4"/>
      <c r="AI605" s="4"/>
    </row>
    <row r="606" ht="15.75" customHeight="1">
      <c r="A606" s="4" t="str">
        <f>IFERROR(__xludf.DUMMYFUNCTION("""COMPUTED_VALUE"""),"8792c658")</f>
        <v>8792c658</v>
      </c>
      <c r="B606" s="5">
        <f>IFERROR(__xludf.DUMMYFUNCTION("""COMPUTED_VALUE"""),46081.95835648148)</f>
        <v>46081.95836</v>
      </c>
      <c r="C606" s="4" t="str">
        <f>IFERROR(__xludf.DUMMYFUNCTION("""COMPUTED_VALUE"""),"-6.896893, 107.695867")</f>
        <v>-6.896893, 107.695867</v>
      </c>
      <c r="D606" s="4" t="str">
        <f>IFERROR(__xludf.DUMMYFUNCTION("""COMPUTED_VALUE"""),"Heri chandra")</f>
        <v>Heri chandra</v>
      </c>
      <c r="E606" s="4" t="str">
        <f>IFERROR(__xludf.DUMMYFUNCTION("""COMPUTED_VALUE"""),"BANDUNG")</f>
        <v>BANDUNG</v>
      </c>
      <c r="F606" s="4" t="str">
        <f>IFERROR(__xludf.DUMMYFUNCTION("""COMPUTED_VALUE"""),"UJUNGBERUNG")</f>
        <v>UJUNGBERUNG</v>
      </c>
      <c r="G606" s="4" t="str">
        <f>IFERROR(__xludf.DUMMYFUNCTION("""COMPUTED_VALUE"""),"UJUNGBERUNG")</f>
        <v>UJUNGBERUNG</v>
      </c>
      <c r="H606" s="4" t="str">
        <f>IFERROR(__xludf.DUMMYFUNCTION("""COMPUTED_VALUE"""),"UZO")</f>
        <v>UZO</v>
      </c>
      <c r="I606" s="4" t="str">
        <f>IFERROR(__xludf.DUMMYFUNCTION("""COMPUTED_VALUE"""),"LBS PKN - UJUNG")</f>
        <v>LBS PKN - UJUNG</v>
      </c>
      <c r="J606" s="4" t="str">
        <f>IFERROR(__xludf.DUMMYFUNCTION("""COMPUTED_VALUE"""),"ZONA 2")</f>
        <v>ZONA 2</v>
      </c>
      <c r="K606" s="4" t="str">
        <f>IFERROR(__xludf.DUMMYFUNCTION("""COMPUTED_VALUE"""),"076L020")</f>
        <v>076L020</v>
      </c>
      <c r="L606" s="4" t="str">
        <f>IFERROR(__xludf.DUMMYFUNCTION("""COMPUTED_VALUE"""),"TM - 7B/H (Afspan 90 Derajat)")</f>
        <v>TM - 7B/H (Afspan 90 Derajat)</v>
      </c>
      <c r="M606" s="4" t="str">
        <f>IFERROR(__xludf.DUMMYFUNCTION("""COMPUTED_VALUE"""),"Tidak Ada")</f>
        <v>Tidak Ada</v>
      </c>
      <c r="N606" s="4"/>
      <c r="O606" s="4" t="str">
        <f>IFERROR(__xludf.DUMMYFUNCTION("""COMPUTED_VALUE"""),"PEMBANDING SEJENIS")</f>
        <v>PEMBANDING SEJENIS</v>
      </c>
      <c r="P606" s="4" t="str">
        <f>IFERROR(__xludf.DUMMYFUNCTION("""COMPUTED_VALUE"""),"KONEKTOR/JUMPER")</f>
        <v>KONEKTOR/JUMPER</v>
      </c>
      <c r="Q606" s="4">
        <f>IFERROR(__xludf.DUMMYFUNCTION("""COMPUTED_VALUE"""),18.8)</f>
        <v>18.8</v>
      </c>
      <c r="R606" s="4">
        <f>IFERROR(__xludf.DUMMYFUNCTION("""COMPUTED_VALUE"""),20.6)</f>
        <v>20.6</v>
      </c>
      <c r="S606" s="4">
        <f>IFERROR(__xludf.DUMMYFUNCTION("""COMPUTED_VALUE"""),22.1)</f>
        <v>22.1</v>
      </c>
      <c r="T606" s="4"/>
      <c r="U606" s="4" t="str">
        <f>IFERROR(__xludf.DUMMYFUNCTION("""COMPUTED_VALUE"""),"CUKUP")</f>
        <v>CUKUP</v>
      </c>
      <c r="V606" s="4" t="str">
        <f>IFERROR(__xludf.DUMMYFUNCTION("""COMPUTED_VALUE"""),"Tidak Ada")</f>
        <v>Tidak Ada</v>
      </c>
      <c r="W606" s="4"/>
      <c r="X606" s="4"/>
      <c r="Y606" s="4"/>
      <c r="Z606" s="4"/>
      <c r="AA606" s="4"/>
      <c r="AB606" s="4"/>
      <c r="AC606" s="4" t="str">
        <f>IFERROR(__xludf.DUMMYFUNCTION("""COMPUTED_VALUE"""),"INSPEKSI SUTM - T2_Images/8792c658.FOTO.160123.jpg")</f>
        <v>INSPEKSI SUTM - T2_Images/8792c658.FOTO.160123.jpg</v>
      </c>
      <c r="AD606" s="4"/>
      <c r="AE606" s="4"/>
      <c r="AF606" s="4" t="str">
        <f>IFERROR(__xludf.DUMMYFUNCTION("""COMPUTED_VALUE"""),"BELUM")</f>
        <v>BELUM</v>
      </c>
      <c r="AG606" s="6">
        <f>IFERROR(__xludf.DUMMYFUNCTION("""COMPUTED_VALUE"""),46081.0)</f>
        <v>46081</v>
      </c>
      <c r="AH606" s="4"/>
      <c r="AI606" s="4"/>
    </row>
    <row r="607" ht="15.75" customHeight="1">
      <c r="A607" s="4" t="str">
        <f>IFERROR(__xludf.DUMMYFUNCTION("""COMPUTED_VALUE"""),"c90b8657")</f>
        <v>c90b8657</v>
      </c>
      <c r="B607" s="5">
        <f>IFERROR(__xludf.DUMMYFUNCTION("""COMPUTED_VALUE"""),46081.95947916667)</f>
        <v>46081.95948</v>
      </c>
      <c r="C607" s="4" t="str">
        <f>IFERROR(__xludf.DUMMYFUNCTION("""COMPUTED_VALUE"""),"-6.896879, 107.695887")</f>
        <v>-6.896879, 107.695887</v>
      </c>
      <c r="D607" s="4" t="str">
        <f>IFERROR(__xludf.DUMMYFUNCTION("""COMPUTED_VALUE"""),"Heri chandra")</f>
        <v>Heri chandra</v>
      </c>
      <c r="E607" s="4" t="str">
        <f>IFERROR(__xludf.DUMMYFUNCTION("""COMPUTED_VALUE"""),"BANDUNG")</f>
        <v>BANDUNG</v>
      </c>
      <c r="F607" s="4" t="str">
        <f>IFERROR(__xludf.DUMMYFUNCTION("""COMPUTED_VALUE"""),"UJUNGBERUNG")</f>
        <v>UJUNGBERUNG</v>
      </c>
      <c r="G607" s="4" t="str">
        <f>IFERROR(__xludf.DUMMYFUNCTION("""COMPUTED_VALUE"""),"UJUNGBERUNG")</f>
        <v>UJUNGBERUNG</v>
      </c>
      <c r="H607" s="4" t="str">
        <f>IFERROR(__xludf.DUMMYFUNCTION("""COMPUTED_VALUE"""),"UZO")</f>
        <v>UZO</v>
      </c>
      <c r="I607" s="4" t="str">
        <f>IFERROR(__xludf.DUMMYFUNCTION("""COMPUTED_VALUE"""),"LBS PKN - UJUNG")</f>
        <v>LBS PKN - UJUNG</v>
      </c>
      <c r="J607" s="4" t="str">
        <f>IFERROR(__xludf.DUMMYFUNCTION("""COMPUTED_VALUE"""),"ZONA 2")</f>
        <v>ZONA 2</v>
      </c>
      <c r="K607" s="4" t="str">
        <f>IFERROR(__xludf.DUMMYFUNCTION("""COMPUTED_VALUE"""),"076L021")</f>
        <v>076L021</v>
      </c>
      <c r="L607" s="4" t="str">
        <f>IFERROR(__xludf.DUMMYFUNCTION("""COMPUTED_VALUE"""),"TM - 7B/H (Afspan 90 Derajat)")</f>
        <v>TM - 7B/H (Afspan 90 Derajat)</v>
      </c>
      <c r="M607" s="4" t="str">
        <f>IFERROR(__xludf.DUMMYFUNCTION("""COMPUTED_VALUE"""),"Tidak Ada")</f>
        <v>Tidak Ada</v>
      </c>
      <c r="N607" s="4"/>
      <c r="O607" s="4" t="str">
        <f>IFERROR(__xludf.DUMMYFUNCTION("""COMPUTED_VALUE"""),"PEMBANDING SEJENIS")</f>
        <v>PEMBANDING SEJENIS</v>
      </c>
      <c r="P607" s="4" t="str">
        <f>IFERROR(__xludf.DUMMYFUNCTION("""COMPUTED_VALUE"""),"KONEKTOR/JUMPER")</f>
        <v>KONEKTOR/JUMPER</v>
      </c>
      <c r="Q607" s="4">
        <f>IFERROR(__xludf.DUMMYFUNCTION("""COMPUTED_VALUE"""),22.4)</f>
        <v>22.4</v>
      </c>
      <c r="R607" s="4">
        <f>IFERROR(__xludf.DUMMYFUNCTION("""COMPUTED_VALUE"""),23.2)</f>
        <v>23.2</v>
      </c>
      <c r="S607" s="4">
        <f>IFERROR(__xludf.DUMMYFUNCTION("""COMPUTED_VALUE"""),22.7)</f>
        <v>22.7</v>
      </c>
      <c r="T607" s="4"/>
      <c r="U607" s="4" t="str">
        <f>IFERROR(__xludf.DUMMYFUNCTION("""COMPUTED_VALUE"""),"BAIK")</f>
        <v>BAIK</v>
      </c>
      <c r="V607" s="4" t="str">
        <f>IFERROR(__xludf.DUMMYFUNCTION("""COMPUTED_VALUE"""),"Tidak Ada")</f>
        <v>Tidak Ada</v>
      </c>
      <c r="W607" s="4"/>
      <c r="X607" s="4"/>
      <c r="Y607" s="4"/>
      <c r="Z607" s="4"/>
      <c r="AA607" s="4"/>
      <c r="AB607" s="4"/>
      <c r="AC607" s="4" t="str">
        <f>IFERROR(__xludf.DUMMYFUNCTION("""COMPUTED_VALUE"""),"INSPEKSI SUTM - T2_Images/c90b8657.FOTO.160239.jpg")</f>
        <v>INSPEKSI SUTM - T2_Images/c90b8657.FOTO.160239.jpg</v>
      </c>
      <c r="AD607" s="4"/>
      <c r="AE607" s="4"/>
      <c r="AF607" s="4" t="str">
        <f>IFERROR(__xludf.DUMMYFUNCTION("""COMPUTED_VALUE"""),"BELUM")</f>
        <v>BELUM</v>
      </c>
      <c r="AG607" s="6">
        <f>IFERROR(__xludf.DUMMYFUNCTION("""COMPUTED_VALUE"""),46081.0)</f>
        <v>46081</v>
      </c>
      <c r="AH607" s="4"/>
      <c r="AI607" s="4"/>
    </row>
    <row r="608" ht="15.75" customHeight="1">
      <c r="A608" s="4" t="str">
        <f>IFERROR(__xludf.DUMMYFUNCTION("""COMPUTED_VALUE"""),"8496a993")</f>
        <v>8496a993</v>
      </c>
      <c r="B608" s="5">
        <f>IFERROR(__xludf.DUMMYFUNCTION("""COMPUTED_VALUE"""),46081.96074074074)</f>
        <v>46081.96074</v>
      </c>
      <c r="C608" s="4" t="str">
        <f>IFERROR(__xludf.DUMMYFUNCTION("""COMPUTED_VALUE"""),"-6.899184, 107.694919")</f>
        <v>-6.899184, 107.694919</v>
      </c>
      <c r="D608" s="4" t="str">
        <f>IFERROR(__xludf.DUMMYFUNCTION("""COMPUTED_VALUE"""),"Erichandra")</f>
        <v>Erichandra</v>
      </c>
      <c r="E608" s="4" t="str">
        <f>IFERROR(__xludf.DUMMYFUNCTION("""COMPUTED_VALUE"""),"BANDUNG")</f>
        <v>BANDUNG</v>
      </c>
      <c r="F608" s="4" t="str">
        <f>IFERROR(__xludf.DUMMYFUNCTION("""COMPUTED_VALUE"""),"UJUNGBERUNG")</f>
        <v>UJUNGBERUNG</v>
      </c>
      <c r="G608" s="4" t="str">
        <f>IFERROR(__xludf.DUMMYFUNCTION("""COMPUTED_VALUE"""),"UJUNGBERUNG")</f>
        <v>UJUNGBERUNG</v>
      </c>
      <c r="H608" s="4" t="str">
        <f>IFERROR(__xludf.DUMMYFUNCTION("""COMPUTED_VALUE"""),"UZO")</f>
        <v>UZO</v>
      </c>
      <c r="I608" s="4" t="str">
        <f>IFERROR(__xludf.DUMMYFUNCTION("""COMPUTED_VALUE"""),"LBS PKN - UJUNG")</f>
        <v>LBS PKN - UJUNG</v>
      </c>
      <c r="J608" s="4" t="str">
        <f>IFERROR(__xludf.DUMMYFUNCTION("""COMPUTED_VALUE"""),"ZONA 2")</f>
        <v>ZONA 2</v>
      </c>
      <c r="K608" s="4" t="str">
        <f>IFERROR(__xludf.DUMMYFUNCTION("""COMPUTED_VALUE"""),"076L017L06")</f>
        <v>076L017L06</v>
      </c>
      <c r="L608" s="4" t="str">
        <f>IFERROR(__xludf.DUMMYFUNCTION("""COMPUTED_VALUE"""),"TM - 8B/H (Percabangan)")</f>
        <v>TM - 8B/H (Percabangan)</v>
      </c>
      <c r="M608" s="4" t="str">
        <f>IFERROR(__xludf.DUMMYFUNCTION("""COMPUTED_VALUE"""),"Tidak Ada")</f>
        <v>Tidak Ada</v>
      </c>
      <c r="N608" s="4"/>
      <c r="O608" s="4" t="str">
        <f>IFERROR(__xludf.DUMMYFUNCTION("""COMPUTED_VALUE"""),"PEMBANDING SEJENIS")</f>
        <v>PEMBANDING SEJENIS</v>
      </c>
      <c r="P608" s="4" t="str">
        <f>IFERROR(__xludf.DUMMYFUNCTION("""COMPUTED_VALUE"""),"KONEKTOR/JUMPER")</f>
        <v>KONEKTOR/JUMPER</v>
      </c>
      <c r="Q608" s="4">
        <f>IFERROR(__xludf.DUMMYFUNCTION("""COMPUTED_VALUE"""),18.8)</f>
        <v>18.8</v>
      </c>
      <c r="R608" s="4">
        <f>IFERROR(__xludf.DUMMYFUNCTION("""COMPUTED_VALUE"""),18.8)</f>
        <v>18.8</v>
      </c>
      <c r="S608" s="4">
        <f>IFERROR(__xludf.DUMMYFUNCTION("""COMPUTED_VALUE"""),22.4)</f>
        <v>22.4</v>
      </c>
      <c r="T608" s="4"/>
      <c r="U608" s="4" t="str">
        <f>IFERROR(__xludf.DUMMYFUNCTION("""COMPUTED_VALUE"""),"CUKUP")</f>
        <v>CUKUP</v>
      </c>
      <c r="V608" s="4" t="str">
        <f>IFERROR(__xludf.DUMMYFUNCTION("""COMPUTED_VALUE"""),"Tidak Ada")</f>
        <v>Tidak Ada</v>
      </c>
      <c r="W608" s="4"/>
      <c r="X608" s="4"/>
      <c r="Y608" s="4"/>
      <c r="Z608" s="4"/>
      <c r="AA608" s="4"/>
      <c r="AB608" s="4"/>
      <c r="AC608" s="4" t="str">
        <f>IFERROR(__xludf.DUMMYFUNCTION("""COMPUTED_VALUE"""),"INSPEKSI SUTM - T2_Images/8496a993.FOTO.160416.jpg")</f>
        <v>INSPEKSI SUTM - T2_Images/8496a993.FOTO.160416.jpg</v>
      </c>
      <c r="AD608" s="4"/>
      <c r="AE608" s="4"/>
      <c r="AF608" s="4" t="str">
        <f>IFERROR(__xludf.DUMMYFUNCTION("""COMPUTED_VALUE"""),"BELUM")</f>
        <v>BELUM</v>
      </c>
      <c r="AG608" s="6">
        <f>IFERROR(__xludf.DUMMYFUNCTION("""COMPUTED_VALUE"""),46081.0)</f>
        <v>46081</v>
      </c>
      <c r="AH608" s="4"/>
      <c r="AI608" s="4"/>
    </row>
    <row r="609" ht="15.75" customHeight="1">
      <c r="A609" s="4" t="str">
        <f>IFERROR(__xludf.DUMMYFUNCTION("""COMPUTED_VALUE"""),"9f907189")</f>
        <v>9f907189</v>
      </c>
      <c r="B609" s="5">
        <f>IFERROR(__xludf.DUMMYFUNCTION("""COMPUTED_VALUE"""),46081.961851851855)</f>
        <v>46081.96185</v>
      </c>
      <c r="C609" s="4" t="str">
        <f>IFERROR(__xludf.DUMMYFUNCTION("""COMPUTED_VALUE"""),"-6.899167, 107.694752")</f>
        <v>-6.899167, 107.694752</v>
      </c>
      <c r="D609" s="4" t="str">
        <f>IFERROR(__xludf.DUMMYFUNCTION("""COMPUTED_VALUE"""),"Herj chandra")</f>
        <v>Herj chandra</v>
      </c>
      <c r="E609" s="4" t="str">
        <f>IFERROR(__xludf.DUMMYFUNCTION("""COMPUTED_VALUE"""),"BANDUNG")</f>
        <v>BANDUNG</v>
      </c>
      <c r="F609" s="4" t="str">
        <f>IFERROR(__xludf.DUMMYFUNCTION("""COMPUTED_VALUE"""),"UJUNGBERUNG")</f>
        <v>UJUNGBERUNG</v>
      </c>
      <c r="G609" s="4" t="str">
        <f>IFERROR(__xludf.DUMMYFUNCTION("""COMPUTED_VALUE"""),"UJUNGBERUNG")</f>
        <v>UJUNGBERUNG</v>
      </c>
      <c r="H609" s="4" t="str">
        <f>IFERROR(__xludf.DUMMYFUNCTION("""COMPUTED_VALUE"""),"UZO")</f>
        <v>UZO</v>
      </c>
      <c r="I609" s="4" t="str">
        <f>IFERROR(__xludf.DUMMYFUNCTION("""COMPUTED_VALUE"""),"LBS PKN - UJUNG")</f>
        <v>LBS PKN - UJUNG</v>
      </c>
      <c r="J609" s="4" t="str">
        <f>IFERROR(__xludf.DUMMYFUNCTION("""COMPUTED_VALUE"""),"ZONA 2")</f>
        <v>ZONA 2</v>
      </c>
      <c r="K609" s="4" t="str">
        <f>IFERROR(__xludf.DUMMYFUNCTION("""COMPUTED_VALUE"""),"076L017L07")</f>
        <v>076L017L07</v>
      </c>
      <c r="L609" s="4" t="str">
        <f>IFERROR(__xludf.DUMMYFUNCTION("""COMPUTED_VALUE"""),"TM - 7B/H (Afspan 90 Derajat)")</f>
        <v>TM - 7B/H (Afspan 90 Derajat)</v>
      </c>
      <c r="M609" s="4" t="str">
        <f>IFERROR(__xludf.DUMMYFUNCTION("""COMPUTED_VALUE"""),"Tidak Ada")</f>
        <v>Tidak Ada</v>
      </c>
      <c r="N609" s="4"/>
      <c r="O609" s="4" t="str">
        <f>IFERROR(__xludf.DUMMYFUNCTION("""COMPUTED_VALUE"""),"PEMBANDING SEJENIS")</f>
        <v>PEMBANDING SEJENIS</v>
      </c>
      <c r="P609" s="4" t="str">
        <f>IFERROR(__xludf.DUMMYFUNCTION("""COMPUTED_VALUE"""),"KONEKTOR/JUMPER")</f>
        <v>KONEKTOR/JUMPER</v>
      </c>
      <c r="Q609" s="4">
        <f>IFERROR(__xludf.DUMMYFUNCTION("""COMPUTED_VALUE"""),22.5)</f>
        <v>22.5</v>
      </c>
      <c r="R609" s="4">
        <f>IFERROR(__xludf.DUMMYFUNCTION("""COMPUTED_VALUE"""),22.9)</f>
        <v>22.9</v>
      </c>
      <c r="S609" s="4">
        <f>IFERROR(__xludf.DUMMYFUNCTION("""COMPUTED_VALUE"""),22.2)</f>
        <v>22.2</v>
      </c>
      <c r="T609" s="4"/>
      <c r="U609" s="4" t="str">
        <f>IFERROR(__xludf.DUMMYFUNCTION("""COMPUTED_VALUE"""),"BAIK")</f>
        <v>BAIK</v>
      </c>
      <c r="V609" s="4" t="str">
        <f>IFERROR(__xludf.DUMMYFUNCTION("""COMPUTED_VALUE"""),"Tidak Ada")</f>
        <v>Tidak Ada</v>
      </c>
      <c r="W609" s="4"/>
      <c r="X609" s="4"/>
      <c r="Y609" s="4"/>
      <c r="Z609" s="4"/>
      <c r="AA609" s="4"/>
      <c r="AB609" s="4"/>
      <c r="AC609" s="4" t="str">
        <f>IFERROR(__xludf.DUMMYFUNCTION("""COMPUTED_VALUE"""),"INSPEKSI SUTM - T2_Images/9f907189.FOTO.160554.jpg")</f>
        <v>INSPEKSI SUTM - T2_Images/9f907189.FOTO.160554.jpg</v>
      </c>
      <c r="AD609" s="4"/>
      <c r="AE609" s="4"/>
      <c r="AF609" s="4" t="str">
        <f>IFERROR(__xludf.DUMMYFUNCTION("""COMPUTED_VALUE"""),"BELUM")</f>
        <v>BELUM</v>
      </c>
      <c r="AG609" s="6">
        <f>IFERROR(__xludf.DUMMYFUNCTION("""COMPUTED_VALUE"""),46081.0)</f>
        <v>46081</v>
      </c>
      <c r="AH609" s="4"/>
      <c r="AI609" s="4"/>
    </row>
    <row r="610" ht="15.75" customHeight="1">
      <c r="A610" s="4" t="str">
        <f>IFERROR(__xludf.DUMMYFUNCTION("""COMPUTED_VALUE"""),"888a952d")</f>
        <v>888a952d</v>
      </c>
      <c r="B610" s="5">
        <f>IFERROR(__xludf.DUMMYFUNCTION("""COMPUTED_VALUE"""),46081.96273148148)</f>
        <v>46081.96273</v>
      </c>
      <c r="C610" s="4" t="str">
        <f>IFERROR(__xludf.DUMMYFUNCTION("""COMPUTED_VALUE"""),"-6.900448, 107.693172")</f>
        <v>-6.900448, 107.693172</v>
      </c>
      <c r="D610" s="4" t="str">
        <f>IFERROR(__xludf.DUMMYFUNCTION("""COMPUTED_VALUE"""),"Heri chandra")</f>
        <v>Heri chandra</v>
      </c>
      <c r="E610" s="4" t="str">
        <f>IFERROR(__xludf.DUMMYFUNCTION("""COMPUTED_VALUE"""),"BANDUNG")</f>
        <v>BANDUNG</v>
      </c>
      <c r="F610" s="4" t="str">
        <f>IFERROR(__xludf.DUMMYFUNCTION("""COMPUTED_VALUE"""),"UJUNGBERUNG")</f>
        <v>UJUNGBERUNG</v>
      </c>
      <c r="G610" s="4" t="str">
        <f>IFERROR(__xludf.DUMMYFUNCTION("""COMPUTED_VALUE"""),"UJUNGBERUNG")</f>
        <v>UJUNGBERUNG</v>
      </c>
      <c r="H610" s="4" t="str">
        <f>IFERROR(__xludf.DUMMYFUNCTION("""COMPUTED_VALUE"""),"UZO")</f>
        <v>UZO</v>
      </c>
      <c r="I610" s="4" t="str">
        <f>IFERROR(__xludf.DUMMYFUNCTION("""COMPUTED_VALUE"""),"LBS PKN - UJUNG")</f>
        <v>LBS PKN - UJUNG</v>
      </c>
      <c r="J610" s="4" t="str">
        <f>IFERROR(__xludf.DUMMYFUNCTION("""COMPUTED_VALUE"""),"ZONA 2")</f>
        <v>ZONA 2</v>
      </c>
      <c r="K610" s="4" t="str">
        <f>IFERROR(__xludf.DUMMYFUNCTION("""COMPUTED_VALUE"""),"076L017L014")</f>
        <v>076L017L014</v>
      </c>
      <c r="L610" s="4" t="str">
        <f>IFERROR(__xludf.DUMMYFUNCTION("""COMPUTED_VALUE"""),"TM - 7B/H (Afspan 90 Derajat)")</f>
        <v>TM - 7B/H (Afspan 90 Derajat)</v>
      </c>
      <c r="M610" s="4" t="str">
        <f>IFERROR(__xludf.DUMMYFUNCTION("""COMPUTED_VALUE"""),"Tidak Ada")</f>
        <v>Tidak Ada</v>
      </c>
      <c r="N610" s="4"/>
      <c r="O610" s="4" t="str">
        <f>IFERROR(__xludf.DUMMYFUNCTION("""COMPUTED_VALUE"""),"PEMBANDING SEJENIS")</f>
        <v>PEMBANDING SEJENIS</v>
      </c>
      <c r="P610" s="4" t="str">
        <f>IFERROR(__xludf.DUMMYFUNCTION("""COMPUTED_VALUE"""),"KONEKTOR/JUMPER")</f>
        <v>KONEKTOR/JUMPER</v>
      </c>
      <c r="Q610" s="4">
        <f>IFERROR(__xludf.DUMMYFUNCTION("""COMPUTED_VALUE"""),20.7)</f>
        <v>20.7</v>
      </c>
      <c r="R610" s="4">
        <f>IFERROR(__xludf.DUMMYFUNCTION("""COMPUTED_VALUE"""),23.0)</f>
        <v>23</v>
      </c>
      <c r="S610" s="4">
        <f>IFERROR(__xludf.DUMMYFUNCTION("""COMPUTED_VALUE"""),23.2)</f>
        <v>23.2</v>
      </c>
      <c r="T610" s="4"/>
      <c r="U610" s="4" t="str">
        <f>IFERROR(__xludf.DUMMYFUNCTION("""COMPUTED_VALUE"""),"BAIK")</f>
        <v>BAIK</v>
      </c>
      <c r="V610" s="4" t="str">
        <f>IFERROR(__xludf.DUMMYFUNCTION("""COMPUTED_VALUE"""),"Tidak Ada")</f>
        <v>Tidak Ada</v>
      </c>
      <c r="W610" s="4"/>
      <c r="X610" s="4"/>
      <c r="Y610" s="4"/>
      <c r="Z610" s="4"/>
      <c r="AA610" s="4"/>
      <c r="AB610" s="4"/>
      <c r="AC610" s="4" t="str">
        <f>IFERROR(__xludf.DUMMYFUNCTION("""COMPUTED_VALUE"""),"INSPEKSI SUTM - T2_Images/888a952d.FOTO.160709.jpg")</f>
        <v>INSPEKSI SUTM - T2_Images/888a952d.FOTO.160709.jpg</v>
      </c>
      <c r="AD610" s="4"/>
      <c r="AE610" s="4"/>
      <c r="AF610" s="4" t="str">
        <f>IFERROR(__xludf.DUMMYFUNCTION("""COMPUTED_VALUE"""),"BELUM")</f>
        <v>BELUM</v>
      </c>
      <c r="AG610" s="6">
        <f>IFERROR(__xludf.DUMMYFUNCTION("""COMPUTED_VALUE"""),46081.0)</f>
        <v>46081</v>
      </c>
      <c r="AH610" s="4"/>
      <c r="AI610" s="4"/>
    </row>
    <row r="611" ht="15.75" customHeight="1">
      <c r="A611" s="4" t="str">
        <f>IFERROR(__xludf.DUMMYFUNCTION("""COMPUTED_VALUE"""),"82856a25")</f>
        <v>82856a25</v>
      </c>
      <c r="B611" s="5">
        <f>IFERROR(__xludf.DUMMYFUNCTION("""COMPUTED_VALUE"""),46081.963483796295)</f>
        <v>46081.96348</v>
      </c>
      <c r="C611" s="4" t="str">
        <f>IFERROR(__xludf.DUMMYFUNCTION("""COMPUTED_VALUE"""),"-6.900619, 107.693233")</f>
        <v>-6.900619, 107.693233</v>
      </c>
      <c r="D611" s="4" t="str">
        <f>IFERROR(__xludf.DUMMYFUNCTION("""COMPUTED_VALUE"""),"Herichandra")</f>
        <v>Herichandra</v>
      </c>
      <c r="E611" s="4" t="str">
        <f>IFERROR(__xludf.DUMMYFUNCTION("""COMPUTED_VALUE"""),"BANDUNG")</f>
        <v>BANDUNG</v>
      </c>
      <c r="F611" s="4" t="str">
        <f>IFERROR(__xludf.DUMMYFUNCTION("""COMPUTED_VALUE"""),"UJUNGBERUNG")</f>
        <v>UJUNGBERUNG</v>
      </c>
      <c r="G611" s="4" t="str">
        <f>IFERROR(__xludf.DUMMYFUNCTION("""COMPUTED_VALUE"""),"UJUNGBERUNG")</f>
        <v>UJUNGBERUNG</v>
      </c>
      <c r="H611" s="4" t="str">
        <f>IFERROR(__xludf.DUMMYFUNCTION("""COMPUTED_VALUE"""),"UZO")</f>
        <v>UZO</v>
      </c>
      <c r="I611" s="4" t="str">
        <f>IFERROR(__xludf.DUMMYFUNCTION("""COMPUTED_VALUE"""),"LBS PKN - UJUNG")</f>
        <v>LBS PKN - UJUNG</v>
      </c>
      <c r="J611" s="4" t="str">
        <f>IFERROR(__xludf.DUMMYFUNCTION("""COMPUTED_VALUE"""),"ZONA 2")</f>
        <v>ZONA 2</v>
      </c>
      <c r="K611" s="4" t="str">
        <f>IFERROR(__xludf.DUMMYFUNCTION("""COMPUTED_VALUE"""),"076L017L015")</f>
        <v>076L017L015</v>
      </c>
      <c r="L611" s="4" t="str">
        <f>IFERROR(__xludf.DUMMYFUNCTION("""COMPUTED_VALUE"""),"TM - 7B/H (Afspan 90 Derajat)")</f>
        <v>TM - 7B/H (Afspan 90 Derajat)</v>
      </c>
      <c r="M611" s="4" t="str">
        <f>IFERROR(__xludf.DUMMYFUNCTION("""COMPUTED_VALUE"""),"Tidak Ada")</f>
        <v>Tidak Ada</v>
      </c>
      <c r="N611" s="4"/>
      <c r="O611" s="4" t="str">
        <f>IFERROR(__xludf.DUMMYFUNCTION("""COMPUTED_VALUE"""),"PEMBANDING SEJENIS")</f>
        <v>PEMBANDING SEJENIS</v>
      </c>
      <c r="P611" s="4" t="str">
        <f>IFERROR(__xludf.DUMMYFUNCTION("""COMPUTED_VALUE"""),"KONEKTOR/JUMPER")</f>
        <v>KONEKTOR/JUMPER</v>
      </c>
      <c r="Q611" s="4">
        <f>IFERROR(__xludf.DUMMYFUNCTION("""COMPUTED_VALUE"""),20.5)</f>
        <v>20.5</v>
      </c>
      <c r="R611" s="4">
        <f>IFERROR(__xludf.DUMMYFUNCTION("""COMPUTED_VALUE"""),22.9)</f>
        <v>22.9</v>
      </c>
      <c r="S611" s="4">
        <f>IFERROR(__xludf.DUMMYFUNCTION("""COMPUTED_VALUE"""),18.2)</f>
        <v>18.2</v>
      </c>
      <c r="T611" s="4"/>
      <c r="U611" s="4" t="str">
        <f>IFERROR(__xludf.DUMMYFUNCTION("""COMPUTED_VALUE"""),"CUKUP")</f>
        <v>CUKUP</v>
      </c>
      <c r="V611" s="4" t="str">
        <f>IFERROR(__xludf.DUMMYFUNCTION("""COMPUTED_VALUE"""),"Tidak Ada")</f>
        <v>Tidak Ada</v>
      </c>
      <c r="W611" s="4"/>
      <c r="X611" s="4"/>
      <c r="Y611" s="4"/>
      <c r="Z611" s="4"/>
      <c r="AA611" s="4"/>
      <c r="AB611" s="4"/>
      <c r="AC611" s="4" t="str">
        <f>IFERROR(__xludf.DUMMYFUNCTION("""COMPUTED_VALUE"""),"INSPEKSI SUTM - T2_Images/82856a25.FOTO.160815.jpg")</f>
        <v>INSPEKSI SUTM - T2_Images/82856a25.FOTO.160815.jpg</v>
      </c>
      <c r="AD611" s="4"/>
      <c r="AE611" s="4"/>
      <c r="AF611" s="4" t="str">
        <f>IFERROR(__xludf.DUMMYFUNCTION("""COMPUTED_VALUE"""),"BELUM")</f>
        <v>BELUM</v>
      </c>
      <c r="AG611" s="6">
        <f>IFERROR(__xludf.DUMMYFUNCTION("""COMPUTED_VALUE"""),46081.0)</f>
        <v>46081</v>
      </c>
      <c r="AH611" s="4"/>
      <c r="AI611" s="4"/>
    </row>
    <row r="612" ht="15.75" customHeight="1">
      <c r="A612" s="4" t="str">
        <f>IFERROR(__xludf.DUMMYFUNCTION("""COMPUTED_VALUE"""),"0f407f9d")</f>
        <v>0f407f9d</v>
      </c>
      <c r="B612" s="5">
        <f>IFERROR(__xludf.DUMMYFUNCTION("""COMPUTED_VALUE"""),46081.96457175926)</f>
        <v>46081.96457</v>
      </c>
      <c r="C612" s="4" t="str">
        <f>IFERROR(__xludf.DUMMYFUNCTION("""COMPUTED_VALUE"""),"-6.901512, 107.699759")</f>
        <v>-6.901512, 107.699759</v>
      </c>
      <c r="D612" s="4" t="str">
        <f>IFERROR(__xludf.DUMMYFUNCTION("""COMPUTED_VALUE"""),"Heri chandra")</f>
        <v>Heri chandra</v>
      </c>
      <c r="E612" s="4" t="str">
        <f>IFERROR(__xludf.DUMMYFUNCTION("""COMPUTED_VALUE"""),"BANDUNG")</f>
        <v>BANDUNG</v>
      </c>
      <c r="F612" s="4" t="str">
        <f>IFERROR(__xludf.DUMMYFUNCTION("""COMPUTED_VALUE"""),"UJUNGBERUNG")</f>
        <v>UJUNGBERUNG</v>
      </c>
      <c r="G612" s="4" t="str">
        <f>IFERROR(__xludf.DUMMYFUNCTION("""COMPUTED_VALUE"""),"UJUNGBERUNG")</f>
        <v>UJUNGBERUNG</v>
      </c>
      <c r="H612" s="4" t="str">
        <f>IFERROR(__xludf.DUMMYFUNCTION("""COMPUTED_VALUE"""),"UZO")</f>
        <v>UZO</v>
      </c>
      <c r="I612" s="4" t="str">
        <f>IFERROR(__xludf.DUMMYFUNCTION("""COMPUTED_VALUE"""),"LBS PKN - UJUNG")</f>
        <v>LBS PKN - UJUNG</v>
      </c>
      <c r="J612" s="4" t="str">
        <f>IFERROR(__xludf.DUMMYFUNCTION("""COMPUTED_VALUE"""),"ZONA 2")</f>
        <v>ZONA 2</v>
      </c>
      <c r="K612" s="4" t="str">
        <f>IFERROR(__xludf.DUMMYFUNCTION("""COMPUTED_VALUE"""),"082")</f>
        <v>082</v>
      </c>
      <c r="L612" s="4" t="str">
        <f>IFERROR(__xludf.DUMMYFUNCTION("""COMPUTED_VALUE"""),"TM - 7B/H (Afspan 90 Derajat)")</f>
        <v>TM - 7B/H (Afspan 90 Derajat)</v>
      </c>
      <c r="M612" s="4" t="str">
        <f>IFERROR(__xludf.DUMMYFUNCTION("""COMPUTED_VALUE"""),"Tidak Ada")</f>
        <v>Tidak Ada</v>
      </c>
      <c r="N612" s="4"/>
      <c r="O612" s="4" t="str">
        <f>IFERROR(__xludf.DUMMYFUNCTION("""COMPUTED_VALUE"""),"PEMBANDING SEJENIS")</f>
        <v>PEMBANDING SEJENIS</v>
      </c>
      <c r="P612" s="4" t="str">
        <f>IFERROR(__xludf.DUMMYFUNCTION("""COMPUTED_VALUE"""),"KONEKTOR/JUMPER")</f>
        <v>KONEKTOR/JUMPER</v>
      </c>
      <c r="Q612" s="4">
        <f>IFERROR(__xludf.DUMMYFUNCTION("""COMPUTED_VALUE"""),21.6)</f>
        <v>21.6</v>
      </c>
      <c r="R612" s="4">
        <f>IFERROR(__xludf.DUMMYFUNCTION("""COMPUTED_VALUE"""),16.2)</f>
        <v>16.2</v>
      </c>
      <c r="S612" s="4">
        <f>IFERROR(__xludf.DUMMYFUNCTION("""COMPUTED_VALUE"""),20.8)</f>
        <v>20.8</v>
      </c>
      <c r="T612" s="4"/>
      <c r="U612" s="4" t="str">
        <f>IFERROR(__xludf.DUMMYFUNCTION("""COMPUTED_VALUE"""),"CUKUP")</f>
        <v>CUKUP</v>
      </c>
      <c r="V612" s="4" t="str">
        <f>IFERROR(__xludf.DUMMYFUNCTION("""COMPUTED_VALUE"""),"Tidak Ada")</f>
        <v>Tidak Ada</v>
      </c>
      <c r="W612" s="4"/>
      <c r="X612" s="4"/>
      <c r="Y612" s="4"/>
      <c r="Z612" s="4"/>
      <c r="AA612" s="4"/>
      <c r="AB612" s="4"/>
      <c r="AC612" s="4" t="str">
        <f>IFERROR(__xludf.DUMMYFUNCTION("""COMPUTED_VALUE"""),"INSPEKSI SUTM - T2_Images/0f407f9d.FOTO.160948.jpg")</f>
        <v>INSPEKSI SUTM - T2_Images/0f407f9d.FOTO.160948.jpg</v>
      </c>
      <c r="AD612" s="4"/>
      <c r="AE612" s="4"/>
      <c r="AF612" s="4" t="str">
        <f>IFERROR(__xludf.DUMMYFUNCTION("""COMPUTED_VALUE"""),"BELUM")</f>
        <v>BELUM</v>
      </c>
      <c r="AG612" s="6">
        <f>IFERROR(__xludf.DUMMYFUNCTION("""COMPUTED_VALUE"""),46081.0)</f>
        <v>46081</v>
      </c>
      <c r="AH612" s="4"/>
      <c r="AI612" s="4"/>
    </row>
    <row r="613" ht="15.75" customHeight="1">
      <c r="A613" s="4" t="str">
        <f>IFERROR(__xludf.DUMMYFUNCTION("""COMPUTED_VALUE"""),"06da6227")</f>
        <v>06da6227</v>
      </c>
      <c r="B613" s="5">
        <f>IFERROR(__xludf.DUMMYFUNCTION("""COMPUTED_VALUE"""),46081.965266203704)</f>
        <v>46081.96527</v>
      </c>
      <c r="C613" s="4" t="str">
        <f>IFERROR(__xludf.DUMMYFUNCTION("""COMPUTED_VALUE"""),"-6.901523, 107.699758")</f>
        <v>-6.901523, 107.699758</v>
      </c>
      <c r="D613" s="4" t="str">
        <f>IFERROR(__xludf.DUMMYFUNCTION("""COMPUTED_VALUE"""),"Herichandta")</f>
        <v>Herichandta</v>
      </c>
      <c r="E613" s="4" t="str">
        <f>IFERROR(__xludf.DUMMYFUNCTION("""COMPUTED_VALUE"""),"BANDUNG")</f>
        <v>BANDUNG</v>
      </c>
      <c r="F613" s="4" t="str">
        <f>IFERROR(__xludf.DUMMYFUNCTION("""COMPUTED_VALUE"""),"UJUNGBERUNG")</f>
        <v>UJUNGBERUNG</v>
      </c>
      <c r="G613" s="4" t="str">
        <f>IFERROR(__xludf.DUMMYFUNCTION("""COMPUTED_VALUE"""),"UJUNGBERUNG")</f>
        <v>UJUNGBERUNG</v>
      </c>
      <c r="H613" s="4" t="str">
        <f>IFERROR(__xludf.DUMMYFUNCTION("""COMPUTED_VALUE"""),"UZO")</f>
        <v>UZO</v>
      </c>
      <c r="I613" s="4" t="str">
        <f>IFERROR(__xludf.DUMMYFUNCTION("""COMPUTED_VALUE"""),"LBS PKN - UJUNG")</f>
        <v>LBS PKN - UJUNG</v>
      </c>
      <c r="J613" s="4" t="str">
        <f>IFERROR(__xludf.DUMMYFUNCTION("""COMPUTED_VALUE"""),"ZONA 2")</f>
        <v>ZONA 2</v>
      </c>
      <c r="K613" s="4" t="str">
        <f>IFERROR(__xludf.DUMMYFUNCTION("""COMPUTED_VALUE"""),"084")</f>
        <v>084</v>
      </c>
      <c r="L613" s="4" t="str">
        <f>IFERROR(__xludf.DUMMYFUNCTION("""COMPUTED_VALUE"""),"TM - 14B/H (Akhir)")</f>
        <v>TM - 14B/H (Akhir)</v>
      </c>
      <c r="M613" s="4" t="str">
        <f>IFERROR(__xludf.DUMMYFUNCTION("""COMPUTED_VALUE"""),"Tidak Ada")</f>
        <v>Tidak Ada</v>
      </c>
      <c r="N613" s="4"/>
      <c r="O613" s="4" t="str">
        <f>IFERROR(__xludf.DUMMYFUNCTION("""COMPUTED_VALUE"""),"PEMBANDING SEJENIS")</f>
        <v>PEMBANDING SEJENIS</v>
      </c>
      <c r="P613" s="4" t="str">
        <f>IFERROR(__xludf.DUMMYFUNCTION("""COMPUTED_VALUE"""),"KONEKTOR/JUMPER")</f>
        <v>KONEKTOR/JUMPER</v>
      </c>
      <c r="Q613" s="4">
        <f>IFERROR(__xludf.DUMMYFUNCTION("""COMPUTED_VALUE"""),21.8)</f>
        <v>21.8</v>
      </c>
      <c r="R613" s="4">
        <f>IFERROR(__xludf.DUMMYFUNCTION("""COMPUTED_VALUE"""),21.7)</f>
        <v>21.7</v>
      </c>
      <c r="S613" s="4">
        <f>IFERROR(__xludf.DUMMYFUNCTION("""COMPUTED_VALUE"""),21.4)</f>
        <v>21.4</v>
      </c>
      <c r="T613" s="4"/>
      <c r="U613" s="4" t="str">
        <f>IFERROR(__xludf.DUMMYFUNCTION("""COMPUTED_VALUE"""),"BAIK")</f>
        <v>BAIK</v>
      </c>
      <c r="V613" s="4" t="str">
        <f>IFERROR(__xludf.DUMMYFUNCTION("""COMPUTED_VALUE"""),"Tidak Ada")</f>
        <v>Tidak Ada</v>
      </c>
      <c r="W613" s="4"/>
      <c r="X613" s="4"/>
      <c r="Y613" s="4"/>
      <c r="Z613" s="4"/>
      <c r="AA613" s="4"/>
      <c r="AB613" s="4"/>
      <c r="AC613" s="4" t="str">
        <f>IFERROR(__xludf.DUMMYFUNCTION("""COMPUTED_VALUE"""),"INSPEKSI SUTM - T2_Images/06da6227.FOTO.161045.jpg")</f>
        <v>INSPEKSI SUTM - T2_Images/06da6227.FOTO.161045.jpg</v>
      </c>
      <c r="AD613" s="4"/>
      <c r="AE613" s="4"/>
      <c r="AF613" s="4" t="str">
        <f>IFERROR(__xludf.DUMMYFUNCTION("""COMPUTED_VALUE"""),"BELUM")</f>
        <v>BELUM</v>
      </c>
      <c r="AG613" s="6">
        <f>IFERROR(__xludf.DUMMYFUNCTION("""COMPUTED_VALUE"""),46081.0)</f>
        <v>46081</v>
      </c>
      <c r="AH613" s="4"/>
      <c r="AI613" s="4"/>
    </row>
    <row r="614" ht="15.75" customHeight="1">
      <c r="A614" s="4" t="str">
        <f>IFERROR(__xludf.DUMMYFUNCTION("""COMPUTED_VALUE"""),"dab03c25")</f>
        <v>dab03c25</v>
      </c>
      <c r="B614" s="5">
        <f>IFERROR(__xludf.DUMMYFUNCTION("""COMPUTED_VALUE"""),46084.899375)</f>
        <v>46084.89938</v>
      </c>
      <c r="C614" s="4" t="str">
        <f>IFERROR(__xludf.DUMMYFUNCTION("""COMPUTED_VALUE"""),"-6.949255, 107.611778")</f>
        <v>-6.949255, 107.611778</v>
      </c>
      <c r="D614" s="4" t="str">
        <f>IFERROR(__xludf.DUMMYFUNCTION("""COMPUTED_VALUE"""),"Nugi Firman")</f>
        <v>Nugi Firman</v>
      </c>
      <c r="E614" s="4" t="str">
        <f>IFERROR(__xludf.DUMMYFUNCTION("""COMPUTED_VALUE"""),"BANDUNG")</f>
        <v>BANDUNG</v>
      </c>
      <c r="F614" s="4" t="str">
        <f>IFERROR(__xludf.DUMMYFUNCTION("""COMPUTED_VALUE"""),"KOPO")</f>
        <v>KOPO</v>
      </c>
      <c r="G614" s="4" t="str">
        <f>IFERROR(__xludf.DUMMYFUNCTION("""COMPUTED_VALUE"""),"NEW CIBEUREUM")</f>
        <v>NEW CIBEUREUM</v>
      </c>
      <c r="H614" s="4" t="str">
        <f>IFERROR(__xludf.DUMMYFUNCTION("""COMPUTED_VALUE"""),"WHB")</f>
        <v>WHB</v>
      </c>
      <c r="I614" s="4" t="str">
        <f>IFERROR(__xludf.DUMMYFUNCTION("""COMPUTED_VALUE"""),"LBS EDY - ITD")</f>
        <v>LBS EDY - ITD</v>
      </c>
      <c r="J614" s="4" t="str">
        <f>IFERROR(__xludf.DUMMYFUNCTION("""COMPUTED_VALUE"""),"ZONA 2")</f>
        <v>ZONA 2</v>
      </c>
      <c r="K614" s="4" t="str">
        <f>IFERROR(__xludf.DUMMYFUNCTION("""COMPUTED_VALUE"""),"024")</f>
        <v>024</v>
      </c>
      <c r="L614" s="4" t="str">
        <f>IFERROR(__xludf.DUMMYFUNCTION("""COMPUTED_VALUE"""),"TM - 16B/H (REC/SSO/LBS)")</f>
        <v>TM - 16B/H (REC/SSO/LBS)</v>
      </c>
      <c r="M614" s="4" t="str">
        <f>IFERROR(__xludf.DUMMYFUNCTION("""COMPUTED_VALUE"""),"LBS")</f>
        <v>LBS</v>
      </c>
      <c r="N614" s="4" t="str">
        <f>IFERROR(__xludf.DUMMYFUNCTION("""COMPUTED_VALUE"""),"EDY")</f>
        <v>EDY</v>
      </c>
      <c r="O614" s="4" t="str">
        <f>IFERROR(__xludf.DUMMYFUNCTION("""COMPUTED_VALUE"""),"PEMBANDING SEJENIS")</f>
        <v>PEMBANDING SEJENIS</v>
      </c>
      <c r="P614" s="4" t="str">
        <f>IFERROR(__xludf.DUMMYFUNCTION("""COMPUTED_VALUE"""),"KONEKTOR/JUMPER")</f>
        <v>KONEKTOR/JUMPER</v>
      </c>
      <c r="Q614" s="4">
        <f>IFERROR(__xludf.DUMMYFUNCTION("""COMPUTED_VALUE"""),21.0)</f>
        <v>21</v>
      </c>
      <c r="R614" s="4">
        <f>IFERROR(__xludf.DUMMYFUNCTION("""COMPUTED_VALUE"""),22.0)</f>
        <v>22</v>
      </c>
      <c r="S614" s="4">
        <f>IFERROR(__xludf.DUMMYFUNCTION("""COMPUTED_VALUE"""),22.0)</f>
        <v>22</v>
      </c>
      <c r="T614" s="4"/>
      <c r="U614" s="4" t="str">
        <f>IFERROR(__xludf.DUMMYFUNCTION("""COMPUTED_VALUE"""),"BAIK")</f>
        <v>BAIK</v>
      </c>
      <c r="V614" s="4" t="str">
        <f>IFERROR(__xludf.DUMMYFUNCTION("""COMPUTED_VALUE"""),"Tidak Ada")</f>
        <v>Tidak Ada</v>
      </c>
      <c r="W614" s="4"/>
      <c r="X614" s="4"/>
      <c r="Y614" s="4"/>
      <c r="Z614" s="4"/>
      <c r="AA614" s="4"/>
      <c r="AB614" s="4"/>
      <c r="AC614" s="4" t="str">
        <f>IFERROR(__xludf.DUMMYFUNCTION("""COMPUTED_VALUE"""),"INSPEKSI SUTM - T2_Images/dab03c25.FOTO.013604.jpg")</f>
        <v>INSPEKSI SUTM - T2_Images/dab03c25.FOTO.013604.jpg</v>
      </c>
      <c r="AD614" s="4"/>
      <c r="AE614" s="4"/>
      <c r="AF614" s="4" t="str">
        <f>IFERROR(__xludf.DUMMYFUNCTION("""COMPUTED_VALUE"""),"BELUM")</f>
        <v>BELUM</v>
      </c>
      <c r="AG614" s="6">
        <f>IFERROR(__xludf.DUMMYFUNCTION("""COMPUTED_VALUE"""),46084.0)</f>
        <v>46084</v>
      </c>
      <c r="AH614" s="4"/>
      <c r="AI614" s="4"/>
    </row>
    <row r="615" ht="15.75" customHeight="1">
      <c r="A615" s="4" t="str">
        <f>IFERROR(__xludf.DUMMYFUNCTION("""COMPUTED_VALUE"""),"74daab96")</f>
        <v>74daab96</v>
      </c>
      <c r="B615" s="5">
        <f>IFERROR(__xludf.DUMMYFUNCTION("""COMPUTED_VALUE"""),46084.89996527778)</f>
        <v>46084.89997</v>
      </c>
      <c r="C615" s="4" t="str">
        <f>IFERROR(__xludf.DUMMYFUNCTION("""COMPUTED_VALUE"""),"-6.949021, 107.611636")</f>
        <v>-6.949021, 107.611636</v>
      </c>
      <c r="D615" s="4" t="str">
        <f>IFERROR(__xludf.DUMMYFUNCTION("""COMPUTED_VALUE"""),"Nugi Firman")</f>
        <v>Nugi Firman</v>
      </c>
      <c r="E615" s="4" t="str">
        <f>IFERROR(__xludf.DUMMYFUNCTION("""COMPUTED_VALUE"""),"BANDUNG")</f>
        <v>BANDUNG</v>
      </c>
      <c r="F615" s="4" t="str">
        <f>IFERROR(__xludf.DUMMYFUNCTION("""COMPUTED_VALUE"""),"KOPO")</f>
        <v>KOPO</v>
      </c>
      <c r="G615" s="4" t="str">
        <f>IFERROR(__xludf.DUMMYFUNCTION("""COMPUTED_VALUE"""),"NEW CIBEUREUM")</f>
        <v>NEW CIBEUREUM</v>
      </c>
      <c r="H615" s="4" t="str">
        <f>IFERROR(__xludf.DUMMYFUNCTION("""COMPUTED_VALUE"""),"WHB")</f>
        <v>WHB</v>
      </c>
      <c r="I615" s="4" t="str">
        <f>IFERROR(__xludf.DUMMYFUNCTION("""COMPUTED_VALUE"""),"LBS EDY - ITD")</f>
        <v>LBS EDY - ITD</v>
      </c>
      <c r="J615" s="4" t="str">
        <f>IFERROR(__xludf.DUMMYFUNCTION("""COMPUTED_VALUE"""),"ZONA 2")</f>
        <v>ZONA 2</v>
      </c>
      <c r="K615" s="4" t="str">
        <f>IFERROR(__xludf.DUMMYFUNCTION("""COMPUTED_VALUE"""),"025")</f>
        <v>025</v>
      </c>
      <c r="L615" s="4" t="str">
        <f>IFERROR(__xludf.DUMMYFUNCTION("""COMPUTED_VALUE"""),"TM - 10B/H (Dua Percabangan)")</f>
        <v>TM - 10B/H (Dua Percabangan)</v>
      </c>
      <c r="M615" s="4" t="str">
        <f>IFERROR(__xludf.DUMMYFUNCTION("""COMPUTED_VALUE"""),"Tidak Ada")</f>
        <v>Tidak Ada</v>
      </c>
      <c r="N615" s="4"/>
      <c r="O615" s="4" t="str">
        <f>IFERROR(__xludf.DUMMYFUNCTION("""COMPUTED_VALUE"""),"PEMBANDING SEJENIS")</f>
        <v>PEMBANDING SEJENIS</v>
      </c>
      <c r="P615" s="4" t="str">
        <f>IFERROR(__xludf.DUMMYFUNCTION("""COMPUTED_VALUE"""),"KONEKTOR/JUMPER")</f>
        <v>KONEKTOR/JUMPER</v>
      </c>
      <c r="Q615" s="4">
        <f>IFERROR(__xludf.DUMMYFUNCTION("""COMPUTED_VALUE"""),23.0)</f>
        <v>23</v>
      </c>
      <c r="R615" s="4">
        <f>IFERROR(__xludf.DUMMYFUNCTION("""COMPUTED_VALUE"""),23.0)</f>
        <v>23</v>
      </c>
      <c r="S615" s="4">
        <f>IFERROR(__xludf.DUMMYFUNCTION("""COMPUTED_VALUE"""),21.0)</f>
        <v>21</v>
      </c>
      <c r="T615" s="4"/>
      <c r="U615" s="4" t="str">
        <f>IFERROR(__xludf.DUMMYFUNCTION("""COMPUTED_VALUE"""),"BAIK")</f>
        <v>BAIK</v>
      </c>
      <c r="V615" s="4" t="str">
        <f>IFERROR(__xludf.DUMMYFUNCTION("""COMPUTED_VALUE"""),"Tidak Ada")</f>
        <v>Tidak Ada</v>
      </c>
      <c r="W615" s="4"/>
      <c r="X615" s="4"/>
      <c r="Y615" s="4"/>
      <c r="Z615" s="4"/>
      <c r="AA615" s="4"/>
      <c r="AB615" s="4"/>
      <c r="AC615" s="4" t="str">
        <f>IFERROR(__xludf.DUMMYFUNCTION("""COMPUTED_VALUE"""),"INSPEKSI SUTM - T2_Images/74daab96.FOTO.013640.jpg")</f>
        <v>INSPEKSI SUTM - T2_Images/74daab96.FOTO.013640.jpg</v>
      </c>
      <c r="AD615" s="4"/>
      <c r="AE615" s="4"/>
      <c r="AF615" s="4" t="str">
        <f>IFERROR(__xludf.DUMMYFUNCTION("""COMPUTED_VALUE"""),"BELUM")</f>
        <v>BELUM</v>
      </c>
      <c r="AG615" s="6">
        <f>IFERROR(__xludf.DUMMYFUNCTION("""COMPUTED_VALUE"""),46084.0)</f>
        <v>46084</v>
      </c>
      <c r="AH615" s="4"/>
      <c r="AI615" s="4"/>
    </row>
    <row r="616" ht="15.75" customHeight="1">
      <c r="A616" s="4" t="str">
        <f>IFERROR(__xludf.DUMMYFUNCTION("""COMPUTED_VALUE"""),"9e4dd8f9")</f>
        <v>9e4dd8f9</v>
      </c>
      <c r="B616" s="5">
        <f>IFERROR(__xludf.DUMMYFUNCTION("""COMPUTED_VALUE"""),46084.90039351852)</f>
        <v>46084.90039</v>
      </c>
      <c r="C616" s="4" t="str">
        <f>IFERROR(__xludf.DUMMYFUNCTION("""COMPUTED_VALUE"""),"-6.949021, 107.611636")</f>
        <v>-6.949021, 107.611636</v>
      </c>
      <c r="D616" s="4" t="str">
        <f>IFERROR(__xludf.DUMMYFUNCTION("""COMPUTED_VALUE"""),"Nugi Firman")</f>
        <v>Nugi Firman</v>
      </c>
      <c r="E616" s="4" t="str">
        <f>IFERROR(__xludf.DUMMYFUNCTION("""COMPUTED_VALUE"""),"BANDUNG")</f>
        <v>BANDUNG</v>
      </c>
      <c r="F616" s="4" t="str">
        <f>IFERROR(__xludf.DUMMYFUNCTION("""COMPUTED_VALUE"""),"KOPO")</f>
        <v>KOPO</v>
      </c>
      <c r="G616" s="4" t="str">
        <f>IFERROR(__xludf.DUMMYFUNCTION("""COMPUTED_VALUE"""),"NEW CIBEUREUM")</f>
        <v>NEW CIBEUREUM</v>
      </c>
      <c r="H616" s="4" t="str">
        <f>IFERROR(__xludf.DUMMYFUNCTION("""COMPUTED_VALUE"""),"WHB")</f>
        <v>WHB</v>
      </c>
      <c r="I616" s="4" t="str">
        <f>IFERROR(__xludf.DUMMYFUNCTION("""COMPUTED_VALUE"""),"LBS EDY - ITD")</f>
        <v>LBS EDY - ITD</v>
      </c>
      <c r="J616" s="4" t="str">
        <f>IFERROR(__xludf.DUMMYFUNCTION("""COMPUTED_VALUE"""),"ZONA 2")</f>
        <v>ZONA 2</v>
      </c>
      <c r="K616" s="4" t="str">
        <f>IFERROR(__xludf.DUMMYFUNCTION("""COMPUTED_VALUE"""),"025L03")</f>
        <v>025L03</v>
      </c>
      <c r="L616" s="4" t="str">
        <f>IFERROR(__xludf.DUMMYFUNCTION("""COMPUTED_VALUE"""),"TM - 13B/H (Kabel Naik Pada Tiang Tumpu)")</f>
        <v>TM - 13B/H (Kabel Naik Pada Tiang Tumpu)</v>
      </c>
      <c r="M616" s="4" t="str">
        <f>IFERROR(__xludf.DUMMYFUNCTION("""COMPUTED_VALUE"""),"Tidak Ada")</f>
        <v>Tidak Ada</v>
      </c>
      <c r="N616" s="4"/>
      <c r="O616" s="4" t="str">
        <f>IFERROR(__xludf.DUMMYFUNCTION("""COMPUTED_VALUE"""),"PEMBANDING SEJENIS")</f>
        <v>PEMBANDING SEJENIS</v>
      </c>
      <c r="P616" s="4" t="str">
        <f>IFERROR(__xludf.DUMMYFUNCTION("""COMPUTED_VALUE"""),"KONEKTOR/JUMPER")</f>
        <v>KONEKTOR/JUMPER</v>
      </c>
      <c r="Q616" s="4">
        <f>IFERROR(__xludf.DUMMYFUNCTION("""COMPUTED_VALUE"""),23.0)</f>
        <v>23</v>
      </c>
      <c r="R616" s="4">
        <f>IFERROR(__xludf.DUMMYFUNCTION("""COMPUTED_VALUE"""),24.0)</f>
        <v>24</v>
      </c>
      <c r="S616" s="4">
        <f>IFERROR(__xludf.DUMMYFUNCTION("""COMPUTED_VALUE"""),24.0)</f>
        <v>24</v>
      </c>
      <c r="T616" s="4"/>
      <c r="U616" s="4" t="str">
        <f>IFERROR(__xludf.DUMMYFUNCTION("""COMPUTED_VALUE"""),"BAIK")</f>
        <v>BAIK</v>
      </c>
      <c r="V616" s="4" t="str">
        <f>IFERROR(__xludf.DUMMYFUNCTION("""COMPUTED_VALUE"""),"Tidak Ada")</f>
        <v>Tidak Ada</v>
      </c>
      <c r="W616" s="4"/>
      <c r="X616" s="4"/>
      <c r="Y616" s="4"/>
      <c r="Z616" s="4"/>
      <c r="AA616" s="4"/>
      <c r="AB616" s="4"/>
      <c r="AC616" s="4" t="str">
        <f>IFERROR(__xludf.DUMMYFUNCTION("""COMPUTED_VALUE"""),"INSPEKSI SUTM - T2_Images/9e4dd8f9.FOTO.013729.jpg")</f>
        <v>INSPEKSI SUTM - T2_Images/9e4dd8f9.FOTO.013729.jpg</v>
      </c>
      <c r="AD616" s="4"/>
      <c r="AE616" s="4"/>
      <c r="AF616" s="4" t="str">
        <f>IFERROR(__xludf.DUMMYFUNCTION("""COMPUTED_VALUE"""),"BELUM")</f>
        <v>BELUM</v>
      </c>
      <c r="AG616" s="6">
        <f>IFERROR(__xludf.DUMMYFUNCTION("""COMPUTED_VALUE"""),46084.0)</f>
        <v>46084</v>
      </c>
      <c r="AH616" s="4"/>
      <c r="AI616" s="4"/>
    </row>
    <row r="617" ht="15.75" customHeight="1">
      <c r="A617" s="4" t="str">
        <f>IFERROR(__xludf.DUMMYFUNCTION("""COMPUTED_VALUE"""),"7b8aa88e")</f>
        <v>7b8aa88e</v>
      </c>
      <c r="B617" s="5">
        <f>IFERROR(__xludf.DUMMYFUNCTION("""COMPUTED_VALUE"""),46084.900983796295)</f>
        <v>46084.90098</v>
      </c>
      <c r="C617" s="4" t="str">
        <f>IFERROR(__xludf.DUMMYFUNCTION("""COMPUTED_VALUE"""),"-6.949065, 107.611667")</f>
        <v>-6.949065, 107.611667</v>
      </c>
      <c r="D617" s="4" t="str">
        <f>IFERROR(__xludf.DUMMYFUNCTION("""COMPUTED_VALUE"""),"Nugi Firman")</f>
        <v>Nugi Firman</v>
      </c>
      <c r="E617" s="4" t="str">
        <f>IFERROR(__xludf.DUMMYFUNCTION("""COMPUTED_VALUE"""),"BANDUNG")</f>
        <v>BANDUNG</v>
      </c>
      <c r="F617" s="4" t="str">
        <f>IFERROR(__xludf.DUMMYFUNCTION("""COMPUTED_VALUE"""),"KOPO")</f>
        <v>KOPO</v>
      </c>
      <c r="G617" s="4" t="str">
        <f>IFERROR(__xludf.DUMMYFUNCTION("""COMPUTED_VALUE"""),"NEW CIBEUREUM")</f>
        <v>NEW CIBEUREUM</v>
      </c>
      <c r="H617" s="4" t="str">
        <f>IFERROR(__xludf.DUMMYFUNCTION("""COMPUTED_VALUE"""),"WHB")</f>
        <v>WHB</v>
      </c>
      <c r="I617" s="4" t="str">
        <f>IFERROR(__xludf.DUMMYFUNCTION("""COMPUTED_VALUE"""),"LBS EDY - ITD")</f>
        <v>LBS EDY - ITD</v>
      </c>
      <c r="J617" s="4" t="str">
        <f>IFERROR(__xludf.DUMMYFUNCTION("""COMPUTED_VALUE"""),"ZONA 2")</f>
        <v>ZONA 2</v>
      </c>
      <c r="K617" s="4" t="str">
        <f>IFERROR(__xludf.DUMMYFUNCTION("""COMPUTED_VALUE"""),"025L05")</f>
        <v>025L05</v>
      </c>
      <c r="L617" s="4" t="str">
        <f>IFERROR(__xludf.DUMMYFUNCTION("""COMPUTED_VALUE"""),"TM - 14B/H (Akhir)")</f>
        <v>TM - 14B/H (Akhir)</v>
      </c>
      <c r="M617" s="4" t="str">
        <f>IFERROR(__xludf.DUMMYFUNCTION("""COMPUTED_VALUE"""),"Tidak Ada")</f>
        <v>Tidak Ada</v>
      </c>
      <c r="N617" s="4"/>
      <c r="O617" s="4" t="str">
        <f>IFERROR(__xludf.DUMMYFUNCTION("""COMPUTED_VALUE"""),"PEMBANDING SEJENIS")</f>
        <v>PEMBANDING SEJENIS</v>
      </c>
      <c r="P617" s="4" t="str">
        <f>IFERROR(__xludf.DUMMYFUNCTION("""COMPUTED_VALUE"""),"KONEKTOR/JUMPER")</f>
        <v>KONEKTOR/JUMPER</v>
      </c>
      <c r="Q617" s="4">
        <f>IFERROR(__xludf.DUMMYFUNCTION("""COMPUTED_VALUE"""),25.0)</f>
        <v>25</v>
      </c>
      <c r="R617" s="4">
        <f>IFERROR(__xludf.DUMMYFUNCTION("""COMPUTED_VALUE"""),24.0)</f>
        <v>24</v>
      </c>
      <c r="S617" s="4">
        <f>IFERROR(__xludf.DUMMYFUNCTION("""COMPUTED_VALUE"""),21.0)</f>
        <v>21</v>
      </c>
      <c r="T617" s="4"/>
      <c r="U617" s="4" t="str">
        <f>IFERROR(__xludf.DUMMYFUNCTION("""COMPUTED_VALUE"""),"CUKUP")</f>
        <v>CUKUP</v>
      </c>
      <c r="V617" s="4" t="str">
        <f>IFERROR(__xludf.DUMMYFUNCTION("""COMPUTED_VALUE"""),"Tidak Ada")</f>
        <v>Tidak Ada</v>
      </c>
      <c r="W617" s="4"/>
      <c r="X617" s="4"/>
      <c r="Y617" s="4"/>
      <c r="Z617" s="4"/>
      <c r="AA617" s="4"/>
      <c r="AB617" s="4"/>
      <c r="AC617" s="4" t="str">
        <f>IFERROR(__xludf.DUMMYFUNCTION("""COMPUTED_VALUE"""),"INSPEKSI SUTM - T2_Images/7b8aa88e.FOTO.013851.jpg")</f>
        <v>INSPEKSI SUTM - T2_Images/7b8aa88e.FOTO.013851.jpg</v>
      </c>
      <c r="AD617" s="4"/>
      <c r="AE617" s="4"/>
      <c r="AF617" s="4" t="str">
        <f>IFERROR(__xludf.DUMMYFUNCTION("""COMPUTED_VALUE"""),"BELUM")</f>
        <v>BELUM</v>
      </c>
      <c r="AG617" s="6">
        <f>IFERROR(__xludf.DUMMYFUNCTION("""COMPUTED_VALUE"""),46084.0)</f>
        <v>46084</v>
      </c>
      <c r="AH617" s="4"/>
      <c r="AI617" s="4"/>
    </row>
    <row r="618" ht="15.75" customHeight="1">
      <c r="A618" s="4" t="str">
        <f>IFERROR(__xludf.DUMMYFUNCTION("""COMPUTED_VALUE"""),"43c8fe61")</f>
        <v>43c8fe61</v>
      </c>
      <c r="B618" s="5">
        <f>IFERROR(__xludf.DUMMYFUNCTION("""COMPUTED_VALUE"""),46084.90193287037)</f>
        <v>46084.90193</v>
      </c>
      <c r="C618" s="4" t="str">
        <f>IFERROR(__xludf.DUMMYFUNCTION("""COMPUTED_VALUE"""),"-6.949043, 107.611638")</f>
        <v>-6.949043, 107.611638</v>
      </c>
      <c r="D618" s="4" t="str">
        <f>IFERROR(__xludf.DUMMYFUNCTION("""COMPUTED_VALUE"""),"Nugi Firman")</f>
        <v>Nugi Firman</v>
      </c>
      <c r="E618" s="4" t="str">
        <f>IFERROR(__xludf.DUMMYFUNCTION("""COMPUTED_VALUE"""),"BANDUNG")</f>
        <v>BANDUNG</v>
      </c>
      <c r="F618" s="4" t="str">
        <f>IFERROR(__xludf.DUMMYFUNCTION("""COMPUTED_VALUE"""),"KOPO")</f>
        <v>KOPO</v>
      </c>
      <c r="G618" s="4" t="str">
        <f>IFERROR(__xludf.DUMMYFUNCTION("""COMPUTED_VALUE"""),"NEW CIBEUREUM")</f>
        <v>NEW CIBEUREUM</v>
      </c>
      <c r="H618" s="4" t="str">
        <f>IFERROR(__xludf.DUMMYFUNCTION("""COMPUTED_VALUE"""),"WHB")</f>
        <v>WHB</v>
      </c>
      <c r="I618" s="4" t="str">
        <f>IFERROR(__xludf.DUMMYFUNCTION("""COMPUTED_VALUE"""),"LBS EDY - ITD")</f>
        <v>LBS EDY - ITD</v>
      </c>
      <c r="J618" s="4" t="str">
        <f>IFERROR(__xludf.DUMMYFUNCTION("""COMPUTED_VALUE"""),"ZONA 2")</f>
        <v>ZONA 2</v>
      </c>
      <c r="K618" s="4" t="str">
        <f>IFERROR(__xludf.DUMMYFUNCTION("""COMPUTED_VALUE"""),"025L06")</f>
        <v>025L06</v>
      </c>
      <c r="L618" s="4" t="str">
        <f>IFERROR(__xludf.DUMMYFUNCTION("""COMPUTED_VALUE"""),"TM - 8B/H (Percabangan)")</f>
        <v>TM - 8B/H (Percabangan)</v>
      </c>
      <c r="M618" s="4" t="str">
        <f>IFERROR(__xludf.DUMMYFUNCTION("""COMPUTED_VALUE"""),"Tidak Ada")</f>
        <v>Tidak Ada</v>
      </c>
      <c r="N618" s="4"/>
      <c r="O618" s="4" t="str">
        <f>IFERROR(__xludf.DUMMYFUNCTION("""COMPUTED_VALUE"""),"PEMBANDING SEJENIS")</f>
        <v>PEMBANDING SEJENIS</v>
      </c>
      <c r="P618" s="4" t="str">
        <f>IFERROR(__xludf.DUMMYFUNCTION("""COMPUTED_VALUE"""),"KONEKTOR/JUMPER")</f>
        <v>KONEKTOR/JUMPER</v>
      </c>
      <c r="Q618" s="4">
        <f>IFERROR(__xludf.DUMMYFUNCTION("""COMPUTED_VALUE"""),23.0)</f>
        <v>23</v>
      </c>
      <c r="R618" s="4">
        <f>IFERROR(__xludf.DUMMYFUNCTION("""COMPUTED_VALUE"""),22.0)</f>
        <v>22</v>
      </c>
      <c r="S618" s="4">
        <f>IFERROR(__xludf.DUMMYFUNCTION("""COMPUTED_VALUE"""),22.0)</f>
        <v>22</v>
      </c>
      <c r="T618" s="4"/>
      <c r="U618" s="4" t="str">
        <f>IFERROR(__xludf.DUMMYFUNCTION("""COMPUTED_VALUE"""),"BAIK")</f>
        <v>BAIK</v>
      </c>
      <c r="V618" s="4" t="str">
        <f>IFERROR(__xludf.DUMMYFUNCTION("""COMPUTED_VALUE"""),"Tidak Ada")</f>
        <v>Tidak Ada</v>
      </c>
      <c r="W618" s="4"/>
      <c r="X618" s="4"/>
      <c r="Y618" s="4"/>
      <c r="Z618" s="4"/>
      <c r="AA618" s="4"/>
      <c r="AB618" s="4"/>
      <c r="AC618" s="4" t="str">
        <f>IFERROR(__xludf.DUMMYFUNCTION("""COMPUTED_VALUE"""),"INSPEKSI SUTM - T2_Images/43c8fe61.FOTO.013932.jpg")</f>
        <v>INSPEKSI SUTM - T2_Images/43c8fe61.FOTO.013932.jpg</v>
      </c>
      <c r="AD618" s="4"/>
      <c r="AE618" s="4"/>
      <c r="AF618" s="4" t="str">
        <f>IFERROR(__xludf.DUMMYFUNCTION("""COMPUTED_VALUE"""),"BELUM")</f>
        <v>BELUM</v>
      </c>
      <c r="AG618" s="6">
        <f>IFERROR(__xludf.DUMMYFUNCTION("""COMPUTED_VALUE"""),46084.0)</f>
        <v>46084</v>
      </c>
      <c r="AH618" s="4"/>
      <c r="AI618" s="4"/>
    </row>
    <row r="619" ht="15.75" customHeight="1">
      <c r="A619" s="4" t="str">
        <f>IFERROR(__xludf.DUMMYFUNCTION("""COMPUTED_VALUE"""),"772f2079")</f>
        <v>772f2079</v>
      </c>
      <c r="B619" s="5">
        <f>IFERROR(__xludf.DUMMYFUNCTION("""COMPUTED_VALUE"""),46084.90238425926)</f>
        <v>46084.90238</v>
      </c>
      <c r="C619" s="4" t="str">
        <f>IFERROR(__xludf.DUMMYFUNCTION("""COMPUTED_VALUE"""),"-6.949058, 107.611685")</f>
        <v>-6.949058, 107.611685</v>
      </c>
      <c r="D619" s="4" t="str">
        <f>IFERROR(__xludf.DUMMYFUNCTION("""COMPUTED_VALUE"""),"Nugi Firman")</f>
        <v>Nugi Firman</v>
      </c>
      <c r="E619" s="4" t="str">
        <f>IFERROR(__xludf.DUMMYFUNCTION("""COMPUTED_VALUE"""),"BANDUNG")</f>
        <v>BANDUNG</v>
      </c>
      <c r="F619" s="4" t="str">
        <f>IFERROR(__xludf.DUMMYFUNCTION("""COMPUTED_VALUE"""),"KOPO")</f>
        <v>KOPO</v>
      </c>
      <c r="G619" s="4" t="str">
        <f>IFERROR(__xludf.DUMMYFUNCTION("""COMPUTED_VALUE"""),"NEW CIBEUREUM")</f>
        <v>NEW CIBEUREUM</v>
      </c>
      <c r="H619" s="4" t="str">
        <f>IFERROR(__xludf.DUMMYFUNCTION("""COMPUTED_VALUE"""),"WHB")</f>
        <v>WHB</v>
      </c>
      <c r="I619" s="4" t="str">
        <f>IFERROR(__xludf.DUMMYFUNCTION("""COMPUTED_VALUE"""),"LBS EDY - ITD")</f>
        <v>LBS EDY - ITD</v>
      </c>
      <c r="J619" s="4" t="str">
        <f>IFERROR(__xludf.DUMMYFUNCTION("""COMPUTED_VALUE"""),"ZONA 2")</f>
        <v>ZONA 2</v>
      </c>
      <c r="K619" s="4" t="str">
        <f>IFERROR(__xludf.DUMMYFUNCTION("""COMPUTED_VALUE"""),"025L08")</f>
        <v>025L08</v>
      </c>
      <c r="L619" s="4" t="str">
        <f>IFERROR(__xludf.DUMMYFUNCTION("""COMPUTED_VALUE"""),"TM - 14B/H (Akhir)")</f>
        <v>TM - 14B/H (Akhir)</v>
      </c>
      <c r="M619" s="4" t="str">
        <f>IFERROR(__xludf.DUMMYFUNCTION("""COMPUTED_VALUE"""),"Tidak Ada")</f>
        <v>Tidak Ada</v>
      </c>
      <c r="N619" s="4"/>
      <c r="O619" s="4" t="str">
        <f>IFERROR(__xludf.DUMMYFUNCTION("""COMPUTED_VALUE"""),"PEMBANDING SEJENIS")</f>
        <v>PEMBANDING SEJENIS</v>
      </c>
      <c r="P619" s="4" t="str">
        <f>IFERROR(__xludf.DUMMYFUNCTION("""COMPUTED_VALUE"""),"KONEKTOR/JUMPER")</f>
        <v>KONEKTOR/JUMPER</v>
      </c>
      <c r="Q619" s="4">
        <f>IFERROR(__xludf.DUMMYFUNCTION("""COMPUTED_VALUE"""),22.0)</f>
        <v>22</v>
      </c>
      <c r="R619" s="4">
        <f>IFERROR(__xludf.DUMMYFUNCTION("""COMPUTED_VALUE"""),25.0)</f>
        <v>25</v>
      </c>
      <c r="S619" s="4">
        <f>IFERROR(__xludf.DUMMYFUNCTION("""COMPUTED_VALUE"""),24.0)</f>
        <v>24</v>
      </c>
      <c r="T619" s="4"/>
      <c r="U619" s="4" t="str">
        <f>IFERROR(__xludf.DUMMYFUNCTION("""COMPUTED_VALUE"""),"CUKUP")</f>
        <v>CUKUP</v>
      </c>
      <c r="V619" s="4" t="str">
        <f>IFERROR(__xludf.DUMMYFUNCTION("""COMPUTED_VALUE"""),"Tidak Ada")</f>
        <v>Tidak Ada</v>
      </c>
      <c r="W619" s="4"/>
      <c r="X619" s="4"/>
      <c r="Y619" s="4"/>
      <c r="Z619" s="4"/>
      <c r="AA619" s="4"/>
      <c r="AB619" s="4"/>
      <c r="AC619" s="4" t="str">
        <f>IFERROR(__xludf.DUMMYFUNCTION("""COMPUTED_VALUE"""),"INSPEKSI SUTM - T2_Images/772f2079.FOTO.014011.jpg")</f>
        <v>INSPEKSI SUTM - T2_Images/772f2079.FOTO.014011.jpg</v>
      </c>
      <c r="AD619" s="4"/>
      <c r="AE619" s="4"/>
      <c r="AF619" s="4" t="str">
        <f>IFERROR(__xludf.DUMMYFUNCTION("""COMPUTED_VALUE"""),"BELUM")</f>
        <v>BELUM</v>
      </c>
      <c r="AG619" s="6">
        <f>IFERROR(__xludf.DUMMYFUNCTION("""COMPUTED_VALUE"""),46084.0)</f>
        <v>46084</v>
      </c>
      <c r="AH619" s="4"/>
      <c r="AI619" s="4"/>
    </row>
    <row r="620" ht="15.75" customHeight="1">
      <c r="A620" s="4" t="str">
        <f>IFERROR(__xludf.DUMMYFUNCTION("""COMPUTED_VALUE"""),"f4952025")</f>
        <v>f4952025</v>
      </c>
      <c r="B620" s="5">
        <f>IFERROR(__xludf.DUMMYFUNCTION("""COMPUTED_VALUE"""),46084.90284722222)</f>
        <v>46084.90285</v>
      </c>
      <c r="C620" s="4" t="str">
        <f>IFERROR(__xludf.DUMMYFUNCTION("""COMPUTED_VALUE"""),"-6.949056, 107.611662")</f>
        <v>-6.949056, 107.611662</v>
      </c>
      <c r="D620" s="4" t="str">
        <f>IFERROR(__xludf.DUMMYFUNCTION("""COMPUTED_VALUE"""),"Nugi Firman")</f>
        <v>Nugi Firman</v>
      </c>
      <c r="E620" s="4" t="str">
        <f>IFERROR(__xludf.DUMMYFUNCTION("""COMPUTED_VALUE"""),"BANDUNG")</f>
        <v>BANDUNG</v>
      </c>
      <c r="F620" s="4" t="str">
        <f>IFERROR(__xludf.DUMMYFUNCTION("""COMPUTED_VALUE"""),"KOPO")</f>
        <v>KOPO</v>
      </c>
      <c r="G620" s="4" t="str">
        <f>IFERROR(__xludf.DUMMYFUNCTION("""COMPUTED_VALUE"""),"NEW CIBEUREUM")</f>
        <v>NEW CIBEUREUM</v>
      </c>
      <c r="H620" s="4" t="str">
        <f>IFERROR(__xludf.DUMMYFUNCTION("""COMPUTED_VALUE"""),"WHB")</f>
        <v>WHB</v>
      </c>
      <c r="I620" s="4" t="str">
        <f>IFERROR(__xludf.DUMMYFUNCTION("""COMPUTED_VALUE"""),"LBS EDY - ITD")</f>
        <v>LBS EDY - ITD</v>
      </c>
      <c r="J620" s="4" t="str">
        <f>IFERROR(__xludf.DUMMYFUNCTION("""COMPUTED_VALUE"""),"ZONA 2")</f>
        <v>ZONA 2</v>
      </c>
      <c r="K620" s="4" t="str">
        <f>IFERROR(__xludf.DUMMYFUNCTION("""COMPUTED_VALUE"""),"025R03")</f>
        <v>025R03</v>
      </c>
      <c r="L620" s="4" t="str">
        <f>IFERROR(__xludf.DUMMYFUNCTION("""COMPUTED_VALUE"""),"TM - 8B/H (Percabangan)")</f>
        <v>TM - 8B/H (Percabangan)</v>
      </c>
      <c r="M620" s="4" t="str">
        <f>IFERROR(__xludf.DUMMYFUNCTION("""COMPUTED_VALUE"""),"Tidak Ada")</f>
        <v>Tidak Ada</v>
      </c>
      <c r="N620" s="4"/>
      <c r="O620" s="4" t="str">
        <f>IFERROR(__xludf.DUMMYFUNCTION("""COMPUTED_VALUE"""),"PEMBANDING SEJENIS")</f>
        <v>PEMBANDING SEJENIS</v>
      </c>
      <c r="P620" s="4" t="str">
        <f>IFERROR(__xludf.DUMMYFUNCTION("""COMPUTED_VALUE"""),"KONEKTOR/JUMPER")</f>
        <v>KONEKTOR/JUMPER</v>
      </c>
      <c r="Q620" s="4">
        <f>IFERROR(__xludf.DUMMYFUNCTION("""COMPUTED_VALUE"""),22.0)</f>
        <v>22</v>
      </c>
      <c r="R620" s="4">
        <f>IFERROR(__xludf.DUMMYFUNCTION("""COMPUTED_VALUE"""),21.0)</f>
        <v>21</v>
      </c>
      <c r="S620" s="4">
        <f>IFERROR(__xludf.DUMMYFUNCTION("""COMPUTED_VALUE"""),23.0)</f>
        <v>23</v>
      </c>
      <c r="T620" s="4"/>
      <c r="U620" s="4" t="str">
        <f>IFERROR(__xludf.DUMMYFUNCTION("""COMPUTED_VALUE"""),"BAIK")</f>
        <v>BAIK</v>
      </c>
      <c r="V620" s="4" t="str">
        <f>IFERROR(__xludf.DUMMYFUNCTION("""COMPUTED_VALUE"""),"Tidak Ada")</f>
        <v>Tidak Ada</v>
      </c>
      <c r="W620" s="4"/>
      <c r="X620" s="4"/>
      <c r="Y620" s="4"/>
      <c r="Z620" s="4"/>
      <c r="AA620" s="4"/>
      <c r="AB620" s="4"/>
      <c r="AC620" s="4" t="str">
        <f>IFERROR(__xludf.DUMMYFUNCTION("""COMPUTED_VALUE"""),"INSPEKSI SUTM - T2_Images/f4952025.FOTO.014055.jpg")</f>
        <v>INSPEKSI SUTM - T2_Images/f4952025.FOTO.014055.jpg</v>
      </c>
      <c r="AD620" s="4"/>
      <c r="AE620" s="4"/>
      <c r="AF620" s="4" t="str">
        <f>IFERROR(__xludf.DUMMYFUNCTION("""COMPUTED_VALUE"""),"BELUM")</f>
        <v>BELUM</v>
      </c>
      <c r="AG620" s="6">
        <f>IFERROR(__xludf.DUMMYFUNCTION("""COMPUTED_VALUE"""),46084.0)</f>
        <v>46084</v>
      </c>
      <c r="AH620" s="4"/>
      <c r="AI620" s="4"/>
    </row>
    <row r="621" ht="15.75" customHeight="1">
      <c r="A621" s="4" t="str">
        <f>IFERROR(__xludf.DUMMYFUNCTION("""COMPUTED_VALUE"""),"65e5dd16")</f>
        <v>65e5dd16</v>
      </c>
      <c r="B621" s="5">
        <f>IFERROR(__xludf.DUMMYFUNCTION("""COMPUTED_VALUE"""),46084.903333333335)</f>
        <v>46084.90333</v>
      </c>
      <c r="C621" s="4" t="str">
        <f>IFERROR(__xludf.DUMMYFUNCTION("""COMPUTED_VALUE"""),"-6.949040, 107.611664")</f>
        <v>-6.949040, 107.611664</v>
      </c>
      <c r="D621" s="4" t="str">
        <f>IFERROR(__xludf.DUMMYFUNCTION("""COMPUTED_VALUE"""),"Nugi Firman")</f>
        <v>Nugi Firman</v>
      </c>
      <c r="E621" s="4" t="str">
        <f>IFERROR(__xludf.DUMMYFUNCTION("""COMPUTED_VALUE"""),"BANDUNG")</f>
        <v>BANDUNG</v>
      </c>
      <c r="F621" s="4" t="str">
        <f>IFERROR(__xludf.DUMMYFUNCTION("""COMPUTED_VALUE"""),"KOPO")</f>
        <v>KOPO</v>
      </c>
      <c r="G621" s="4" t="str">
        <f>IFERROR(__xludf.DUMMYFUNCTION("""COMPUTED_VALUE"""),"NEW CIBEUREUM")</f>
        <v>NEW CIBEUREUM</v>
      </c>
      <c r="H621" s="4" t="str">
        <f>IFERROR(__xludf.DUMMYFUNCTION("""COMPUTED_VALUE"""),"WHB")</f>
        <v>WHB</v>
      </c>
      <c r="I621" s="4" t="str">
        <f>IFERROR(__xludf.DUMMYFUNCTION("""COMPUTED_VALUE"""),"LBS EDY - ITD")</f>
        <v>LBS EDY - ITD</v>
      </c>
      <c r="J621" s="4" t="str">
        <f>IFERROR(__xludf.DUMMYFUNCTION("""COMPUTED_VALUE"""),"ZONA 2")</f>
        <v>ZONA 2</v>
      </c>
      <c r="K621" s="4" t="str">
        <f>IFERROR(__xludf.DUMMYFUNCTION("""COMPUTED_VALUE"""),"025R03L02")</f>
        <v>025R03L02</v>
      </c>
      <c r="L621" s="4" t="str">
        <f>IFERROR(__xludf.DUMMYFUNCTION("""COMPUTED_VALUE"""),"TM - 7B/H (Afspan 90 Derajat)")</f>
        <v>TM - 7B/H (Afspan 90 Derajat)</v>
      </c>
      <c r="M621" s="4" t="str">
        <f>IFERROR(__xludf.DUMMYFUNCTION("""COMPUTED_VALUE"""),"Tidak Ada")</f>
        <v>Tidak Ada</v>
      </c>
      <c r="N621" s="4"/>
      <c r="O621" s="4" t="str">
        <f>IFERROR(__xludf.DUMMYFUNCTION("""COMPUTED_VALUE"""),"PEMBANDING SEJENIS")</f>
        <v>PEMBANDING SEJENIS</v>
      </c>
      <c r="P621" s="4" t="str">
        <f>IFERROR(__xludf.DUMMYFUNCTION("""COMPUTED_VALUE"""),"KONEKTOR/JUMPER")</f>
        <v>KONEKTOR/JUMPER</v>
      </c>
      <c r="Q621" s="4">
        <f>IFERROR(__xludf.DUMMYFUNCTION("""COMPUTED_VALUE"""),23.0)</f>
        <v>23</v>
      </c>
      <c r="R621" s="4">
        <f>IFERROR(__xludf.DUMMYFUNCTION("""COMPUTED_VALUE"""),23.0)</f>
        <v>23</v>
      </c>
      <c r="S621" s="4">
        <f>IFERROR(__xludf.DUMMYFUNCTION("""COMPUTED_VALUE"""),22.0)</f>
        <v>22</v>
      </c>
      <c r="T621" s="4"/>
      <c r="U621" s="4" t="str">
        <f>IFERROR(__xludf.DUMMYFUNCTION("""COMPUTED_VALUE"""),"BAIK")</f>
        <v>BAIK</v>
      </c>
      <c r="V621" s="4" t="str">
        <f>IFERROR(__xludf.DUMMYFUNCTION("""COMPUTED_VALUE"""),"Tidak Ada")</f>
        <v>Tidak Ada</v>
      </c>
      <c r="W621" s="4"/>
      <c r="X621" s="4"/>
      <c r="Y621" s="4"/>
      <c r="Z621" s="4"/>
      <c r="AA621" s="4"/>
      <c r="AB621" s="4"/>
      <c r="AC621" s="4" t="str">
        <f>IFERROR(__xludf.DUMMYFUNCTION("""COMPUTED_VALUE"""),"INSPEKSI SUTM - T2_Images/65e5dd16.FOTO.014139.jpg")</f>
        <v>INSPEKSI SUTM - T2_Images/65e5dd16.FOTO.014139.jpg</v>
      </c>
      <c r="AD621" s="4"/>
      <c r="AE621" s="4"/>
      <c r="AF621" s="4" t="str">
        <f>IFERROR(__xludf.DUMMYFUNCTION("""COMPUTED_VALUE"""),"BELUM")</f>
        <v>BELUM</v>
      </c>
      <c r="AG621" s="6">
        <f>IFERROR(__xludf.DUMMYFUNCTION("""COMPUTED_VALUE"""),46084.0)</f>
        <v>46084</v>
      </c>
      <c r="AH621" s="4"/>
      <c r="AI621" s="4"/>
    </row>
    <row r="622" ht="15.75" customHeight="1">
      <c r="A622" s="4" t="str">
        <f>IFERROR(__xludf.DUMMYFUNCTION("""COMPUTED_VALUE"""),"e2b936e6")</f>
        <v>e2b936e6</v>
      </c>
      <c r="B622" s="5">
        <f>IFERROR(__xludf.DUMMYFUNCTION("""COMPUTED_VALUE"""),46084.90393518518)</f>
        <v>46084.90394</v>
      </c>
      <c r="C622" s="4" t="str">
        <f>IFERROR(__xludf.DUMMYFUNCTION("""COMPUTED_VALUE"""),"-6.949033, 107.611645")</f>
        <v>-6.949033, 107.611645</v>
      </c>
      <c r="D622" s="4" t="str">
        <f>IFERROR(__xludf.DUMMYFUNCTION("""COMPUTED_VALUE"""),"Nugi Firman")</f>
        <v>Nugi Firman</v>
      </c>
      <c r="E622" s="4" t="str">
        <f>IFERROR(__xludf.DUMMYFUNCTION("""COMPUTED_VALUE"""),"BANDUNG")</f>
        <v>BANDUNG</v>
      </c>
      <c r="F622" s="4" t="str">
        <f>IFERROR(__xludf.DUMMYFUNCTION("""COMPUTED_VALUE"""),"KOPO")</f>
        <v>KOPO</v>
      </c>
      <c r="G622" s="4" t="str">
        <f>IFERROR(__xludf.DUMMYFUNCTION("""COMPUTED_VALUE"""),"NEW CIBEUREUM")</f>
        <v>NEW CIBEUREUM</v>
      </c>
      <c r="H622" s="4" t="str">
        <f>IFERROR(__xludf.DUMMYFUNCTION("""COMPUTED_VALUE"""),"WHB")</f>
        <v>WHB</v>
      </c>
      <c r="I622" s="4" t="str">
        <f>IFERROR(__xludf.DUMMYFUNCTION("""COMPUTED_VALUE"""),"LBS EDY - ITD")</f>
        <v>LBS EDY - ITD</v>
      </c>
      <c r="J622" s="4" t="str">
        <f>IFERROR(__xludf.DUMMYFUNCTION("""COMPUTED_VALUE"""),"ZONA 2")</f>
        <v>ZONA 2</v>
      </c>
      <c r="K622" s="4" t="str">
        <f>IFERROR(__xludf.DUMMYFUNCTION("""COMPUTED_VALUE"""),"025R03L04")</f>
        <v>025R03L04</v>
      </c>
      <c r="L622" s="4" t="str">
        <f>IFERROR(__xludf.DUMMYFUNCTION("""COMPUTED_VALUE"""),"TM - 7B/H (Afspan 90 Derajat)")</f>
        <v>TM - 7B/H (Afspan 90 Derajat)</v>
      </c>
      <c r="M622" s="4" t="str">
        <f>IFERROR(__xludf.DUMMYFUNCTION("""COMPUTED_VALUE"""),"Tidak Ada")</f>
        <v>Tidak Ada</v>
      </c>
      <c r="N622" s="4"/>
      <c r="O622" s="4" t="str">
        <f>IFERROR(__xludf.DUMMYFUNCTION("""COMPUTED_VALUE"""),"PEMBANDING SEJENIS")</f>
        <v>PEMBANDING SEJENIS</v>
      </c>
      <c r="P622" s="4" t="str">
        <f>IFERROR(__xludf.DUMMYFUNCTION("""COMPUTED_VALUE"""),"KONEKTOR/JUMPER")</f>
        <v>KONEKTOR/JUMPER</v>
      </c>
      <c r="Q622" s="4">
        <f>IFERROR(__xludf.DUMMYFUNCTION("""COMPUTED_VALUE"""),23.0)</f>
        <v>23</v>
      </c>
      <c r="R622" s="4">
        <f>IFERROR(__xludf.DUMMYFUNCTION("""COMPUTED_VALUE"""),23.0)</f>
        <v>23</v>
      </c>
      <c r="S622" s="4">
        <f>IFERROR(__xludf.DUMMYFUNCTION("""COMPUTED_VALUE"""),23.0)</f>
        <v>23</v>
      </c>
      <c r="T622" s="4"/>
      <c r="U622" s="4" t="str">
        <f>IFERROR(__xludf.DUMMYFUNCTION("""COMPUTED_VALUE"""),"BAIK")</f>
        <v>BAIK</v>
      </c>
      <c r="V622" s="4" t="str">
        <f>IFERROR(__xludf.DUMMYFUNCTION("""COMPUTED_VALUE"""),"Tidak Ada")</f>
        <v>Tidak Ada</v>
      </c>
      <c r="W622" s="4"/>
      <c r="X622" s="4"/>
      <c r="Y622" s="4"/>
      <c r="Z622" s="4"/>
      <c r="AA622" s="4"/>
      <c r="AB622" s="4"/>
      <c r="AC622" s="4" t="str">
        <f>IFERROR(__xludf.DUMMYFUNCTION("""COMPUTED_VALUE"""),"INSPEKSI SUTM - T2_Images/e2b936e6.FOTO.014227.jpg")</f>
        <v>INSPEKSI SUTM - T2_Images/e2b936e6.FOTO.014227.jpg</v>
      </c>
      <c r="AD622" s="4"/>
      <c r="AE622" s="4"/>
      <c r="AF622" s="4" t="str">
        <f>IFERROR(__xludf.DUMMYFUNCTION("""COMPUTED_VALUE"""),"BELUM")</f>
        <v>BELUM</v>
      </c>
      <c r="AG622" s="6">
        <f>IFERROR(__xludf.DUMMYFUNCTION("""COMPUTED_VALUE"""),46084.0)</f>
        <v>46084</v>
      </c>
      <c r="AH622" s="4"/>
      <c r="AI622" s="4"/>
    </row>
    <row r="623" ht="15.75" customHeight="1">
      <c r="A623" s="4" t="str">
        <f>IFERROR(__xludf.DUMMYFUNCTION("""COMPUTED_VALUE"""),"498bfe7e")</f>
        <v>498bfe7e</v>
      </c>
      <c r="B623" s="5">
        <f>IFERROR(__xludf.DUMMYFUNCTION("""COMPUTED_VALUE"""),46084.904398148145)</f>
        <v>46084.9044</v>
      </c>
      <c r="C623" s="4" t="str">
        <f>IFERROR(__xludf.DUMMYFUNCTION("""COMPUTED_VALUE"""),"-6.949141, 107.611711")</f>
        <v>-6.949141, 107.611711</v>
      </c>
      <c r="D623" s="4" t="str">
        <f>IFERROR(__xludf.DUMMYFUNCTION("""COMPUTED_VALUE"""),"Nugi Firman")</f>
        <v>Nugi Firman</v>
      </c>
      <c r="E623" s="4" t="str">
        <f>IFERROR(__xludf.DUMMYFUNCTION("""COMPUTED_VALUE"""),"BANDUNG")</f>
        <v>BANDUNG</v>
      </c>
      <c r="F623" s="4" t="str">
        <f>IFERROR(__xludf.DUMMYFUNCTION("""COMPUTED_VALUE"""),"KOPO")</f>
        <v>KOPO</v>
      </c>
      <c r="G623" s="4" t="str">
        <f>IFERROR(__xludf.DUMMYFUNCTION("""COMPUTED_VALUE"""),"NEW CIBEUREUM")</f>
        <v>NEW CIBEUREUM</v>
      </c>
      <c r="H623" s="4" t="str">
        <f>IFERROR(__xludf.DUMMYFUNCTION("""COMPUTED_VALUE"""),"WHB")</f>
        <v>WHB</v>
      </c>
      <c r="I623" s="4" t="str">
        <f>IFERROR(__xludf.DUMMYFUNCTION("""COMPUTED_VALUE"""),"LBS EDY - ITD")</f>
        <v>LBS EDY - ITD</v>
      </c>
      <c r="J623" s="4" t="str">
        <f>IFERROR(__xludf.DUMMYFUNCTION("""COMPUTED_VALUE"""),"ZONA 2")</f>
        <v>ZONA 2</v>
      </c>
      <c r="K623" s="4" t="str">
        <f>IFERROR(__xludf.DUMMYFUNCTION("""COMPUTED_VALUE"""),"025R03L05")</f>
        <v>025R03L05</v>
      </c>
      <c r="L623" s="4" t="str">
        <f>IFERROR(__xludf.DUMMYFUNCTION("""COMPUTED_VALUE"""),"TM - 14B/H (Akhir)")</f>
        <v>TM - 14B/H (Akhir)</v>
      </c>
      <c r="M623" s="4" t="str">
        <f>IFERROR(__xludf.DUMMYFUNCTION("""COMPUTED_VALUE"""),"Tidak Ada")</f>
        <v>Tidak Ada</v>
      </c>
      <c r="N623" s="4"/>
      <c r="O623" s="4" t="str">
        <f>IFERROR(__xludf.DUMMYFUNCTION("""COMPUTED_VALUE"""),"PEMBANDING SEJENIS")</f>
        <v>PEMBANDING SEJENIS</v>
      </c>
      <c r="P623" s="4" t="str">
        <f>IFERROR(__xludf.DUMMYFUNCTION("""COMPUTED_VALUE"""),"KONEKTOR/JUMPER")</f>
        <v>KONEKTOR/JUMPER</v>
      </c>
      <c r="Q623" s="4">
        <f>IFERROR(__xludf.DUMMYFUNCTION("""COMPUTED_VALUE"""),22.0)</f>
        <v>22</v>
      </c>
      <c r="R623" s="4">
        <f>IFERROR(__xludf.DUMMYFUNCTION("""COMPUTED_VALUE"""),21.0)</f>
        <v>21</v>
      </c>
      <c r="S623" s="4">
        <f>IFERROR(__xludf.DUMMYFUNCTION("""COMPUTED_VALUE"""),21.0)</f>
        <v>21</v>
      </c>
      <c r="T623" s="4"/>
      <c r="U623" s="4" t="str">
        <f>IFERROR(__xludf.DUMMYFUNCTION("""COMPUTED_VALUE"""),"BAIK")</f>
        <v>BAIK</v>
      </c>
      <c r="V623" s="4" t="str">
        <f>IFERROR(__xludf.DUMMYFUNCTION("""COMPUTED_VALUE"""),"Tidak Ada")</f>
        <v>Tidak Ada</v>
      </c>
      <c r="W623" s="4"/>
      <c r="X623" s="4"/>
      <c r="Y623" s="4"/>
      <c r="Z623" s="4"/>
      <c r="AA623" s="4"/>
      <c r="AB623" s="4"/>
      <c r="AC623" s="4" t="str">
        <f>IFERROR(__xludf.DUMMYFUNCTION("""COMPUTED_VALUE"""),"INSPEKSI SUTM - T2_Images/498bfe7e.FOTO.014302.jpg")</f>
        <v>INSPEKSI SUTM - T2_Images/498bfe7e.FOTO.014302.jpg</v>
      </c>
      <c r="AD623" s="4"/>
      <c r="AE623" s="4"/>
      <c r="AF623" s="4" t="str">
        <f>IFERROR(__xludf.DUMMYFUNCTION("""COMPUTED_VALUE"""),"BELUM")</f>
        <v>BELUM</v>
      </c>
      <c r="AG623" s="6">
        <f>IFERROR(__xludf.DUMMYFUNCTION("""COMPUTED_VALUE"""),46084.0)</f>
        <v>46084</v>
      </c>
      <c r="AH623" s="4"/>
      <c r="AI623" s="4"/>
    </row>
    <row r="624" ht="15.75" customHeight="1">
      <c r="A624" s="4" t="str">
        <f>IFERROR(__xludf.DUMMYFUNCTION("""COMPUTED_VALUE"""),"89045ec5")</f>
        <v>89045ec5</v>
      </c>
      <c r="B624" s="5">
        <f>IFERROR(__xludf.DUMMYFUNCTION("""COMPUTED_VALUE"""),46084.904814814814)</f>
        <v>46084.90481</v>
      </c>
      <c r="C624" s="4" t="str">
        <f>IFERROR(__xludf.DUMMYFUNCTION("""COMPUTED_VALUE"""),"-6.948963, 107.611763")</f>
        <v>-6.948963, 107.611763</v>
      </c>
      <c r="D624" s="4" t="str">
        <f>IFERROR(__xludf.DUMMYFUNCTION("""COMPUTED_VALUE"""),"Nugi Firman")</f>
        <v>Nugi Firman</v>
      </c>
      <c r="E624" s="4" t="str">
        <f>IFERROR(__xludf.DUMMYFUNCTION("""COMPUTED_VALUE"""),"BANDUNG")</f>
        <v>BANDUNG</v>
      </c>
      <c r="F624" s="4" t="str">
        <f>IFERROR(__xludf.DUMMYFUNCTION("""COMPUTED_VALUE"""),"KOPO")</f>
        <v>KOPO</v>
      </c>
      <c r="G624" s="4" t="str">
        <f>IFERROR(__xludf.DUMMYFUNCTION("""COMPUTED_VALUE"""),"NEW CIBEUREUM")</f>
        <v>NEW CIBEUREUM</v>
      </c>
      <c r="H624" s="4" t="str">
        <f>IFERROR(__xludf.DUMMYFUNCTION("""COMPUTED_VALUE"""),"WHB")</f>
        <v>WHB</v>
      </c>
      <c r="I624" s="4" t="str">
        <f>IFERROR(__xludf.DUMMYFUNCTION("""COMPUTED_VALUE"""),"LBS EDY - ITD")</f>
        <v>LBS EDY - ITD</v>
      </c>
      <c r="J624" s="4" t="str">
        <f>IFERROR(__xludf.DUMMYFUNCTION("""COMPUTED_VALUE"""),"ZONA 2")</f>
        <v>ZONA 2</v>
      </c>
      <c r="K624" s="4" t="str">
        <f>IFERROR(__xludf.DUMMYFUNCTION("""COMPUTED_VALUE"""),"025R07")</f>
        <v>025R07</v>
      </c>
      <c r="L624" s="4" t="str">
        <f>IFERROR(__xludf.DUMMYFUNCTION("""COMPUTED_VALUE"""),"TM - 4B/H (Afspan)")</f>
        <v>TM - 4B/H (Afspan)</v>
      </c>
      <c r="M624" s="4" t="str">
        <f>IFERROR(__xludf.DUMMYFUNCTION("""COMPUTED_VALUE"""),"Tidak Ada")</f>
        <v>Tidak Ada</v>
      </c>
      <c r="N624" s="4"/>
      <c r="O624" s="4" t="str">
        <f>IFERROR(__xludf.DUMMYFUNCTION("""COMPUTED_VALUE"""),"PEMBANDING SEJENIS")</f>
        <v>PEMBANDING SEJENIS</v>
      </c>
      <c r="P624" s="4" t="str">
        <f>IFERROR(__xludf.DUMMYFUNCTION("""COMPUTED_VALUE"""),"KONEKTOR/JUMPER")</f>
        <v>KONEKTOR/JUMPER</v>
      </c>
      <c r="Q624" s="4">
        <f>IFERROR(__xludf.DUMMYFUNCTION("""COMPUTED_VALUE"""),24.0)</f>
        <v>24</v>
      </c>
      <c r="R624" s="4">
        <f>IFERROR(__xludf.DUMMYFUNCTION("""COMPUTED_VALUE"""),23.0)</f>
        <v>23</v>
      </c>
      <c r="S624" s="4">
        <f>IFERROR(__xludf.DUMMYFUNCTION("""COMPUTED_VALUE"""),24.0)</f>
        <v>24</v>
      </c>
      <c r="T624" s="4"/>
      <c r="U624" s="4" t="str">
        <f>IFERROR(__xludf.DUMMYFUNCTION("""COMPUTED_VALUE"""),"BAIK")</f>
        <v>BAIK</v>
      </c>
      <c r="V624" s="4" t="str">
        <f>IFERROR(__xludf.DUMMYFUNCTION("""COMPUTED_VALUE"""),"Tidak Ada")</f>
        <v>Tidak Ada</v>
      </c>
      <c r="W624" s="4"/>
      <c r="X624" s="4"/>
      <c r="Y624" s="4"/>
      <c r="Z624" s="4"/>
      <c r="AA624" s="4"/>
      <c r="AB624" s="4"/>
      <c r="AC624" s="4" t="str">
        <f>IFERROR(__xludf.DUMMYFUNCTION("""COMPUTED_VALUE"""),"INSPEKSI SUTM - T2_Images/89045ec5.FOTO.014342.jpg")</f>
        <v>INSPEKSI SUTM - T2_Images/89045ec5.FOTO.014342.jpg</v>
      </c>
      <c r="AD624" s="4"/>
      <c r="AE624" s="4"/>
      <c r="AF624" s="4" t="str">
        <f>IFERROR(__xludf.DUMMYFUNCTION("""COMPUTED_VALUE"""),"BELUM")</f>
        <v>BELUM</v>
      </c>
      <c r="AG624" s="6">
        <f>IFERROR(__xludf.DUMMYFUNCTION("""COMPUTED_VALUE"""),46084.0)</f>
        <v>46084</v>
      </c>
      <c r="AH624" s="4"/>
      <c r="AI624" s="4"/>
    </row>
    <row r="625" ht="15.75" customHeight="1">
      <c r="A625" s="4" t="str">
        <f>IFERROR(__xludf.DUMMYFUNCTION("""COMPUTED_VALUE"""),"e966f9c0")</f>
        <v>e966f9c0</v>
      </c>
      <c r="B625" s="5">
        <f>IFERROR(__xludf.DUMMYFUNCTION("""COMPUTED_VALUE"""),46084.90526620371)</f>
        <v>46084.90527</v>
      </c>
      <c r="C625" s="4" t="str">
        <f>IFERROR(__xludf.DUMMYFUNCTION("""COMPUTED_VALUE"""),"-6.948963, 107.611763")</f>
        <v>-6.948963, 107.611763</v>
      </c>
      <c r="D625" s="4" t="str">
        <f>IFERROR(__xludf.DUMMYFUNCTION("""COMPUTED_VALUE"""),"Nugi fuad")</f>
        <v>Nugi fuad</v>
      </c>
      <c r="E625" s="4" t="str">
        <f>IFERROR(__xludf.DUMMYFUNCTION("""COMPUTED_VALUE"""),"BANDUNG")</f>
        <v>BANDUNG</v>
      </c>
      <c r="F625" s="4" t="str">
        <f>IFERROR(__xludf.DUMMYFUNCTION("""COMPUTED_VALUE"""),"KOPO")</f>
        <v>KOPO</v>
      </c>
      <c r="G625" s="4" t="str">
        <f>IFERROR(__xludf.DUMMYFUNCTION("""COMPUTED_VALUE"""),"NEW CIBEUREUM")</f>
        <v>NEW CIBEUREUM</v>
      </c>
      <c r="H625" s="4" t="str">
        <f>IFERROR(__xludf.DUMMYFUNCTION("""COMPUTED_VALUE"""),"WHB")</f>
        <v>WHB</v>
      </c>
      <c r="I625" s="4" t="str">
        <f>IFERROR(__xludf.DUMMYFUNCTION("""COMPUTED_VALUE"""),"LBS EDY - ITD")</f>
        <v>LBS EDY - ITD</v>
      </c>
      <c r="J625" s="4" t="str">
        <f>IFERROR(__xludf.DUMMYFUNCTION("""COMPUTED_VALUE"""),"ZONA 2")</f>
        <v>ZONA 2</v>
      </c>
      <c r="K625" s="4" t="str">
        <f>IFERROR(__xludf.DUMMYFUNCTION("""COMPUTED_VALUE"""),"025R14")</f>
        <v>025R14</v>
      </c>
      <c r="L625" s="4" t="str">
        <f>IFERROR(__xludf.DUMMYFUNCTION("""COMPUTED_VALUE"""),"TM - 7B/H (Afspan 90 Derajat)")</f>
        <v>TM - 7B/H (Afspan 90 Derajat)</v>
      </c>
      <c r="M625" s="4" t="str">
        <f>IFERROR(__xludf.DUMMYFUNCTION("""COMPUTED_VALUE"""),"Tidak Ada")</f>
        <v>Tidak Ada</v>
      </c>
      <c r="N625" s="4"/>
      <c r="O625" s="4" t="str">
        <f>IFERROR(__xludf.DUMMYFUNCTION("""COMPUTED_VALUE"""),"PEMBANDING SEJENIS")</f>
        <v>PEMBANDING SEJENIS</v>
      </c>
      <c r="P625" s="4" t="str">
        <f>IFERROR(__xludf.DUMMYFUNCTION("""COMPUTED_VALUE"""),"KONEKTOR/JUMPER")</f>
        <v>KONEKTOR/JUMPER</v>
      </c>
      <c r="Q625" s="4">
        <f>IFERROR(__xludf.DUMMYFUNCTION("""COMPUTED_VALUE"""),25.0)</f>
        <v>25</v>
      </c>
      <c r="R625" s="4">
        <f>IFERROR(__xludf.DUMMYFUNCTION("""COMPUTED_VALUE"""),25.0)</f>
        <v>25</v>
      </c>
      <c r="S625" s="4">
        <f>IFERROR(__xludf.DUMMYFUNCTION("""COMPUTED_VALUE"""),24.0)</f>
        <v>24</v>
      </c>
      <c r="T625" s="4"/>
      <c r="U625" s="4" t="str">
        <f>IFERROR(__xludf.DUMMYFUNCTION("""COMPUTED_VALUE"""),"BAIK")</f>
        <v>BAIK</v>
      </c>
      <c r="V625" s="4" t="str">
        <f>IFERROR(__xludf.DUMMYFUNCTION("""COMPUTED_VALUE"""),"Tidak Ada")</f>
        <v>Tidak Ada</v>
      </c>
      <c r="W625" s="4"/>
      <c r="X625" s="4"/>
      <c r="Y625" s="4"/>
      <c r="Z625" s="4"/>
      <c r="AA625" s="4"/>
      <c r="AB625" s="4"/>
      <c r="AC625" s="4" t="str">
        <f>IFERROR(__xludf.DUMMYFUNCTION("""COMPUTED_VALUE"""),"INSPEKSI SUTM - T2_Images/e966f9c0.FOTO.014415.jpg")</f>
        <v>INSPEKSI SUTM - T2_Images/e966f9c0.FOTO.014415.jpg</v>
      </c>
      <c r="AD625" s="4"/>
      <c r="AE625" s="4"/>
      <c r="AF625" s="4" t="str">
        <f>IFERROR(__xludf.DUMMYFUNCTION("""COMPUTED_VALUE"""),"BELUM")</f>
        <v>BELUM</v>
      </c>
      <c r="AG625" s="6">
        <f>IFERROR(__xludf.DUMMYFUNCTION("""COMPUTED_VALUE"""),46084.0)</f>
        <v>46084</v>
      </c>
      <c r="AH625" s="4"/>
      <c r="AI625" s="4"/>
    </row>
    <row r="626" ht="15.75" customHeight="1">
      <c r="A626" s="4" t="str">
        <f>IFERROR(__xludf.DUMMYFUNCTION("""COMPUTED_VALUE"""),"9a748d6a")</f>
        <v>9a748d6a</v>
      </c>
      <c r="B626" s="5">
        <f>IFERROR(__xludf.DUMMYFUNCTION("""COMPUTED_VALUE"""),46084.905752314815)</f>
        <v>46084.90575</v>
      </c>
      <c r="C626" s="4" t="str">
        <f>IFERROR(__xludf.DUMMYFUNCTION("""COMPUTED_VALUE"""),"-6.949076, 107.611816")</f>
        <v>-6.949076, 107.611816</v>
      </c>
      <c r="D626" s="4" t="str">
        <f>IFERROR(__xludf.DUMMYFUNCTION("""COMPUTED_VALUE"""),"Nugi Firman")</f>
        <v>Nugi Firman</v>
      </c>
      <c r="E626" s="4" t="str">
        <f>IFERROR(__xludf.DUMMYFUNCTION("""COMPUTED_VALUE"""),"BANDUNG")</f>
        <v>BANDUNG</v>
      </c>
      <c r="F626" s="4" t="str">
        <f>IFERROR(__xludf.DUMMYFUNCTION("""COMPUTED_VALUE"""),"KOPO")</f>
        <v>KOPO</v>
      </c>
      <c r="G626" s="4" t="str">
        <f>IFERROR(__xludf.DUMMYFUNCTION("""COMPUTED_VALUE"""),"NEW CIBEUREUM")</f>
        <v>NEW CIBEUREUM</v>
      </c>
      <c r="H626" s="4" t="str">
        <f>IFERROR(__xludf.DUMMYFUNCTION("""COMPUTED_VALUE"""),"WHB")</f>
        <v>WHB</v>
      </c>
      <c r="I626" s="4" t="str">
        <f>IFERROR(__xludf.DUMMYFUNCTION("""COMPUTED_VALUE"""),"LBS EDY - ITD")</f>
        <v>LBS EDY - ITD</v>
      </c>
      <c r="J626" s="4" t="str">
        <f>IFERROR(__xludf.DUMMYFUNCTION("""COMPUTED_VALUE"""),"ZONA 2")</f>
        <v>ZONA 2</v>
      </c>
      <c r="K626" s="4" t="str">
        <f>IFERROR(__xludf.DUMMYFUNCTION("""COMPUTED_VALUE"""),"025R17")</f>
        <v>025R17</v>
      </c>
      <c r="L626" s="4" t="str">
        <f>IFERROR(__xludf.DUMMYFUNCTION("""COMPUTED_VALUE"""),"TM - 13B/H (Kabel Naik Pada Tiang Tumpu)")</f>
        <v>TM - 13B/H (Kabel Naik Pada Tiang Tumpu)</v>
      </c>
      <c r="M626" s="4" t="str">
        <f>IFERROR(__xludf.DUMMYFUNCTION("""COMPUTED_VALUE"""),"Tidak Ada")</f>
        <v>Tidak Ada</v>
      </c>
      <c r="N626" s="4"/>
      <c r="O626" s="4" t="str">
        <f>IFERROR(__xludf.DUMMYFUNCTION("""COMPUTED_VALUE"""),"PEMBANDING SEJENIS")</f>
        <v>PEMBANDING SEJENIS</v>
      </c>
      <c r="P626" s="4" t="str">
        <f>IFERROR(__xludf.DUMMYFUNCTION("""COMPUTED_VALUE"""),"KONEKTOR/JUMPER")</f>
        <v>KONEKTOR/JUMPER</v>
      </c>
      <c r="Q626" s="4">
        <f>IFERROR(__xludf.DUMMYFUNCTION("""COMPUTED_VALUE"""),23.0)</f>
        <v>23</v>
      </c>
      <c r="R626" s="4">
        <f>IFERROR(__xludf.DUMMYFUNCTION("""COMPUTED_VALUE"""),24.0)</f>
        <v>24</v>
      </c>
      <c r="S626" s="4">
        <f>IFERROR(__xludf.DUMMYFUNCTION("""COMPUTED_VALUE"""),24.0)</f>
        <v>24</v>
      </c>
      <c r="T626" s="4"/>
      <c r="U626" s="4" t="str">
        <f>IFERROR(__xludf.DUMMYFUNCTION("""COMPUTED_VALUE"""),"BAIK")</f>
        <v>BAIK</v>
      </c>
      <c r="V626" s="4" t="str">
        <f>IFERROR(__xludf.DUMMYFUNCTION("""COMPUTED_VALUE"""),"Tidak Ada")</f>
        <v>Tidak Ada</v>
      </c>
      <c r="W626" s="4"/>
      <c r="X626" s="4"/>
      <c r="Y626" s="4"/>
      <c r="Z626" s="4"/>
      <c r="AA626" s="4"/>
      <c r="AB626" s="4"/>
      <c r="AC626" s="4" t="str">
        <f>IFERROR(__xludf.DUMMYFUNCTION("""COMPUTED_VALUE"""),"INSPEKSI SUTM - T2_Images/9a748d6a.FOTO.014506.jpg")</f>
        <v>INSPEKSI SUTM - T2_Images/9a748d6a.FOTO.014506.jpg</v>
      </c>
      <c r="AD626" s="4"/>
      <c r="AE626" s="4"/>
      <c r="AF626" s="4" t="str">
        <f>IFERROR(__xludf.DUMMYFUNCTION("""COMPUTED_VALUE"""),"BELUM")</f>
        <v>BELUM</v>
      </c>
      <c r="AG626" s="6">
        <f>IFERROR(__xludf.DUMMYFUNCTION("""COMPUTED_VALUE"""),46084.0)</f>
        <v>46084</v>
      </c>
      <c r="AH626" s="4"/>
      <c r="AI626" s="4"/>
    </row>
    <row r="627" ht="15.75" customHeight="1">
      <c r="A627" s="4" t="str">
        <f>IFERROR(__xludf.DUMMYFUNCTION("""COMPUTED_VALUE"""),"183c3d52")</f>
        <v>183c3d52</v>
      </c>
      <c r="B627" s="5">
        <f>IFERROR(__xludf.DUMMYFUNCTION("""COMPUTED_VALUE"""),46084.90623842592)</f>
        <v>46084.90624</v>
      </c>
      <c r="C627" s="4" t="str">
        <f>IFERROR(__xludf.DUMMYFUNCTION("""COMPUTED_VALUE"""),"-6.949076, 107.611816")</f>
        <v>-6.949076, 107.611816</v>
      </c>
      <c r="D627" s="4" t="str">
        <f>IFERROR(__xludf.DUMMYFUNCTION("""COMPUTED_VALUE"""),"Nugi Firman")</f>
        <v>Nugi Firman</v>
      </c>
      <c r="E627" s="4" t="str">
        <f>IFERROR(__xludf.DUMMYFUNCTION("""COMPUTED_VALUE"""),"BANDUNG")</f>
        <v>BANDUNG</v>
      </c>
      <c r="F627" s="4" t="str">
        <f>IFERROR(__xludf.DUMMYFUNCTION("""COMPUTED_VALUE"""),"KOPO")</f>
        <v>KOPO</v>
      </c>
      <c r="G627" s="4" t="str">
        <f>IFERROR(__xludf.DUMMYFUNCTION("""COMPUTED_VALUE"""),"NEW CIBEUREUM")</f>
        <v>NEW CIBEUREUM</v>
      </c>
      <c r="H627" s="4" t="str">
        <f>IFERROR(__xludf.DUMMYFUNCTION("""COMPUTED_VALUE"""),"WHB")</f>
        <v>WHB</v>
      </c>
      <c r="I627" s="4" t="str">
        <f>IFERROR(__xludf.DUMMYFUNCTION("""COMPUTED_VALUE"""),"LBS EDY - ITD")</f>
        <v>LBS EDY - ITD</v>
      </c>
      <c r="J627" s="4" t="str">
        <f>IFERROR(__xludf.DUMMYFUNCTION("""COMPUTED_VALUE"""),"ZONA 2")</f>
        <v>ZONA 2</v>
      </c>
      <c r="K627" s="4" t="str">
        <f>IFERROR(__xludf.DUMMYFUNCTION("""COMPUTED_VALUE"""),"025R18")</f>
        <v>025R18</v>
      </c>
      <c r="L627" s="4" t="str">
        <f>IFERROR(__xludf.DUMMYFUNCTION("""COMPUTED_VALUE"""),"TM - 14B/H (Akhir)")</f>
        <v>TM - 14B/H (Akhir)</v>
      </c>
      <c r="M627" s="4" t="str">
        <f>IFERROR(__xludf.DUMMYFUNCTION("""COMPUTED_VALUE"""),"Tidak Ada")</f>
        <v>Tidak Ada</v>
      </c>
      <c r="N627" s="4"/>
      <c r="O627" s="4" t="str">
        <f>IFERROR(__xludf.DUMMYFUNCTION("""COMPUTED_VALUE"""),"PEMBANDING SEJENIS")</f>
        <v>PEMBANDING SEJENIS</v>
      </c>
      <c r="P627" s="4" t="str">
        <f>IFERROR(__xludf.DUMMYFUNCTION("""COMPUTED_VALUE"""),"KONEKTOR/JUMPER")</f>
        <v>KONEKTOR/JUMPER</v>
      </c>
      <c r="Q627" s="4">
        <f>IFERROR(__xludf.DUMMYFUNCTION("""COMPUTED_VALUE"""),23.0)</f>
        <v>23</v>
      </c>
      <c r="R627" s="4">
        <f>IFERROR(__xludf.DUMMYFUNCTION("""COMPUTED_VALUE"""),23.0)</f>
        <v>23</v>
      </c>
      <c r="S627" s="4">
        <f>IFERROR(__xludf.DUMMYFUNCTION("""COMPUTED_VALUE"""),23.0)</f>
        <v>23</v>
      </c>
      <c r="T627" s="4"/>
      <c r="U627" s="4" t="str">
        <f>IFERROR(__xludf.DUMMYFUNCTION("""COMPUTED_VALUE"""),"BAIK")</f>
        <v>BAIK</v>
      </c>
      <c r="V627" s="4" t="str">
        <f>IFERROR(__xludf.DUMMYFUNCTION("""COMPUTED_VALUE"""),"Tidak Ada")</f>
        <v>Tidak Ada</v>
      </c>
      <c r="W627" s="4"/>
      <c r="X627" s="4"/>
      <c r="Y627" s="4"/>
      <c r="Z627" s="4"/>
      <c r="AA627" s="4"/>
      <c r="AB627" s="4"/>
      <c r="AC627" s="4" t="str">
        <f>IFERROR(__xludf.DUMMYFUNCTION("""COMPUTED_VALUE"""),"INSPEKSI SUTM - T2_Images/183c3d52.FOTO.014544.jpg")</f>
        <v>INSPEKSI SUTM - T2_Images/183c3d52.FOTO.014544.jpg</v>
      </c>
      <c r="AD627" s="4"/>
      <c r="AE627" s="4"/>
      <c r="AF627" s="4" t="str">
        <f>IFERROR(__xludf.DUMMYFUNCTION("""COMPUTED_VALUE"""),"BELUM")</f>
        <v>BELUM</v>
      </c>
      <c r="AG627" s="6">
        <f>IFERROR(__xludf.DUMMYFUNCTION("""COMPUTED_VALUE"""),46084.0)</f>
        <v>46084</v>
      </c>
      <c r="AH627" s="4"/>
      <c r="AI627" s="4"/>
    </row>
    <row r="628" ht="15.75" customHeight="1">
      <c r="A628" s="4" t="str">
        <f>IFERROR(__xludf.DUMMYFUNCTION("""COMPUTED_VALUE"""),"ff268b89")</f>
        <v>ff268b89</v>
      </c>
      <c r="B628" s="5">
        <f>IFERROR(__xludf.DUMMYFUNCTION("""COMPUTED_VALUE"""),46084.906689814816)</f>
        <v>46084.90669</v>
      </c>
      <c r="C628" s="4" t="str">
        <f>IFERROR(__xludf.DUMMYFUNCTION("""COMPUTED_VALUE"""),"-6.949065, 107.611660")</f>
        <v>-6.949065, 107.611660</v>
      </c>
      <c r="D628" s="4" t="str">
        <f>IFERROR(__xludf.DUMMYFUNCTION("""COMPUTED_VALUE"""),"Nugi Girman")</f>
        <v>Nugi Girman</v>
      </c>
      <c r="E628" s="4" t="str">
        <f>IFERROR(__xludf.DUMMYFUNCTION("""COMPUTED_VALUE"""),"BANDUNG")</f>
        <v>BANDUNG</v>
      </c>
      <c r="F628" s="4" t="str">
        <f>IFERROR(__xludf.DUMMYFUNCTION("""COMPUTED_VALUE"""),"KOPO")</f>
        <v>KOPO</v>
      </c>
      <c r="G628" s="4" t="str">
        <f>IFERROR(__xludf.DUMMYFUNCTION("""COMPUTED_VALUE"""),"NEW CIBEUREUM")</f>
        <v>NEW CIBEUREUM</v>
      </c>
      <c r="H628" s="4" t="str">
        <f>IFERROR(__xludf.DUMMYFUNCTION("""COMPUTED_VALUE"""),"WHB")</f>
        <v>WHB</v>
      </c>
      <c r="I628" s="4" t="str">
        <f>IFERROR(__xludf.DUMMYFUNCTION("""COMPUTED_VALUE"""),"LBS EDY - ITD")</f>
        <v>LBS EDY - ITD</v>
      </c>
      <c r="J628" s="4" t="str">
        <f>IFERROR(__xludf.DUMMYFUNCTION("""COMPUTED_VALUE"""),"ZONA 2")</f>
        <v>ZONA 2</v>
      </c>
      <c r="K628" s="4" t="str">
        <f>IFERROR(__xludf.DUMMYFUNCTION("""COMPUTED_VALUE"""),"026")</f>
        <v>026</v>
      </c>
      <c r="L628" s="4" t="str">
        <f>IFERROR(__xludf.DUMMYFUNCTION("""COMPUTED_VALUE"""),"TM - 11B/H (Kabel Naik)")</f>
        <v>TM - 11B/H (Kabel Naik)</v>
      </c>
      <c r="M628" s="4" t="str">
        <f>IFERROR(__xludf.DUMMYFUNCTION("""COMPUTED_VALUE"""),"Tidak Ada")</f>
        <v>Tidak Ada</v>
      </c>
      <c r="N628" s="4"/>
      <c r="O628" s="4" t="str">
        <f>IFERROR(__xludf.DUMMYFUNCTION("""COMPUTED_VALUE"""),"PEMBANDING SEJENIS")</f>
        <v>PEMBANDING SEJENIS</v>
      </c>
      <c r="P628" s="4" t="str">
        <f>IFERROR(__xludf.DUMMYFUNCTION("""COMPUTED_VALUE"""),"KONEKTOR/JUMPER")</f>
        <v>KONEKTOR/JUMPER</v>
      </c>
      <c r="Q628" s="4">
        <f>IFERROR(__xludf.DUMMYFUNCTION("""COMPUTED_VALUE"""),23.0)</f>
        <v>23</v>
      </c>
      <c r="R628" s="4">
        <f>IFERROR(__xludf.DUMMYFUNCTION("""COMPUTED_VALUE"""),24.0)</f>
        <v>24</v>
      </c>
      <c r="S628" s="4">
        <f>IFERROR(__xludf.DUMMYFUNCTION("""COMPUTED_VALUE"""),23.0)</f>
        <v>23</v>
      </c>
      <c r="T628" s="4"/>
      <c r="U628" s="4" t="str">
        <f>IFERROR(__xludf.DUMMYFUNCTION("""COMPUTED_VALUE"""),"BAIK")</f>
        <v>BAIK</v>
      </c>
      <c r="V628" s="4" t="str">
        <f>IFERROR(__xludf.DUMMYFUNCTION("""COMPUTED_VALUE"""),"Tidak Ada")</f>
        <v>Tidak Ada</v>
      </c>
      <c r="W628" s="4"/>
      <c r="X628" s="4"/>
      <c r="Y628" s="4"/>
      <c r="Z628" s="4"/>
      <c r="AA628" s="4"/>
      <c r="AB628" s="4"/>
      <c r="AC628" s="4" t="str">
        <f>IFERROR(__xludf.DUMMYFUNCTION("""COMPUTED_VALUE"""),"INSPEKSI SUTM - T2_Images/ff268b89.FOTO.014638.jpg")</f>
        <v>INSPEKSI SUTM - T2_Images/ff268b89.FOTO.014638.jpg</v>
      </c>
      <c r="AD628" s="4"/>
      <c r="AE628" s="4"/>
      <c r="AF628" s="4" t="str">
        <f>IFERROR(__xludf.DUMMYFUNCTION("""COMPUTED_VALUE"""),"BELUM")</f>
        <v>BELUM</v>
      </c>
      <c r="AG628" s="6">
        <f>IFERROR(__xludf.DUMMYFUNCTION("""COMPUTED_VALUE"""),46084.0)</f>
        <v>46084</v>
      </c>
      <c r="AH628" s="4"/>
      <c r="AI628" s="4"/>
    </row>
    <row r="629" ht="15.75" customHeight="1">
      <c r="A629" s="4" t="str">
        <f>IFERROR(__xludf.DUMMYFUNCTION("""COMPUTED_VALUE"""),"62b1e2a6")</f>
        <v>62b1e2a6</v>
      </c>
      <c r="B629" s="5">
        <f>IFERROR(__xludf.DUMMYFUNCTION("""COMPUTED_VALUE"""),46084.90728009259)</f>
        <v>46084.90728</v>
      </c>
      <c r="C629" s="4" t="str">
        <f>IFERROR(__xludf.DUMMYFUNCTION("""COMPUTED_VALUE"""),"-6.949023, 107.611647")</f>
        <v>-6.949023, 107.611647</v>
      </c>
      <c r="D629" s="4" t="str">
        <f>IFERROR(__xludf.DUMMYFUNCTION("""COMPUTED_VALUE"""),"Nugi Firman")</f>
        <v>Nugi Firman</v>
      </c>
      <c r="E629" s="4" t="str">
        <f>IFERROR(__xludf.DUMMYFUNCTION("""COMPUTED_VALUE"""),"BANDUNG")</f>
        <v>BANDUNG</v>
      </c>
      <c r="F629" s="4" t="str">
        <f>IFERROR(__xludf.DUMMYFUNCTION("""COMPUTED_VALUE"""),"KOPO")</f>
        <v>KOPO</v>
      </c>
      <c r="G629" s="4" t="str">
        <f>IFERROR(__xludf.DUMMYFUNCTION("""COMPUTED_VALUE"""),"NEW CIBEUREUM")</f>
        <v>NEW CIBEUREUM</v>
      </c>
      <c r="H629" s="4" t="str">
        <f>IFERROR(__xludf.DUMMYFUNCTION("""COMPUTED_VALUE"""),"WHB")</f>
        <v>WHB</v>
      </c>
      <c r="I629" s="4" t="str">
        <f>IFERROR(__xludf.DUMMYFUNCTION("""COMPUTED_VALUE"""),"LBS EDY - ITD")</f>
        <v>LBS EDY - ITD</v>
      </c>
      <c r="J629" s="4" t="str">
        <f>IFERROR(__xludf.DUMMYFUNCTION("""COMPUTED_VALUE"""),"ZONA 2")</f>
        <v>ZONA 2</v>
      </c>
      <c r="K629" s="4" t="str">
        <f>IFERROR(__xludf.DUMMYFUNCTION("""COMPUTED_VALUE"""),"027")</f>
        <v>027</v>
      </c>
      <c r="L629" s="4" t="str">
        <f>IFERROR(__xludf.DUMMYFUNCTION("""COMPUTED_VALUE"""),"TM - 11B/H (Kabel Naik)")</f>
        <v>TM - 11B/H (Kabel Naik)</v>
      </c>
      <c r="M629" s="4" t="str">
        <f>IFERROR(__xludf.DUMMYFUNCTION("""COMPUTED_VALUE"""),"Tidak Ada")</f>
        <v>Tidak Ada</v>
      </c>
      <c r="N629" s="4"/>
      <c r="O629" s="4" t="str">
        <f>IFERROR(__xludf.DUMMYFUNCTION("""COMPUTED_VALUE"""),"PEMBANDING SEJENIS")</f>
        <v>PEMBANDING SEJENIS</v>
      </c>
      <c r="P629" s="4" t="str">
        <f>IFERROR(__xludf.DUMMYFUNCTION("""COMPUTED_VALUE"""),"KONEKTOR/JUMPER")</f>
        <v>KONEKTOR/JUMPER</v>
      </c>
      <c r="Q629" s="4">
        <f>IFERROR(__xludf.DUMMYFUNCTION("""COMPUTED_VALUE"""),23.0)</f>
        <v>23</v>
      </c>
      <c r="R629" s="4">
        <f>IFERROR(__xludf.DUMMYFUNCTION("""COMPUTED_VALUE"""),24.0)</f>
        <v>24</v>
      </c>
      <c r="S629" s="4">
        <f>IFERROR(__xludf.DUMMYFUNCTION("""COMPUTED_VALUE"""),25.0)</f>
        <v>25</v>
      </c>
      <c r="T629" s="4"/>
      <c r="U629" s="4" t="str">
        <f>IFERROR(__xludf.DUMMYFUNCTION("""COMPUTED_VALUE"""),"BAIK")</f>
        <v>BAIK</v>
      </c>
      <c r="V629" s="4" t="str">
        <f>IFERROR(__xludf.DUMMYFUNCTION("""COMPUTED_VALUE"""),"Tidak Ada")</f>
        <v>Tidak Ada</v>
      </c>
      <c r="W629" s="4"/>
      <c r="X629" s="4"/>
      <c r="Y629" s="4"/>
      <c r="Z629" s="4"/>
      <c r="AA629" s="4"/>
      <c r="AB629" s="4"/>
      <c r="AC629" s="4" t="str">
        <f>IFERROR(__xludf.DUMMYFUNCTION("""COMPUTED_VALUE"""),"INSPEKSI SUTM - T2_Images/62b1e2a6.FOTO.014714.jpg")</f>
        <v>INSPEKSI SUTM - T2_Images/62b1e2a6.FOTO.014714.jpg</v>
      </c>
      <c r="AD629" s="4"/>
      <c r="AE629" s="4"/>
      <c r="AF629" s="4" t="str">
        <f>IFERROR(__xludf.DUMMYFUNCTION("""COMPUTED_VALUE"""),"BELUM")</f>
        <v>BELUM</v>
      </c>
      <c r="AG629" s="6">
        <f>IFERROR(__xludf.DUMMYFUNCTION("""COMPUTED_VALUE"""),46084.0)</f>
        <v>46084</v>
      </c>
      <c r="AH629" s="4"/>
      <c r="AI629" s="4"/>
    </row>
    <row r="630" ht="15.75" customHeight="1">
      <c r="A630" s="4" t="str">
        <f>IFERROR(__xludf.DUMMYFUNCTION("""COMPUTED_VALUE"""),"2dcb8124")</f>
        <v>2dcb8124</v>
      </c>
      <c r="B630" s="5">
        <f>IFERROR(__xludf.DUMMYFUNCTION("""COMPUTED_VALUE"""),46084.90773148148)</f>
        <v>46084.90773</v>
      </c>
      <c r="C630" s="4" t="str">
        <f>IFERROR(__xludf.DUMMYFUNCTION("""COMPUTED_VALUE"""),"-6.949023, 107.611647")</f>
        <v>-6.949023, 107.611647</v>
      </c>
      <c r="D630" s="4" t="str">
        <f>IFERROR(__xludf.DUMMYFUNCTION("""COMPUTED_VALUE"""),"Nugi Firman")</f>
        <v>Nugi Firman</v>
      </c>
      <c r="E630" s="4" t="str">
        <f>IFERROR(__xludf.DUMMYFUNCTION("""COMPUTED_VALUE"""),"BANDUNG")</f>
        <v>BANDUNG</v>
      </c>
      <c r="F630" s="4" t="str">
        <f>IFERROR(__xludf.DUMMYFUNCTION("""COMPUTED_VALUE"""),"KOPO")</f>
        <v>KOPO</v>
      </c>
      <c r="G630" s="4" t="str">
        <f>IFERROR(__xludf.DUMMYFUNCTION("""COMPUTED_VALUE"""),"NEW CIBEUREUM")</f>
        <v>NEW CIBEUREUM</v>
      </c>
      <c r="H630" s="4" t="str">
        <f>IFERROR(__xludf.DUMMYFUNCTION("""COMPUTED_VALUE"""),"WHB")</f>
        <v>WHB</v>
      </c>
      <c r="I630" s="4" t="str">
        <f>IFERROR(__xludf.DUMMYFUNCTION("""COMPUTED_VALUE"""),"LBS EDY - ITD")</f>
        <v>LBS EDY - ITD</v>
      </c>
      <c r="J630" s="4" t="str">
        <f>IFERROR(__xludf.DUMMYFUNCTION("""COMPUTED_VALUE"""),"ZONA 2")</f>
        <v>ZONA 2</v>
      </c>
      <c r="K630" s="4" t="str">
        <f>IFERROR(__xludf.DUMMYFUNCTION("""COMPUTED_VALUE"""),"035")</f>
        <v>035</v>
      </c>
      <c r="L630" s="4" t="str">
        <f>IFERROR(__xludf.DUMMYFUNCTION("""COMPUTED_VALUE"""),"TM - 12B/H (KABEL Kabel Naik Dua Saluran)")</f>
        <v>TM - 12B/H (KABEL Kabel Naik Dua Saluran)</v>
      </c>
      <c r="M630" s="4" t="str">
        <f>IFERROR(__xludf.DUMMYFUNCTION("""COMPUTED_VALUE"""),"Tidak Ada")</f>
        <v>Tidak Ada</v>
      </c>
      <c r="N630" s="4"/>
      <c r="O630" s="4" t="str">
        <f>IFERROR(__xludf.DUMMYFUNCTION("""COMPUTED_VALUE"""),"PEMBANDING SEJENIS")</f>
        <v>PEMBANDING SEJENIS</v>
      </c>
      <c r="P630" s="4" t="str">
        <f>IFERROR(__xludf.DUMMYFUNCTION("""COMPUTED_VALUE"""),"KONEKTOR/JUMPER")</f>
        <v>KONEKTOR/JUMPER</v>
      </c>
      <c r="Q630" s="4">
        <f>IFERROR(__xludf.DUMMYFUNCTION("""COMPUTED_VALUE"""),24.0)</f>
        <v>24</v>
      </c>
      <c r="R630" s="4">
        <f>IFERROR(__xludf.DUMMYFUNCTION("""COMPUTED_VALUE"""),24.0)</f>
        <v>24</v>
      </c>
      <c r="S630" s="4">
        <f>IFERROR(__xludf.DUMMYFUNCTION("""COMPUTED_VALUE"""),24.0)</f>
        <v>24</v>
      </c>
      <c r="T630" s="4"/>
      <c r="U630" s="4" t="str">
        <f>IFERROR(__xludf.DUMMYFUNCTION("""COMPUTED_VALUE"""),"BAIK")</f>
        <v>BAIK</v>
      </c>
      <c r="V630" s="4" t="str">
        <f>IFERROR(__xludf.DUMMYFUNCTION("""COMPUTED_VALUE"""),"Tidak Ada")</f>
        <v>Tidak Ada</v>
      </c>
      <c r="W630" s="4"/>
      <c r="X630" s="4"/>
      <c r="Y630" s="4"/>
      <c r="Z630" s="4"/>
      <c r="AA630" s="4"/>
      <c r="AB630" s="4"/>
      <c r="AC630" s="4" t="str">
        <f>IFERROR(__xludf.DUMMYFUNCTION("""COMPUTED_VALUE"""),"INSPEKSI SUTM - T2_Images/2dcb8124.FOTO.014751.jpg")</f>
        <v>INSPEKSI SUTM - T2_Images/2dcb8124.FOTO.014751.jpg</v>
      </c>
      <c r="AD630" s="4"/>
      <c r="AE630" s="4"/>
      <c r="AF630" s="4" t="str">
        <f>IFERROR(__xludf.DUMMYFUNCTION("""COMPUTED_VALUE"""),"BELUM")</f>
        <v>BELUM</v>
      </c>
      <c r="AG630" s="6">
        <f>IFERROR(__xludf.DUMMYFUNCTION("""COMPUTED_VALUE"""),46084.0)</f>
        <v>46084</v>
      </c>
      <c r="AH630" s="4"/>
      <c r="AI630" s="4"/>
    </row>
    <row r="631" ht="15.75" customHeight="1">
      <c r="A631" s="4" t="str">
        <f>IFERROR(__xludf.DUMMYFUNCTION("""COMPUTED_VALUE"""),"9f3a181d")</f>
        <v>9f3a181d</v>
      </c>
      <c r="B631" s="5">
        <f>IFERROR(__xludf.DUMMYFUNCTION("""COMPUTED_VALUE"""),46086.869988425926)</f>
        <v>46086.86999</v>
      </c>
      <c r="C631" s="4" t="str">
        <f>IFERROR(__xludf.DUMMYFUNCTION("""COMPUTED_VALUE"""),"-6.924691, 107.690605")</f>
        <v>-6.924691, 107.690605</v>
      </c>
      <c r="D631" s="4" t="str">
        <f>IFERROR(__xludf.DUMMYFUNCTION("""COMPUTED_VALUE"""),"Canra heri")</f>
        <v>Canra heri</v>
      </c>
      <c r="E631" s="4" t="str">
        <f>IFERROR(__xludf.DUMMYFUNCTION("""COMPUTED_VALUE"""),"BANDUNG")</f>
        <v>BANDUNG</v>
      </c>
      <c r="F631" s="4" t="str">
        <f>IFERROR(__xludf.DUMMYFUNCTION("""COMPUTED_VALUE"""),"UJUNGBERUNG")</f>
        <v>UJUNGBERUNG</v>
      </c>
      <c r="G631" s="4" t="str">
        <f>IFERROR(__xludf.DUMMYFUNCTION("""COMPUTED_VALUE"""),"UJUNGBERUNG")</f>
        <v>UJUNGBERUNG</v>
      </c>
      <c r="H631" s="4" t="str">
        <f>IFERROR(__xludf.DUMMYFUNCTION("""COMPUTED_VALUE"""),"UZP")</f>
        <v>UZP</v>
      </c>
      <c r="I631" s="4" t="str">
        <f>IFERROR(__xludf.DUMMYFUNCTION("""COMPUTED_VALUE"""),"GH BNA-UJUNG SPT")</f>
        <v>GH BNA-UJUNG SPT</v>
      </c>
      <c r="J631" s="4" t="str">
        <f>IFERROR(__xludf.DUMMYFUNCTION("""COMPUTED_VALUE"""),"ZONA 2")</f>
        <v>ZONA 2</v>
      </c>
      <c r="K631" s="4" t="str">
        <f>IFERROR(__xludf.DUMMYFUNCTION("""COMPUTED_VALUE"""),"018")</f>
        <v>018</v>
      </c>
      <c r="L631" s="4" t="str">
        <f>IFERROR(__xludf.DUMMYFUNCTION("""COMPUTED_VALUE"""),"TM - 11B/H (Kabel Naik)")</f>
        <v>TM - 11B/H (Kabel Naik)</v>
      </c>
      <c r="M631" s="4" t="str">
        <f>IFERROR(__xludf.DUMMYFUNCTION("""COMPUTED_VALUE"""),"Tidak Ada")</f>
        <v>Tidak Ada</v>
      </c>
      <c r="N631" s="4" t="str">
        <f>IFERROR(__xludf.DUMMYFUNCTION("""COMPUTED_VALUE"""),"018")</f>
        <v>018</v>
      </c>
      <c r="O631" s="4" t="str">
        <f>IFERROR(__xludf.DUMMYFUNCTION("""COMPUTED_VALUE"""),"PEMBANDING SEJENIS")</f>
        <v>PEMBANDING SEJENIS</v>
      </c>
      <c r="P631" s="4" t="str">
        <f>IFERROR(__xludf.DUMMYFUNCTION("""COMPUTED_VALUE"""),"ARRESTER")</f>
        <v>ARRESTER</v>
      </c>
      <c r="Q631" s="4">
        <f>IFERROR(__xludf.DUMMYFUNCTION("""COMPUTED_VALUE"""),21.0)</f>
        <v>21</v>
      </c>
      <c r="R631" s="4">
        <f>IFERROR(__xludf.DUMMYFUNCTION("""COMPUTED_VALUE"""),22.0)</f>
        <v>22</v>
      </c>
      <c r="S631" s="4">
        <f>IFERROR(__xludf.DUMMYFUNCTION("""COMPUTED_VALUE"""),20.0)</f>
        <v>20</v>
      </c>
      <c r="T631" s="4"/>
      <c r="U631" s="4" t="str">
        <f>IFERROR(__xludf.DUMMYFUNCTION("""COMPUTED_VALUE"""),"BAIK")</f>
        <v>BAIK</v>
      </c>
      <c r="V631" s="4" t="str">
        <f>IFERROR(__xludf.DUMMYFUNCTION("""COMPUTED_VALUE"""),"Tidak Ada")</f>
        <v>Tidak Ada</v>
      </c>
      <c r="W631" s="4"/>
      <c r="X631" s="4"/>
      <c r="Y631" s="4"/>
      <c r="Z631" s="4"/>
      <c r="AA631" s="4"/>
      <c r="AB631" s="4"/>
      <c r="AC631" s="4" t="str">
        <f>IFERROR(__xludf.DUMMYFUNCTION("""COMPUTED_VALUE"""),"INSPEKSI SUTM - T2_Images/9f3a181d.FOTO.135423.jpg")</f>
        <v>INSPEKSI SUTM - T2_Images/9f3a181d.FOTO.135423.jpg</v>
      </c>
      <c r="AD631" s="4"/>
      <c r="AE631" s="4"/>
      <c r="AF631" s="4" t="str">
        <f>IFERROR(__xludf.DUMMYFUNCTION("""COMPUTED_VALUE"""),"BELUM")</f>
        <v>BELUM</v>
      </c>
      <c r="AG631" s="6">
        <f>IFERROR(__xludf.DUMMYFUNCTION("""COMPUTED_VALUE"""),46086.0)</f>
        <v>46086</v>
      </c>
      <c r="AH631" s="4"/>
      <c r="AI631" s="4"/>
    </row>
    <row r="632" ht="15.75" customHeight="1">
      <c r="A632" s="4" t="str">
        <f>IFERROR(__xludf.DUMMYFUNCTION("""COMPUTED_VALUE"""),"095f82e5")</f>
        <v>095f82e5</v>
      </c>
      <c r="B632" s="5">
        <f>IFERROR(__xludf.DUMMYFUNCTION("""COMPUTED_VALUE"""),46086.873032407406)</f>
        <v>46086.87303</v>
      </c>
      <c r="C632" s="4" t="str">
        <f>IFERROR(__xludf.DUMMYFUNCTION("""COMPUTED_VALUE"""),"-6.923917, 107.698545")</f>
        <v>-6.923917, 107.698545</v>
      </c>
      <c r="D632" s="4" t="str">
        <f>IFERROR(__xludf.DUMMYFUNCTION("""COMPUTED_VALUE"""),"Canra heri")</f>
        <v>Canra heri</v>
      </c>
      <c r="E632" s="4" t="str">
        <f>IFERROR(__xludf.DUMMYFUNCTION("""COMPUTED_VALUE"""),"BANDUNG")</f>
        <v>BANDUNG</v>
      </c>
      <c r="F632" s="4" t="str">
        <f>IFERROR(__xludf.DUMMYFUNCTION("""COMPUTED_VALUE"""),"UJUNGBERUNG")</f>
        <v>UJUNGBERUNG</v>
      </c>
      <c r="G632" s="4" t="str">
        <f>IFERROR(__xludf.DUMMYFUNCTION("""COMPUTED_VALUE"""),"UJUNGBERUNG")</f>
        <v>UJUNGBERUNG</v>
      </c>
      <c r="H632" s="4" t="str">
        <f>IFERROR(__xludf.DUMMYFUNCTION("""COMPUTED_VALUE"""),"UZP")</f>
        <v>UZP</v>
      </c>
      <c r="I632" s="4" t="str">
        <f>IFERROR(__xludf.DUMMYFUNCTION("""COMPUTED_VALUE"""),"GH BNA-UJUNG SPT")</f>
        <v>GH BNA-UJUNG SPT</v>
      </c>
      <c r="J632" s="4" t="str">
        <f>IFERROR(__xludf.DUMMYFUNCTION("""COMPUTED_VALUE"""),"ZONA 2")</f>
        <v>ZONA 2</v>
      </c>
      <c r="K632" s="4" t="str">
        <f>IFERROR(__xludf.DUMMYFUNCTION("""COMPUTED_VALUE"""),"035")</f>
        <v>035</v>
      </c>
      <c r="L632" s="4" t="str">
        <f>IFERROR(__xludf.DUMMYFUNCTION("""COMPUTED_VALUE"""),"TM - 8B/H (Percabangan)")</f>
        <v>TM - 8B/H (Percabangan)</v>
      </c>
      <c r="M632" s="4" t="str">
        <f>IFERROR(__xludf.DUMMYFUNCTION("""COMPUTED_VALUE"""),"Tidak Ada")</f>
        <v>Tidak Ada</v>
      </c>
      <c r="N632" s="4"/>
      <c r="O632" s="4" t="str">
        <f>IFERROR(__xludf.DUMMYFUNCTION("""COMPUTED_VALUE"""),"PEMBANDING SEJENIS")</f>
        <v>PEMBANDING SEJENIS</v>
      </c>
      <c r="P632" s="4" t="str">
        <f>IFERROR(__xludf.DUMMYFUNCTION("""COMPUTED_VALUE"""),"KONEKTOR/JUMPER")</f>
        <v>KONEKTOR/JUMPER</v>
      </c>
      <c r="Q632" s="4">
        <f>IFERROR(__xludf.DUMMYFUNCTION("""COMPUTED_VALUE"""),23.0)</f>
        <v>23</v>
      </c>
      <c r="R632" s="4">
        <f>IFERROR(__xludf.DUMMYFUNCTION("""COMPUTED_VALUE"""),23.0)</f>
        <v>23</v>
      </c>
      <c r="S632" s="4">
        <f>IFERROR(__xludf.DUMMYFUNCTION("""COMPUTED_VALUE"""),21.0)</f>
        <v>21</v>
      </c>
      <c r="T632" s="4"/>
      <c r="U632" s="4" t="str">
        <f>IFERROR(__xludf.DUMMYFUNCTION("""COMPUTED_VALUE"""),"BAIK")</f>
        <v>BAIK</v>
      </c>
      <c r="V632" s="4" t="str">
        <f>IFERROR(__xludf.DUMMYFUNCTION("""COMPUTED_VALUE"""),"Tidak Ada")</f>
        <v>Tidak Ada</v>
      </c>
      <c r="W632" s="4"/>
      <c r="X632" s="4"/>
      <c r="Y632" s="4"/>
      <c r="Z632" s="4"/>
      <c r="AA632" s="4"/>
      <c r="AB632" s="4"/>
      <c r="AC632" s="4" t="str">
        <f>IFERROR(__xludf.DUMMYFUNCTION("""COMPUTED_VALUE"""),"INSPEKSI SUTM - T2_Images/095f82e5.FOTO.135810.jpg")</f>
        <v>INSPEKSI SUTM - T2_Images/095f82e5.FOTO.135810.jpg</v>
      </c>
      <c r="AD632" s="4"/>
      <c r="AE632" s="4"/>
      <c r="AF632" s="4" t="str">
        <f>IFERROR(__xludf.DUMMYFUNCTION("""COMPUTED_VALUE"""),"BELUM")</f>
        <v>BELUM</v>
      </c>
      <c r="AG632" s="6">
        <f>IFERROR(__xludf.DUMMYFUNCTION("""COMPUTED_VALUE"""),46086.0)</f>
        <v>46086</v>
      </c>
      <c r="AH632" s="4"/>
      <c r="AI632" s="4"/>
    </row>
    <row r="633" ht="15.75" customHeight="1">
      <c r="A633" s="4" t="str">
        <f>IFERROR(__xludf.DUMMYFUNCTION("""COMPUTED_VALUE"""),"4ad5ae62")</f>
        <v>4ad5ae62</v>
      </c>
      <c r="B633" s="5">
        <f>IFERROR(__xludf.DUMMYFUNCTION("""COMPUTED_VALUE"""),46086.87414351852)</f>
        <v>46086.87414</v>
      </c>
      <c r="C633" s="4" t="str">
        <f>IFERROR(__xludf.DUMMYFUNCTION("""COMPUTED_VALUE"""),"-6.923887, 107.699016")</f>
        <v>-6.923887, 107.699016</v>
      </c>
      <c r="D633" s="4" t="str">
        <f>IFERROR(__xludf.DUMMYFUNCTION("""COMPUTED_VALUE"""),"Canra heri")</f>
        <v>Canra heri</v>
      </c>
      <c r="E633" s="4" t="str">
        <f>IFERROR(__xludf.DUMMYFUNCTION("""COMPUTED_VALUE"""),"BANDUNG")</f>
        <v>BANDUNG</v>
      </c>
      <c r="F633" s="4" t="str">
        <f>IFERROR(__xludf.DUMMYFUNCTION("""COMPUTED_VALUE"""),"UJUNGBERUNG")</f>
        <v>UJUNGBERUNG</v>
      </c>
      <c r="G633" s="4" t="str">
        <f>IFERROR(__xludf.DUMMYFUNCTION("""COMPUTED_VALUE"""),"UJUNGBERUNG")</f>
        <v>UJUNGBERUNG</v>
      </c>
      <c r="H633" s="4" t="str">
        <f>IFERROR(__xludf.DUMMYFUNCTION("""COMPUTED_VALUE"""),"UZP")</f>
        <v>UZP</v>
      </c>
      <c r="I633" s="4" t="str">
        <f>IFERROR(__xludf.DUMMYFUNCTION("""COMPUTED_VALUE"""),"GH BNA-UJUNG SPT")</f>
        <v>GH BNA-UJUNG SPT</v>
      </c>
      <c r="J633" s="4" t="str">
        <f>IFERROR(__xludf.DUMMYFUNCTION("""COMPUTED_VALUE"""),"ZONA 2")</f>
        <v>ZONA 2</v>
      </c>
      <c r="K633" s="4" t="str">
        <f>IFERROR(__xludf.DUMMYFUNCTION("""COMPUTED_VALUE"""),"037")</f>
        <v>037</v>
      </c>
      <c r="L633" s="4" t="str">
        <f>IFERROR(__xludf.DUMMYFUNCTION("""COMPUTED_VALUE"""),"TM - 4B/H (Afspan)")</f>
        <v>TM - 4B/H (Afspan)</v>
      </c>
      <c r="M633" s="4" t="str">
        <f>IFERROR(__xludf.DUMMYFUNCTION("""COMPUTED_VALUE"""),"Tidak Ada")</f>
        <v>Tidak Ada</v>
      </c>
      <c r="N633" s="4"/>
      <c r="O633" s="4" t="str">
        <f>IFERROR(__xludf.DUMMYFUNCTION("""COMPUTED_VALUE"""),"PEMBANDING SEJENIS")</f>
        <v>PEMBANDING SEJENIS</v>
      </c>
      <c r="P633" s="4" t="str">
        <f>IFERROR(__xludf.DUMMYFUNCTION("""COMPUTED_VALUE"""),"KONEKTOR/JUMPER")</f>
        <v>KONEKTOR/JUMPER</v>
      </c>
      <c r="Q633" s="4">
        <f>IFERROR(__xludf.DUMMYFUNCTION("""COMPUTED_VALUE"""),21.0)</f>
        <v>21</v>
      </c>
      <c r="R633" s="4">
        <f>IFERROR(__xludf.DUMMYFUNCTION("""COMPUTED_VALUE"""),21.0)</f>
        <v>21</v>
      </c>
      <c r="S633" s="4">
        <f>IFERROR(__xludf.DUMMYFUNCTION("""COMPUTED_VALUE"""),22.0)</f>
        <v>22</v>
      </c>
      <c r="T633" s="4"/>
      <c r="U633" s="4" t="str">
        <f>IFERROR(__xludf.DUMMYFUNCTION("""COMPUTED_VALUE"""),"BAIK")</f>
        <v>BAIK</v>
      </c>
      <c r="V633" s="4" t="str">
        <f>IFERROR(__xludf.DUMMYFUNCTION("""COMPUTED_VALUE"""),"Tidak Ada")</f>
        <v>Tidak Ada</v>
      </c>
      <c r="W633" s="4"/>
      <c r="X633" s="4"/>
      <c r="Y633" s="4"/>
      <c r="Z633" s="4"/>
      <c r="AA633" s="4"/>
      <c r="AB633" s="4"/>
      <c r="AC633" s="4" t="str">
        <f>IFERROR(__xludf.DUMMYFUNCTION("""COMPUTED_VALUE"""),"INSPEKSI SUTM - T2_Images/4ad5ae62.FOTO.135936.jpg")</f>
        <v>INSPEKSI SUTM - T2_Images/4ad5ae62.FOTO.135936.jpg</v>
      </c>
      <c r="AD633" s="4"/>
      <c r="AE633" s="4"/>
      <c r="AF633" s="4" t="str">
        <f>IFERROR(__xludf.DUMMYFUNCTION("""COMPUTED_VALUE"""),"BELUM")</f>
        <v>BELUM</v>
      </c>
      <c r="AG633" s="6">
        <f>IFERROR(__xludf.DUMMYFUNCTION("""COMPUTED_VALUE"""),46086.0)</f>
        <v>46086</v>
      </c>
      <c r="AH633" s="4"/>
      <c r="AI633" s="4"/>
    </row>
    <row r="634" ht="15.75" customHeight="1">
      <c r="A634" s="4" t="str">
        <f>IFERROR(__xludf.DUMMYFUNCTION("""COMPUTED_VALUE"""),"ace2e590")</f>
        <v>ace2e590</v>
      </c>
      <c r="B634" s="5">
        <f>IFERROR(__xludf.DUMMYFUNCTION("""COMPUTED_VALUE"""),46086.87517361111)</f>
        <v>46086.87517</v>
      </c>
      <c r="C634" s="4" t="str">
        <f>IFERROR(__xludf.DUMMYFUNCTION("""COMPUTED_VALUE"""),"-6.923859, 107.699488")</f>
        <v>-6.923859, 107.699488</v>
      </c>
      <c r="D634" s="4" t="str">
        <f>IFERROR(__xludf.DUMMYFUNCTION("""COMPUTED_VALUE"""),"Canra heri")</f>
        <v>Canra heri</v>
      </c>
      <c r="E634" s="4" t="str">
        <f>IFERROR(__xludf.DUMMYFUNCTION("""COMPUTED_VALUE"""),"BANDUNG")</f>
        <v>BANDUNG</v>
      </c>
      <c r="F634" s="4" t="str">
        <f>IFERROR(__xludf.DUMMYFUNCTION("""COMPUTED_VALUE"""),"UJUNGBERUNG")</f>
        <v>UJUNGBERUNG</v>
      </c>
      <c r="G634" s="4" t="str">
        <f>IFERROR(__xludf.DUMMYFUNCTION("""COMPUTED_VALUE"""),"UJUNGBERUNG")</f>
        <v>UJUNGBERUNG</v>
      </c>
      <c r="H634" s="4" t="str">
        <f>IFERROR(__xludf.DUMMYFUNCTION("""COMPUTED_VALUE"""),"UZP")</f>
        <v>UZP</v>
      </c>
      <c r="I634" s="4" t="str">
        <f>IFERROR(__xludf.DUMMYFUNCTION("""COMPUTED_VALUE"""),"GH BNA-UJUNG SPT")</f>
        <v>GH BNA-UJUNG SPT</v>
      </c>
      <c r="J634" s="4" t="str">
        <f>IFERROR(__xludf.DUMMYFUNCTION("""COMPUTED_VALUE"""),"ZONA 2")</f>
        <v>ZONA 2</v>
      </c>
      <c r="K634" s="4" t="str">
        <f>IFERROR(__xludf.DUMMYFUNCTION("""COMPUTED_VALUE"""),"038")</f>
        <v>038</v>
      </c>
      <c r="L634" s="4" t="str">
        <f>IFERROR(__xludf.DUMMYFUNCTION("""COMPUTED_VALUE"""),"TM - 8BC/HC (Percabangan dengan CO)")</f>
        <v>TM - 8BC/HC (Percabangan dengan CO)</v>
      </c>
      <c r="M634" s="4" t="str">
        <f>IFERROR(__xludf.DUMMYFUNCTION("""COMPUTED_VALUE"""),"Tidak Ada")</f>
        <v>Tidak Ada</v>
      </c>
      <c r="N634" s="4"/>
      <c r="O634" s="4" t="str">
        <f>IFERROR(__xludf.DUMMYFUNCTION("""COMPUTED_VALUE"""),"PEMBANDING SEJENIS")</f>
        <v>PEMBANDING SEJENIS</v>
      </c>
      <c r="P634" s="4" t="str">
        <f>IFERROR(__xludf.DUMMYFUNCTION("""COMPUTED_VALUE"""),"FCO")</f>
        <v>FCO</v>
      </c>
      <c r="Q634" s="4">
        <f>IFERROR(__xludf.DUMMYFUNCTION("""COMPUTED_VALUE"""),23.0)</f>
        <v>23</v>
      </c>
      <c r="R634" s="4">
        <f>IFERROR(__xludf.DUMMYFUNCTION("""COMPUTED_VALUE"""),23.0)</f>
        <v>23</v>
      </c>
      <c r="S634" s="4">
        <f>IFERROR(__xludf.DUMMYFUNCTION("""COMPUTED_VALUE"""),24.0)</f>
        <v>24</v>
      </c>
      <c r="T634" s="4"/>
      <c r="U634" s="4" t="str">
        <f>IFERROR(__xludf.DUMMYFUNCTION("""COMPUTED_VALUE"""),"BAIK")</f>
        <v>BAIK</v>
      </c>
      <c r="V634" s="4" t="str">
        <f>IFERROR(__xludf.DUMMYFUNCTION("""COMPUTED_VALUE"""),"Tidak Ada")</f>
        <v>Tidak Ada</v>
      </c>
      <c r="W634" s="4"/>
      <c r="X634" s="4"/>
      <c r="Y634" s="4"/>
      <c r="Z634" s="4"/>
      <c r="AA634" s="4"/>
      <c r="AB634" s="4"/>
      <c r="AC634" s="4" t="str">
        <f>IFERROR(__xludf.DUMMYFUNCTION("""COMPUTED_VALUE"""),"INSPEKSI SUTM - T2_Images/ace2e590.FOTO.140111.jpg")</f>
        <v>INSPEKSI SUTM - T2_Images/ace2e590.FOTO.140111.jpg</v>
      </c>
      <c r="AD634" s="4"/>
      <c r="AE634" s="4"/>
      <c r="AF634" s="4" t="str">
        <f>IFERROR(__xludf.DUMMYFUNCTION("""COMPUTED_VALUE"""),"BELUM")</f>
        <v>BELUM</v>
      </c>
      <c r="AG634" s="6">
        <f>IFERROR(__xludf.DUMMYFUNCTION("""COMPUTED_VALUE"""),46086.0)</f>
        <v>46086</v>
      </c>
      <c r="AH634" s="4"/>
      <c r="AI634" s="4"/>
    </row>
    <row r="635" ht="15.75" customHeight="1">
      <c r="A635" s="4" t="str">
        <f>IFERROR(__xludf.DUMMYFUNCTION("""COMPUTED_VALUE"""),"75b3fb4f")</f>
        <v>75b3fb4f</v>
      </c>
      <c r="B635" s="5">
        <f>IFERROR(__xludf.DUMMYFUNCTION("""COMPUTED_VALUE"""),46086.87681712963)</f>
        <v>46086.87682</v>
      </c>
      <c r="C635" s="4" t="str">
        <f>IFERROR(__xludf.DUMMYFUNCTION("""COMPUTED_VALUE"""),"-6.920111, 107.700832")</f>
        <v>-6.920111, 107.700832</v>
      </c>
      <c r="D635" s="4" t="str">
        <f>IFERROR(__xludf.DUMMYFUNCTION("""COMPUTED_VALUE"""),"Canra heri")</f>
        <v>Canra heri</v>
      </c>
      <c r="E635" s="4" t="str">
        <f>IFERROR(__xludf.DUMMYFUNCTION("""COMPUTED_VALUE"""),"BANDUNG")</f>
        <v>BANDUNG</v>
      </c>
      <c r="F635" s="4" t="str">
        <f>IFERROR(__xludf.DUMMYFUNCTION("""COMPUTED_VALUE"""),"UJUNGBERUNG")</f>
        <v>UJUNGBERUNG</v>
      </c>
      <c r="G635" s="4" t="str">
        <f>IFERROR(__xludf.DUMMYFUNCTION("""COMPUTED_VALUE"""),"UJUNGBERUNG")</f>
        <v>UJUNGBERUNG</v>
      </c>
      <c r="H635" s="4" t="str">
        <f>IFERROR(__xludf.DUMMYFUNCTION("""COMPUTED_VALUE"""),"UZP")</f>
        <v>UZP</v>
      </c>
      <c r="I635" s="4" t="str">
        <f>IFERROR(__xludf.DUMMYFUNCTION("""COMPUTED_VALUE"""),"GH BNA-UJUNG SPT")</f>
        <v>GH BNA-UJUNG SPT</v>
      </c>
      <c r="J635" s="4" t="str">
        <f>IFERROR(__xludf.DUMMYFUNCTION("""COMPUTED_VALUE"""),"ZONA 2")</f>
        <v>ZONA 2</v>
      </c>
      <c r="K635" s="4" t="str">
        <f>IFERROR(__xludf.DUMMYFUNCTION("""COMPUTED_VALUE"""),"039L09")</f>
        <v>039L09</v>
      </c>
      <c r="L635" s="4" t="str">
        <f>IFERROR(__xludf.DUMMYFUNCTION("""COMPUTED_VALUE"""),"TM - 4B/H (Afspan)")</f>
        <v>TM - 4B/H (Afspan)</v>
      </c>
      <c r="M635" s="4" t="str">
        <f>IFERROR(__xludf.DUMMYFUNCTION("""COMPUTED_VALUE"""),"Tidak Ada")</f>
        <v>Tidak Ada</v>
      </c>
      <c r="N635" s="4"/>
      <c r="O635" s="4" t="str">
        <f>IFERROR(__xludf.DUMMYFUNCTION("""COMPUTED_VALUE"""),"PEMBANDING SEJENIS")</f>
        <v>PEMBANDING SEJENIS</v>
      </c>
      <c r="P635" s="4" t="str">
        <f>IFERROR(__xludf.DUMMYFUNCTION("""COMPUTED_VALUE"""),"KONEKTOR/JUMPER")</f>
        <v>KONEKTOR/JUMPER</v>
      </c>
      <c r="Q635" s="4">
        <f>IFERROR(__xludf.DUMMYFUNCTION("""COMPUTED_VALUE"""),26.0)</f>
        <v>26</v>
      </c>
      <c r="R635" s="4">
        <f>IFERROR(__xludf.DUMMYFUNCTION("""COMPUTED_VALUE"""),26.0)</f>
        <v>26</v>
      </c>
      <c r="S635" s="4">
        <f>IFERROR(__xludf.DUMMYFUNCTION("""COMPUTED_VALUE"""),26.0)</f>
        <v>26</v>
      </c>
      <c r="T635" s="4"/>
      <c r="U635" s="4" t="str">
        <f>IFERROR(__xludf.DUMMYFUNCTION("""COMPUTED_VALUE"""),"BAIK")</f>
        <v>BAIK</v>
      </c>
      <c r="V635" s="4" t="str">
        <f>IFERROR(__xludf.DUMMYFUNCTION("""COMPUTED_VALUE"""),"Tidak Ada")</f>
        <v>Tidak Ada</v>
      </c>
      <c r="W635" s="4"/>
      <c r="X635" s="4"/>
      <c r="Y635" s="4"/>
      <c r="Z635" s="4"/>
      <c r="AA635" s="4"/>
      <c r="AB635" s="4"/>
      <c r="AC635" s="4" t="str">
        <f>IFERROR(__xludf.DUMMYFUNCTION("""COMPUTED_VALUE"""),"INSPEKSI SUTM - T2_Images/75b3fb4f.FOTO.140322.jpg")</f>
        <v>INSPEKSI SUTM - T2_Images/75b3fb4f.FOTO.140322.jpg</v>
      </c>
      <c r="AD635" s="4"/>
      <c r="AE635" s="4"/>
      <c r="AF635" s="4" t="str">
        <f>IFERROR(__xludf.DUMMYFUNCTION("""COMPUTED_VALUE"""),"BELUM")</f>
        <v>BELUM</v>
      </c>
      <c r="AG635" s="6">
        <f>IFERROR(__xludf.DUMMYFUNCTION("""COMPUTED_VALUE"""),46086.0)</f>
        <v>46086</v>
      </c>
      <c r="AH635" s="4"/>
      <c r="AI635" s="4"/>
    </row>
    <row r="636" ht="15.75" customHeight="1">
      <c r="A636" s="4" t="str">
        <f>IFERROR(__xludf.DUMMYFUNCTION("""COMPUTED_VALUE"""),"91eab0a1")</f>
        <v>91eab0a1</v>
      </c>
      <c r="B636" s="5">
        <f>IFERROR(__xludf.DUMMYFUNCTION("""COMPUTED_VALUE"""),46086.8778125)</f>
        <v>46086.87781</v>
      </c>
      <c r="C636" s="4" t="str">
        <f>IFERROR(__xludf.DUMMYFUNCTION("""COMPUTED_VALUE"""),"-6.923875, 107.700394")</f>
        <v>-6.923875, 107.700394</v>
      </c>
      <c r="D636" s="4" t="str">
        <f>IFERROR(__xludf.DUMMYFUNCTION("""COMPUTED_VALUE"""),"Canra heri")</f>
        <v>Canra heri</v>
      </c>
      <c r="E636" s="4" t="str">
        <f>IFERROR(__xludf.DUMMYFUNCTION("""COMPUTED_VALUE"""),"BANDUNG")</f>
        <v>BANDUNG</v>
      </c>
      <c r="F636" s="4" t="str">
        <f>IFERROR(__xludf.DUMMYFUNCTION("""COMPUTED_VALUE"""),"UJUNGBERUNG")</f>
        <v>UJUNGBERUNG</v>
      </c>
      <c r="G636" s="4" t="str">
        <f>IFERROR(__xludf.DUMMYFUNCTION("""COMPUTED_VALUE"""),"UJUNGBERUNG")</f>
        <v>UJUNGBERUNG</v>
      </c>
      <c r="H636" s="4" t="str">
        <f>IFERROR(__xludf.DUMMYFUNCTION("""COMPUTED_VALUE"""),"UZP")</f>
        <v>UZP</v>
      </c>
      <c r="I636" s="4" t="str">
        <f>IFERROR(__xludf.DUMMYFUNCTION("""COMPUTED_VALUE"""),"GH BNA-UJUNG SPT")</f>
        <v>GH BNA-UJUNG SPT</v>
      </c>
      <c r="J636" s="4" t="str">
        <f>IFERROR(__xludf.DUMMYFUNCTION("""COMPUTED_VALUE"""),"ZONA 2")</f>
        <v>ZONA 2</v>
      </c>
      <c r="K636" s="4" t="str">
        <f>IFERROR(__xludf.DUMMYFUNCTION("""COMPUTED_VALUE"""),"040")</f>
        <v>040</v>
      </c>
      <c r="L636" s="4" t="str">
        <f>IFERROR(__xludf.DUMMYFUNCTION("""COMPUTED_VALUE"""),"TM - 8BC/HC (Percabangan dengan CO)")</f>
        <v>TM - 8BC/HC (Percabangan dengan CO)</v>
      </c>
      <c r="M636" s="4" t="str">
        <f>IFERROR(__xludf.DUMMYFUNCTION("""COMPUTED_VALUE"""),"FCO")</f>
        <v>FCO</v>
      </c>
      <c r="N636" s="4" t="str">
        <f>IFERROR(__xludf.DUMMYFUNCTION("""COMPUTED_VALUE"""),"Aftak mkm")</f>
        <v>Aftak mkm</v>
      </c>
      <c r="O636" s="4" t="str">
        <f>IFERROR(__xludf.DUMMYFUNCTION("""COMPUTED_VALUE"""),"PEMBANDING SEJENIS")</f>
        <v>PEMBANDING SEJENIS</v>
      </c>
      <c r="P636" s="4" t="str">
        <f>IFERROR(__xludf.DUMMYFUNCTION("""COMPUTED_VALUE"""),"FCO")</f>
        <v>FCO</v>
      </c>
      <c r="Q636" s="4">
        <f>IFERROR(__xludf.DUMMYFUNCTION("""COMPUTED_VALUE"""),28.0)</f>
        <v>28</v>
      </c>
      <c r="R636" s="4">
        <f>IFERROR(__xludf.DUMMYFUNCTION("""COMPUTED_VALUE"""),24.0)</f>
        <v>24</v>
      </c>
      <c r="S636" s="4">
        <f>IFERROR(__xludf.DUMMYFUNCTION("""COMPUTED_VALUE"""),23.0)</f>
        <v>23</v>
      </c>
      <c r="T636" s="4"/>
      <c r="U636" s="4" t="str">
        <f>IFERROR(__xludf.DUMMYFUNCTION("""COMPUTED_VALUE"""),"CUKUP")</f>
        <v>CUKUP</v>
      </c>
      <c r="V636" s="4" t="str">
        <f>IFERROR(__xludf.DUMMYFUNCTION("""COMPUTED_VALUE"""),"Tidak Ada")</f>
        <v>Tidak Ada</v>
      </c>
      <c r="W636" s="4"/>
      <c r="X636" s="4"/>
      <c r="Y636" s="4"/>
      <c r="Z636" s="4"/>
      <c r="AA636" s="4"/>
      <c r="AB636" s="4"/>
      <c r="AC636" s="4" t="str">
        <f>IFERROR(__xludf.DUMMYFUNCTION("""COMPUTED_VALUE"""),"INSPEKSI SUTM - T2_Images/91eab0a1.FOTO.140521.jpg")</f>
        <v>INSPEKSI SUTM - T2_Images/91eab0a1.FOTO.140521.jpg</v>
      </c>
      <c r="AD636" s="4"/>
      <c r="AE636" s="4"/>
      <c r="AF636" s="4" t="str">
        <f>IFERROR(__xludf.DUMMYFUNCTION("""COMPUTED_VALUE"""),"BELUM")</f>
        <v>BELUM</v>
      </c>
      <c r="AG636" s="6">
        <f>IFERROR(__xludf.DUMMYFUNCTION("""COMPUTED_VALUE"""),46086.0)</f>
        <v>46086</v>
      </c>
      <c r="AH636" s="4"/>
      <c r="AI636" s="4"/>
    </row>
    <row r="637" ht="15.75" customHeight="1">
      <c r="A637" s="4" t="str">
        <f>IFERROR(__xludf.DUMMYFUNCTION("""COMPUTED_VALUE"""),"701f6570")</f>
        <v>701f6570</v>
      </c>
      <c r="B637" s="5">
        <f>IFERROR(__xludf.DUMMYFUNCTION("""COMPUTED_VALUE"""),46086.87930555556)</f>
        <v>46086.87931</v>
      </c>
      <c r="C637" s="4" t="str">
        <f>IFERROR(__xludf.DUMMYFUNCTION("""COMPUTED_VALUE"""),"-6.925549, 107.700521")</f>
        <v>-6.925549, 107.700521</v>
      </c>
      <c r="D637" s="4" t="str">
        <f>IFERROR(__xludf.DUMMYFUNCTION("""COMPUTED_VALUE"""),"Canra heri")</f>
        <v>Canra heri</v>
      </c>
      <c r="E637" s="4" t="str">
        <f>IFERROR(__xludf.DUMMYFUNCTION("""COMPUTED_VALUE"""),"BANDUNG")</f>
        <v>BANDUNG</v>
      </c>
      <c r="F637" s="4" t="str">
        <f>IFERROR(__xludf.DUMMYFUNCTION("""COMPUTED_VALUE"""),"UJUNGBERUNG")</f>
        <v>UJUNGBERUNG</v>
      </c>
      <c r="G637" s="4" t="str">
        <f>IFERROR(__xludf.DUMMYFUNCTION("""COMPUTED_VALUE"""),"UJUNGBERUNG")</f>
        <v>UJUNGBERUNG</v>
      </c>
      <c r="H637" s="4" t="str">
        <f>IFERROR(__xludf.DUMMYFUNCTION("""COMPUTED_VALUE"""),"UZP")</f>
        <v>UZP</v>
      </c>
      <c r="I637" s="4" t="str">
        <f>IFERROR(__xludf.DUMMYFUNCTION("""COMPUTED_VALUE"""),"GH BNA-UJUNG SPT")</f>
        <v>GH BNA-UJUNG SPT</v>
      </c>
      <c r="J637" s="4" t="str">
        <f>IFERROR(__xludf.DUMMYFUNCTION("""COMPUTED_VALUE"""),"ZONA 2")</f>
        <v>ZONA 2</v>
      </c>
      <c r="K637" s="4" t="str">
        <f>IFERROR(__xludf.DUMMYFUNCTION("""COMPUTED_VALUE"""),"040R05")</f>
        <v>040R05</v>
      </c>
      <c r="L637" s="4" t="str">
        <f>IFERROR(__xludf.DUMMYFUNCTION("""COMPUTED_VALUE"""),"TM - 13B/H (Kabel Naik Pada Tiang Tumpu)")</f>
        <v>TM - 13B/H (Kabel Naik Pada Tiang Tumpu)</v>
      </c>
      <c r="M637" s="4" t="str">
        <f>IFERROR(__xludf.DUMMYFUNCTION("""COMPUTED_VALUE"""),"Tidak Ada")</f>
        <v>Tidak Ada</v>
      </c>
      <c r="N637" s="4"/>
      <c r="O637" s="4" t="str">
        <f>IFERROR(__xludf.DUMMYFUNCTION("""COMPUTED_VALUE"""),"PEMBANDING SEJENIS")</f>
        <v>PEMBANDING SEJENIS</v>
      </c>
      <c r="P637" s="4" t="str">
        <f>IFERROR(__xludf.DUMMYFUNCTION("""COMPUTED_VALUE"""),"TERMINASI")</f>
        <v>TERMINASI</v>
      </c>
      <c r="Q637" s="4">
        <f>IFERROR(__xludf.DUMMYFUNCTION("""COMPUTED_VALUE"""),24.0)</f>
        <v>24</v>
      </c>
      <c r="R637" s="4">
        <f>IFERROR(__xludf.DUMMYFUNCTION("""COMPUTED_VALUE"""),22.0)</f>
        <v>22</v>
      </c>
      <c r="S637" s="4">
        <f>IFERROR(__xludf.DUMMYFUNCTION("""COMPUTED_VALUE"""),22.0)</f>
        <v>22</v>
      </c>
      <c r="T637" s="4"/>
      <c r="U637" s="4" t="str">
        <f>IFERROR(__xludf.DUMMYFUNCTION("""COMPUTED_VALUE"""),"BAIK")</f>
        <v>BAIK</v>
      </c>
      <c r="V637" s="4" t="str">
        <f>IFERROR(__xludf.DUMMYFUNCTION("""COMPUTED_VALUE"""),"Tidak Ada")</f>
        <v>Tidak Ada</v>
      </c>
      <c r="W637" s="4"/>
      <c r="X637" s="4"/>
      <c r="Y637" s="4"/>
      <c r="Z637" s="4"/>
      <c r="AA637" s="4"/>
      <c r="AB637" s="4"/>
      <c r="AC637" s="4" t="str">
        <f>IFERROR(__xludf.DUMMYFUNCTION("""COMPUTED_VALUE"""),"INSPEKSI SUTM - T2_Images/701f6570.FOTO.140707.jpg")</f>
        <v>INSPEKSI SUTM - T2_Images/701f6570.FOTO.140707.jpg</v>
      </c>
      <c r="AD637" s="4"/>
      <c r="AE637" s="4"/>
      <c r="AF637" s="4" t="str">
        <f>IFERROR(__xludf.DUMMYFUNCTION("""COMPUTED_VALUE"""),"BELUM")</f>
        <v>BELUM</v>
      </c>
      <c r="AG637" s="6">
        <f>IFERROR(__xludf.DUMMYFUNCTION("""COMPUTED_VALUE"""),46086.0)</f>
        <v>46086</v>
      </c>
      <c r="AH637" s="4"/>
      <c r="AI637" s="4"/>
    </row>
    <row r="638" ht="15.75" customHeight="1">
      <c r="A638" s="4" t="str">
        <f>IFERROR(__xludf.DUMMYFUNCTION("""COMPUTED_VALUE"""),"db151474")</f>
        <v>db151474</v>
      </c>
      <c r="B638" s="5">
        <f>IFERROR(__xludf.DUMMYFUNCTION("""COMPUTED_VALUE"""),46086.880833333336)</f>
        <v>46086.88083</v>
      </c>
      <c r="C638" s="4" t="str">
        <f>IFERROR(__xludf.DUMMYFUNCTION("""COMPUTED_VALUE"""),"-6.927144, 107.700260")</f>
        <v>-6.927144, 107.700260</v>
      </c>
      <c r="D638" s="4" t="str">
        <f>IFERROR(__xludf.DUMMYFUNCTION("""COMPUTED_VALUE"""),"Canra heri")</f>
        <v>Canra heri</v>
      </c>
      <c r="E638" s="4" t="str">
        <f>IFERROR(__xludf.DUMMYFUNCTION("""COMPUTED_VALUE"""),"BANDUNG")</f>
        <v>BANDUNG</v>
      </c>
      <c r="F638" s="4" t="str">
        <f>IFERROR(__xludf.DUMMYFUNCTION("""COMPUTED_VALUE"""),"UJUNGBERUNG")</f>
        <v>UJUNGBERUNG</v>
      </c>
      <c r="G638" s="4" t="str">
        <f>IFERROR(__xludf.DUMMYFUNCTION("""COMPUTED_VALUE"""),"UJUNGBERUNG")</f>
        <v>UJUNGBERUNG</v>
      </c>
      <c r="H638" s="4" t="str">
        <f>IFERROR(__xludf.DUMMYFUNCTION("""COMPUTED_VALUE"""),"UZP")</f>
        <v>UZP</v>
      </c>
      <c r="I638" s="4" t="str">
        <f>IFERROR(__xludf.DUMMYFUNCTION("""COMPUTED_VALUE"""),"GH BNA-UJUNG SPT")</f>
        <v>GH BNA-UJUNG SPT</v>
      </c>
      <c r="J638" s="4" t="str">
        <f>IFERROR(__xludf.DUMMYFUNCTION("""COMPUTED_VALUE"""),"ZONA 2")</f>
        <v>ZONA 2</v>
      </c>
      <c r="K638" s="4" t="str">
        <f>IFERROR(__xludf.DUMMYFUNCTION("""COMPUTED_VALUE"""),"040R012")</f>
        <v>040R012</v>
      </c>
      <c r="L638" s="4" t="str">
        <f>IFERROR(__xludf.DUMMYFUNCTION("""COMPUTED_VALUE"""),"TM - 4B/H (Afspan)")</f>
        <v>TM - 4B/H (Afspan)</v>
      </c>
      <c r="M638" s="4" t="str">
        <f>IFERROR(__xludf.DUMMYFUNCTION("""COMPUTED_VALUE"""),"Tidak Ada")</f>
        <v>Tidak Ada</v>
      </c>
      <c r="N638" s="4"/>
      <c r="O638" s="4" t="str">
        <f>IFERROR(__xludf.DUMMYFUNCTION("""COMPUTED_VALUE"""),"PEMBANDING SEJENIS")</f>
        <v>PEMBANDING SEJENIS</v>
      </c>
      <c r="P638" s="4" t="str">
        <f>IFERROR(__xludf.DUMMYFUNCTION("""COMPUTED_VALUE"""),"KONEKTOR/JUMPER")</f>
        <v>KONEKTOR/JUMPER</v>
      </c>
      <c r="Q638" s="4">
        <f>IFERROR(__xludf.DUMMYFUNCTION("""COMPUTED_VALUE"""),23.0)</f>
        <v>23</v>
      </c>
      <c r="R638" s="4">
        <f>IFERROR(__xludf.DUMMYFUNCTION("""COMPUTED_VALUE"""),24.0)</f>
        <v>24</v>
      </c>
      <c r="S638" s="4">
        <f>IFERROR(__xludf.DUMMYFUNCTION("""COMPUTED_VALUE"""),23.0)</f>
        <v>23</v>
      </c>
      <c r="T638" s="4"/>
      <c r="U638" s="4" t="str">
        <f>IFERROR(__xludf.DUMMYFUNCTION("""COMPUTED_VALUE"""),"BAIK")</f>
        <v>BAIK</v>
      </c>
      <c r="V638" s="4" t="str">
        <f>IFERROR(__xludf.DUMMYFUNCTION("""COMPUTED_VALUE"""),"Tidak Ada")</f>
        <v>Tidak Ada</v>
      </c>
      <c r="W638" s="4"/>
      <c r="X638" s="4"/>
      <c r="Y638" s="4"/>
      <c r="Z638" s="4"/>
      <c r="AA638" s="4"/>
      <c r="AB638" s="4"/>
      <c r="AC638" s="4" t="str">
        <f>IFERROR(__xludf.DUMMYFUNCTION("""COMPUTED_VALUE"""),"INSPEKSI SUTM - T2_Images/db151474.FOTO.140917.jpg")</f>
        <v>INSPEKSI SUTM - T2_Images/db151474.FOTO.140917.jpg</v>
      </c>
      <c r="AD638" s="4"/>
      <c r="AE638" s="4"/>
      <c r="AF638" s="4" t="str">
        <f>IFERROR(__xludf.DUMMYFUNCTION("""COMPUTED_VALUE"""),"BELUM")</f>
        <v>BELUM</v>
      </c>
      <c r="AG638" s="6">
        <f>IFERROR(__xludf.DUMMYFUNCTION("""COMPUTED_VALUE"""),46086.0)</f>
        <v>46086</v>
      </c>
      <c r="AH638" s="4"/>
      <c r="AI638" s="4"/>
    </row>
    <row r="639" ht="15.75" customHeight="1">
      <c r="A639" s="4" t="str">
        <f>IFERROR(__xludf.DUMMYFUNCTION("""COMPUTED_VALUE"""),"76f0ca82")</f>
        <v>76f0ca82</v>
      </c>
      <c r="B639" s="5">
        <f>IFERROR(__xludf.DUMMYFUNCTION("""COMPUTED_VALUE"""),46086.88211805555)</f>
        <v>46086.88212</v>
      </c>
      <c r="C639" s="4" t="str">
        <f>IFERROR(__xludf.DUMMYFUNCTION("""COMPUTED_VALUE"""),"-6.924174, 107.701163")</f>
        <v>-6.924174, 107.701163</v>
      </c>
      <c r="D639" s="4" t="str">
        <f>IFERROR(__xludf.DUMMYFUNCTION("""COMPUTED_VALUE"""),"Canra heri")</f>
        <v>Canra heri</v>
      </c>
      <c r="E639" s="4" t="str">
        <f>IFERROR(__xludf.DUMMYFUNCTION("""COMPUTED_VALUE"""),"BANDUNG")</f>
        <v>BANDUNG</v>
      </c>
      <c r="F639" s="4" t="str">
        <f>IFERROR(__xludf.DUMMYFUNCTION("""COMPUTED_VALUE"""),"UJUNGBERUNG")</f>
        <v>UJUNGBERUNG</v>
      </c>
      <c r="G639" s="4" t="str">
        <f>IFERROR(__xludf.DUMMYFUNCTION("""COMPUTED_VALUE"""),"UJUNGBERUNG")</f>
        <v>UJUNGBERUNG</v>
      </c>
      <c r="H639" s="4" t="str">
        <f>IFERROR(__xludf.DUMMYFUNCTION("""COMPUTED_VALUE"""),"UZP")</f>
        <v>UZP</v>
      </c>
      <c r="I639" s="4" t="str">
        <f>IFERROR(__xludf.DUMMYFUNCTION("""COMPUTED_VALUE"""),"GH BNA-UJUNG SPT")</f>
        <v>GH BNA-UJUNG SPT</v>
      </c>
      <c r="J639" s="4" t="str">
        <f>IFERROR(__xludf.DUMMYFUNCTION("""COMPUTED_VALUE"""),"ZONA 2")</f>
        <v>ZONA 2</v>
      </c>
      <c r="K639" s="4" t="str">
        <f>IFERROR(__xludf.DUMMYFUNCTION("""COMPUTED_VALUE"""),"042")</f>
        <v>042</v>
      </c>
      <c r="L639" s="4" t="str">
        <f>IFERROR(__xludf.DUMMYFUNCTION("""COMPUTED_VALUE"""),"TM - 16B/H (REC/SSO/LBS)")</f>
        <v>TM - 16B/H (REC/SSO/LBS)</v>
      </c>
      <c r="M639" s="4" t="str">
        <f>IFERROR(__xludf.DUMMYFUNCTION("""COMPUTED_VALUE"""),"LBS")</f>
        <v>LBS</v>
      </c>
      <c r="N639" s="4" t="str">
        <f>IFERROR(__xludf.DUMMYFUNCTION("""COMPUTED_VALUE"""),"Mkm")</f>
        <v>Mkm</v>
      </c>
      <c r="O639" s="4" t="str">
        <f>IFERROR(__xludf.DUMMYFUNCTION("""COMPUTED_VALUE"""),"PEMBANDING SEJENIS")</f>
        <v>PEMBANDING SEJENIS</v>
      </c>
      <c r="P639" s="4" t="str">
        <f>IFERROR(__xludf.DUMMYFUNCTION("""COMPUTED_VALUE"""),"KONEKTOR/JUMPER")</f>
        <v>KONEKTOR/JUMPER</v>
      </c>
      <c r="Q639" s="4">
        <f>IFERROR(__xludf.DUMMYFUNCTION("""COMPUTED_VALUE"""),25.0)</f>
        <v>25</v>
      </c>
      <c r="R639" s="4">
        <f>IFERROR(__xludf.DUMMYFUNCTION("""COMPUTED_VALUE"""),25.0)</f>
        <v>25</v>
      </c>
      <c r="S639" s="4">
        <f>IFERROR(__xludf.DUMMYFUNCTION("""COMPUTED_VALUE"""),24.0)</f>
        <v>24</v>
      </c>
      <c r="T639" s="4"/>
      <c r="U639" s="4" t="str">
        <f>IFERROR(__xludf.DUMMYFUNCTION("""COMPUTED_VALUE"""),"BAIK")</f>
        <v>BAIK</v>
      </c>
      <c r="V639" s="4" t="str">
        <f>IFERROR(__xludf.DUMMYFUNCTION("""COMPUTED_VALUE"""),"Tidak Ada")</f>
        <v>Tidak Ada</v>
      </c>
      <c r="W639" s="4"/>
      <c r="X639" s="4"/>
      <c r="Y639" s="4"/>
      <c r="Z639" s="4"/>
      <c r="AA639" s="4"/>
      <c r="AB639" s="4"/>
      <c r="AC639" s="4" t="str">
        <f>IFERROR(__xludf.DUMMYFUNCTION("""COMPUTED_VALUE"""),"INSPEKSI SUTM - T2_Images/76f0ca82.FOTO.141117.jpg")</f>
        <v>INSPEKSI SUTM - T2_Images/76f0ca82.FOTO.141117.jpg</v>
      </c>
      <c r="AD639" s="4"/>
      <c r="AE639" s="4"/>
      <c r="AF639" s="4" t="str">
        <f>IFERROR(__xludf.DUMMYFUNCTION("""COMPUTED_VALUE"""),"BELUM")</f>
        <v>BELUM</v>
      </c>
      <c r="AG639" s="6">
        <f>IFERROR(__xludf.DUMMYFUNCTION("""COMPUTED_VALUE"""),46086.0)</f>
        <v>46086</v>
      </c>
      <c r="AH639" s="4"/>
      <c r="AI639" s="4"/>
    </row>
    <row r="640" ht="15.75" customHeight="1">
      <c r="A640" s="4" t="str">
        <f>IFERROR(__xludf.DUMMYFUNCTION("""COMPUTED_VALUE"""),"2c21ab78")</f>
        <v>2c21ab78</v>
      </c>
      <c r="B640" s="5">
        <f>IFERROR(__xludf.DUMMYFUNCTION("""COMPUTED_VALUE"""),46086.88334490741)</f>
        <v>46086.88334</v>
      </c>
      <c r="C640" s="4" t="str">
        <f>IFERROR(__xludf.DUMMYFUNCTION("""COMPUTED_VALUE"""),"-6.924303, 107.701567")</f>
        <v>-6.924303, 107.701567</v>
      </c>
      <c r="D640" s="4" t="str">
        <f>IFERROR(__xludf.DUMMYFUNCTION("""COMPUTED_VALUE"""),"Canra heri")</f>
        <v>Canra heri</v>
      </c>
      <c r="E640" s="4" t="str">
        <f>IFERROR(__xludf.DUMMYFUNCTION("""COMPUTED_VALUE"""),"BANDUNG")</f>
        <v>BANDUNG</v>
      </c>
      <c r="F640" s="4" t="str">
        <f>IFERROR(__xludf.DUMMYFUNCTION("""COMPUTED_VALUE"""),"UJUNGBERUNG")</f>
        <v>UJUNGBERUNG</v>
      </c>
      <c r="G640" s="4" t="str">
        <f>IFERROR(__xludf.DUMMYFUNCTION("""COMPUTED_VALUE"""),"UJUNGBERUNG")</f>
        <v>UJUNGBERUNG</v>
      </c>
      <c r="H640" s="4" t="str">
        <f>IFERROR(__xludf.DUMMYFUNCTION("""COMPUTED_VALUE"""),"UZP")</f>
        <v>UZP</v>
      </c>
      <c r="I640" s="4" t="str">
        <f>IFERROR(__xludf.DUMMYFUNCTION("""COMPUTED_VALUE"""),"GH BNA-UJUNG SPT")</f>
        <v>GH BNA-UJUNG SPT</v>
      </c>
      <c r="J640" s="4" t="str">
        <f>IFERROR(__xludf.DUMMYFUNCTION("""COMPUTED_VALUE"""),"ZONA 2")</f>
        <v>ZONA 2</v>
      </c>
      <c r="K640" s="4" t="str">
        <f>IFERROR(__xludf.DUMMYFUNCTION("""COMPUTED_VALUE"""),"043")</f>
        <v>043</v>
      </c>
      <c r="L640" s="4" t="str">
        <f>IFERROR(__xludf.DUMMYFUNCTION("""COMPUTED_VALUE"""),"TM - 8B/H (Percabangan)")</f>
        <v>TM - 8B/H (Percabangan)</v>
      </c>
      <c r="M640" s="4" t="str">
        <f>IFERROR(__xludf.DUMMYFUNCTION("""COMPUTED_VALUE"""),"Tidak Ada")</f>
        <v>Tidak Ada</v>
      </c>
      <c r="N640" s="4"/>
      <c r="O640" s="4" t="str">
        <f>IFERROR(__xludf.DUMMYFUNCTION("""COMPUTED_VALUE"""),"PEMBANDING SEJENIS")</f>
        <v>PEMBANDING SEJENIS</v>
      </c>
      <c r="P640" s="4" t="str">
        <f>IFERROR(__xludf.DUMMYFUNCTION("""COMPUTED_VALUE"""),"KONEKTOR/JUMPER")</f>
        <v>KONEKTOR/JUMPER</v>
      </c>
      <c r="Q640" s="4">
        <f>IFERROR(__xludf.DUMMYFUNCTION("""COMPUTED_VALUE"""),22.0)</f>
        <v>22</v>
      </c>
      <c r="R640" s="4">
        <f>IFERROR(__xludf.DUMMYFUNCTION("""COMPUTED_VALUE"""),22.0)</f>
        <v>22</v>
      </c>
      <c r="S640" s="4">
        <f>IFERROR(__xludf.DUMMYFUNCTION("""COMPUTED_VALUE"""),22.0)</f>
        <v>22</v>
      </c>
      <c r="T640" s="4"/>
      <c r="U640" s="4" t="str">
        <f>IFERROR(__xludf.DUMMYFUNCTION("""COMPUTED_VALUE"""),"BAIK")</f>
        <v>BAIK</v>
      </c>
      <c r="V640" s="4" t="str">
        <f>IFERROR(__xludf.DUMMYFUNCTION("""COMPUTED_VALUE"""),"Tidak Ada")</f>
        <v>Tidak Ada</v>
      </c>
      <c r="W640" s="4"/>
      <c r="X640" s="4"/>
      <c r="Y640" s="4"/>
      <c r="Z640" s="4"/>
      <c r="AA640" s="4"/>
      <c r="AB640" s="4"/>
      <c r="AC640" s="4" t="str">
        <f>IFERROR(__xludf.DUMMYFUNCTION("""COMPUTED_VALUE"""),"INSPEKSI SUTM - T2_Images/2c21ab78.FOTO.141249.jpg")</f>
        <v>INSPEKSI SUTM - T2_Images/2c21ab78.FOTO.141249.jpg</v>
      </c>
      <c r="AD640" s="4"/>
      <c r="AE640" s="4"/>
      <c r="AF640" s="4" t="str">
        <f>IFERROR(__xludf.DUMMYFUNCTION("""COMPUTED_VALUE"""),"BELUM")</f>
        <v>BELUM</v>
      </c>
      <c r="AG640" s="6">
        <f>IFERROR(__xludf.DUMMYFUNCTION("""COMPUTED_VALUE"""),46086.0)</f>
        <v>46086</v>
      </c>
      <c r="AH640" s="4"/>
      <c r="AI640" s="4"/>
    </row>
    <row r="641" ht="15.75" customHeight="1">
      <c r="A641" s="4" t="str">
        <f>IFERROR(__xludf.DUMMYFUNCTION("""COMPUTED_VALUE"""),"a2e53c6b")</f>
        <v>a2e53c6b</v>
      </c>
      <c r="B641" s="5">
        <f>IFERROR(__xludf.DUMMYFUNCTION("""COMPUTED_VALUE"""),46086.88453703704)</f>
        <v>46086.88454</v>
      </c>
      <c r="C641" s="4" t="str">
        <f>IFERROR(__xludf.DUMMYFUNCTION("""COMPUTED_VALUE"""),"-6.924469, 107.702198")</f>
        <v>-6.924469, 107.702198</v>
      </c>
      <c r="D641" s="4" t="str">
        <f>IFERROR(__xludf.DUMMYFUNCTION("""COMPUTED_VALUE"""),"Canra heri")</f>
        <v>Canra heri</v>
      </c>
      <c r="E641" s="4" t="str">
        <f>IFERROR(__xludf.DUMMYFUNCTION("""COMPUTED_VALUE"""),"BANDUNG")</f>
        <v>BANDUNG</v>
      </c>
      <c r="F641" s="4" t="str">
        <f>IFERROR(__xludf.DUMMYFUNCTION("""COMPUTED_VALUE"""),"UJUNGBERUNG")</f>
        <v>UJUNGBERUNG</v>
      </c>
      <c r="G641" s="4" t="str">
        <f>IFERROR(__xludf.DUMMYFUNCTION("""COMPUTED_VALUE"""),"UJUNGBERUNG")</f>
        <v>UJUNGBERUNG</v>
      </c>
      <c r="H641" s="4" t="str">
        <f>IFERROR(__xludf.DUMMYFUNCTION("""COMPUTED_VALUE"""),"UZP")</f>
        <v>UZP</v>
      </c>
      <c r="I641" s="4" t="str">
        <f>IFERROR(__xludf.DUMMYFUNCTION("""COMPUTED_VALUE"""),"GH BNA-UJUNG SPT")</f>
        <v>GH BNA-UJUNG SPT</v>
      </c>
      <c r="J641" s="4" t="str">
        <f>IFERROR(__xludf.DUMMYFUNCTION("""COMPUTED_VALUE"""),"ZONA 2")</f>
        <v>ZONA 2</v>
      </c>
      <c r="K641" s="4" t="str">
        <f>IFERROR(__xludf.DUMMYFUNCTION("""COMPUTED_VALUE"""),"044")</f>
        <v>044</v>
      </c>
      <c r="L641" s="4" t="str">
        <f>IFERROR(__xludf.DUMMYFUNCTION("""COMPUTED_VALUE"""),"TM - 8BC/HC (Percabangan dengan CO)")</f>
        <v>TM - 8BC/HC (Percabangan dengan CO)</v>
      </c>
      <c r="M641" s="4" t="str">
        <f>IFERROR(__xludf.DUMMYFUNCTION("""COMPUTED_VALUE"""),"Tidak Ada")</f>
        <v>Tidak Ada</v>
      </c>
      <c r="N641" s="4"/>
      <c r="O641" s="4" t="str">
        <f>IFERROR(__xludf.DUMMYFUNCTION("""COMPUTED_VALUE"""),"PEMBANDING SEJENIS")</f>
        <v>PEMBANDING SEJENIS</v>
      </c>
      <c r="P641" s="4" t="str">
        <f>IFERROR(__xludf.DUMMYFUNCTION("""COMPUTED_VALUE"""),"KONEKTOR/JUMPER")</f>
        <v>KONEKTOR/JUMPER</v>
      </c>
      <c r="Q641" s="4">
        <f>IFERROR(__xludf.DUMMYFUNCTION("""COMPUTED_VALUE"""),25.0)</f>
        <v>25</v>
      </c>
      <c r="R641" s="4">
        <f>IFERROR(__xludf.DUMMYFUNCTION("""COMPUTED_VALUE"""),25.0)</f>
        <v>25</v>
      </c>
      <c r="S641" s="4">
        <f>IFERROR(__xludf.DUMMYFUNCTION("""COMPUTED_VALUE"""),25.0)</f>
        <v>25</v>
      </c>
      <c r="T641" s="4"/>
      <c r="U641" s="4" t="str">
        <f>IFERROR(__xludf.DUMMYFUNCTION("""COMPUTED_VALUE"""),"BAIK")</f>
        <v>BAIK</v>
      </c>
      <c r="V641" s="4" t="str">
        <f>IFERROR(__xludf.DUMMYFUNCTION("""COMPUTED_VALUE"""),"Tidak Ada")</f>
        <v>Tidak Ada</v>
      </c>
      <c r="W641" s="4"/>
      <c r="X641" s="4"/>
      <c r="Y641" s="4"/>
      <c r="Z641" s="4"/>
      <c r="AA641" s="4"/>
      <c r="AB641" s="4"/>
      <c r="AC641" s="4" t="str">
        <f>IFERROR(__xludf.DUMMYFUNCTION("""COMPUTED_VALUE"""),"INSPEKSI SUTM - T2_Images/a2e53c6b.FOTO.141437.jpg")</f>
        <v>INSPEKSI SUTM - T2_Images/a2e53c6b.FOTO.141437.jpg</v>
      </c>
      <c r="AD641" s="4"/>
      <c r="AE641" s="4"/>
      <c r="AF641" s="4" t="str">
        <f>IFERROR(__xludf.DUMMYFUNCTION("""COMPUTED_VALUE"""),"BELUM")</f>
        <v>BELUM</v>
      </c>
      <c r="AG641" s="6">
        <f>IFERROR(__xludf.DUMMYFUNCTION("""COMPUTED_VALUE"""),46086.0)</f>
        <v>46086</v>
      </c>
      <c r="AH641" s="4"/>
      <c r="AI641" s="4"/>
    </row>
    <row r="642" ht="15.75" customHeight="1">
      <c r="A642" s="4" t="str">
        <f>IFERROR(__xludf.DUMMYFUNCTION("""COMPUTED_VALUE"""),"47cef55a")</f>
        <v>47cef55a</v>
      </c>
      <c r="B642" s="5">
        <f>IFERROR(__xludf.DUMMYFUNCTION("""COMPUTED_VALUE"""),46086.88564814815)</f>
        <v>46086.88565</v>
      </c>
      <c r="C642" s="4" t="str">
        <f>IFERROR(__xludf.DUMMYFUNCTION("""COMPUTED_VALUE"""),"-6.924255, 107.702097")</f>
        <v>-6.924255, 107.702097</v>
      </c>
      <c r="D642" s="4" t="str">
        <f>IFERROR(__xludf.DUMMYFUNCTION("""COMPUTED_VALUE"""),"Canra heri")</f>
        <v>Canra heri</v>
      </c>
      <c r="E642" s="4" t="str">
        <f>IFERROR(__xludf.DUMMYFUNCTION("""COMPUTED_VALUE"""),"BANDUNG")</f>
        <v>BANDUNG</v>
      </c>
      <c r="F642" s="4" t="str">
        <f>IFERROR(__xludf.DUMMYFUNCTION("""COMPUTED_VALUE"""),"UJUNGBERUNG")</f>
        <v>UJUNGBERUNG</v>
      </c>
      <c r="G642" s="4" t="str">
        <f>IFERROR(__xludf.DUMMYFUNCTION("""COMPUTED_VALUE"""),"UJUNGBERUNG")</f>
        <v>UJUNGBERUNG</v>
      </c>
      <c r="H642" s="4" t="str">
        <f>IFERROR(__xludf.DUMMYFUNCTION("""COMPUTED_VALUE"""),"UZP")</f>
        <v>UZP</v>
      </c>
      <c r="I642" s="4" t="str">
        <f>IFERROR(__xludf.DUMMYFUNCTION("""COMPUTED_VALUE"""),"GH BNA-UJUNG SPT")</f>
        <v>GH BNA-UJUNG SPT</v>
      </c>
      <c r="J642" s="4" t="str">
        <f>IFERROR(__xludf.DUMMYFUNCTION("""COMPUTED_VALUE"""),"ZONA 2")</f>
        <v>ZONA 2</v>
      </c>
      <c r="K642" s="4" t="str">
        <f>IFERROR(__xludf.DUMMYFUNCTION("""COMPUTED_VALUE"""),"044L01")</f>
        <v>044L01</v>
      </c>
      <c r="L642" s="4" t="str">
        <f>IFERROR(__xludf.DUMMYFUNCTION("""COMPUTED_VALUE"""),"TM - 4B/H (Afspan)")</f>
        <v>TM - 4B/H (Afspan)</v>
      </c>
      <c r="M642" s="4" t="str">
        <f>IFERROR(__xludf.DUMMYFUNCTION("""COMPUTED_VALUE"""),"Tidak Ada")</f>
        <v>Tidak Ada</v>
      </c>
      <c r="N642" s="4"/>
      <c r="O642" s="4" t="str">
        <f>IFERROR(__xludf.DUMMYFUNCTION("""COMPUTED_VALUE"""),"PEMBANDING SEJENIS")</f>
        <v>PEMBANDING SEJENIS</v>
      </c>
      <c r="P642" s="4" t="str">
        <f>IFERROR(__xludf.DUMMYFUNCTION("""COMPUTED_VALUE"""),"KONEKTOR/JUMPER")</f>
        <v>KONEKTOR/JUMPER</v>
      </c>
      <c r="Q642" s="4">
        <f>IFERROR(__xludf.DUMMYFUNCTION("""COMPUTED_VALUE"""),23.0)</f>
        <v>23</v>
      </c>
      <c r="R642" s="4">
        <f>IFERROR(__xludf.DUMMYFUNCTION("""COMPUTED_VALUE"""),22.0)</f>
        <v>22</v>
      </c>
      <c r="S642" s="4">
        <f>IFERROR(__xludf.DUMMYFUNCTION("""COMPUTED_VALUE"""),21.0)</f>
        <v>21</v>
      </c>
      <c r="T642" s="4"/>
      <c r="U642" s="4" t="str">
        <f>IFERROR(__xludf.DUMMYFUNCTION("""COMPUTED_VALUE"""),"BAIK")</f>
        <v>BAIK</v>
      </c>
      <c r="V642" s="4" t="str">
        <f>IFERROR(__xludf.DUMMYFUNCTION("""COMPUTED_VALUE"""),"Tidak Ada")</f>
        <v>Tidak Ada</v>
      </c>
      <c r="W642" s="4"/>
      <c r="X642" s="4"/>
      <c r="Y642" s="4"/>
      <c r="Z642" s="4"/>
      <c r="AA642" s="4"/>
      <c r="AB642" s="4"/>
      <c r="AC642" s="4" t="str">
        <f>IFERROR(__xludf.DUMMYFUNCTION("""COMPUTED_VALUE"""),"INSPEKSI SUTM - T2_Images/47cef55a.FOTO.141609.jpg")</f>
        <v>INSPEKSI SUTM - T2_Images/47cef55a.FOTO.141609.jpg</v>
      </c>
      <c r="AD642" s="4"/>
      <c r="AE642" s="4"/>
      <c r="AF642" s="4" t="str">
        <f>IFERROR(__xludf.DUMMYFUNCTION("""COMPUTED_VALUE"""),"BELUM")</f>
        <v>BELUM</v>
      </c>
      <c r="AG642" s="6">
        <f>IFERROR(__xludf.DUMMYFUNCTION("""COMPUTED_VALUE"""),46086.0)</f>
        <v>46086</v>
      </c>
      <c r="AH642" s="4"/>
      <c r="AI642" s="4"/>
    </row>
    <row r="643" ht="15.75" customHeight="1">
      <c r="A643" s="4" t="str">
        <f>IFERROR(__xludf.DUMMYFUNCTION("""COMPUTED_VALUE"""),"deffae92")</f>
        <v>deffae92</v>
      </c>
      <c r="B643" s="5">
        <f>IFERROR(__xludf.DUMMYFUNCTION("""COMPUTED_VALUE"""),46086.886712962965)</f>
        <v>46086.88671</v>
      </c>
      <c r="C643" s="4" t="str">
        <f>IFERROR(__xludf.DUMMYFUNCTION("""COMPUTED_VALUE"""),"-6.923130, 107.702703")</f>
        <v>-6.923130, 107.702703</v>
      </c>
      <c r="D643" s="4" t="str">
        <f>IFERROR(__xludf.DUMMYFUNCTION("""COMPUTED_VALUE"""),"Canra heri")</f>
        <v>Canra heri</v>
      </c>
      <c r="E643" s="4" t="str">
        <f>IFERROR(__xludf.DUMMYFUNCTION("""COMPUTED_VALUE"""),"BANDUNG")</f>
        <v>BANDUNG</v>
      </c>
      <c r="F643" s="4" t="str">
        <f>IFERROR(__xludf.DUMMYFUNCTION("""COMPUTED_VALUE"""),"UJUNGBERUNG")</f>
        <v>UJUNGBERUNG</v>
      </c>
      <c r="G643" s="4" t="str">
        <f>IFERROR(__xludf.DUMMYFUNCTION("""COMPUTED_VALUE"""),"UJUNGBERUNG")</f>
        <v>UJUNGBERUNG</v>
      </c>
      <c r="H643" s="4" t="str">
        <f>IFERROR(__xludf.DUMMYFUNCTION("""COMPUTED_VALUE"""),"UZP")</f>
        <v>UZP</v>
      </c>
      <c r="I643" s="4" t="str">
        <f>IFERROR(__xludf.DUMMYFUNCTION("""COMPUTED_VALUE"""),"GH BNA-UJUNG SPT")</f>
        <v>GH BNA-UJUNG SPT</v>
      </c>
      <c r="J643" s="4" t="str">
        <f>IFERROR(__xludf.DUMMYFUNCTION("""COMPUTED_VALUE"""),"ZONA 2")</f>
        <v>ZONA 2</v>
      </c>
      <c r="K643" s="4" t="str">
        <f>IFERROR(__xludf.DUMMYFUNCTION("""COMPUTED_VALUE"""),"044L06")</f>
        <v>044L06</v>
      </c>
      <c r="L643" s="4" t="str">
        <f>IFERROR(__xludf.DUMMYFUNCTION("""COMPUTED_VALUE"""),"TM - 8B/H (Percabangan)")</f>
        <v>TM - 8B/H (Percabangan)</v>
      </c>
      <c r="M643" s="4" t="str">
        <f>IFERROR(__xludf.DUMMYFUNCTION("""COMPUTED_VALUE"""),"Tidak Ada")</f>
        <v>Tidak Ada</v>
      </c>
      <c r="N643" s="4"/>
      <c r="O643" s="4" t="str">
        <f>IFERROR(__xludf.DUMMYFUNCTION("""COMPUTED_VALUE"""),"PEMBANDING SEJENIS")</f>
        <v>PEMBANDING SEJENIS</v>
      </c>
      <c r="P643" s="4" t="str">
        <f>IFERROR(__xludf.DUMMYFUNCTION("""COMPUTED_VALUE"""),"KONEKTOR/JUMPER")</f>
        <v>KONEKTOR/JUMPER</v>
      </c>
      <c r="Q643" s="4">
        <f>IFERROR(__xludf.DUMMYFUNCTION("""COMPUTED_VALUE"""),23.0)</f>
        <v>23</v>
      </c>
      <c r="R643" s="4">
        <f>IFERROR(__xludf.DUMMYFUNCTION("""COMPUTED_VALUE"""),16.0)</f>
        <v>16</v>
      </c>
      <c r="S643" s="4">
        <f>IFERROR(__xludf.DUMMYFUNCTION("""COMPUTED_VALUE"""),19.0)</f>
        <v>19</v>
      </c>
      <c r="T643" s="4"/>
      <c r="U643" s="4" t="str">
        <f>IFERROR(__xludf.DUMMYFUNCTION("""COMPUTED_VALUE"""),"CUKUP")</f>
        <v>CUKUP</v>
      </c>
      <c r="V643" s="4" t="str">
        <f>IFERROR(__xludf.DUMMYFUNCTION("""COMPUTED_VALUE"""),"Tidak Ada")</f>
        <v>Tidak Ada</v>
      </c>
      <c r="W643" s="4"/>
      <c r="X643" s="4"/>
      <c r="Y643" s="4"/>
      <c r="Z643" s="4"/>
      <c r="AA643" s="4"/>
      <c r="AB643" s="4"/>
      <c r="AC643" s="4" t="str">
        <f>IFERROR(__xludf.DUMMYFUNCTION("""COMPUTED_VALUE"""),"INSPEKSI SUTM - T2_Images/deffae92.FOTO.141739.jpg")</f>
        <v>INSPEKSI SUTM - T2_Images/deffae92.FOTO.141739.jpg</v>
      </c>
      <c r="AD643" s="4"/>
      <c r="AE643" s="4"/>
      <c r="AF643" s="4" t="str">
        <f>IFERROR(__xludf.DUMMYFUNCTION("""COMPUTED_VALUE"""),"BELUM")</f>
        <v>BELUM</v>
      </c>
      <c r="AG643" s="6">
        <f>IFERROR(__xludf.DUMMYFUNCTION("""COMPUTED_VALUE"""),46086.0)</f>
        <v>46086</v>
      </c>
      <c r="AH643" s="4"/>
      <c r="AI643" s="4"/>
    </row>
    <row r="644" ht="15.75" customHeight="1">
      <c r="A644" s="4" t="str">
        <f>IFERROR(__xludf.DUMMYFUNCTION("""COMPUTED_VALUE"""),"9f9a236c")</f>
        <v>9f9a236c</v>
      </c>
      <c r="B644" s="5">
        <f>IFERROR(__xludf.DUMMYFUNCTION("""COMPUTED_VALUE"""),46086.888136574074)</f>
        <v>46086.88814</v>
      </c>
      <c r="C644" s="4" t="str">
        <f>IFERROR(__xludf.DUMMYFUNCTION("""COMPUTED_VALUE"""),"-6.922736, 107.702912")</f>
        <v>-6.922736, 107.702912</v>
      </c>
      <c r="D644" s="4" t="str">
        <f>IFERROR(__xludf.DUMMYFUNCTION("""COMPUTED_VALUE"""),"Canra heri")</f>
        <v>Canra heri</v>
      </c>
      <c r="E644" s="4" t="str">
        <f>IFERROR(__xludf.DUMMYFUNCTION("""COMPUTED_VALUE"""),"BANDUNG")</f>
        <v>BANDUNG</v>
      </c>
      <c r="F644" s="4" t="str">
        <f>IFERROR(__xludf.DUMMYFUNCTION("""COMPUTED_VALUE"""),"UJUNGBERUNG")</f>
        <v>UJUNGBERUNG</v>
      </c>
      <c r="G644" s="4" t="str">
        <f>IFERROR(__xludf.DUMMYFUNCTION("""COMPUTED_VALUE"""),"UJUNGBERUNG")</f>
        <v>UJUNGBERUNG</v>
      </c>
      <c r="H644" s="4" t="str">
        <f>IFERROR(__xludf.DUMMYFUNCTION("""COMPUTED_VALUE"""),"UZP")</f>
        <v>UZP</v>
      </c>
      <c r="I644" s="4" t="str">
        <f>IFERROR(__xludf.DUMMYFUNCTION("""COMPUTED_VALUE"""),"GH BNA-UJUNG SPT")</f>
        <v>GH BNA-UJUNG SPT</v>
      </c>
      <c r="J644" s="4" t="str">
        <f>IFERROR(__xludf.DUMMYFUNCTION("""COMPUTED_VALUE"""),"ZONA 2")</f>
        <v>ZONA 2</v>
      </c>
      <c r="K644" s="4" t="str">
        <f>IFERROR(__xludf.DUMMYFUNCTION("""COMPUTED_VALUE"""),"044L09")</f>
        <v>044L09</v>
      </c>
      <c r="L644" s="4" t="str">
        <f>IFERROR(__xludf.DUMMYFUNCTION("""COMPUTED_VALUE"""),"TM - 14B/H (Akhir)")</f>
        <v>TM - 14B/H (Akhir)</v>
      </c>
      <c r="M644" s="4" t="str">
        <f>IFERROR(__xludf.DUMMYFUNCTION("""COMPUTED_VALUE"""),"Tidak Ada")</f>
        <v>Tidak Ada</v>
      </c>
      <c r="N644" s="4"/>
      <c r="O644" s="4" t="str">
        <f>IFERROR(__xludf.DUMMYFUNCTION("""COMPUTED_VALUE"""),"PEMBANDING SEJENIS")</f>
        <v>PEMBANDING SEJENIS</v>
      </c>
      <c r="P644" s="4" t="str">
        <f>IFERROR(__xludf.DUMMYFUNCTION("""COMPUTED_VALUE"""),"TERMINASI")</f>
        <v>TERMINASI</v>
      </c>
      <c r="Q644" s="4">
        <f>IFERROR(__xludf.DUMMYFUNCTION("""COMPUTED_VALUE"""),24.0)</f>
        <v>24</v>
      </c>
      <c r="R644" s="4">
        <f>IFERROR(__xludf.DUMMYFUNCTION("""COMPUTED_VALUE"""),24.0)</f>
        <v>24</v>
      </c>
      <c r="S644" s="4">
        <f>IFERROR(__xludf.DUMMYFUNCTION("""COMPUTED_VALUE"""),23.0)</f>
        <v>23</v>
      </c>
      <c r="T644" s="4"/>
      <c r="U644" s="4" t="str">
        <f>IFERROR(__xludf.DUMMYFUNCTION("""COMPUTED_VALUE"""),"BAIK")</f>
        <v>BAIK</v>
      </c>
      <c r="V644" s="4" t="str">
        <f>IFERROR(__xludf.DUMMYFUNCTION("""COMPUTED_VALUE"""),"Tidak Ada")</f>
        <v>Tidak Ada</v>
      </c>
      <c r="W644" s="4"/>
      <c r="X644" s="4"/>
      <c r="Y644" s="4"/>
      <c r="Z644" s="4"/>
      <c r="AA644" s="4"/>
      <c r="AB644" s="4"/>
      <c r="AC644" s="4" t="str">
        <f>IFERROR(__xludf.DUMMYFUNCTION("""COMPUTED_VALUE"""),"INSPEKSI SUTM - T2_Images/9f9a236c.FOTO.141941.jpg")</f>
        <v>INSPEKSI SUTM - T2_Images/9f9a236c.FOTO.141941.jpg</v>
      </c>
      <c r="AD644" s="4"/>
      <c r="AE644" s="4"/>
      <c r="AF644" s="4" t="str">
        <f>IFERROR(__xludf.DUMMYFUNCTION("""COMPUTED_VALUE"""),"BELUM")</f>
        <v>BELUM</v>
      </c>
      <c r="AG644" s="6">
        <f>IFERROR(__xludf.DUMMYFUNCTION("""COMPUTED_VALUE"""),46086.0)</f>
        <v>46086</v>
      </c>
      <c r="AH644" s="4"/>
      <c r="AI644" s="4"/>
    </row>
    <row r="645" ht="15.75" customHeight="1">
      <c r="A645" s="4" t="str">
        <f>IFERROR(__xludf.DUMMYFUNCTION("""COMPUTED_VALUE"""),"a90fe04c")</f>
        <v>a90fe04c</v>
      </c>
      <c r="B645" s="5">
        <f>IFERROR(__xludf.DUMMYFUNCTION("""COMPUTED_VALUE"""),46086.89011574074)</f>
        <v>46086.89012</v>
      </c>
      <c r="C645" s="4" t="str">
        <f>IFERROR(__xludf.DUMMYFUNCTION("""COMPUTED_VALUE"""),"-6.924844, 107.703121")</f>
        <v>-6.924844, 107.703121</v>
      </c>
      <c r="D645" s="4" t="str">
        <f>IFERROR(__xludf.DUMMYFUNCTION("""COMPUTED_VALUE"""),"Canra heri")</f>
        <v>Canra heri</v>
      </c>
      <c r="E645" s="4" t="str">
        <f>IFERROR(__xludf.DUMMYFUNCTION("""COMPUTED_VALUE"""),"BANDUNG")</f>
        <v>BANDUNG</v>
      </c>
      <c r="F645" s="4" t="str">
        <f>IFERROR(__xludf.DUMMYFUNCTION("""COMPUTED_VALUE"""),"UJUNGBERUNG")</f>
        <v>UJUNGBERUNG</v>
      </c>
      <c r="G645" s="4" t="str">
        <f>IFERROR(__xludf.DUMMYFUNCTION("""COMPUTED_VALUE"""),"UJUNGBERUNG")</f>
        <v>UJUNGBERUNG</v>
      </c>
      <c r="H645" s="4" t="str">
        <f>IFERROR(__xludf.DUMMYFUNCTION("""COMPUTED_VALUE"""),"UZP")</f>
        <v>UZP</v>
      </c>
      <c r="I645" s="4" t="str">
        <f>IFERROR(__xludf.DUMMYFUNCTION("""COMPUTED_VALUE"""),"GH BNA-UJUNG SPT")</f>
        <v>GH BNA-UJUNG SPT</v>
      </c>
      <c r="J645" s="4" t="str">
        <f>IFERROR(__xludf.DUMMYFUNCTION("""COMPUTED_VALUE"""),"ZONA 2")</f>
        <v>ZONA 2</v>
      </c>
      <c r="K645" s="4" t="str">
        <f>IFERROR(__xludf.DUMMYFUNCTION("""COMPUTED_VALUE"""),"046")</f>
        <v>046</v>
      </c>
      <c r="L645" s="4" t="str">
        <f>IFERROR(__xludf.DUMMYFUNCTION("""COMPUTED_VALUE"""),"TM - 8B/H (Percabangan)")</f>
        <v>TM - 8B/H (Percabangan)</v>
      </c>
      <c r="M645" s="4" t="str">
        <f>IFERROR(__xludf.DUMMYFUNCTION("""COMPUTED_VALUE"""),"Tidak Ada")</f>
        <v>Tidak Ada</v>
      </c>
      <c r="N645" s="4"/>
      <c r="O645" s="4" t="str">
        <f>IFERROR(__xludf.DUMMYFUNCTION("""COMPUTED_VALUE"""),"PEMBANDING SEJENIS")</f>
        <v>PEMBANDING SEJENIS</v>
      </c>
      <c r="P645" s="4" t="str">
        <f>IFERROR(__xludf.DUMMYFUNCTION("""COMPUTED_VALUE"""),"KONEKTOR/JUMPER")</f>
        <v>KONEKTOR/JUMPER</v>
      </c>
      <c r="Q645" s="4">
        <f>IFERROR(__xludf.DUMMYFUNCTION("""COMPUTED_VALUE"""),24.0)</f>
        <v>24</v>
      </c>
      <c r="R645" s="4">
        <f>IFERROR(__xludf.DUMMYFUNCTION("""COMPUTED_VALUE"""),24.0)</f>
        <v>24</v>
      </c>
      <c r="S645" s="4">
        <f>IFERROR(__xludf.DUMMYFUNCTION("""COMPUTED_VALUE"""),22.0)</f>
        <v>22</v>
      </c>
      <c r="T645" s="4"/>
      <c r="U645" s="4" t="str">
        <f>IFERROR(__xludf.DUMMYFUNCTION("""COMPUTED_VALUE"""),"BAIK")</f>
        <v>BAIK</v>
      </c>
      <c r="V645" s="4" t="str">
        <f>IFERROR(__xludf.DUMMYFUNCTION("""COMPUTED_VALUE"""),"Tidak Ada")</f>
        <v>Tidak Ada</v>
      </c>
      <c r="W645" s="4"/>
      <c r="X645" s="4"/>
      <c r="Y645" s="4"/>
      <c r="Z645" s="4"/>
      <c r="AA645" s="4"/>
      <c r="AB645" s="4"/>
      <c r="AC645" s="4" t="str">
        <f>IFERROR(__xludf.DUMMYFUNCTION("""COMPUTED_VALUE"""),"INSPEKSI SUTM - T2_Images/a90fe04c.FOTO.142329.jpg")</f>
        <v>INSPEKSI SUTM - T2_Images/a90fe04c.FOTO.142329.jpg</v>
      </c>
      <c r="AD645" s="4"/>
      <c r="AE645" s="4"/>
      <c r="AF645" s="4" t="str">
        <f>IFERROR(__xludf.DUMMYFUNCTION("""COMPUTED_VALUE"""),"BELUM")</f>
        <v>BELUM</v>
      </c>
      <c r="AG645" s="6">
        <f>IFERROR(__xludf.DUMMYFUNCTION("""COMPUTED_VALUE"""),46086.0)</f>
        <v>46086</v>
      </c>
      <c r="AH645" s="4"/>
      <c r="AI645" s="4"/>
    </row>
    <row r="646" ht="15.75" customHeight="1">
      <c r="A646" s="4" t="str">
        <f>IFERROR(__xludf.DUMMYFUNCTION("""COMPUTED_VALUE"""),"9b6a8f1c")</f>
        <v>9b6a8f1c</v>
      </c>
      <c r="B646" s="5">
        <f>IFERROR(__xludf.DUMMYFUNCTION("""COMPUTED_VALUE"""),46086.891805555555)</f>
        <v>46086.89181</v>
      </c>
      <c r="C646" s="4" t="str">
        <f>IFERROR(__xludf.DUMMYFUNCTION("""COMPUTED_VALUE"""),"-6.924956, 107.703435")</f>
        <v>-6.924956, 107.703435</v>
      </c>
      <c r="D646" s="4" t="str">
        <f>IFERROR(__xludf.DUMMYFUNCTION("""COMPUTED_VALUE"""),"Canra hedi")</f>
        <v>Canra hedi</v>
      </c>
      <c r="E646" s="4" t="str">
        <f>IFERROR(__xludf.DUMMYFUNCTION("""COMPUTED_VALUE"""),"BANDUNG")</f>
        <v>BANDUNG</v>
      </c>
      <c r="F646" s="4" t="str">
        <f>IFERROR(__xludf.DUMMYFUNCTION("""COMPUTED_VALUE"""),"UJUNGBERUNG")</f>
        <v>UJUNGBERUNG</v>
      </c>
      <c r="G646" s="4" t="str">
        <f>IFERROR(__xludf.DUMMYFUNCTION("""COMPUTED_VALUE"""),"UJUNGBERUNG")</f>
        <v>UJUNGBERUNG</v>
      </c>
      <c r="H646" s="4" t="str">
        <f>IFERROR(__xludf.DUMMYFUNCTION("""COMPUTED_VALUE"""),"UZP")</f>
        <v>UZP</v>
      </c>
      <c r="I646" s="4" t="str">
        <f>IFERROR(__xludf.DUMMYFUNCTION("""COMPUTED_VALUE"""),"GH BNA-UJUNG SPT")</f>
        <v>GH BNA-UJUNG SPT</v>
      </c>
      <c r="J646" s="4" t="str">
        <f>IFERROR(__xludf.DUMMYFUNCTION("""COMPUTED_VALUE"""),"ZONA 2")</f>
        <v>ZONA 2</v>
      </c>
      <c r="K646" s="4" t="str">
        <f>IFERROR(__xludf.DUMMYFUNCTION("""COMPUTED_VALUE"""),"047")</f>
        <v>047</v>
      </c>
      <c r="L646" s="4" t="str">
        <f>IFERROR(__xludf.DUMMYFUNCTION("""COMPUTED_VALUE"""),"TM - 4B/H (Afspan)")</f>
        <v>TM - 4B/H (Afspan)</v>
      </c>
      <c r="M646" s="4" t="str">
        <f>IFERROR(__xludf.DUMMYFUNCTION("""COMPUTED_VALUE"""),"Tidak Ada")</f>
        <v>Tidak Ada</v>
      </c>
      <c r="N646" s="4"/>
      <c r="O646" s="4" t="str">
        <f>IFERROR(__xludf.DUMMYFUNCTION("""COMPUTED_VALUE"""),"PEMBANDING SEJENIS")</f>
        <v>PEMBANDING SEJENIS</v>
      </c>
      <c r="P646" s="4" t="str">
        <f>IFERROR(__xludf.DUMMYFUNCTION("""COMPUTED_VALUE"""),"KONEKTOR/JUMPER")</f>
        <v>KONEKTOR/JUMPER</v>
      </c>
      <c r="Q646" s="4">
        <f>IFERROR(__xludf.DUMMYFUNCTION("""COMPUTED_VALUE"""),23.0)</f>
        <v>23</v>
      </c>
      <c r="R646" s="4">
        <f>IFERROR(__xludf.DUMMYFUNCTION("""COMPUTED_VALUE"""),24.0)</f>
        <v>24</v>
      </c>
      <c r="S646" s="4">
        <f>IFERROR(__xludf.DUMMYFUNCTION("""COMPUTED_VALUE"""),23.0)</f>
        <v>23</v>
      </c>
      <c r="T646" s="4"/>
      <c r="U646" s="4" t="str">
        <f>IFERROR(__xludf.DUMMYFUNCTION("""COMPUTED_VALUE"""),"BAIK")</f>
        <v>BAIK</v>
      </c>
      <c r="V646" s="4" t="str">
        <f>IFERROR(__xludf.DUMMYFUNCTION("""COMPUTED_VALUE"""),"Tidak Ada")</f>
        <v>Tidak Ada</v>
      </c>
      <c r="W646" s="4"/>
      <c r="X646" s="4"/>
      <c r="Y646" s="4"/>
      <c r="Z646" s="4"/>
      <c r="AA646" s="4"/>
      <c r="AB646" s="4"/>
      <c r="AC646" s="4" t="str">
        <f>IFERROR(__xludf.DUMMYFUNCTION("""COMPUTED_VALUE"""),"INSPEKSI SUTM - T2_Images/9b6a8f1c.FOTO.142509.jpg")</f>
        <v>INSPEKSI SUTM - T2_Images/9b6a8f1c.FOTO.142509.jpg</v>
      </c>
      <c r="AD646" s="4"/>
      <c r="AE646" s="4"/>
      <c r="AF646" s="4" t="str">
        <f>IFERROR(__xludf.DUMMYFUNCTION("""COMPUTED_VALUE"""),"BELUM")</f>
        <v>BELUM</v>
      </c>
      <c r="AG646" s="6">
        <f>IFERROR(__xludf.DUMMYFUNCTION("""COMPUTED_VALUE"""),46086.0)</f>
        <v>46086</v>
      </c>
      <c r="AH646" s="4"/>
      <c r="AI646" s="4"/>
    </row>
    <row r="647" ht="15.75" customHeight="1">
      <c r="A647" s="4" t="str">
        <f>IFERROR(__xludf.DUMMYFUNCTION("""COMPUTED_VALUE"""),"187824b9")</f>
        <v>187824b9</v>
      </c>
      <c r="B647" s="5">
        <f>IFERROR(__xludf.DUMMYFUNCTION("""COMPUTED_VALUE"""),46086.893009259256)</f>
        <v>46086.89301</v>
      </c>
      <c r="C647" s="4" t="str">
        <f>IFERROR(__xludf.DUMMYFUNCTION("""COMPUTED_VALUE"""),"-6.925121, 107.703653")</f>
        <v>-6.925121, 107.703653</v>
      </c>
      <c r="D647" s="4" t="str">
        <f>IFERROR(__xludf.DUMMYFUNCTION("""COMPUTED_VALUE"""),"Canra heei")</f>
        <v>Canra heei</v>
      </c>
      <c r="E647" s="4" t="str">
        <f>IFERROR(__xludf.DUMMYFUNCTION("""COMPUTED_VALUE"""),"BANDUNG")</f>
        <v>BANDUNG</v>
      </c>
      <c r="F647" s="4" t="str">
        <f>IFERROR(__xludf.DUMMYFUNCTION("""COMPUTED_VALUE"""),"UJUNGBERUNG")</f>
        <v>UJUNGBERUNG</v>
      </c>
      <c r="G647" s="4" t="str">
        <f>IFERROR(__xludf.DUMMYFUNCTION("""COMPUTED_VALUE"""),"UJUNGBERUNG")</f>
        <v>UJUNGBERUNG</v>
      </c>
      <c r="H647" s="4" t="str">
        <f>IFERROR(__xludf.DUMMYFUNCTION("""COMPUTED_VALUE"""),"UZP")</f>
        <v>UZP</v>
      </c>
      <c r="I647" s="4" t="str">
        <f>IFERROR(__xludf.DUMMYFUNCTION("""COMPUTED_VALUE"""),"GH BNA-UJUNG SPT")</f>
        <v>GH BNA-UJUNG SPT</v>
      </c>
      <c r="J647" s="4" t="str">
        <f>IFERROR(__xludf.DUMMYFUNCTION("""COMPUTED_VALUE"""),"ZONA 2")</f>
        <v>ZONA 2</v>
      </c>
      <c r="K647" s="4" t="str">
        <f>IFERROR(__xludf.DUMMYFUNCTION("""COMPUTED_VALUE"""),"048")</f>
        <v>048</v>
      </c>
      <c r="L647" s="4" t="str">
        <f>IFERROR(__xludf.DUMMYFUNCTION("""COMPUTED_VALUE"""),"TM - 8B/H (Percabangan)")</f>
        <v>TM - 8B/H (Percabangan)</v>
      </c>
      <c r="M647" s="4" t="str">
        <f>IFERROR(__xludf.DUMMYFUNCTION("""COMPUTED_VALUE"""),"Tidak Ada")</f>
        <v>Tidak Ada</v>
      </c>
      <c r="N647" s="4"/>
      <c r="O647" s="4" t="str">
        <f>IFERROR(__xludf.DUMMYFUNCTION("""COMPUTED_VALUE"""),"PEMBANDING SEJENIS")</f>
        <v>PEMBANDING SEJENIS</v>
      </c>
      <c r="P647" s="4" t="str">
        <f>IFERROR(__xludf.DUMMYFUNCTION("""COMPUTED_VALUE"""),"KONEKTOR/JUMPER")</f>
        <v>KONEKTOR/JUMPER</v>
      </c>
      <c r="Q647" s="4">
        <f>IFERROR(__xludf.DUMMYFUNCTION("""COMPUTED_VALUE"""),24.0)</f>
        <v>24</v>
      </c>
      <c r="R647" s="4">
        <f>IFERROR(__xludf.DUMMYFUNCTION("""COMPUTED_VALUE"""),23.0)</f>
        <v>23</v>
      </c>
      <c r="S647" s="4">
        <f>IFERROR(__xludf.DUMMYFUNCTION("""COMPUTED_VALUE"""),21.0)</f>
        <v>21</v>
      </c>
      <c r="T647" s="4"/>
      <c r="U647" s="4" t="str">
        <f>IFERROR(__xludf.DUMMYFUNCTION("""COMPUTED_VALUE"""),"CUKUP")</f>
        <v>CUKUP</v>
      </c>
      <c r="V647" s="4" t="str">
        <f>IFERROR(__xludf.DUMMYFUNCTION("""COMPUTED_VALUE"""),"Tidak Ada")</f>
        <v>Tidak Ada</v>
      </c>
      <c r="W647" s="4"/>
      <c r="X647" s="4"/>
      <c r="Y647" s="4"/>
      <c r="Z647" s="4"/>
      <c r="AA647" s="4"/>
      <c r="AB647" s="4"/>
      <c r="AC647" s="4" t="str">
        <f>IFERROR(__xludf.DUMMYFUNCTION("""COMPUTED_VALUE"""),"INSPEKSI SUTM - T2_Images/187824b9.FOTO.142653.jpg")</f>
        <v>INSPEKSI SUTM - T2_Images/187824b9.FOTO.142653.jpg</v>
      </c>
      <c r="AD647" s="4"/>
      <c r="AE647" s="4"/>
      <c r="AF647" s="4" t="str">
        <f>IFERROR(__xludf.DUMMYFUNCTION("""COMPUTED_VALUE"""),"BELUM")</f>
        <v>BELUM</v>
      </c>
      <c r="AG647" s="6">
        <f>IFERROR(__xludf.DUMMYFUNCTION("""COMPUTED_VALUE"""),46086.0)</f>
        <v>46086</v>
      </c>
      <c r="AH647" s="4"/>
      <c r="AI647" s="4"/>
    </row>
    <row r="648" ht="15.75" customHeight="1">
      <c r="A648" s="4" t="str">
        <f>IFERROR(__xludf.DUMMYFUNCTION("""COMPUTED_VALUE"""),"7c1e7299")</f>
        <v>7c1e7299</v>
      </c>
      <c r="B648" s="5">
        <f>IFERROR(__xludf.DUMMYFUNCTION("""COMPUTED_VALUE"""),46086.89414351852)</f>
        <v>46086.89414</v>
      </c>
      <c r="C648" s="4" t="str">
        <f>IFERROR(__xludf.DUMMYFUNCTION("""COMPUTED_VALUE"""),"-6.925978, 107.704629")</f>
        <v>-6.925978, 107.704629</v>
      </c>
      <c r="D648" s="4" t="str">
        <f>IFERROR(__xludf.DUMMYFUNCTION("""COMPUTED_VALUE"""),"Canra heri")</f>
        <v>Canra heri</v>
      </c>
      <c r="E648" s="4" t="str">
        <f>IFERROR(__xludf.DUMMYFUNCTION("""COMPUTED_VALUE"""),"BANDUNG")</f>
        <v>BANDUNG</v>
      </c>
      <c r="F648" s="4" t="str">
        <f>IFERROR(__xludf.DUMMYFUNCTION("""COMPUTED_VALUE"""),"UJUNGBERUNG")</f>
        <v>UJUNGBERUNG</v>
      </c>
      <c r="G648" s="4" t="str">
        <f>IFERROR(__xludf.DUMMYFUNCTION("""COMPUTED_VALUE"""),"UJUNGBERUNG")</f>
        <v>UJUNGBERUNG</v>
      </c>
      <c r="H648" s="4" t="str">
        <f>IFERROR(__xludf.DUMMYFUNCTION("""COMPUTED_VALUE"""),"UZP")</f>
        <v>UZP</v>
      </c>
      <c r="I648" s="4" t="str">
        <f>IFERROR(__xludf.DUMMYFUNCTION("""COMPUTED_VALUE"""),"GH BNA-UJUNG SPT")</f>
        <v>GH BNA-UJUNG SPT</v>
      </c>
      <c r="J648" s="4" t="str">
        <f>IFERROR(__xludf.DUMMYFUNCTION("""COMPUTED_VALUE"""),"ZONA 2")</f>
        <v>ZONA 2</v>
      </c>
      <c r="K648" s="4" t="str">
        <f>IFERROR(__xludf.DUMMYFUNCTION("""COMPUTED_VALUE"""),"051")</f>
        <v>051</v>
      </c>
      <c r="L648" s="4" t="str">
        <f>IFERROR(__xludf.DUMMYFUNCTION("""COMPUTED_VALUE"""),"TM - 4B/H (Afspan)")</f>
        <v>TM - 4B/H (Afspan)</v>
      </c>
      <c r="M648" s="4" t="str">
        <f>IFERROR(__xludf.DUMMYFUNCTION("""COMPUTED_VALUE"""),"Tidak Ada")</f>
        <v>Tidak Ada</v>
      </c>
      <c r="N648" s="4"/>
      <c r="O648" s="4" t="str">
        <f>IFERROR(__xludf.DUMMYFUNCTION("""COMPUTED_VALUE"""),"PEMBANDING SEJENIS")</f>
        <v>PEMBANDING SEJENIS</v>
      </c>
      <c r="P648" s="4" t="str">
        <f>IFERROR(__xludf.DUMMYFUNCTION("""COMPUTED_VALUE"""),"KONEKTOR/JUMPER")</f>
        <v>KONEKTOR/JUMPER</v>
      </c>
      <c r="Q648" s="4">
        <f>IFERROR(__xludf.DUMMYFUNCTION("""COMPUTED_VALUE"""),24.0)</f>
        <v>24</v>
      </c>
      <c r="R648" s="4">
        <f>IFERROR(__xludf.DUMMYFUNCTION("""COMPUTED_VALUE"""),24.0)</f>
        <v>24</v>
      </c>
      <c r="S648" s="4">
        <f>IFERROR(__xludf.DUMMYFUNCTION("""COMPUTED_VALUE"""),25.0)</f>
        <v>25</v>
      </c>
      <c r="T648" s="4"/>
      <c r="U648" s="4" t="str">
        <f>IFERROR(__xludf.DUMMYFUNCTION("""COMPUTED_VALUE"""),"BAIK")</f>
        <v>BAIK</v>
      </c>
      <c r="V648" s="4" t="str">
        <f>IFERROR(__xludf.DUMMYFUNCTION("""COMPUTED_VALUE"""),"Tidak Ada")</f>
        <v>Tidak Ada</v>
      </c>
      <c r="W648" s="4"/>
      <c r="X648" s="4"/>
      <c r="Y648" s="4"/>
      <c r="Z648" s="4"/>
      <c r="AA648" s="4"/>
      <c r="AB648" s="4"/>
      <c r="AC648" s="4" t="str">
        <f>IFERROR(__xludf.DUMMYFUNCTION("""COMPUTED_VALUE"""),"INSPEKSI SUTM - T2_Images/7c1e7299.FOTO.142825.jpg")</f>
        <v>INSPEKSI SUTM - T2_Images/7c1e7299.FOTO.142825.jpg</v>
      </c>
      <c r="AD648" s="4"/>
      <c r="AE648" s="4"/>
      <c r="AF648" s="4" t="str">
        <f>IFERROR(__xludf.DUMMYFUNCTION("""COMPUTED_VALUE"""),"BELUM")</f>
        <v>BELUM</v>
      </c>
      <c r="AG648" s="6">
        <f>IFERROR(__xludf.DUMMYFUNCTION("""COMPUTED_VALUE"""),46086.0)</f>
        <v>46086</v>
      </c>
      <c r="AH648" s="4"/>
      <c r="AI648" s="4"/>
    </row>
    <row r="649" ht="15.75" customHeight="1">
      <c r="A649" s="4" t="str">
        <f>IFERROR(__xludf.DUMMYFUNCTION("""COMPUTED_VALUE"""),"e4797a3e")</f>
        <v>e4797a3e</v>
      </c>
      <c r="B649" s="5">
        <f>IFERROR(__xludf.DUMMYFUNCTION("""COMPUTED_VALUE"""),46086.89606481481)</f>
        <v>46086.89606</v>
      </c>
      <c r="C649" s="4" t="str">
        <f>IFERROR(__xludf.DUMMYFUNCTION("""COMPUTED_VALUE"""),"-6.926380, 107.705383")</f>
        <v>-6.926380, 107.705383</v>
      </c>
      <c r="D649" s="4" t="str">
        <f>IFERROR(__xludf.DUMMYFUNCTION("""COMPUTED_VALUE"""),"Canra heri")</f>
        <v>Canra heri</v>
      </c>
      <c r="E649" s="4" t="str">
        <f>IFERROR(__xludf.DUMMYFUNCTION("""COMPUTED_VALUE"""),"BANDUNG")</f>
        <v>BANDUNG</v>
      </c>
      <c r="F649" s="4" t="str">
        <f>IFERROR(__xludf.DUMMYFUNCTION("""COMPUTED_VALUE"""),"UJUNGBERUNG")</f>
        <v>UJUNGBERUNG</v>
      </c>
      <c r="G649" s="4" t="str">
        <f>IFERROR(__xludf.DUMMYFUNCTION("""COMPUTED_VALUE"""),"UJUNGBERUNG")</f>
        <v>UJUNGBERUNG</v>
      </c>
      <c r="H649" s="4" t="str">
        <f>IFERROR(__xludf.DUMMYFUNCTION("""COMPUTED_VALUE"""),"UZP")</f>
        <v>UZP</v>
      </c>
      <c r="I649" s="4" t="str">
        <f>IFERROR(__xludf.DUMMYFUNCTION("""COMPUTED_VALUE"""),"GH BNA-UJUNG SPT")</f>
        <v>GH BNA-UJUNG SPT</v>
      </c>
      <c r="J649" s="4" t="str">
        <f>IFERROR(__xludf.DUMMYFUNCTION("""COMPUTED_VALUE"""),"ZONA 2")</f>
        <v>ZONA 2</v>
      </c>
      <c r="K649" s="4" t="str">
        <f>IFERROR(__xludf.DUMMYFUNCTION("""COMPUTED_VALUE"""),"053")</f>
        <v>053</v>
      </c>
      <c r="L649" s="4" t="str">
        <f>IFERROR(__xludf.DUMMYFUNCTION("""COMPUTED_VALUE"""),"TM - 13B/H (Kabel Naik Pada Tiang Tumpu)")</f>
        <v>TM - 13B/H (Kabel Naik Pada Tiang Tumpu)</v>
      </c>
      <c r="M649" s="4" t="str">
        <f>IFERROR(__xludf.DUMMYFUNCTION("""COMPUTED_VALUE"""),"Gardu")</f>
        <v>Gardu</v>
      </c>
      <c r="N649" s="4" t="str">
        <f>IFERROR(__xludf.DUMMYFUNCTION("""COMPUTED_VALUE"""),"Pnt")</f>
        <v>Pnt</v>
      </c>
      <c r="O649" s="4" t="str">
        <f>IFERROR(__xludf.DUMMYFUNCTION("""COMPUTED_VALUE"""),"PEMBANDING SEJENIS")</f>
        <v>PEMBANDING SEJENIS</v>
      </c>
      <c r="P649" s="4" t="str">
        <f>IFERROR(__xludf.DUMMYFUNCTION("""COMPUTED_VALUE"""),"TERMINASI")</f>
        <v>TERMINASI</v>
      </c>
      <c r="Q649" s="4">
        <f>IFERROR(__xludf.DUMMYFUNCTION("""COMPUTED_VALUE"""),23.0)</f>
        <v>23</v>
      </c>
      <c r="R649" s="4">
        <f>IFERROR(__xludf.DUMMYFUNCTION("""COMPUTED_VALUE"""),24.0)</f>
        <v>24</v>
      </c>
      <c r="S649" s="4">
        <f>IFERROR(__xludf.DUMMYFUNCTION("""COMPUTED_VALUE"""),25.0)</f>
        <v>25</v>
      </c>
      <c r="T649" s="4"/>
      <c r="U649" s="4" t="str">
        <f>IFERROR(__xludf.DUMMYFUNCTION("""COMPUTED_VALUE"""),"BAIK")</f>
        <v>BAIK</v>
      </c>
      <c r="V649" s="4" t="str">
        <f>IFERROR(__xludf.DUMMYFUNCTION("""COMPUTED_VALUE"""),"Tidak Ada")</f>
        <v>Tidak Ada</v>
      </c>
      <c r="W649" s="4"/>
      <c r="X649" s="4"/>
      <c r="Y649" s="4"/>
      <c r="Z649" s="4"/>
      <c r="AA649" s="4"/>
      <c r="AB649" s="4"/>
      <c r="AC649" s="4" t="str">
        <f>IFERROR(__xludf.DUMMYFUNCTION("""COMPUTED_VALUE"""),"INSPEKSI SUTM - T2_Images/e4797a3e.FOTO.143122.jpg")</f>
        <v>INSPEKSI SUTM - T2_Images/e4797a3e.FOTO.143122.jpg</v>
      </c>
      <c r="AD649" s="4"/>
      <c r="AE649" s="4"/>
      <c r="AF649" s="4" t="str">
        <f>IFERROR(__xludf.DUMMYFUNCTION("""COMPUTED_VALUE"""),"BELUM")</f>
        <v>BELUM</v>
      </c>
      <c r="AG649" s="6">
        <f>IFERROR(__xludf.DUMMYFUNCTION("""COMPUTED_VALUE"""),46086.0)</f>
        <v>46086</v>
      </c>
      <c r="AH649" s="4"/>
      <c r="AI649" s="4"/>
    </row>
    <row r="650" ht="15.75" customHeight="1">
      <c r="A650" s="4" t="str">
        <f>IFERROR(__xludf.DUMMYFUNCTION("""COMPUTED_VALUE"""),"1697035e")</f>
        <v>1697035e</v>
      </c>
      <c r="B650" s="5">
        <f>IFERROR(__xludf.DUMMYFUNCTION("""COMPUTED_VALUE"""),46086.897152777776)</f>
        <v>46086.89715</v>
      </c>
      <c r="C650" s="4" t="str">
        <f>IFERROR(__xludf.DUMMYFUNCTION("""COMPUTED_VALUE"""),"-6.926379, 107.705383")</f>
        <v>-6.926379, 107.705383</v>
      </c>
      <c r="D650" s="4" t="str">
        <f>IFERROR(__xludf.DUMMYFUNCTION("""COMPUTED_VALUE"""),"Canra heri")</f>
        <v>Canra heri</v>
      </c>
      <c r="E650" s="4" t="str">
        <f>IFERROR(__xludf.DUMMYFUNCTION("""COMPUTED_VALUE"""),"BANDUNG")</f>
        <v>BANDUNG</v>
      </c>
      <c r="F650" s="4" t="str">
        <f>IFERROR(__xludf.DUMMYFUNCTION("""COMPUTED_VALUE"""),"UJUNGBERUNG")</f>
        <v>UJUNGBERUNG</v>
      </c>
      <c r="G650" s="4" t="str">
        <f>IFERROR(__xludf.DUMMYFUNCTION("""COMPUTED_VALUE"""),"UJUNGBERUNG")</f>
        <v>UJUNGBERUNG</v>
      </c>
      <c r="H650" s="4" t="str">
        <f>IFERROR(__xludf.DUMMYFUNCTION("""COMPUTED_VALUE"""),"UZP")</f>
        <v>UZP</v>
      </c>
      <c r="I650" s="4" t="str">
        <f>IFERROR(__xludf.DUMMYFUNCTION("""COMPUTED_VALUE"""),"GH BNA-UJUNG SPT")</f>
        <v>GH BNA-UJUNG SPT</v>
      </c>
      <c r="J650" s="4" t="str">
        <f>IFERROR(__xludf.DUMMYFUNCTION("""COMPUTED_VALUE"""),"ZONA 2")</f>
        <v>ZONA 2</v>
      </c>
      <c r="K650" s="4" t="str">
        <f>IFERROR(__xludf.DUMMYFUNCTION("""COMPUTED_VALUE"""),"054")</f>
        <v>054</v>
      </c>
      <c r="L650" s="4" t="str">
        <f>IFERROR(__xludf.DUMMYFUNCTION("""COMPUTED_VALUE"""),"TM - 14B/H (Akhir)")</f>
        <v>TM - 14B/H (Akhir)</v>
      </c>
      <c r="M650" s="4" t="str">
        <f>IFERROR(__xludf.DUMMYFUNCTION("""COMPUTED_VALUE"""),"Gardu")</f>
        <v>Gardu</v>
      </c>
      <c r="N650" s="4" t="str">
        <f>IFERROR(__xludf.DUMMYFUNCTION("""COMPUTED_VALUE"""),"Pnt")</f>
        <v>Pnt</v>
      </c>
      <c r="O650" s="4" t="str">
        <f>IFERROR(__xludf.DUMMYFUNCTION("""COMPUTED_VALUE"""),"PEMBANDING SEJENIS")</f>
        <v>PEMBANDING SEJENIS</v>
      </c>
      <c r="P650" s="4" t="str">
        <f>IFERROR(__xludf.DUMMYFUNCTION("""COMPUTED_VALUE"""),"TERMINASI")</f>
        <v>TERMINASI</v>
      </c>
      <c r="Q650" s="4">
        <f>IFERROR(__xludf.DUMMYFUNCTION("""COMPUTED_VALUE"""),24.0)</f>
        <v>24</v>
      </c>
      <c r="R650" s="4">
        <f>IFERROR(__xludf.DUMMYFUNCTION("""COMPUTED_VALUE"""),22.0)</f>
        <v>22</v>
      </c>
      <c r="S650" s="4">
        <f>IFERROR(__xludf.DUMMYFUNCTION("""COMPUTED_VALUE"""),24.0)</f>
        <v>24</v>
      </c>
      <c r="T650" s="4"/>
      <c r="U650" s="4" t="str">
        <f>IFERROR(__xludf.DUMMYFUNCTION("""COMPUTED_VALUE"""),"BAIK")</f>
        <v>BAIK</v>
      </c>
      <c r="V650" s="4" t="str">
        <f>IFERROR(__xludf.DUMMYFUNCTION("""COMPUTED_VALUE"""),"Tidak Ada")</f>
        <v>Tidak Ada</v>
      </c>
      <c r="W650" s="4"/>
      <c r="X650" s="4"/>
      <c r="Y650" s="4"/>
      <c r="Z650" s="4"/>
      <c r="AA650" s="4"/>
      <c r="AB650" s="4"/>
      <c r="AC650" s="4" t="str">
        <f>IFERROR(__xludf.DUMMYFUNCTION("""COMPUTED_VALUE"""),"INSPEKSI SUTM - T2_Images/1697035e.FOTO.143302.jpg")</f>
        <v>INSPEKSI SUTM - T2_Images/1697035e.FOTO.143302.jpg</v>
      </c>
      <c r="AD650" s="4"/>
      <c r="AE650" s="4"/>
      <c r="AF650" s="4" t="str">
        <f>IFERROR(__xludf.DUMMYFUNCTION("""COMPUTED_VALUE"""),"BELUM")</f>
        <v>BELUM</v>
      </c>
      <c r="AG650" s="6">
        <f>IFERROR(__xludf.DUMMYFUNCTION("""COMPUTED_VALUE"""),46086.0)</f>
        <v>46086</v>
      </c>
      <c r="AH650" s="4"/>
      <c r="AI650" s="4"/>
    </row>
    <row r="651" ht="15.75" customHeight="1">
      <c r="A651" s="4" t="str">
        <f>IFERROR(__xludf.DUMMYFUNCTION("""COMPUTED_VALUE"""),"3e29e4a1")</f>
        <v>3e29e4a1</v>
      </c>
      <c r="B651" s="5">
        <f>IFERROR(__xludf.DUMMYFUNCTION("""COMPUTED_VALUE"""),46086.8993287037)</f>
        <v>46086.89933</v>
      </c>
      <c r="C651" s="4" t="str">
        <f>IFERROR(__xludf.DUMMYFUNCTION("""COMPUTED_VALUE"""),"-6.928298, 107.704643")</f>
        <v>-6.928298, 107.704643</v>
      </c>
      <c r="D651" s="4" t="str">
        <f>IFERROR(__xludf.DUMMYFUNCTION("""COMPUTED_VALUE"""),"Canra heri")</f>
        <v>Canra heri</v>
      </c>
      <c r="E651" s="4" t="str">
        <f>IFERROR(__xludf.DUMMYFUNCTION("""COMPUTED_VALUE"""),"BANDUNG")</f>
        <v>BANDUNG</v>
      </c>
      <c r="F651" s="4" t="str">
        <f>IFERROR(__xludf.DUMMYFUNCTION("""COMPUTED_VALUE"""),"UJUNGBERUNG")</f>
        <v>UJUNGBERUNG</v>
      </c>
      <c r="G651" s="4" t="str">
        <f>IFERROR(__xludf.DUMMYFUNCTION("""COMPUTED_VALUE"""),"UJUNGBERUNG")</f>
        <v>UJUNGBERUNG</v>
      </c>
      <c r="H651" s="4" t="str">
        <f>IFERROR(__xludf.DUMMYFUNCTION("""COMPUTED_VALUE"""),"UZP")</f>
        <v>UZP</v>
      </c>
      <c r="I651" s="4" t="str">
        <f>IFERROR(__xludf.DUMMYFUNCTION("""COMPUTED_VALUE"""),"GH BNA-UJUNG SPT")</f>
        <v>GH BNA-UJUNG SPT</v>
      </c>
      <c r="J651" s="4" t="str">
        <f>IFERROR(__xludf.DUMMYFUNCTION("""COMPUTED_VALUE"""),"ZONA 2")</f>
        <v>ZONA 2</v>
      </c>
      <c r="K651" s="4" t="str">
        <f>IFERROR(__xludf.DUMMYFUNCTION("""COMPUTED_VALUE"""),"053R01")</f>
        <v>053R01</v>
      </c>
      <c r="L651" s="4" t="str">
        <f>IFERROR(__xludf.DUMMYFUNCTION("""COMPUTED_VALUE"""),"TM - 11B/H (Kabel Naik)")</f>
        <v>TM - 11B/H (Kabel Naik)</v>
      </c>
      <c r="M651" s="4" t="str">
        <f>IFERROR(__xludf.DUMMYFUNCTION("""COMPUTED_VALUE"""),"Tidak Ada")</f>
        <v>Tidak Ada</v>
      </c>
      <c r="N651" s="4"/>
      <c r="O651" s="4" t="str">
        <f>IFERROR(__xludf.DUMMYFUNCTION("""COMPUTED_VALUE"""),"PEMBANDING SEJENIS")</f>
        <v>PEMBANDING SEJENIS</v>
      </c>
      <c r="P651" s="4" t="str">
        <f>IFERROR(__xludf.DUMMYFUNCTION("""COMPUTED_VALUE"""),"KONEKTOR/JUMPER")</f>
        <v>KONEKTOR/JUMPER</v>
      </c>
      <c r="Q651" s="4">
        <f>IFERROR(__xludf.DUMMYFUNCTION("""COMPUTED_VALUE"""),23.0)</f>
        <v>23</v>
      </c>
      <c r="R651" s="4">
        <f>IFERROR(__xludf.DUMMYFUNCTION("""COMPUTED_VALUE"""),23.0)</f>
        <v>23</v>
      </c>
      <c r="S651" s="4">
        <f>IFERROR(__xludf.DUMMYFUNCTION("""COMPUTED_VALUE"""),18.0)</f>
        <v>18</v>
      </c>
      <c r="T651" s="4"/>
      <c r="U651" s="4" t="str">
        <f>IFERROR(__xludf.DUMMYFUNCTION("""COMPUTED_VALUE"""),"CUKUP")</f>
        <v>CUKUP</v>
      </c>
      <c r="V651" s="4" t="str">
        <f>IFERROR(__xludf.DUMMYFUNCTION("""COMPUTED_VALUE"""),"Tidak Ada")</f>
        <v>Tidak Ada</v>
      </c>
      <c r="W651" s="4"/>
      <c r="X651" s="4"/>
      <c r="Y651" s="4"/>
      <c r="Z651" s="4"/>
      <c r="AA651" s="4"/>
      <c r="AB651" s="4"/>
      <c r="AC651" s="4" t="str">
        <f>IFERROR(__xludf.DUMMYFUNCTION("""COMPUTED_VALUE"""),"INSPEKSI SUTM - T2_Images/3e29e4a1.FOTO.143553.jpg")</f>
        <v>INSPEKSI SUTM - T2_Images/3e29e4a1.FOTO.143553.jpg</v>
      </c>
      <c r="AD651" s="4"/>
      <c r="AE651" s="4"/>
      <c r="AF651" s="4" t="str">
        <f>IFERROR(__xludf.DUMMYFUNCTION("""COMPUTED_VALUE"""),"BELUM")</f>
        <v>BELUM</v>
      </c>
      <c r="AG651" s="6">
        <f>IFERROR(__xludf.DUMMYFUNCTION("""COMPUTED_VALUE"""),46086.0)</f>
        <v>46086</v>
      </c>
      <c r="AH651" s="4"/>
      <c r="AI651" s="4"/>
    </row>
    <row r="652" ht="15.75" customHeight="1">
      <c r="A652" s="4" t="str">
        <f>IFERROR(__xludf.DUMMYFUNCTION("""COMPUTED_VALUE"""),"3c0f2cc5")</f>
        <v>3c0f2cc5</v>
      </c>
      <c r="B652" s="5">
        <f>IFERROR(__xludf.DUMMYFUNCTION("""COMPUTED_VALUE"""),46086.89996527778)</f>
        <v>46086.89997</v>
      </c>
      <c r="C652" s="4" t="str">
        <f>IFERROR(__xludf.DUMMYFUNCTION("""COMPUTED_VALUE"""),"-6.928303, 107.704652")</f>
        <v>-6.928303, 107.704652</v>
      </c>
      <c r="D652" s="4" t="str">
        <f>IFERROR(__xludf.DUMMYFUNCTION("""COMPUTED_VALUE"""),"Canra heri")</f>
        <v>Canra heri</v>
      </c>
      <c r="E652" s="4" t="str">
        <f>IFERROR(__xludf.DUMMYFUNCTION("""COMPUTED_VALUE"""),"BANDUNG")</f>
        <v>BANDUNG</v>
      </c>
      <c r="F652" s="4" t="str">
        <f>IFERROR(__xludf.DUMMYFUNCTION("""COMPUTED_VALUE"""),"UJUNGBERUNG")</f>
        <v>UJUNGBERUNG</v>
      </c>
      <c r="G652" s="4" t="str">
        <f>IFERROR(__xludf.DUMMYFUNCTION("""COMPUTED_VALUE"""),"UJUNGBERUNG")</f>
        <v>UJUNGBERUNG</v>
      </c>
      <c r="H652" s="4" t="str">
        <f>IFERROR(__xludf.DUMMYFUNCTION("""COMPUTED_VALUE"""),"UZP")</f>
        <v>UZP</v>
      </c>
      <c r="I652" s="4" t="str">
        <f>IFERROR(__xludf.DUMMYFUNCTION("""COMPUTED_VALUE"""),"GH BNA-UJUNG SPT")</f>
        <v>GH BNA-UJUNG SPT</v>
      </c>
      <c r="J652" s="4" t="str">
        <f>IFERROR(__xludf.DUMMYFUNCTION("""COMPUTED_VALUE"""),"ZONA 2")</f>
        <v>ZONA 2</v>
      </c>
      <c r="K652" s="4" t="str">
        <f>IFERROR(__xludf.DUMMYFUNCTION("""COMPUTED_VALUE"""),"053R02")</f>
        <v>053R02</v>
      </c>
      <c r="L652" s="4" t="str">
        <f>IFERROR(__xludf.DUMMYFUNCTION("""COMPUTED_VALUE"""),"TM - 14B/H (Akhir)")</f>
        <v>TM - 14B/H (Akhir)</v>
      </c>
      <c r="M652" s="4" t="str">
        <f>IFERROR(__xludf.DUMMYFUNCTION("""COMPUTED_VALUE"""),"Tidak Ada")</f>
        <v>Tidak Ada</v>
      </c>
      <c r="N652" s="4"/>
      <c r="O652" s="4" t="str">
        <f>IFERROR(__xludf.DUMMYFUNCTION("""COMPUTED_VALUE"""),"PEMBANDING SEJENIS")</f>
        <v>PEMBANDING SEJENIS</v>
      </c>
      <c r="P652" s="4" t="str">
        <f>IFERROR(__xludf.DUMMYFUNCTION("""COMPUTED_VALUE"""),"KONEKTOR/JUMPER")</f>
        <v>KONEKTOR/JUMPER</v>
      </c>
      <c r="Q652" s="4">
        <f>IFERROR(__xludf.DUMMYFUNCTION("""COMPUTED_VALUE"""),24.0)</f>
        <v>24</v>
      </c>
      <c r="R652" s="4">
        <f>IFERROR(__xludf.DUMMYFUNCTION("""COMPUTED_VALUE"""),21.0)</f>
        <v>21</v>
      </c>
      <c r="S652" s="4">
        <f>IFERROR(__xludf.DUMMYFUNCTION("""COMPUTED_VALUE"""),23.0)</f>
        <v>23</v>
      </c>
      <c r="T652" s="4"/>
      <c r="U652" s="4" t="str">
        <f>IFERROR(__xludf.DUMMYFUNCTION("""COMPUTED_VALUE"""),"CUKUP")</f>
        <v>CUKUP</v>
      </c>
      <c r="V652" s="4" t="str">
        <f>IFERROR(__xludf.DUMMYFUNCTION("""COMPUTED_VALUE"""),"Tidak Ada")</f>
        <v>Tidak Ada</v>
      </c>
      <c r="W652" s="4"/>
      <c r="X652" s="4"/>
      <c r="Y652" s="4"/>
      <c r="Z652" s="4"/>
      <c r="AA652" s="4"/>
      <c r="AB652" s="4"/>
      <c r="AC652" s="4" t="str">
        <f>IFERROR(__xludf.DUMMYFUNCTION("""COMPUTED_VALUE"""),"INSPEKSI SUTM - T2_Images/3c0f2cc5.FOTO.143645.jpg")</f>
        <v>INSPEKSI SUTM - T2_Images/3c0f2cc5.FOTO.143645.jpg</v>
      </c>
      <c r="AD652" s="4"/>
      <c r="AE652" s="4"/>
      <c r="AF652" s="4" t="str">
        <f>IFERROR(__xludf.DUMMYFUNCTION("""COMPUTED_VALUE"""),"BELUM")</f>
        <v>BELUM</v>
      </c>
      <c r="AG652" s="6">
        <f>IFERROR(__xludf.DUMMYFUNCTION("""COMPUTED_VALUE"""),46086.0)</f>
        <v>46086</v>
      </c>
      <c r="AH652" s="4"/>
      <c r="AI652" s="4"/>
    </row>
    <row r="653" ht="15.75" customHeight="1">
      <c r="A653" s="4" t="str">
        <f>IFERROR(__xludf.DUMMYFUNCTION("""COMPUTED_VALUE"""),"bcf163e5")</f>
        <v>bcf163e5</v>
      </c>
      <c r="B653" s="5">
        <f>IFERROR(__xludf.DUMMYFUNCTION("""COMPUTED_VALUE"""),46086.901296296295)</f>
        <v>46086.9013</v>
      </c>
      <c r="C653" s="4" t="str">
        <f>IFERROR(__xludf.DUMMYFUNCTION("""COMPUTED_VALUE"""),"-6.927108, 107.707116")</f>
        <v>-6.927108, 107.707116</v>
      </c>
      <c r="D653" s="4" t="str">
        <f>IFERROR(__xludf.DUMMYFUNCTION("""COMPUTED_VALUE"""),"Canra heri")</f>
        <v>Canra heri</v>
      </c>
      <c r="E653" s="4" t="str">
        <f>IFERROR(__xludf.DUMMYFUNCTION("""COMPUTED_VALUE"""),"BANDUNG")</f>
        <v>BANDUNG</v>
      </c>
      <c r="F653" s="4" t="str">
        <f>IFERROR(__xludf.DUMMYFUNCTION("""COMPUTED_VALUE"""),"UJUNGBERUNG")</f>
        <v>UJUNGBERUNG</v>
      </c>
      <c r="G653" s="4" t="str">
        <f>IFERROR(__xludf.DUMMYFUNCTION("""COMPUTED_VALUE"""),"UJUNGBERUNG")</f>
        <v>UJUNGBERUNG</v>
      </c>
      <c r="H653" s="4" t="str">
        <f>IFERROR(__xludf.DUMMYFUNCTION("""COMPUTED_VALUE"""),"UZP")</f>
        <v>UZP</v>
      </c>
      <c r="I653" s="4" t="str">
        <f>IFERROR(__xludf.DUMMYFUNCTION("""COMPUTED_VALUE"""),"GH BNA-UJUNG SPT")</f>
        <v>GH BNA-UJUNG SPT</v>
      </c>
      <c r="J653" s="4" t="str">
        <f>IFERROR(__xludf.DUMMYFUNCTION("""COMPUTED_VALUE"""),"ZONA 2")</f>
        <v>ZONA 2</v>
      </c>
      <c r="K653" s="4" t="str">
        <f>IFERROR(__xludf.DUMMYFUNCTION("""COMPUTED_VALUE"""),"059")</f>
        <v>059</v>
      </c>
      <c r="L653" s="4" t="str">
        <f>IFERROR(__xludf.DUMMYFUNCTION("""COMPUTED_VALUE"""),"TM - 8B/H (Percabangan)")</f>
        <v>TM - 8B/H (Percabangan)</v>
      </c>
      <c r="M653" s="4" t="str">
        <f>IFERROR(__xludf.DUMMYFUNCTION("""COMPUTED_VALUE"""),"Tidak Ada")</f>
        <v>Tidak Ada</v>
      </c>
      <c r="N653" s="4"/>
      <c r="O653" s="4" t="str">
        <f>IFERROR(__xludf.DUMMYFUNCTION("""COMPUTED_VALUE"""),"PEMBANDING SEJENIS")</f>
        <v>PEMBANDING SEJENIS</v>
      </c>
      <c r="P653" s="4" t="str">
        <f>IFERROR(__xludf.DUMMYFUNCTION("""COMPUTED_VALUE"""),"KONEKTOR/JUMPER")</f>
        <v>KONEKTOR/JUMPER</v>
      </c>
      <c r="Q653" s="4">
        <f>IFERROR(__xludf.DUMMYFUNCTION("""COMPUTED_VALUE"""),23.0)</f>
        <v>23</v>
      </c>
      <c r="R653" s="4">
        <f>IFERROR(__xludf.DUMMYFUNCTION("""COMPUTED_VALUE"""),24.0)</f>
        <v>24</v>
      </c>
      <c r="S653" s="4">
        <f>IFERROR(__xludf.DUMMYFUNCTION("""COMPUTED_VALUE"""),23.0)</f>
        <v>23</v>
      </c>
      <c r="T653" s="4"/>
      <c r="U653" s="4" t="str">
        <f>IFERROR(__xludf.DUMMYFUNCTION("""COMPUTED_VALUE"""),"BAIK")</f>
        <v>BAIK</v>
      </c>
      <c r="V653" s="4" t="str">
        <f>IFERROR(__xludf.DUMMYFUNCTION("""COMPUTED_VALUE"""),"Tidak Ada")</f>
        <v>Tidak Ada</v>
      </c>
      <c r="W653" s="4"/>
      <c r="X653" s="4"/>
      <c r="Y653" s="4"/>
      <c r="Z653" s="4"/>
      <c r="AA653" s="4"/>
      <c r="AB653" s="4"/>
      <c r="AC653" s="4" t="str">
        <f>IFERROR(__xludf.DUMMYFUNCTION("""COMPUTED_VALUE"""),"INSPEKSI SUTM - T2_Images/bcf163e5.FOTO.143836.jpg")</f>
        <v>INSPEKSI SUTM - T2_Images/bcf163e5.FOTO.143836.jpg</v>
      </c>
      <c r="AD653" s="4"/>
      <c r="AE653" s="4"/>
      <c r="AF653" s="4" t="str">
        <f>IFERROR(__xludf.DUMMYFUNCTION("""COMPUTED_VALUE"""),"BELUM")</f>
        <v>BELUM</v>
      </c>
      <c r="AG653" s="6">
        <f>IFERROR(__xludf.DUMMYFUNCTION("""COMPUTED_VALUE"""),46086.0)</f>
        <v>46086</v>
      </c>
      <c r="AH653" s="4"/>
      <c r="AI653" s="4"/>
    </row>
    <row r="654" ht="15.75" customHeight="1">
      <c r="A654" s="4" t="str">
        <f>IFERROR(__xludf.DUMMYFUNCTION("""COMPUTED_VALUE"""),"4c0f8e5d")</f>
        <v>4c0f8e5d</v>
      </c>
      <c r="B654" s="5">
        <f>IFERROR(__xludf.DUMMYFUNCTION("""COMPUTED_VALUE"""),46086.90217592593)</f>
        <v>46086.90218</v>
      </c>
      <c r="C654" s="4" t="str">
        <f>IFERROR(__xludf.DUMMYFUNCTION("""COMPUTED_VALUE"""),"-6.927101, 107.707115")</f>
        <v>-6.927101, 107.707115</v>
      </c>
      <c r="D654" s="4" t="str">
        <f>IFERROR(__xludf.DUMMYFUNCTION("""COMPUTED_VALUE"""),"Vanra heri")</f>
        <v>Vanra heri</v>
      </c>
      <c r="E654" s="4" t="str">
        <f>IFERROR(__xludf.DUMMYFUNCTION("""COMPUTED_VALUE"""),"BANDUNG")</f>
        <v>BANDUNG</v>
      </c>
      <c r="F654" s="4" t="str">
        <f>IFERROR(__xludf.DUMMYFUNCTION("""COMPUTED_VALUE"""),"UJUNGBERUNG")</f>
        <v>UJUNGBERUNG</v>
      </c>
      <c r="G654" s="4" t="str">
        <f>IFERROR(__xludf.DUMMYFUNCTION("""COMPUTED_VALUE"""),"UJUNGBERUNG")</f>
        <v>UJUNGBERUNG</v>
      </c>
      <c r="H654" s="4" t="str">
        <f>IFERROR(__xludf.DUMMYFUNCTION("""COMPUTED_VALUE"""),"UZP")</f>
        <v>UZP</v>
      </c>
      <c r="I654" s="4" t="str">
        <f>IFERROR(__xludf.DUMMYFUNCTION("""COMPUTED_VALUE"""),"GH BNA-UJUNG SPT")</f>
        <v>GH BNA-UJUNG SPT</v>
      </c>
      <c r="J654" s="4" t="str">
        <f>IFERROR(__xludf.DUMMYFUNCTION("""COMPUTED_VALUE"""),"ZONA 2")</f>
        <v>ZONA 2</v>
      </c>
      <c r="K654" s="4" t="str">
        <f>IFERROR(__xludf.DUMMYFUNCTION("""COMPUTED_VALUE"""),"060")</f>
        <v>060</v>
      </c>
      <c r="L654" s="4" t="str">
        <f>IFERROR(__xludf.DUMMYFUNCTION("""COMPUTED_VALUE"""),"TM - 4B/H (Afspan)")</f>
        <v>TM - 4B/H (Afspan)</v>
      </c>
      <c r="M654" s="4" t="str">
        <f>IFERROR(__xludf.DUMMYFUNCTION("""COMPUTED_VALUE"""),"Tidak Ada")</f>
        <v>Tidak Ada</v>
      </c>
      <c r="N654" s="4"/>
      <c r="O654" s="4" t="str">
        <f>IFERROR(__xludf.DUMMYFUNCTION("""COMPUTED_VALUE"""),"PEMBANDING SEJENIS")</f>
        <v>PEMBANDING SEJENIS</v>
      </c>
      <c r="P654" s="4" t="str">
        <f>IFERROR(__xludf.DUMMYFUNCTION("""COMPUTED_VALUE"""),"KONEKTOR/JUMPER")</f>
        <v>KONEKTOR/JUMPER</v>
      </c>
      <c r="Q654" s="4">
        <f>IFERROR(__xludf.DUMMYFUNCTION("""COMPUTED_VALUE"""),22.0)</f>
        <v>22</v>
      </c>
      <c r="R654" s="4">
        <f>IFERROR(__xludf.DUMMYFUNCTION("""COMPUTED_VALUE"""),19.0)</f>
        <v>19</v>
      </c>
      <c r="S654" s="4">
        <f>IFERROR(__xludf.DUMMYFUNCTION("""COMPUTED_VALUE"""),19.0)</f>
        <v>19</v>
      </c>
      <c r="T654" s="4"/>
      <c r="U654" s="4" t="str">
        <f>IFERROR(__xludf.DUMMYFUNCTION("""COMPUTED_VALUE"""),"CUKUP")</f>
        <v>CUKUP</v>
      </c>
      <c r="V654" s="4" t="str">
        <f>IFERROR(__xludf.DUMMYFUNCTION("""COMPUTED_VALUE"""),"Tidak Ada")</f>
        <v>Tidak Ada</v>
      </c>
      <c r="W654" s="4"/>
      <c r="X654" s="4"/>
      <c r="Y654" s="4"/>
      <c r="Z654" s="4"/>
      <c r="AA654" s="4"/>
      <c r="AB654" s="4"/>
      <c r="AC654" s="4" t="str">
        <f>IFERROR(__xludf.DUMMYFUNCTION("""COMPUTED_VALUE"""),"INSPEKSI SUTM - T2_Images/4c0f8e5d.FOTO.143957.jpg")</f>
        <v>INSPEKSI SUTM - T2_Images/4c0f8e5d.FOTO.143957.jpg</v>
      </c>
      <c r="AD654" s="4"/>
      <c r="AE654" s="4"/>
      <c r="AF654" s="4" t="str">
        <f>IFERROR(__xludf.DUMMYFUNCTION("""COMPUTED_VALUE"""),"BELUM")</f>
        <v>BELUM</v>
      </c>
      <c r="AG654" s="6">
        <f>IFERROR(__xludf.DUMMYFUNCTION("""COMPUTED_VALUE"""),46086.0)</f>
        <v>46086</v>
      </c>
      <c r="AH654" s="4"/>
      <c r="AI654" s="4"/>
    </row>
    <row r="655" ht="15.75" customHeight="1">
      <c r="A655" s="4" t="str">
        <f>IFERROR(__xludf.DUMMYFUNCTION("""COMPUTED_VALUE"""),"bc5b8954")</f>
        <v>bc5b8954</v>
      </c>
      <c r="B655" s="5">
        <f>IFERROR(__xludf.DUMMYFUNCTION("""COMPUTED_VALUE"""),46086.903599537036)</f>
        <v>46086.9036</v>
      </c>
      <c r="C655" s="4" t="str">
        <f>IFERROR(__xludf.DUMMYFUNCTION("""COMPUTED_VALUE"""),"-6.926295, 107.707814")</f>
        <v>-6.926295, 107.707814</v>
      </c>
      <c r="D655" s="4" t="str">
        <f>IFERROR(__xludf.DUMMYFUNCTION("""COMPUTED_VALUE"""),"Canra heri")</f>
        <v>Canra heri</v>
      </c>
      <c r="E655" s="4" t="str">
        <f>IFERROR(__xludf.DUMMYFUNCTION("""COMPUTED_VALUE"""),"BANDUNG")</f>
        <v>BANDUNG</v>
      </c>
      <c r="F655" s="4" t="str">
        <f>IFERROR(__xludf.DUMMYFUNCTION("""COMPUTED_VALUE"""),"UJUNGBERUNG")</f>
        <v>UJUNGBERUNG</v>
      </c>
      <c r="G655" s="4" t="str">
        <f>IFERROR(__xludf.DUMMYFUNCTION("""COMPUTED_VALUE"""),"UJUNGBERUNG")</f>
        <v>UJUNGBERUNG</v>
      </c>
      <c r="H655" s="4" t="str">
        <f>IFERROR(__xludf.DUMMYFUNCTION("""COMPUTED_VALUE"""),"UZP")</f>
        <v>UZP</v>
      </c>
      <c r="I655" s="4" t="str">
        <f>IFERROR(__xludf.DUMMYFUNCTION("""COMPUTED_VALUE"""),"GH BNA-UJUNG SPT")</f>
        <v>GH BNA-UJUNG SPT</v>
      </c>
      <c r="J655" s="4" t="str">
        <f>IFERROR(__xludf.DUMMYFUNCTION("""COMPUTED_VALUE"""),"ZONA 2")</f>
        <v>ZONA 2</v>
      </c>
      <c r="K655" s="4" t="str">
        <f>IFERROR(__xludf.DUMMYFUNCTION("""COMPUTED_VALUE"""),"062")</f>
        <v>062</v>
      </c>
      <c r="L655" s="4" t="str">
        <f>IFERROR(__xludf.DUMMYFUNCTION("""COMPUTED_VALUE"""),"TM - 7B/H (Afspan 90 Derajat)")</f>
        <v>TM - 7B/H (Afspan 90 Derajat)</v>
      </c>
      <c r="M655" s="4" t="str">
        <f>IFERROR(__xludf.DUMMYFUNCTION("""COMPUTED_VALUE"""),"Tidak Ada")</f>
        <v>Tidak Ada</v>
      </c>
      <c r="N655" s="4"/>
      <c r="O655" s="4" t="str">
        <f>IFERROR(__xludf.DUMMYFUNCTION("""COMPUTED_VALUE"""),"PEMBANDING SEJENIS")</f>
        <v>PEMBANDING SEJENIS</v>
      </c>
      <c r="P655" s="4" t="str">
        <f>IFERROR(__xludf.DUMMYFUNCTION("""COMPUTED_VALUE"""),"KONEKTOR/JUMPER")</f>
        <v>KONEKTOR/JUMPER</v>
      </c>
      <c r="Q655" s="4">
        <f>IFERROR(__xludf.DUMMYFUNCTION("""COMPUTED_VALUE"""),21.0)</f>
        <v>21</v>
      </c>
      <c r="R655" s="4">
        <f>IFERROR(__xludf.DUMMYFUNCTION("""COMPUTED_VALUE"""),24.0)</f>
        <v>24</v>
      </c>
      <c r="S655" s="4">
        <f>IFERROR(__xludf.DUMMYFUNCTION("""COMPUTED_VALUE"""),24.0)</f>
        <v>24</v>
      </c>
      <c r="T655" s="4"/>
      <c r="U655" s="4" t="str">
        <f>IFERROR(__xludf.DUMMYFUNCTION("""COMPUTED_VALUE"""),"CUKUP")</f>
        <v>CUKUP</v>
      </c>
      <c r="V655" s="4" t="str">
        <f>IFERROR(__xludf.DUMMYFUNCTION("""COMPUTED_VALUE"""),"Tidak Ada")</f>
        <v>Tidak Ada</v>
      </c>
      <c r="W655" s="4"/>
      <c r="X655" s="4"/>
      <c r="Y655" s="4"/>
      <c r="Z655" s="4"/>
      <c r="AA655" s="4"/>
      <c r="AB655" s="4"/>
      <c r="AC655" s="4" t="str">
        <f>IFERROR(__xludf.DUMMYFUNCTION("""COMPUTED_VALUE"""),"INSPEKSI SUTM - T2_Images/bc5b8954.FOTO.144158.jpg")</f>
        <v>INSPEKSI SUTM - T2_Images/bc5b8954.FOTO.144158.jpg</v>
      </c>
      <c r="AD655" s="4"/>
      <c r="AE655" s="4"/>
      <c r="AF655" s="4" t="str">
        <f>IFERROR(__xludf.DUMMYFUNCTION("""COMPUTED_VALUE"""),"BELUM")</f>
        <v>BELUM</v>
      </c>
      <c r="AG655" s="6">
        <f>IFERROR(__xludf.DUMMYFUNCTION("""COMPUTED_VALUE"""),46086.0)</f>
        <v>46086</v>
      </c>
      <c r="AH655" s="4"/>
      <c r="AI655" s="4"/>
    </row>
    <row r="656" ht="15.75" customHeight="1">
      <c r="A656" s="4" t="str">
        <f>IFERROR(__xludf.DUMMYFUNCTION("""COMPUTED_VALUE"""),"247e027d")</f>
        <v>247e027d</v>
      </c>
      <c r="B656" s="5">
        <f>IFERROR(__xludf.DUMMYFUNCTION("""COMPUTED_VALUE"""),46086.904641203706)</f>
        <v>46086.90464</v>
      </c>
      <c r="C656" s="4" t="str">
        <f>IFERROR(__xludf.DUMMYFUNCTION("""COMPUTED_VALUE"""),"-6.926548, 107.709240")</f>
        <v>-6.926548, 107.709240</v>
      </c>
      <c r="D656" s="4" t="str">
        <f>IFERROR(__xludf.DUMMYFUNCTION("""COMPUTED_VALUE"""),"Canra heri")</f>
        <v>Canra heri</v>
      </c>
      <c r="E656" s="4" t="str">
        <f>IFERROR(__xludf.DUMMYFUNCTION("""COMPUTED_VALUE"""),"BANDUNG")</f>
        <v>BANDUNG</v>
      </c>
      <c r="F656" s="4" t="str">
        <f>IFERROR(__xludf.DUMMYFUNCTION("""COMPUTED_VALUE"""),"UJUNGBERUNG")</f>
        <v>UJUNGBERUNG</v>
      </c>
      <c r="G656" s="4" t="str">
        <f>IFERROR(__xludf.DUMMYFUNCTION("""COMPUTED_VALUE"""),"UJUNGBERUNG")</f>
        <v>UJUNGBERUNG</v>
      </c>
      <c r="H656" s="4" t="str">
        <f>IFERROR(__xludf.DUMMYFUNCTION("""COMPUTED_VALUE"""),"UZP")</f>
        <v>UZP</v>
      </c>
      <c r="I656" s="4" t="str">
        <f>IFERROR(__xludf.DUMMYFUNCTION("""COMPUTED_VALUE"""),"GH BNA-UJUNG SPT")</f>
        <v>GH BNA-UJUNG SPT</v>
      </c>
      <c r="J656" s="4" t="str">
        <f>IFERROR(__xludf.DUMMYFUNCTION("""COMPUTED_VALUE"""),"ZONA 2")</f>
        <v>ZONA 2</v>
      </c>
      <c r="K656" s="4" t="str">
        <f>IFERROR(__xludf.DUMMYFUNCTION("""COMPUTED_VALUE"""),"064")</f>
        <v>064</v>
      </c>
      <c r="L656" s="4" t="str">
        <f>IFERROR(__xludf.DUMMYFUNCTION("""COMPUTED_VALUE"""),"TM - 8B/H (Percabangan)")</f>
        <v>TM - 8B/H (Percabangan)</v>
      </c>
      <c r="M656" s="4" t="str">
        <f>IFERROR(__xludf.DUMMYFUNCTION("""COMPUTED_VALUE"""),"Tidak Ada")</f>
        <v>Tidak Ada</v>
      </c>
      <c r="N656" s="4"/>
      <c r="O656" s="4" t="str">
        <f>IFERROR(__xludf.DUMMYFUNCTION("""COMPUTED_VALUE"""),"PEMBANDING SEJENIS")</f>
        <v>PEMBANDING SEJENIS</v>
      </c>
      <c r="P656" s="4" t="str">
        <f>IFERROR(__xludf.DUMMYFUNCTION("""COMPUTED_VALUE"""),"KONEKTOR/JUMPER")</f>
        <v>KONEKTOR/JUMPER</v>
      </c>
      <c r="Q656" s="4">
        <f>IFERROR(__xludf.DUMMYFUNCTION("""COMPUTED_VALUE"""),19.0)</f>
        <v>19</v>
      </c>
      <c r="R656" s="4">
        <f>IFERROR(__xludf.DUMMYFUNCTION("""COMPUTED_VALUE"""),20.0)</f>
        <v>20</v>
      </c>
      <c r="S656" s="4">
        <f>IFERROR(__xludf.DUMMYFUNCTION("""COMPUTED_VALUE"""),20.0)</f>
        <v>20</v>
      </c>
      <c r="T656" s="4"/>
      <c r="U656" s="4" t="str">
        <f>IFERROR(__xludf.DUMMYFUNCTION("""COMPUTED_VALUE"""),"BAIK")</f>
        <v>BAIK</v>
      </c>
      <c r="V656" s="4" t="str">
        <f>IFERROR(__xludf.DUMMYFUNCTION("""COMPUTED_VALUE"""),"Tidak Ada")</f>
        <v>Tidak Ada</v>
      </c>
      <c r="W656" s="4"/>
      <c r="X656" s="4"/>
      <c r="Y656" s="4"/>
      <c r="Z656" s="4"/>
      <c r="AA656" s="4"/>
      <c r="AB656" s="4"/>
      <c r="AC656" s="4" t="str">
        <f>IFERROR(__xludf.DUMMYFUNCTION("""COMPUTED_VALUE"""),"INSPEKSI SUTM - T2_Images/247e027d.FOTO.144335.jpg")</f>
        <v>INSPEKSI SUTM - T2_Images/247e027d.FOTO.144335.jpg</v>
      </c>
      <c r="AD656" s="4"/>
      <c r="AE656" s="4"/>
      <c r="AF656" s="4" t="str">
        <f>IFERROR(__xludf.DUMMYFUNCTION("""COMPUTED_VALUE"""),"BELUM")</f>
        <v>BELUM</v>
      </c>
      <c r="AG656" s="6">
        <f>IFERROR(__xludf.DUMMYFUNCTION("""COMPUTED_VALUE"""),46086.0)</f>
        <v>46086</v>
      </c>
      <c r="AH656" s="4"/>
      <c r="AI656" s="4"/>
    </row>
    <row r="657" ht="15.75" customHeight="1">
      <c r="A657" s="4" t="str">
        <f>IFERROR(__xludf.DUMMYFUNCTION("""COMPUTED_VALUE"""),"459e7afa")</f>
        <v>459e7afa</v>
      </c>
      <c r="B657" s="5">
        <f>IFERROR(__xludf.DUMMYFUNCTION("""COMPUTED_VALUE"""),46086.91103009259)</f>
        <v>46086.91103</v>
      </c>
      <c r="C657" s="4" t="str">
        <f>IFERROR(__xludf.DUMMYFUNCTION("""COMPUTED_VALUE"""),"-6.926812, 107.710054")</f>
        <v>-6.926812, 107.710054</v>
      </c>
      <c r="D657" s="4" t="str">
        <f>IFERROR(__xludf.DUMMYFUNCTION("""COMPUTED_VALUE"""),"Canra heri")</f>
        <v>Canra heri</v>
      </c>
      <c r="E657" s="4" t="str">
        <f>IFERROR(__xludf.DUMMYFUNCTION("""COMPUTED_VALUE"""),"BANDUNG")</f>
        <v>BANDUNG</v>
      </c>
      <c r="F657" s="4" t="str">
        <f>IFERROR(__xludf.DUMMYFUNCTION("""COMPUTED_VALUE"""),"UJUNGBERUNG")</f>
        <v>UJUNGBERUNG</v>
      </c>
      <c r="G657" s="4" t="str">
        <f>IFERROR(__xludf.DUMMYFUNCTION("""COMPUTED_VALUE"""),"UJUNGBERUNG")</f>
        <v>UJUNGBERUNG</v>
      </c>
      <c r="H657" s="4" t="str">
        <f>IFERROR(__xludf.DUMMYFUNCTION("""COMPUTED_VALUE"""),"UZP")</f>
        <v>UZP</v>
      </c>
      <c r="I657" s="4" t="str">
        <f>IFERROR(__xludf.DUMMYFUNCTION("""COMPUTED_VALUE"""),"GH BNA-UJUNG SPT")</f>
        <v>GH BNA-UJUNG SPT</v>
      </c>
      <c r="J657" s="4" t="str">
        <f>IFERROR(__xludf.DUMMYFUNCTION("""COMPUTED_VALUE"""),"ZONA 2")</f>
        <v>ZONA 2</v>
      </c>
      <c r="K657" s="4" t="str">
        <f>IFERROR(__xludf.DUMMYFUNCTION("""COMPUTED_VALUE"""),"066")</f>
        <v>066</v>
      </c>
      <c r="L657" s="4" t="str">
        <f>IFERROR(__xludf.DUMMYFUNCTION("""COMPUTED_VALUE"""),"TM - 4B/H (Afspan)")</f>
        <v>TM - 4B/H (Afspan)</v>
      </c>
      <c r="M657" s="4" t="str">
        <f>IFERROR(__xludf.DUMMYFUNCTION("""COMPUTED_VALUE"""),"Tidak Ada")</f>
        <v>Tidak Ada</v>
      </c>
      <c r="N657" s="4"/>
      <c r="O657" s="4" t="str">
        <f>IFERROR(__xludf.DUMMYFUNCTION("""COMPUTED_VALUE"""),"PEMBANDING SEJENIS")</f>
        <v>PEMBANDING SEJENIS</v>
      </c>
      <c r="P657" s="4" t="str">
        <f>IFERROR(__xludf.DUMMYFUNCTION("""COMPUTED_VALUE"""),"KONEKTOR/JUMPER")</f>
        <v>KONEKTOR/JUMPER</v>
      </c>
      <c r="Q657" s="4">
        <f>IFERROR(__xludf.DUMMYFUNCTION("""COMPUTED_VALUE"""),24.0)</f>
        <v>24</v>
      </c>
      <c r="R657" s="4">
        <f>IFERROR(__xludf.DUMMYFUNCTION("""COMPUTED_VALUE"""),23.0)</f>
        <v>23</v>
      </c>
      <c r="S657" s="4">
        <f>IFERROR(__xludf.DUMMYFUNCTION("""COMPUTED_VALUE"""),24.0)</f>
        <v>24</v>
      </c>
      <c r="T657" s="4"/>
      <c r="U657" s="4" t="str">
        <f>IFERROR(__xludf.DUMMYFUNCTION("""COMPUTED_VALUE"""),"BAIK")</f>
        <v>BAIK</v>
      </c>
      <c r="V657" s="4" t="str">
        <f>IFERROR(__xludf.DUMMYFUNCTION("""COMPUTED_VALUE"""),"Tidak Ada")</f>
        <v>Tidak Ada</v>
      </c>
      <c r="W657" s="4"/>
      <c r="X657" s="4"/>
      <c r="Y657" s="4"/>
      <c r="Z657" s="4"/>
      <c r="AA657" s="4"/>
      <c r="AB657" s="4"/>
      <c r="AC657" s="4" t="str">
        <f>IFERROR(__xludf.DUMMYFUNCTION("""COMPUTED_VALUE"""),"INSPEKSI SUTM - T2_Images/459e7afa.FOTO.145322.jpg")</f>
        <v>INSPEKSI SUTM - T2_Images/459e7afa.FOTO.145322.jpg</v>
      </c>
      <c r="AD657" s="4"/>
      <c r="AE657" s="4"/>
      <c r="AF657" s="4" t="str">
        <f>IFERROR(__xludf.DUMMYFUNCTION("""COMPUTED_VALUE"""),"BELUM")</f>
        <v>BELUM</v>
      </c>
      <c r="AG657" s="6">
        <f>IFERROR(__xludf.DUMMYFUNCTION("""COMPUTED_VALUE"""),46086.0)</f>
        <v>46086</v>
      </c>
      <c r="AH657" s="4"/>
      <c r="AI657" s="4"/>
    </row>
    <row r="658" ht="15.75" customHeight="1">
      <c r="A658" s="4" t="str">
        <f>IFERROR(__xludf.DUMMYFUNCTION("""COMPUTED_VALUE"""),"30eff56a")</f>
        <v>30eff56a</v>
      </c>
      <c r="B658" s="5">
        <f>IFERROR(__xludf.DUMMYFUNCTION("""COMPUTED_VALUE"""),46086.912986111114)</f>
        <v>46086.91299</v>
      </c>
      <c r="C658" s="4" t="str">
        <f>IFERROR(__xludf.DUMMYFUNCTION("""COMPUTED_VALUE"""),"-6.927077, 107.710892")</f>
        <v>-6.927077, 107.710892</v>
      </c>
      <c r="D658" s="4" t="str">
        <f>IFERROR(__xludf.DUMMYFUNCTION("""COMPUTED_VALUE"""),"Canra heri")</f>
        <v>Canra heri</v>
      </c>
      <c r="E658" s="4" t="str">
        <f>IFERROR(__xludf.DUMMYFUNCTION("""COMPUTED_VALUE"""),"BANDUNG")</f>
        <v>BANDUNG</v>
      </c>
      <c r="F658" s="4" t="str">
        <f>IFERROR(__xludf.DUMMYFUNCTION("""COMPUTED_VALUE"""),"UJUNGBERUNG")</f>
        <v>UJUNGBERUNG</v>
      </c>
      <c r="G658" s="4" t="str">
        <f>IFERROR(__xludf.DUMMYFUNCTION("""COMPUTED_VALUE"""),"UJUNGBERUNG")</f>
        <v>UJUNGBERUNG</v>
      </c>
      <c r="H658" s="4" t="str">
        <f>IFERROR(__xludf.DUMMYFUNCTION("""COMPUTED_VALUE"""),"UZP")</f>
        <v>UZP</v>
      </c>
      <c r="I658" s="4" t="str">
        <f>IFERROR(__xludf.DUMMYFUNCTION("""COMPUTED_VALUE"""),"GH BNA-UJUNG SPT")</f>
        <v>GH BNA-UJUNG SPT</v>
      </c>
      <c r="J658" s="4" t="str">
        <f>IFERROR(__xludf.DUMMYFUNCTION("""COMPUTED_VALUE"""),"ZONA 2")</f>
        <v>ZONA 2</v>
      </c>
      <c r="K658" s="4" t="str">
        <f>IFERROR(__xludf.DUMMYFUNCTION("""COMPUTED_VALUE"""),"068")</f>
        <v>068</v>
      </c>
      <c r="L658" s="4" t="str">
        <f>IFERROR(__xludf.DUMMYFUNCTION("""COMPUTED_VALUE"""),"TM - 4B/H (Afspan)")</f>
        <v>TM - 4B/H (Afspan)</v>
      </c>
      <c r="M658" s="4" t="str">
        <f>IFERROR(__xludf.DUMMYFUNCTION("""COMPUTED_VALUE"""),"Tidak Ada")</f>
        <v>Tidak Ada</v>
      </c>
      <c r="N658" s="4"/>
      <c r="O658" s="4" t="str">
        <f>IFERROR(__xludf.DUMMYFUNCTION("""COMPUTED_VALUE"""),"PEMBANDING SEJENIS")</f>
        <v>PEMBANDING SEJENIS</v>
      </c>
      <c r="P658" s="4" t="str">
        <f>IFERROR(__xludf.DUMMYFUNCTION("""COMPUTED_VALUE"""),"KONEKTOR/JUMPER")</f>
        <v>KONEKTOR/JUMPER</v>
      </c>
      <c r="Q658" s="4">
        <f>IFERROR(__xludf.DUMMYFUNCTION("""COMPUTED_VALUE"""),23.0)</f>
        <v>23</v>
      </c>
      <c r="R658" s="4">
        <f>IFERROR(__xludf.DUMMYFUNCTION("""COMPUTED_VALUE"""),24.0)</f>
        <v>24</v>
      </c>
      <c r="S658" s="4">
        <f>IFERROR(__xludf.DUMMYFUNCTION("""COMPUTED_VALUE"""),21.0)</f>
        <v>21</v>
      </c>
      <c r="T658" s="4"/>
      <c r="U658" s="4" t="str">
        <f>IFERROR(__xludf.DUMMYFUNCTION("""COMPUTED_VALUE"""),"CUKUP")</f>
        <v>CUKUP</v>
      </c>
      <c r="V658" s="4" t="str">
        <f>IFERROR(__xludf.DUMMYFUNCTION("""COMPUTED_VALUE"""),"Tidak Ada")</f>
        <v>Tidak Ada</v>
      </c>
      <c r="W658" s="4"/>
      <c r="X658" s="4"/>
      <c r="Y658" s="4"/>
      <c r="Z658" s="4"/>
      <c r="AA658" s="4"/>
      <c r="AB658" s="4"/>
      <c r="AC658" s="4" t="str">
        <f>IFERROR(__xludf.DUMMYFUNCTION("""COMPUTED_VALUE"""),"INSPEKSI SUTM - T2_Images/30eff56a.FOTO.145534.jpg")</f>
        <v>INSPEKSI SUTM - T2_Images/30eff56a.FOTO.145534.jpg</v>
      </c>
      <c r="AD658" s="4"/>
      <c r="AE658" s="4"/>
      <c r="AF658" s="4" t="str">
        <f>IFERROR(__xludf.DUMMYFUNCTION("""COMPUTED_VALUE"""),"BELUM")</f>
        <v>BELUM</v>
      </c>
      <c r="AG658" s="6">
        <f>IFERROR(__xludf.DUMMYFUNCTION("""COMPUTED_VALUE"""),46086.0)</f>
        <v>46086</v>
      </c>
      <c r="AH658" s="4"/>
      <c r="AI658" s="4"/>
    </row>
    <row r="659" ht="15.75" customHeight="1">
      <c r="A659" s="4" t="str">
        <f>IFERROR(__xludf.DUMMYFUNCTION("""COMPUTED_VALUE"""),"ed6bc576")</f>
        <v>ed6bc576</v>
      </c>
      <c r="B659" s="5">
        <f>IFERROR(__xludf.DUMMYFUNCTION("""COMPUTED_VALUE"""),46086.913819444446)</f>
        <v>46086.91382</v>
      </c>
      <c r="C659" s="4" t="str">
        <f>IFERROR(__xludf.DUMMYFUNCTION("""COMPUTED_VALUE"""),"-6.927133, 107.711074")</f>
        <v>-6.927133, 107.711074</v>
      </c>
      <c r="D659" s="4" t="str">
        <f>IFERROR(__xludf.DUMMYFUNCTION("""COMPUTED_VALUE"""),"Canra heri")</f>
        <v>Canra heri</v>
      </c>
      <c r="E659" s="4" t="str">
        <f>IFERROR(__xludf.DUMMYFUNCTION("""COMPUTED_VALUE"""),"BANDUNG")</f>
        <v>BANDUNG</v>
      </c>
      <c r="F659" s="4" t="str">
        <f>IFERROR(__xludf.DUMMYFUNCTION("""COMPUTED_VALUE"""),"UJUNGBERUNG")</f>
        <v>UJUNGBERUNG</v>
      </c>
      <c r="G659" s="4" t="str">
        <f>IFERROR(__xludf.DUMMYFUNCTION("""COMPUTED_VALUE"""),"UJUNGBERUNG")</f>
        <v>UJUNGBERUNG</v>
      </c>
      <c r="H659" s="4" t="str">
        <f>IFERROR(__xludf.DUMMYFUNCTION("""COMPUTED_VALUE"""),"UZP")</f>
        <v>UZP</v>
      </c>
      <c r="I659" s="4" t="str">
        <f>IFERROR(__xludf.DUMMYFUNCTION("""COMPUTED_VALUE"""),"GH BNA-UJUNG SPT")</f>
        <v>GH BNA-UJUNG SPT</v>
      </c>
      <c r="J659" s="4" t="str">
        <f>IFERROR(__xludf.DUMMYFUNCTION("""COMPUTED_VALUE"""),"ZONA 2")</f>
        <v>ZONA 2</v>
      </c>
      <c r="K659" s="4" t="str">
        <f>IFERROR(__xludf.DUMMYFUNCTION("""COMPUTED_VALUE"""),"069")</f>
        <v>069</v>
      </c>
      <c r="L659" s="4" t="str">
        <f>IFERROR(__xludf.DUMMYFUNCTION("""COMPUTED_VALUE"""),"TM - 14B/H (Akhir)")</f>
        <v>TM - 14B/H (Akhir)</v>
      </c>
      <c r="M659" s="4" t="str">
        <f>IFERROR(__xludf.DUMMYFUNCTION("""COMPUTED_VALUE"""),"Tidak Ada")</f>
        <v>Tidak Ada</v>
      </c>
      <c r="N659" s="4"/>
      <c r="O659" s="4" t="str">
        <f>IFERROR(__xludf.DUMMYFUNCTION("""COMPUTED_VALUE"""),"PEMBANDING SEJENIS")</f>
        <v>PEMBANDING SEJENIS</v>
      </c>
      <c r="P659" s="4" t="str">
        <f>IFERROR(__xludf.DUMMYFUNCTION("""COMPUTED_VALUE"""),"TERMINASI")</f>
        <v>TERMINASI</v>
      </c>
      <c r="Q659" s="4">
        <f>IFERROR(__xludf.DUMMYFUNCTION("""COMPUTED_VALUE"""),24.0)</f>
        <v>24</v>
      </c>
      <c r="R659" s="4">
        <f>IFERROR(__xludf.DUMMYFUNCTION("""COMPUTED_VALUE"""),23.0)</f>
        <v>23</v>
      </c>
      <c r="S659" s="4">
        <f>IFERROR(__xludf.DUMMYFUNCTION("""COMPUTED_VALUE"""),24.0)</f>
        <v>24</v>
      </c>
      <c r="T659" s="4"/>
      <c r="U659" s="4" t="str">
        <f>IFERROR(__xludf.DUMMYFUNCTION("""COMPUTED_VALUE"""),"BAIK")</f>
        <v>BAIK</v>
      </c>
      <c r="V659" s="4" t="str">
        <f>IFERROR(__xludf.DUMMYFUNCTION("""COMPUTED_VALUE"""),"Tidak Ada")</f>
        <v>Tidak Ada</v>
      </c>
      <c r="W659" s="4"/>
      <c r="X659" s="4"/>
      <c r="Y659" s="4"/>
      <c r="Z659" s="4"/>
      <c r="AA659" s="4"/>
      <c r="AB659" s="4"/>
      <c r="AC659" s="4" t="str">
        <f>IFERROR(__xludf.DUMMYFUNCTION("""COMPUTED_VALUE"""),"INSPEKSI SUTM - T2_Images/ed6bc576.FOTO.145645.jpg")</f>
        <v>INSPEKSI SUTM - T2_Images/ed6bc576.FOTO.145645.jpg</v>
      </c>
      <c r="AD659" s="4"/>
      <c r="AE659" s="4"/>
      <c r="AF659" s="4" t="str">
        <f>IFERROR(__xludf.DUMMYFUNCTION("""COMPUTED_VALUE"""),"BELUM")</f>
        <v>BELUM</v>
      </c>
      <c r="AG659" s="6">
        <f>IFERROR(__xludf.DUMMYFUNCTION("""COMPUTED_VALUE"""),46086.0)</f>
        <v>46086</v>
      </c>
      <c r="AH659" s="4"/>
      <c r="AI659" s="4"/>
    </row>
    <row r="660" ht="15.75" customHeight="1">
      <c r="A660" s="4" t="str">
        <f>IFERROR(__xludf.DUMMYFUNCTION("""COMPUTED_VALUE"""),"70fffbdd")</f>
        <v>70fffbdd</v>
      </c>
      <c r="B660" s="5">
        <f>IFERROR(__xludf.DUMMYFUNCTION("""COMPUTED_VALUE"""),46086.942453703705)</f>
        <v>46086.94245</v>
      </c>
      <c r="C660" s="4" t="str">
        <f>IFERROR(__xludf.DUMMYFUNCTION("""COMPUTED_VALUE"""),"-6.899037, 107.700208")</f>
        <v>-6.899037, 107.700208</v>
      </c>
      <c r="D660" s="4" t="str">
        <f>IFERROR(__xludf.DUMMYFUNCTION("""COMPUTED_VALUE"""),"Heri chandra")</f>
        <v>Heri chandra</v>
      </c>
      <c r="E660" s="4" t="str">
        <f>IFERROR(__xludf.DUMMYFUNCTION("""COMPUTED_VALUE"""),"BANDUNG")</f>
        <v>BANDUNG</v>
      </c>
      <c r="F660" s="4" t="str">
        <f>IFERROR(__xludf.DUMMYFUNCTION("""COMPUTED_VALUE"""),"UJUNGBERUNG")</f>
        <v>UJUNGBERUNG</v>
      </c>
      <c r="G660" s="4" t="str">
        <f>IFERROR(__xludf.DUMMYFUNCTION("""COMPUTED_VALUE"""),"UJUNGBERUNG")</f>
        <v>UJUNGBERUNG</v>
      </c>
      <c r="H660" s="4" t="str">
        <f>IFERROR(__xludf.DUMMYFUNCTION("""COMPUTED_VALUE"""),"UZO")</f>
        <v>UZO</v>
      </c>
      <c r="I660" s="4" t="str">
        <f>IFERROR(__xludf.DUMMYFUNCTION("""COMPUTED_VALUE"""),"LBS PKN - UJUNG")</f>
        <v>LBS PKN - UJUNG</v>
      </c>
      <c r="J660" s="4" t="str">
        <f>IFERROR(__xludf.DUMMYFUNCTION("""COMPUTED_VALUE"""),"ZONA 2")</f>
        <v>ZONA 2</v>
      </c>
      <c r="K660" s="4" t="str">
        <f>IFERROR(__xludf.DUMMYFUNCTION("""COMPUTED_VALUE"""),"085")</f>
        <v>085</v>
      </c>
      <c r="L660" s="4" t="str">
        <f>IFERROR(__xludf.DUMMYFUNCTION("""COMPUTED_VALUE"""),"TM - 11B/H (Kabel Naik)")</f>
        <v>TM - 11B/H (Kabel Naik)</v>
      </c>
      <c r="M660" s="4" t="str">
        <f>IFERROR(__xludf.DUMMYFUNCTION("""COMPUTED_VALUE"""),"Tidak Ada")</f>
        <v>Tidak Ada</v>
      </c>
      <c r="N660" s="4"/>
      <c r="O660" s="4" t="str">
        <f>IFERROR(__xludf.DUMMYFUNCTION("""COMPUTED_VALUE"""),"PEMBANDING SEJENIS")</f>
        <v>PEMBANDING SEJENIS</v>
      </c>
      <c r="P660" s="4" t="str">
        <f>IFERROR(__xludf.DUMMYFUNCTION("""COMPUTED_VALUE"""),"KONEKTOR/JUMPER")</f>
        <v>KONEKTOR/JUMPER</v>
      </c>
      <c r="Q660" s="4">
        <f>IFERROR(__xludf.DUMMYFUNCTION("""COMPUTED_VALUE"""),21.6)</f>
        <v>21.6</v>
      </c>
      <c r="R660" s="4">
        <f>IFERROR(__xludf.DUMMYFUNCTION("""COMPUTED_VALUE"""),22.6)</f>
        <v>22.6</v>
      </c>
      <c r="S660" s="4">
        <f>IFERROR(__xludf.DUMMYFUNCTION("""COMPUTED_VALUE"""),21.4)</f>
        <v>21.4</v>
      </c>
      <c r="T660" s="4"/>
      <c r="U660" s="4" t="str">
        <f>IFERROR(__xludf.DUMMYFUNCTION("""COMPUTED_VALUE"""),"BAIK")</f>
        <v>BAIK</v>
      </c>
      <c r="V660" s="4" t="str">
        <f>IFERROR(__xludf.DUMMYFUNCTION("""COMPUTED_VALUE"""),"Tidak Ada")</f>
        <v>Tidak Ada</v>
      </c>
      <c r="W660" s="4"/>
      <c r="X660" s="4"/>
      <c r="Y660" s="4"/>
      <c r="Z660" s="4"/>
      <c r="AA660" s="4"/>
      <c r="AB660" s="4"/>
      <c r="AC660" s="4" t="str">
        <f>IFERROR(__xludf.DUMMYFUNCTION("""COMPUTED_VALUE"""),"INSPEKSI SUTM - T2_Images/70fffbdd.FOTO.153803.jpg")</f>
        <v>INSPEKSI SUTM - T2_Images/70fffbdd.FOTO.153803.jpg</v>
      </c>
      <c r="AD660" s="4"/>
      <c r="AE660" s="4"/>
      <c r="AF660" s="4" t="str">
        <f>IFERROR(__xludf.DUMMYFUNCTION("""COMPUTED_VALUE"""),"BELUM")</f>
        <v>BELUM</v>
      </c>
      <c r="AG660" s="6">
        <f>IFERROR(__xludf.DUMMYFUNCTION("""COMPUTED_VALUE"""),46086.0)</f>
        <v>46086</v>
      </c>
      <c r="AH660" s="4"/>
      <c r="AI660" s="4"/>
    </row>
    <row r="661" ht="15.75" customHeight="1">
      <c r="A661" s="4" t="str">
        <f>IFERROR(__xludf.DUMMYFUNCTION("""COMPUTED_VALUE"""),"ffaead78")</f>
        <v>ffaead78</v>
      </c>
      <c r="B661" s="5">
        <f>IFERROR(__xludf.DUMMYFUNCTION("""COMPUTED_VALUE"""),46086.943194444444)</f>
        <v>46086.94319</v>
      </c>
      <c r="C661" s="4" t="str">
        <f>IFERROR(__xludf.DUMMYFUNCTION("""COMPUTED_VALUE"""),"-6.899032, 107.700203")</f>
        <v>-6.899032, 107.700203</v>
      </c>
      <c r="D661" s="4" t="str">
        <f>IFERROR(__xludf.DUMMYFUNCTION("""COMPUTED_VALUE"""),"heri chandra")</f>
        <v>heri chandra</v>
      </c>
      <c r="E661" s="4" t="str">
        <f>IFERROR(__xludf.DUMMYFUNCTION("""COMPUTED_VALUE"""),"BANDUNG")</f>
        <v>BANDUNG</v>
      </c>
      <c r="F661" s="4" t="str">
        <f>IFERROR(__xludf.DUMMYFUNCTION("""COMPUTED_VALUE"""),"UJUNGBERUNG")</f>
        <v>UJUNGBERUNG</v>
      </c>
      <c r="G661" s="4" t="str">
        <f>IFERROR(__xludf.DUMMYFUNCTION("""COMPUTED_VALUE"""),"UJUNGBERUNG")</f>
        <v>UJUNGBERUNG</v>
      </c>
      <c r="H661" s="4" t="str">
        <f>IFERROR(__xludf.DUMMYFUNCTION("""COMPUTED_VALUE"""),"UZO")</f>
        <v>UZO</v>
      </c>
      <c r="I661" s="4" t="str">
        <f>IFERROR(__xludf.DUMMYFUNCTION("""COMPUTED_VALUE"""),"LBS PKN - UJUNG")</f>
        <v>LBS PKN - UJUNG</v>
      </c>
      <c r="J661" s="4" t="str">
        <f>IFERROR(__xludf.DUMMYFUNCTION("""COMPUTED_VALUE"""),"ZONA 2")</f>
        <v>ZONA 2</v>
      </c>
      <c r="K661" s="4" t="str">
        <f>IFERROR(__xludf.DUMMYFUNCTION("""COMPUTED_VALUE"""),"087")</f>
        <v>087</v>
      </c>
      <c r="L661" s="4" t="str">
        <f>IFERROR(__xludf.DUMMYFUNCTION("""COMPUTED_VALUE"""),"TM - 7B/H (Afspan 90 Derajat)")</f>
        <v>TM - 7B/H (Afspan 90 Derajat)</v>
      </c>
      <c r="M661" s="4" t="str">
        <f>IFERROR(__xludf.DUMMYFUNCTION("""COMPUTED_VALUE"""),"Tidak Ada")</f>
        <v>Tidak Ada</v>
      </c>
      <c r="N661" s="4"/>
      <c r="O661" s="4" t="str">
        <f>IFERROR(__xludf.DUMMYFUNCTION("""COMPUTED_VALUE"""),"PEMBANDING SEJENIS")</f>
        <v>PEMBANDING SEJENIS</v>
      </c>
      <c r="P661" s="4" t="str">
        <f>IFERROR(__xludf.DUMMYFUNCTION("""COMPUTED_VALUE"""),"KONEKTOR/JUMPER")</f>
        <v>KONEKTOR/JUMPER</v>
      </c>
      <c r="Q661" s="4">
        <f>IFERROR(__xludf.DUMMYFUNCTION("""COMPUTED_VALUE"""),20.8)</f>
        <v>20.8</v>
      </c>
      <c r="R661" s="4">
        <f>IFERROR(__xludf.DUMMYFUNCTION("""COMPUTED_VALUE"""),19.2)</f>
        <v>19.2</v>
      </c>
      <c r="S661" s="4">
        <f>IFERROR(__xludf.DUMMYFUNCTION("""COMPUTED_VALUE"""),18.5)</f>
        <v>18.5</v>
      </c>
      <c r="T661" s="4"/>
      <c r="U661" s="4" t="str">
        <f>IFERROR(__xludf.DUMMYFUNCTION("""COMPUTED_VALUE"""),"BAIK")</f>
        <v>BAIK</v>
      </c>
      <c r="V661" s="4" t="str">
        <f>IFERROR(__xludf.DUMMYFUNCTION("""COMPUTED_VALUE"""),"Tidak Ada")</f>
        <v>Tidak Ada</v>
      </c>
      <c r="W661" s="4"/>
      <c r="X661" s="4"/>
      <c r="Y661" s="4"/>
      <c r="Z661" s="4"/>
      <c r="AA661" s="4"/>
      <c r="AB661" s="4"/>
      <c r="AC661" s="4" t="str">
        <f>IFERROR(__xludf.DUMMYFUNCTION("""COMPUTED_VALUE"""),"INSPEKSI SUTM - T2_Images/ffaead78.FOTO.153853.jpg")</f>
        <v>INSPEKSI SUTM - T2_Images/ffaead78.FOTO.153853.jpg</v>
      </c>
      <c r="AD661" s="4"/>
      <c r="AE661" s="4"/>
      <c r="AF661" s="4" t="str">
        <f>IFERROR(__xludf.DUMMYFUNCTION("""COMPUTED_VALUE"""),"BELUM")</f>
        <v>BELUM</v>
      </c>
      <c r="AG661" s="6">
        <f>IFERROR(__xludf.DUMMYFUNCTION("""COMPUTED_VALUE"""),46086.0)</f>
        <v>46086</v>
      </c>
      <c r="AH661" s="4"/>
      <c r="AI661" s="4"/>
    </row>
    <row r="662" ht="15.75" customHeight="1">
      <c r="A662" s="4" t="str">
        <f>IFERROR(__xludf.DUMMYFUNCTION("""COMPUTED_VALUE"""),"6cb601b1")</f>
        <v>6cb601b1</v>
      </c>
      <c r="B662" s="5">
        <f>IFERROR(__xludf.DUMMYFUNCTION("""COMPUTED_VALUE"""),46086.94380787037)</f>
        <v>46086.94381</v>
      </c>
      <c r="C662" s="4" t="str">
        <f>IFERROR(__xludf.DUMMYFUNCTION("""COMPUTED_VALUE"""),"-6.898829, 107.699455")</f>
        <v>-6.898829, 107.699455</v>
      </c>
      <c r="D662" s="4" t="str">
        <f>IFERROR(__xludf.DUMMYFUNCTION("""COMPUTED_VALUE"""),"Heri chandra")</f>
        <v>Heri chandra</v>
      </c>
      <c r="E662" s="4" t="str">
        <f>IFERROR(__xludf.DUMMYFUNCTION("""COMPUTED_VALUE"""),"BANDUNG")</f>
        <v>BANDUNG</v>
      </c>
      <c r="F662" s="4" t="str">
        <f>IFERROR(__xludf.DUMMYFUNCTION("""COMPUTED_VALUE"""),"UJUNGBERUNG")</f>
        <v>UJUNGBERUNG</v>
      </c>
      <c r="G662" s="4" t="str">
        <f>IFERROR(__xludf.DUMMYFUNCTION("""COMPUTED_VALUE"""),"UJUNGBERUNG")</f>
        <v>UJUNGBERUNG</v>
      </c>
      <c r="H662" s="4" t="str">
        <f>IFERROR(__xludf.DUMMYFUNCTION("""COMPUTED_VALUE"""),"UZO")</f>
        <v>UZO</v>
      </c>
      <c r="I662" s="4" t="str">
        <f>IFERROR(__xludf.DUMMYFUNCTION("""COMPUTED_VALUE"""),"LBS PKN - UJUNG")</f>
        <v>LBS PKN - UJUNG</v>
      </c>
      <c r="J662" s="4" t="str">
        <f>IFERROR(__xludf.DUMMYFUNCTION("""COMPUTED_VALUE"""),"ZONA 2")</f>
        <v>ZONA 2</v>
      </c>
      <c r="K662" s="4" t="str">
        <f>IFERROR(__xludf.DUMMYFUNCTION("""COMPUTED_VALUE"""),"088")</f>
        <v>088</v>
      </c>
      <c r="L662" s="4" t="str">
        <f>IFERROR(__xludf.DUMMYFUNCTION("""COMPUTED_VALUE"""),"TM - 7B/H (Afspan 90 Derajat)")</f>
        <v>TM - 7B/H (Afspan 90 Derajat)</v>
      </c>
      <c r="M662" s="4" t="str">
        <f>IFERROR(__xludf.DUMMYFUNCTION("""COMPUTED_VALUE"""),"Tidak Ada")</f>
        <v>Tidak Ada</v>
      </c>
      <c r="N662" s="4"/>
      <c r="O662" s="4" t="str">
        <f>IFERROR(__xludf.DUMMYFUNCTION("""COMPUTED_VALUE"""),"PEMBANDING SEJENIS")</f>
        <v>PEMBANDING SEJENIS</v>
      </c>
      <c r="P662" s="4" t="str">
        <f>IFERROR(__xludf.DUMMYFUNCTION("""COMPUTED_VALUE"""),"KONEKTOR/JUMPER")</f>
        <v>KONEKTOR/JUMPER</v>
      </c>
      <c r="Q662" s="4">
        <f>IFERROR(__xludf.DUMMYFUNCTION("""COMPUTED_VALUE"""),17.4)</f>
        <v>17.4</v>
      </c>
      <c r="R662" s="4">
        <f>IFERROR(__xludf.DUMMYFUNCTION("""COMPUTED_VALUE"""),23.4)</f>
        <v>23.4</v>
      </c>
      <c r="S662" s="4">
        <f>IFERROR(__xludf.DUMMYFUNCTION("""COMPUTED_VALUE"""),21.7)</f>
        <v>21.7</v>
      </c>
      <c r="T662" s="4"/>
      <c r="U662" s="4" t="str">
        <f>IFERROR(__xludf.DUMMYFUNCTION("""COMPUTED_VALUE"""),"CUKUP")</f>
        <v>CUKUP</v>
      </c>
      <c r="V662" s="4" t="str">
        <f>IFERROR(__xludf.DUMMYFUNCTION("""COMPUTED_VALUE"""),"Tidak Ada")</f>
        <v>Tidak Ada</v>
      </c>
      <c r="W662" s="4"/>
      <c r="X662" s="4"/>
      <c r="Y662" s="4"/>
      <c r="Z662" s="4"/>
      <c r="AA662" s="4"/>
      <c r="AB662" s="4"/>
      <c r="AC662" s="4" t="str">
        <f>IFERROR(__xludf.DUMMYFUNCTION("""COMPUTED_VALUE"""),"INSPEKSI SUTM - T2_Images/6cb601b1.FOTO.153946.jpg")</f>
        <v>INSPEKSI SUTM - T2_Images/6cb601b1.FOTO.153946.jpg</v>
      </c>
      <c r="AD662" s="4"/>
      <c r="AE662" s="4"/>
      <c r="AF662" s="4" t="str">
        <f>IFERROR(__xludf.DUMMYFUNCTION("""COMPUTED_VALUE"""),"BELUM")</f>
        <v>BELUM</v>
      </c>
      <c r="AG662" s="6">
        <f>IFERROR(__xludf.DUMMYFUNCTION("""COMPUTED_VALUE"""),46086.0)</f>
        <v>46086</v>
      </c>
      <c r="AH662" s="4"/>
      <c r="AI662" s="4"/>
    </row>
    <row r="663" ht="15.75" customHeight="1">
      <c r="A663" s="4" t="str">
        <f>IFERROR(__xludf.DUMMYFUNCTION("""COMPUTED_VALUE"""),"65485a13")</f>
        <v>65485a13</v>
      </c>
      <c r="B663" s="5">
        <f>IFERROR(__xludf.DUMMYFUNCTION("""COMPUTED_VALUE"""),46086.944444444445)</f>
        <v>46086.94444</v>
      </c>
      <c r="C663" s="4" t="str">
        <f>IFERROR(__xludf.DUMMYFUNCTION("""COMPUTED_VALUE"""),"-6.898569, 107.699530")</f>
        <v>-6.898569, 107.699530</v>
      </c>
      <c r="D663" s="4" t="str">
        <f>IFERROR(__xludf.DUMMYFUNCTION("""COMPUTED_VALUE"""),"Heri chandta")</f>
        <v>Heri chandta</v>
      </c>
      <c r="E663" s="4" t="str">
        <f>IFERROR(__xludf.DUMMYFUNCTION("""COMPUTED_VALUE"""),"BANDUNG")</f>
        <v>BANDUNG</v>
      </c>
      <c r="F663" s="4" t="str">
        <f>IFERROR(__xludf.DUMMYFUNCTION("""COMPUTED_VALUE"""),"UJUNGBERUNG")</f>
        <v>UJUNGBERUNG</v>
      </c>
      <c r="G663" s="4" t="str">
        <f>IFERROR(__xludf.DUMMYFUNCTION("""COMPUTED_VALUE"""),"UJUNGBERUNG")</f>
        <v>UJUNGBERUNG</v>
      </c>
      <c r="H663" s="4" t="str">
        <f>IFERROR(__xludf.DUMMYFUNCTION("""COMPUTED_VALUE"""),"UZO")</f>
        <v>UZO</v>
      </c>
      <c r="I663" s="4" t="str">
        <f>IFERROR(__xludf.DUMMYFUNCTION("""COMPUTED_VALUE"""),"LBS PKN - UJUNG")</f>
        <v>LBS PKN - UJUNG</v>
      </c>
      <c r="J663" s="4" t="str">
        <f>IFERROR(__xludf.DUMMYFUNCTION("""COMPUTED_VALUE"""),"ZONA 2")</f>
        <v>ZONA 2</v>
      </c>
      <c r="K663" s="4" t="str">
        <f>IFERROR(__xludf.DUMMYFUNCTION("""COMPUTED_VALUE"""),"089")</f>
        <v>089</v>
      </c>
      <c r="L663" s="4" t="str">
        <f>IFERROR(__xludf.DUMMYFUNCTION("""COMPUTED_VALUE"""),"TM - 1B/H (Tumpu)")</f>
        <v>TM - 1B/H (Tumpu)</v>
      </c>
      <c r="M663" s="4" t="str">
        <f>IFERROR(__xludf.DUMMYFUNCTION("""COMPUTED_VALUE"""),"Tidak Ada")</f>
        <v>Tidak Ada</v>
      </c>
      <c r="N663" s="4"/>
      <c r="O663" s="4" t="str">
        <f>IFERROR(__xludf.DUMMYFUNCTION("""COMPUTED_VALUE"""),"PEMBANDING SEJENIS")</f>
        <v>PEMBANDING SEJENIS</v>
      </c>
      <c r="P663" s="4" t="str">
        <f>IFERROR(__xludf.DUMMYFUNCTION("""COMPUTED_VALUE"""),"ARRESTER")</f>
        <v>ARRESTER</v>
      </c>
      <c r="Q663" s="4">
        <f>IFERROR(__xludf.DUMMYFUNCTION("""COMPUTED_VALUE"""),22.9)</f>
        <v>22.9</v>
      </c>
      <c r="R663" s="4">
        <f>IFERROR(__xludf.DUMMYFUNCTION("""COMPUTED_VALUE"""),22.5)</f>
        <v>22.5</v>
      </c>
      <c r="S663" s="4">
        <f>IFERROR(__xludf.DUMMYFUNCTION("""COMPUTED_VALUE"""),22.8)</f>
        <v>22.8</v>
      </c>
      <c r="T663" s="4"/>
      <c r="U663" s="4" t="str">
        <f>IFERROR(__xludf.DUMMYFUNCTION("""COMPUTED_VALUE"""),"BAIK")</f>
        <v>BAIK</v>
      </c>
      <c r="V663" s="4" t="str">
        <f>IFERROR(__xludf.DUMMYFUNCTION("""COMPUTED_VALUE"""),"Tidak Ada")</f>
        <v>Tidak Ada</v>
      </c>
      <c r="W663" s="4"/>
      <c r="X663" s="4"/>
      <c r="Y663" s="4"/>
      <c r="Z663" s="4"/>
      <c r="AA663" s="4"/>
      <c r="AB663" s="4"/>
      <c r="AC663" s="4" t="str">
        <f>IFERROR(__xludf.DUMMYFUNCTION("""COMPUTED_VALUE"""),"INSPEKSI SUTM - T2_Images/65485a13.FOTO.154039.jpg")</f>
        <v>INSPEKSI SUTM - T2_Images/65485a13.FOTO.154039.jpg</v>
      </c>
      <c r="AD663" s="4"/>
      <c r="AE663" s="4"/>
      <c r="AF663" s="4" t="str">
        <f>IFERROR(__xludf.DUMMYFUNCTION("""COMPUTED_VALUE"""),"BELUM")</f>
        <v>BELUM</v>
      </c>
      <c r="AG663" s="6">
        <f>IFERROR(__xludf.DUMMYFUNCTION("""COMPUTED_VALUE"""),46086.0)</f>
        <v>46086</v>
      </c>
      <c r="AH663" s="4"/>
      <c r="AI663" s="4"/>
    </row>
    <row r="664" ht="15.75" customHeight="1">
      <c r="A664" s="4" t="str">
        <f>IFERROR(__xludf.DUMMYFUNCTION("""COMPUTED_VALUE"""),"2199d75a")</f>
        <v>2199d75a</v>
      </c>
      <c r="B664" s="5">
        <f>IFERROR(__xludf.DUMMYFUNCTION("""COMPUTED_VALUE"""),46086.9450462963)</f>
        <v>46086.94505</v>
      </c>
      <c r="C664" s="4" t="str">
        <f>IFERROR(__xludf.DUMMYFUNCTION("""COMPUTED_VALUE"""),"-6.898598, 107.699929")</f>
        <v>-6.898598, 107.699929</v>
      </c>
      <c r="D664" s="4" t="str">
        <f>IFERROR(__xludf.DUMMYFUNCTION("""COMPUTED_VALUE"""),"Heri chandra")</f>
        <v>Heri chandra</v>
      </c>
      <c r="E664" s="4" t="str">
        <f>IFERROR(__xludf.DUMMYFUNCTION("""COMPUTED_VALUE"""),"BANDUNG")</f>
        <v>BANDUNG</v>
      </c>
      <c r="F664" s="4" t="str">
        <f>IFERROR(__xludf.DUMMYFUNCTION("""COMPUTED_VALUE"""),"UJUNGBERUNG")</f>
        <v>UJUNGBERUNG</v>
      </c>
      <c r="G664" s="4" t="str">
        <f>IFERROR(__xludf.DUMMYFUNCTION("""COMPUTED_VALUE"""),"UJUNGBERUNG")</f>
        <v>UJUNGBERUNG</v>
      </c>
      <c r="H664" s="4" t="str">
        <f>IFERROR(__xludf.DUMMYFUNCTION("""COMPUTED_VALUE"""),"UZO")</f>
        <v>UZO</v>
      </c>
      <c r="I664" s="4" t="str">
        <f>IFERROR(__xludf.DUMMYFUNCTION("""COMPUTED_VALUE"""),"LBS PKN - UJUNG")</f>
        <v>LBS PKN - UJUNG</v>
      </c>
      <c r="J664" s="4" t="str">
        <f>IFERROR(__xludf.DUMMYFUNCTION("""COMPUTED_VALUE"""),"ZONA 2")</f>
        <v>ZONA 2</v>
      </c>
      <c r="K664" s="4" t="str">
        <f>IFERROR(__xludf.DUMMYFUNCTION("""COMPUTED_VALUE"""),"090")</f>
        <v>090</v>
      </c>
      <c r="L664" s="4" t="str">
        <f>IFERROR(__xludf.DUMMYFUNCTION("""COMPUTED_VALUE"""),"TM - 7B/H (Afspan 90 Derajat)")</f>
        <v>TM - 7B/H (Afspan 90 Derajat)</v>
      </c>
      <c r="M664" s="4" t="str">
        <f>IFERROR(__xludf.DUMMYFUNCTION("""COMPUTED_VALUE"""),"Tidak Ada")</f>
        <v>Tidak Ada</v>
      </c>
      <c r="N664" s="4"/>
      <c r="O664" s="4" t="str">
        <f>IFERROR(__xludf.DUMMYFUNCTION("""COMPUTED_VALUE"""),"PEMBANDING SEJENIS")</f>
        <v>PEMBANDING SEJENIS</v>
      </c>
      <c r="P664" s="4" t="str">
        <f>IFERROR(__xludf.DUMMYFUNCTION("""COMPUTED_VALUE"""),"KONEKTOR/JUMPER")</f>
        <v>KONEKTOR/JUMPER</v>
      </c>
      <c r="Q664" s="4">
        <f>IFERROR(__xludf.DUMMYFUNCTION("""COMPUTED_VALUE"""),22.1)</f>
        <v>22.1</v>
      </c>
      <c r="R664" s="4">
        <f>IFERROR(__xludf.DUMMYFUNCTION("""COMPUTED_VALUE"""),21.8)</f>
        <v>21.8</v>
      </c>
      <c r="S664" s="4">
        <f>IFERROR(__xludf.DUMMYFUNCTION("""COMPUTED_VALUE"""),19.6)</f>
        <v>19.6</v>
      </c>
      <c r="T664" s="4"/>
      <c r="U664" s="4" t="str">
        <f>IFERROR(__xludf.DUMMYFUNCTION("""COMPUTED_VALUE"""),"BAIK")</f>
        <v>BAIK</v>
      </c>
      <c r="V664" s="4" t="str">
        <f>IFERROR(__xludf.DUMMYFUNCTION("""COMPUTED_VALUE"""),"Tidak Ada")</f>
        <v>Tidak Ada</v>
      </c>
      <c r="W664" s="4"/>
      <c r="X664" s="4"/>
      <c r="Y664" s="4"/>
      <c r="Z664" s="4"/>
      <c r="AA664" s="4"/>
      <c r="AB664" s="4"/>
      <c r="AC664" s="4" t="str">
        <f>IFERROR(__xludf.DUMMYFUNCTION("""COMPUTED_VALUE"""),"INSPEKSI SUTM - T2_Images/2199d75a.FOTO.154136.jpg")</f>
        <v>INSPEKSI SUTM - T2_Images/2199d75a.FOTO.154136.jpg</v>
      </c>
      <c r="AD664" s="4"/>
      <c r="AE664" s="4"/>
      <c r="AF664" s="4" t="str">
        <f>IFERROR(__xludf.DUMMYFUNCTION("""COMPUTED_VALUE"""),"BELUM")</f>
        <v>BELUM</v>
      </c>
      <c r="AG664" s="6">
        <f>IFERROR(__xludf.DUMMYFUNCTION("""COMPUTED_VALUE"""),46086.0)</f>
        <v>46086</v>
      </c>
      <c r="AH664" s="4"/>
      <c r="AI664" s="4"/>
    </row>
    <row r="665" ht="15.75" customHeight="1">
      <c r="A665" s="4" t="str">
        <f>IFERROR(__xludf.DUMMYFUNCTION("""COMPUTED_VALUE"""),"4738c3f4")</f>
        <v>4738c3f4</v>
      </c>
      <c r="B665" s="5">
        <f>IFERROR(__xludf.DUMMYFUNCTION("""COMPUTED_VALUE"""),46086.94569444445)</f>
        <v>46086.94569</v>
      </c>
      <c r="C665" s="4" t="str">
        <f>IFERROR(__xludf.DUMMYFUNCTION("""COMPUTED_VALUE"""),"-6.898695, 107.700288")</f>
        <v>-6.898695, 107.700288</v>
      </c>
      <c r="D665" s="4" t="str">
        <f>IFERROR(__xludf.DUMMYFUNCTION("""COMPUTED_VALUE"""),"Heri chandra")</f>
        <v>Heri chandra</v>
      </c>
      <c r="E665" s="4" t="str">
        <f>IFERROR(__xludf.DUMMYFUNCTION("""COMPUTED_VALUE"""),"BANDUNG")</f>
        <v>BANDUNG</v>
      </c>
      <c r="F665" s="4" t="str">
        <f>IFERROR(__xludf.DUMMYFUNCTION("""COMPUTED_VALUE"""),"UJUNGBERUNG")</f>
        <v>UJUNGBERUNG</v>
      </c>
      <c r="G665" s="4" t="str">
        <f>IFERROR(__xludf.DUMMYFUNCTION("""COMPUTED_VALUE"""),"UJUNGBERUNG")</f>
        <v>UJUNGBERUNG</v>
      </c>
      <c r="H665" s="4" t="str">
        <f>IFERROR(__xludf.DUMMYFUNCTION("""COMPUTED_VALUE"""),"UZO")</f>
        <v>UZO</v>
      </c>
      <c r="I665" s="4" t="str">
        <f>IFERROR(__xludf.DUMMYFUNCTION("""COMPUTED_VALUE"""),"LBS PKN - UJUNG")</f>
        <v>LBS PKN - UJUNG</v>
      </c>
      <c r="J665" s="4" t="str">
        <f>IFERROR(__xludf.DUMMYFUNCTION("""COMPUTED_VALUE"""),"ZONA 2")</f>
        <v>ZONA 2</v>
      </c>
      <c r="K665" s="4" t="str">
        <f>IFERROR(__xludf.DUMMYFUNCTION("""COMPUTED_VALUE"""),"093")</f>
        <v>093</v>
      </c>
      <c r="L665" s="4" t="str">
        <f>IFERROR(__xludf.DUMMYFUNCTION("""COMPUTED_VALUE"""),"TM - 14B/H (Akhir)")</f>
        <v>TM - 14B/H (Akhir)</v>
      </c>
      <c r="M665" s="4" t="str">
        <f>IFERROR(__xludf.DUMMYFUNCTION("""COMPUTED_VALUE"""),"Tidak Ada")</f>
        <v>Tidak Ada</v>
      </c>
      <c r="N665" s="4"/>
      <c r="O665" s="4" t="str">
        <f>IFERROR(__xludf.DUMMYFUNCTION("""COMPUTED_VALUE"""),"PEMBANDING SEJENIS")</f>
        <v>PEMBANDING SEJENIS</v>
      </c>
      <c r="P665" s="4" t="str">
        <f>IFERROR(__xludf.DUMMYFUNCTION("""COMPUTED_VALUE"""),"TERMINASI")</f>
        <v>TERMINASI</v>
      </c>
      <c r="Q665" s="4">
        <f>IFERROR(__xludf.DUMMYFUNCTION("""COMPUTED_VALUE"""),21.6)</f>
        <v>21.6</v>
      </c>
      <c r="R665" s="4">
        <f>IFERROR(__xludf.DUMMYFUNCTION("""COMPUTED_VALUE"""),19.9)</f>
        <v>19.9</v>
      </c>
      <c r="S665" s="4">
        <f>IFERROR(__xludf.DUMMYFUNCTION("""COMPUTED_VALUE"""),22.1)</f>
        <v>22.1</v>
      </c>
      <c r="T665" s="4"/>
      <c r="U665" s="4" t="str">
        <f>IFERROR(__xludf.DUMMYFUNCTION("""COMPUTED_VALUE"""),"BAIK")</f>
        <v>BAIK</v>
      </c>
      <c r="V665" s="4" t="str">
        <f>IFERROR(__xludf.DUMMYFUNCTION("""COMPUTED_VALUE"""),"Tidak Ada")</f>
        <v>Tidak Ada</v>
      </c>
      <c r="W665" s="4"/>
      <c r="X665" s="4"/>
      <c r="Y665" s="4"/>
      <c r="Z665" s="4"/>
      <c r="AA665" s="4"/>
      <c r="AB665" s="4"/>
      <c r="AC665" s="4" t="str">
        <f>IFERROR(__xludf.DUMMYFUNCTION("""COMPUTED_VALUE"""),"INSPEKSI SUTM - T2_Images/4738c3f4.FOTO.154232.jpg")</f>
        <v>INSPEKSI SUTM - T2_Images/4738c3f4.FOTO.154232.jpg</v>
      </c>
      <c r="AD665" s="4"/>
      <c r="AE665" s="4"/>
      <c r="AF665" s="4" t="str">
        <f>IFERROR(__xludf.DUMMYFUNCTION("""COMPUTED_VALUE"""),"BELUM")</f>
        <v>BELUM</v>
      </c>
      <c r="AG665" s="6">
        <f>IFERROR(__xludf.DUMMYFUNCTION("""COMPUTED_VALUE"""),46086.0)</f>
        <v>46086</v>
      </c>
      <c r="AH665" s="4"/>
      <c r="AI665" s="4"/>
    </row>
    <row r="666" ht="15.75" customHeight="1">
      <c r="A666" s="4" t="str">
        <f>IFERROR(__xludf.DUMMYFUNCTION("""COMPUTED_VALUE"""),"34c31e36")</f>
        <v>34c31e36</v>
      </c>
      <c r="B666" s="5">
        <f>IFERROR(__xludf.DUMMYFUNCTION("""COMPUTED_VALUE"""),46086.94850694444)</f>
        <v>46086.94851</v>
      </c>
      <c r="C666" s="4" t="str">
        <f>IFERROR(__xludf.DUMMYFUNCTION("""COMPUTED_VALUE"""),"-6.926869, 107.680587")</f>
        <v>-6.926869, 107.680587</v>
      </c>
      <c r="D666" s="4" t="str">
        <f>IFERROR(__xludf.DUMMYFUNCTION("""COMPUTED_VALUE"""),"Heri chandra")</f>
        <v>Heri chandra</v>
      </c>
      <c r="E666" s="4" t="str">
        <f>IFERROR(__xludf.DUMMYFUNCTION("""COMPUTED_VALUE"""),"BANDUNG")</f>
        <v>BANDUNG</v>
      </c>
      <c r="F666" s="4" t="str">
        <f>IFERROR(__xludf.DUMMYFUNCTION("""COMPUTED_VALUE"""),"UJUNGBERUNG")</f>
        <v>UJUNGBERUNG</v>
      </c>
      <c r="G666" s="4" t="str">
        <f>IFERROR(__xludf.DUMMYFUNCTION("""COMPUTED_VALUE"""),"UJUNGBERUNG")</f>
        <v>UJUNGBERUNG</v>
      </c>
      <c r="H666" s="4" t="str">
        <f>IFERROR(__xludf.DUMMYFUNCTION("""COMPUTED_VALUE"""),"UZP")</f>
        <v>UZP</v>
      </c>
      <c r="I666" s="4" t="str">
        <f>IFERROR(__xludf.DUMMYFUNCTION("""COMPUTED_VALUE"""),"GH BNA - LBS CTW")</f>
        <v>GH BNA - LBS CTW</v>
      </c>
      <c r="J666" s="4" t="str">
        <f>IFERROR(__xludf.DUMMYFUNCTION("""COMPUTED_VALUE"""),"ZONA 2")</f>
        <v>ZONA 2</v>
      </c>
      <c r="K666" s="4" t="str">
        <f>IFERROR(__xludf.DUMMYFUNCTION("""COMPUTED_VALUE"""),"040R06")</f>
        <v>040R06</v>
      </c>
      <c r="L666" s="4" t="str">
        <f>IFERROR(__xludf.DUMMYFUNCTION("""COMPUTED_VALUE"""),"TM - 7B/H (Afspan 90 Derajat)")</f>
        <v>TM - 7B/H (Afspan 90 Derajat)</v>
      </c>
      <c r="M666" s="4" t="str">
        <f>IFERROR(__xludf.DUMMYFUNCTION("""COMPUTED_VALUE"""),"Tidak Ada")</f>
        <v>Tidak Ada</v>
      </c>
      <c r="N666" s="4"/>
      <c r="O666" s="4" t="str">
        <f>IFERROR(__xludf.DUMMYFUNCTION("""COMPUTED_VALUE"""),"PEMBANDING SEJENIS")</f>
        <v>PEMBANDING SEJENIS</v>
      </c>
      <c r="P666" s="4" t="str">
        <f>IFERROR(__xludf.DUMMYFUNCTION("""COMPUTED_VALUE"""),"KONEKTOR/JUMPER")</f>
        <v>KONEKTOR/JUMPER</v>
      </c>
      <c r="Q666" s="4">
        <f>IFERROR(__xludf.DUMMYFUNCTION("""COMPUTED_VALUE"""),26.1)</f>
        <v>26.1</v>
      </c>
      <c r="R666" s="4">
        <f>IFERROR(__xludf.DUMMYFUNCTION("""COMPUTED_VALUE"""),25.9)</f>
        <v>25.9</v>
      </c>
      <c r="S666" s="4">
        <f>IFERROR(__xludf.DUMMYFUNCTION("""COMPUTED_VALUE"""),26.1)</f>
        <v>26.1</v>
      </c>
      <c r="T666" s="4"/>
      <c r="U666" s="4" t="str">
        <f>IFERROR(__xludf.DUMMYFUNCTION("""COMPUTED_VALUE"""),"BAIK")</f>
        <v>BAIK</v>
      </c>
      <c r="V666" s="4" t="str">
        <f>IFERROR(__xludf.DUMMYFUNCTION("""COMPUTED_VALUE"""),"Tidak Ada")</f>
        <v>Tidak Ada</v>
      </c>
      <c r="W666" s="4"/>
      <c r="X666" s="4"/>
      <c r="Y666" s="4"/>
      <c r="Z666" s="4"/>
      <c r="AA666" s="4"/>
      <c r="AB666" s="4"/>
      <c r="AC666" s="4" t="str">
        <f>IFERROR(__xludf.DUMMYFUNCTION("""COMPUTED_VALUE"""),"INSPEKSI SUTM - T2_Images/34c31e36.FOTO.154637.jpg")</f>
        <v>INSPEKSI SUTM - T2_Images/34c31e36.FOTO.154637.jpg</v>
      </c>
      <c r="AD666" s="4"/>
      <c r="AE666" s="4"/>
      <c r="AF666" s="4" t="str">
        <f>IFERROR(__xludf.DUMMYFUNCTION("""COMPUTED_VALUE"""),"BELUM")</f>
        <v>BELUM</v>
      </c>
      <c r="AG666" s="6">
        <f>IFERROR(__xludf.DUMMYFUNCTION("""COMPUTED_VALUE"""),46086.0)</f>
        <v>46086</v>
      </c>
      <c r="AH666" s="4"/>
      <c r="AI666" s="4"/>
    </row>
    <row r="667" ht="15.75" customHeight="1">
      <c r="A667" s="4" t="str">
        <f>IFERROR(__xludf.DUMMYFUNCTION("""COMPUTED_VALUE"""),"85731c1b")</f>
        <v>85731c1b</v>
      </c>
      <c r="B667" s="5">
        <f>IFERROR(__xludf.DUMMYFUNCTION("""COMPUTED_VALUE"""),46086.94918981481)</f>
        <v>46086.94919</v>
      </c>
      <c r="C667" s="4" t="str">
        <f>IFERROR(__xludf.DUMMYFUNCTION("""COMPUTED_VALUE"""),"-6.926876, 107.680587")</f>
        <v>-6.926876, 107.680587</v>
      </c>
      <c r="D667" s="4" t="str">
        <f>IFERROR(__xludf.DUMMYFUNCTION("""COMPUTED_VALUE"""),"Heri chandra")</f>
        <v>Heri chandra</v>
      </c>
      <c r="E667" s="4" t="str">
        <f>IFERROR(__xludf.DUMMYFUNCTION("""COMPUTED_VALUE"""),"BANDUNG")</f>
        <v>BANDUNG</v>
      </c>
      <c r="F667" s="4" t="str">
        <f>IFERROR(__xludf.DUMMYFUNCTION("""COMPUTED_VALUE"""),"UJUNGBERUNG")</f>
        <v>UJUNGBERUNG</v>
      </c>
      <c r="G667" s="4" t="str">
        <f>IFERROR(__xludf.DUMMYFUNCTION("""COMPUTED_VALUE"""),"UJUNGBERUNG")</f>
        <v>UJUNGBERUNG</v>
      </c>
      <c r="H667" s="4" t="str">
        <f>IFERROR(__xludf.DUMMYFUNCTION("""COMPUTED_VALUE"""),"UZP")</f>
        <v>UZP</v>
      </c>
      <c r="I667" s="4" t="str">
        <f>IFERROR(__xludf.DUMMYFUNCTION("""COMPUTED_VALUE"""),"GH BNA - LBS CTW")</f>
        <v>GH BNA - LBS CTW</v>
      </c>
      <c r="J667" s="4" t="str">
        <f>IFERROR(__xludf.DUMMYFUNCTION("""COMPUTED_VALUE"""),"ZONA 2")</f>
        <v>ZONA 2</v>
      </c>
      <c r="K667" s="4" t="str">
        <f>IFERROR(__xludf.DUMMYFUNCTION("""COMPUTED_VALUE"""),"040R07")</f>
        <v>040R07</v>
      </c>
      <c r="L667" s="4" t="str">
        <f>IFERROR(__xludf.DUMMYFUNCTION("""COMPUTED_VALUE"""),"TM - 14B/H (Akhir)")</f>
        <v>TM - 14B/H (Akhir)</v>
      </c>
      <c r="M667" s="4" t="str">
        <f>IFERROR(__xludf.DUMMYFUNCTION("""COMPUTED_VALUE"""),"Tidak Ada")</f>
        <v>Tidak Ada</v>
      </c>
      <c r="N667" s="4"/>
      <c r="O667" s="4" t="str">
        <f>IFERROR(__xludf.DUMMYFUNCTION("""COMPUTED_VALUE"""),"PEMBANDING SEJENIS")</f>
        <v>PEMBANDING SEJENIS</v>
      </c>
      <c r="P667" s="4" t="str">
        <f>IFERROR(__xludf.DUMMYFUNCTION("""COMPUTED_VALUE"""),"TERMINASI")</f>
        <v>TERMINASI</v>
      </c>
      <c r="Q667" s="4">
        <f>IFERROR(__xludf.DUMMYFUNCTION("""COMPUTED_VALUE"""),26.4)</f>
        <v>26.4</v>
      </c>
      <c r="R667" s="4">
        <f>IFERROR(__xludf.DUMMYFUNCTION("""COMPUTED_VALUE"""),24.4)</f>
        <v>24.4</v>
      </c>
      <c r="S667" s="4">
        <f>IFERROR(__xludf.DUMMYFUNCTION("""COMPUTED_VALUE"""),24.7)</f>
        <v>24.7</v>
      </c>
      <c r="T667" s="4"/>
      <c r="U667" s="4" t="str">
        <f>IFERROR(__xludf.DUMMYFUNCTION("""COMPUTED_VALUE"""),"BAIK")</f>
        <v>BAIK</v>
      </c>
      <c r="V667" s="4" t="str">
        <f>IFERROR(__xludf.DUMMYFUNCTION("""COMPUTED_VALUE"""),"Tidak Ada")</f>
        <v>Tidak Ada</v>
      </c>
      <c r="W667" s="4"/>
      <c r="X667" s="4"/>
      <c r="Y667" s="4"/>
      <c r="Z667" s="4"/>
      <c r="AA667" s="4"/>
      <c r="AB667" s="4"/>
      <c r="AC667" s="4" t="str">
        <f>IFERROR(__xludf.DUMMYFUNCTION("""COMPUTED_VALUE"""),"INSPEKSI SUTM - T2_Images/85731c1b.FOTO.154737.jpg")</f>
        <v>INSPEKSI SUTM - T2_Images/85731c1b.FOTO.154737.jpg</v>
      </c>
      <c r="AD667" s="4"/>
      <c r="AE667" s="4"/>
      <c r="AF667" s="4" t="str">
        <f>IFERROR(__xludf.DUMMYFUNCTION("""COMPUTED_VALUE"""),"BELUM")</f>
        <v>BELUM</v>
      </c>
      <c r="AG667" s="6">
        <f>IFERROR(__xludf.DUMMYFUNCTION("""COMPUTED_VALUE"""),46086.0)</f>
        <v>46086</v>
      </c>
      <c r="AH667" s="4"/>
      <c r="AI667" s="4"/>
    </row>
    <row r="668" ht="15.75" customHeight="1">
      <c r="A668" s="4" t="str">
        <f>IFERROR(__xludf.DUMMYFUNCTION("""COMPUTED_VALUE"""),"dcadffcb")</f>
        <v>dcadffcb</v>
      </c>
      <c r="B668" s="5">
        <f>IFERROR(__xludf.DUMMYFUNCTION("""COMPUTED_VALUE"""),46086.95070601852)</f>
        <v>46086.95071</v>
      </c>
      <c r="C668" s="4" t="str">
        <f>IFERROR(__xludf.DUMMYFUNCTION("""COMPUTED_VALUE"""),"-6.925934, 107.680944")</f>
        <v>-6.925934, 107.680944</v>
      </c>
      <c r="D668" s="4" t="str">
        <f>IFERROR(__xludf.DUMMYFUNCTION("""COMPUTED_VALUE"""),"Heri chandra")</f>
        <v>Heri chandra</v>
      </c>
      <c r="E668" s="4" t="str">
        <f>IFERROR(__xludf.DUMMYFUNCTION("""COMPUTED_VALUE"""),"BANDUNG")</f>
        <v>BANDUNG</v>
      </c>
      <c r="F668" s="4" t="str">
        <f>IFERROR(__xludf.DUMMYFUNCTION("""COMPUTED_VALUE"""),"UJUNGBERUNG")</f>
        <v>UJUNGBERUNG</v>
      </c>
      <c r="G668" s="4" t="str">
        <f>IFERROR(__xludf.DUMMYFUNCTION("""COMPUTED_VALUE"""),"UJUNGBERUNG")</f>
        <v>UJUNGBERUNG</v>
      </c>
      <c r="H668" s="4" t="str">
        <f>IFERROR(__xludf.DUMMYFUNCTION("""COMPUTED_VALUE"""),"UZP")</f>
        <v>UZP</v>
      </c>
      <c r="I668" s="4" t="str">
        <f>IFERROR(__xludf.DUMMYFUNCTION("""COMPUTED_VALUE"""),"GH BNA - LBS CTW")</f>
        <v>GH BNA - LBS CTW</v>
      </c>
      <c r="J668" s="4" t="str">
        <f>IFERROR(__xludf.DUMMYFUNCTION("""COMPUTED_VALUE"""),"ZONA 2")</f>
        <v>ZONA 2</v>
      </c>
      <c r="K668" s="4" t="str">
        <f>IFERROR(__xludf.DUMMYFUNCTION("""COMPUTED_VALUE"""),"040R08")</f>
        <v>040R08</v>
      </c>
      <c r="L668" s="4" t="str">
        <f>IFERROR(__xludf.DUMMYFUNCTION("""COMPUTED_VALUE"""),"TM - 11B/H (Kabel Naik)")</f>
        <v>TM - 11B/H (Kabel Naik)</v>
      </c>
      <c r="M668" s="4" t="str">
        <f>IFERROR(__xludf.DUMMYFUNCTION("""COMPUTED_VALUE"""),"Tidak Ada")</f>
        <v>Tidak Ada</v>
      </c>
      <c r="N668" s="4"/>
      <c r="O668" s="4" t="str">
        <f>IFERROR(__xludf.DUMMYFUNCTION("""COMPUTED_VALUE"""),"PEMBANDING SEJENIS")</f>
        <v>PEMBANDING SEJENIS</v>
      </c>
      <c r="P668" s="4" t="str">
        <f>IFERROR(__xludf.DUMMYFUNCTION("""COMPUTED_VALUE"""),"TERMINASI")</f>
        <v>TERMINASI</v>
      </c>
      <c r="Q668" s="4">
        <f>IFERROR(__xludf.DUMMYFUNCTION("""COMPUTED_VALUE"""),21.2)</f>
        <v>21.2</v>
      </c>
      <c r="R668" s="4">
        <f>IFERROR(__xludf.DUMMYFUNCTION("""COMPUTED_VALUE"""),21.4)</f>
        <v>21.4</v>
      </c>
      <c r="S668" s="4">
        <f>IFERROR(__xludf.DUMMYFUNCTION("""COMPUTED_VALUE"""),21.0)</f>
        <v>21</v>
      </c>
      <c r="T668" s="4"/>
      <c r="U668" s="4" t="str">
        <f>IFERROR(__xludf.DUMMYFUNCTION("""COMPUTED_VALUE"""),"BAIK")</f>
        <v>BAIK</v>
      </c>
      <c r="V668" s="4" t="str">
        <f>IFERROR(__xludf.DUMMYFUNCTION("""COMPUTED_VALUE"""),"Tidak Ada")</f>
        <v>Tidak Ada</v>
      </c>
      <c r="W668" s="4"/>
      <c r="X668" s="4"/>
      <c r="Y668" s="4"/>
      <c r="Z668" s="4"/>
      <c r="AA668" s="4"/>
      <c r="AB668" s="4"/>
      <c r="AC668" s="4" t="str">
        <f>IFERROR(__xludf.DUMMYFUNCTION("""COMPUTED_VALUE"""),"INSPEKSI SUTM - T2_Images/dcadffcb.FOTO.155016.jpg")</f>
        <v>INSPEKSI SUTM - T2_Images/dcadffcb.FOTO.155016.jpg</v>
      </c>
      <c r="AD668" s="4"/>
      <c r="AE668" s="4"/>
      <c r="AF668" s="4" t="str">
        <f>IFERROR(__xludf.DUMMYFUNCTION("""COMPUTED_VALUE"""),"BELUM")</f>
        <v>BELUM</v>
      </c>
      <c r="AG668" s="6">
        <f>IFERROR(__xludf.DUMMYFUNCTION("""COMPUTED_VALUE"""),46086.0)</f>
        <v>46086</v>
      </c>
      <c r="AH668" s="4"/>
      <c r="AI668" s="4"/>
    </row>
    <row r="669" ht="15.75" customHeight="1">
      <c r="A669" s="4" t="str">
        <f>IFERROR(__xludf.DUMMYFUNCTION("""COMPUTED_VALUE"""),"f45a0ed9")</f>
        <v>f45a0ed9</v>
      </c>
      <c r="B669" s="5">
        <f>IFERROR(__xludf.DUMMYFUNCTION("""COMPUTED_VALUE"""),46086.95179398148)</f>
        <v>46086.95179</v>
      </c>
      <c r="C669" s="4" t="str">
        <f>IFERROR(__xludf.DUMMYFUNCTION("""COMPUTED_VALUE"""),"-6.925933, 107.680946")</f>
        <v>-6.925933, 107.680946</v>
      </c>
      <c r="D669" s="4" t="str">
        <f>IFERROR(__xludf.DUMMYFUNCTION("""COMPUTED_VALUE"""),"Heri chandra")</f>
        <v>Heri chandra</v>
      </c>
      <c r="E669" s="4" t="str">
        <f>IFERROR(__xludf.DUMMYFUNCTION("""COMPUTED_VALUE"""),"BANDUNG")</f>
        <v>BANDUNG</v>
      </c>
      <c r="F669" s="4" t="str">
        <f>IFERROR(__xludf.DUMMYFUNCTION("""COMPUTED_VALUE"""),"UJUNGBERUNG")</f>
        <v>UJUNGBERUNG</v>
      </c>
      <c r="G669" s="4" t="str">
        <f>IFERROR(__xludf.DUMMYFUNCTION("""COMPUTED_VALUE"""),"UJUNGBERUNG")</f>
        <v>UJUNGBERUNG</v>
      </c>
      <c r="H669" s="4" t="str">
        <f>IFERROR(__xludf.DUMMYFUNCTION("""COMPUTED_VALUE"""),"UZP")</f>
        <v>UZP</v>
      </c>
      <c r="I669" s="4" t="str">
        <f>IFERROR(__xludf.DUMMYFUNCTION("""COMPUTED_VALUE"""),"GH BNA - LBS CTW")</f>
        <v>GH BNA - LBS CTW</v>
      </c>
      <c r="J669" s="4" t="str">
        <f>IFERROR(__xludf.DUMMYFUNCTION("""COMPUTED_VALUE"""),"ZONA 2")</f>
        <v>ZONA 2</v>
      </c>
      <c r="K669" s="4" t="str">
        <f>IFERROR(__xludf.DUMMYFUNCTION("""COMPUTED_VALUE"""),"040R018")</f>
        <v>040R018</v>
      </c>
      <c r="L669" s="4" t="str">
        <f>IFERROR(__xludf.DUMMYFUNCTION("""COMPUTED_VALUE"""),"TM - 7B/H (Afspan 90 Derajat)")</f>
        <v>TM - 7B/H (Afspan 90 Derajat)</v>
      </c>
      <c r="M669" s="4" t="str">
        <f>IFERROR(__xludf.DUMMYFUNCTION("""COMPUTED_VALUE"""),"Tidak Ada")</f>
        <v>Tidak Ada</v>
      </c>
      <c r="N669" s="4"/>
      <c r="O669" s="4" t="str">
        <f>IFERROR(__xludf.DUMMYFUNCTION("""COMPUTED_VALUE"""),"PEMBANDING SEJENIS")</f>
        <v>PEMBANDING SEJENIS</v>
      </c>
      <c r="P669" s="4" t="str">
        <f>IFERROR(__xludf.DUMMYFUNCTION("""COMPUTED_VALUE"""),"KONEKTOR/JUMPER")</f>
        <v>KONEKTOR/JUMPER</v>
      </c>
      <c r="Q669" s="4">
        <f>IFERROR(__xludf.DUMMYFUNCTION("""COMPUTED_VALUE"""),23.0)</f>
        <v>23</v>
      </c>
      <c r="R669" s="4">
        <f>IFERROR(__xludf.DUMMYFUNCTION("""COMPUTED_VALUE"""),19.9)</f>
        <v>19.9</v>
      </c>
      <c r="S669" s="4">
        <f>IFERROR(__xludf.DUMMYFUNCTION("""COMPUTED_VALUE"""),23.3)</f>
        <v>23.3</v>
      </c>
      <c r="T669" s="4"/>
      <c r="U669" s="4" t="str">
        <f>IFERROR(__xludf.DUMMYFUNCTION("""COMPUTED_VALUE"""),"CUKUP")</f>
        <v>CUKUP</v>
      </c>
      <c r="V669" s="4" t="str">
        <f>IFERROR(__xludf.DUMMYFUNCTION("""COMPUTED_VALUE"""),"Tidak Ada")</f>
        <v>Tidak Ada</v>
      </c>
      <c r="W669" s="4"/>
      <c r="X669" s="4"/>
      <c r="Y669" s="4"/>
      <c r="Z669" s="4"/>
      <c r="AA669" s="4"/>
      <c r="AB669" s="4"/>
      <c r="AC669" s="4" t="str">
        <f>IFERROR(__xludf.DUMMYFUNCTION("""COMPUTED_VALUE"""),"INSPEKSI SUTM - T2_Images/f45a0ed9.FOTO.155123.jpg")</f>
        <v>INSPEKSI SUTM - T2_Images/f45a0ed9.FOTO.155123.jpg</v>
      </c>
      <c r="AD669" s="4"/>
      <c r="AE669" s="4"/>
      <c r="AF669" s="4" t="str">
        <f>IFERROR(__xludf.DUMMYFUNCTION("""COMPUTED_VALUE"""),"BELUM")</f>
        <v>BELUM</v>
      </c>
      <c r="AG669" s="6">
        <f>IFERROR(__xludf.DUMMYFUNCTION("""COMPUTED_VALUE"""),46086.0)</f>
        <v>46086</v>
      </c>
      <c r="AH669" s="4"/>
      <c r="AI669" s="4"/>
    </row>
    <row r="670" ht="15.75" customHeight="1">
      <c r="A670" s="4" t="str">
        <f>IFERROR(__xludf.DUMMYFUNCTION("""COMPUTED_VALUE"""),"076d26f1")</f>
        <v>076d26f1</v>
      </c>
      <c r="B670" s="5">
        <f>IFERROR(__xludf.DUMMYFUNCTION("""COMPUTED_VALUE"""),46086.813252314816)</f>
        <v>46086.81325</v>
      </c>
      <c r="C670" s="4" t="str">
        <f>IFERROR(__xludf.DUMMYFUNCTION("""COMPUTED_VALUE"""),"-6.899280, 107.641277")</f>
        <v>-6.899280, 107.641277</v>
      </c>
      <c r="D670" s="4" t="str">
        <f>IFERROR(__xludf.DUMMYFUNCTION("""COMPUTED_VALUE"""),"Sandi angga")</f>
        <v>Sandi angga</v>
      </c>
      <c r="E670" s="4" t="str">
        <f>IFERROR(__xludf.DUMMYFUNCTION("""COMPUTED_VALUE"""),"BANDUNG")</f>
        <v>BANDUNG</v>
      </c>
      <c r="F670" s="4" t="str">
        <f>IFERROR(__xludf.DUMMYFUNCTION("""COMPUTED_VALUE"""),"BANDUNG TIMUR")</f>
        <v>BANDUNG TIMUR</v>
      </c>
      <c r="G670" s="4" t="str">
        <f>IFERROR(__xludf.DUMMYFUNCTION("""COMPUTED_VALUE"""),"KIARACONDONG")</f>
        <v>KIARACONDONG</v>
      </c>
      <c r="H670" s="4" t="str">
        <f>IFERROR(__xludf.DUMMYFUNCTION("""COMPUTED_VALUE"""),"KKH")</f>
        <v>KKH</v>
      </c>
      <c r="I670" s="4" t="str">
        <f>IFERROR(__xludf.DUMMYFUNCTION("""COMPUTED_VALUE"""),"ATPY-RDW")</f>
        <v>ATPY-RDW</v>
      </c>
      <c r="J670" s="4" t="str">
        <f>IFERROR(__xludf.DUMMYFUNCTION("""COMPUTED_VALUE"""),"ZONA 2")</f>
        <v>ZONA 2</v>
      </c>
      <c r="K670" s="4" t="str">
        <f>IFERROR(__xludf.DUMMYFUNCTION("""COMPUTED_VALUE"""),"078")</f>
        <v>078</v>
      </c>
      <c r="L670" s="4" t="str">
        <f>IFERROR(__xludf.DUMMYFUNCTION("""COMPUTED_VALUE"""),"TM - 4B/H (Afspan)")</f>
        <v>TM - 4B/H (Afspan)</v>
      </c>
      <c r="M670" s="4" t="str">
        <f>IFERROR(__xludf.DUMMYFUNCTION("""COMPUTED_VALUE"""),"Tidak Ada")</f>
        <v>Tidak Ada</v>
      </c>
      <c r="N670" s="4"/>
      <c r="O670" s="4" t="str">
        <f>IFERROR(__xludf.DUMMYFUNCTION("""COMPUTED_VALUE"""),"PEMBANDING SEJENIS")</f>
        <v>PEMBANDING SEJENIS</v>
      </c>
      <c r="P670" s="4" t="str">
        <f>IFERROR(__xludf.DUMMYFUNCTION("""COMPUTED_VALUE"""),"KONEKTOR/JUMPER")</f>
        <v>KONEKTOR/JUMPER</v>
      </c>
      <c r="Q670" s="4">
        <f>IFERROR(__xludf.DUMMYFUNCTION("""COMPUTED_VALUE"""),23.0)</f>
        <v>23</v>
      </c>
      <c r="R670" s="4">
        <f>IFERROR(__xludf.DUMMYFUNCTION("""COMPUTED_VALUE"""),20.0)</f>
        <v>20</v>
      </c>
      <c r="S670" s="4">
        <f>IFERROR(__xludf.DUMMYFUNCTION("""COMPUTED_VALUE"""),20.0)</f>
        <v>20</v>
      </c>
      <c r="T670" s="4"/>
      <c r="U670" s="4" t="str">
        <f>IFERROR(__xludf.DUMMYFUNCTION("""COMPUTED_VALUE"""),"CUKUP")</f>
        <v>CUKUP</v>
      </c>
      <c r="V670" s="4" t="str">
        <f>IFERROR(__xludf.DUMMYFUNCTION("""COMPUTED_VALUE"""),"Tidak Ada")</f>
        <v>Tidak Ada</v>
      </c>
      <c r="W670" s="4"/>
      <c r="X670" s="4"/>
      <c r="Y670" s="4"/>
      <c r="Z670" s="4"/>
      <c r="AA670" s="4"/>
      <c r="AB670" s="4"/>
      <c r="AC670" s="4" t="str">
        <f>IFERROR(__xludf.DUMMYFUNCTION("""COMPUTED_VALUE"""),"INSPEKSI SUTM - T2_Images/076d26f1.FOTO.063310.jpg")</f>
        <v>INSPEKSI SUTM - T2_Images/076d26f1.FOTO.063310.jpg</v>
      </c>
      <c r="AD670" s="4"/>
      <c r="AE670" s="4"/>
      <c r="AF670" s="4" t="str">
        <f>IFERROR(__xludf.DUMMYFUNCTION("""COMPUTED_VALUE"""),"BELUM")</f>
        <v>BELUM</v>
      </c>
      <c r="AG670" s="6">
        <f>IFERROR(__xludf.DUMMYFUNCTION("""COMPUTED_VALUE"""),46086.0)</f>
        <v>46086</v>
      </c>
      <c r="AH670" s="4"/>
      <c r="AI670" s="4"/>
    </row>
    <row r="671" ht="15.75" customHeight="1">
      <c r="A671" s="4" t="str">
        <f>IFERROR(__xludf.DUMMYFUNCTION("""COMPUTED_VALUE"""),"28a0c5ba")</f>
        <v>28a0c5ba</v>
      </c>
      <c r="B671" s="5">
        <f>IFERROR(__xludf.DUMMYFUNCTION("""COMPUTED_VALUE"""),46088.004224537035)</f>
        <v>46088.00422</v>
      </c>
      <c r="C671" s="4" t="str">
        <f>IFERROR(__xludf.DUMMYFUNCTION("""COMPUTED_VALUE"""),"-6.896543, 107.674392")</f>
        <v>-6.896543, 107.674392</v>
      </c>
      <c r="D671" s="4" t="str">
        <f>IFERROR(__xludf.DUMMYFUNCTION("""COMPUTED_VALUE"""),"Canra heri")</f>
        <v>Canra heri</v>
      </c>
      <c r="E671" s="4" t="str">
        <f>IFERROR(__xludf.DUMMYFUNCTION("""COMPUTED_VALUE"""),"BANDUNG")</f>
        <v>BANDUNG</v>
      </c>
      <c r="F671" s="4" t="str">
        <f>IFERROR(__xludf.DUMMYFUNCTION("""COMPUTED_VALUE"""),"UJUNGBERUNG")</f>
        <v>UJUNGBERUNG</v>
      </c>
      <c r="G671" s="4" t="str">
        <f>IFERROR(__xludf.DUMMYFUNCTION("""COMPUTED_VALUE"""),"GIS BANDUNG TIMUR")</f>
        <v>GIS BANDUNG TIMUR</v>
      </c>
      <c r="H671" s="4" t="str">
        <f>IFERROR(__xludf.DUMMYFUNCTION("""COMPUTED_VALUE"""),"MDMK")</f>
        <v>MDMK</v>
      </c>
      <c r="I671" s="4" t="str">
        <f>IFERROR(__xludf.DUMMYFUNCTION("""COMPUTED_VALUE"""),"REC PSME - REC TARB")</f>
        <v>REC PSME - REC TARB</v>
      </c>
      <c r="J671" s="4" t="str">
        <f>IFERROR(__xludf.DUMMYFUNCTION("""COMPUTED_VALUE"""),"ZONA 2")</f>
        <v>ZONA 2</v>
      </c>
      <c r="K671" s="4" t="str">
        <f>IFERROR(__xludf.DUMMYFUNCTION("""COMPUTED_VALUE"""),"037L06")</f>
        <v>037L06</v>
      </c>
      <c r="L671" s="4" t="str">
        <f>IFERROR(__xludf.DUMMYFUNCTION("""COMPUTED_VALUE"""),"TM - 16B/H (REC/SSO/LBS)")</f>
        <v>TM - 16B/H (REC/SSO/LBS)</v>
      </c>
      <c r="M671" s="4" t="str">
        <f>IFERROR(__xludf.DUMMYFUNCTION("""COMPUTED_VALUE"""),"LBS")</f>
        <v>LBS</v>
      </c>
      <c r="N671" s="4" t="str">
        <f>IFERROR(__xludf.DUMMYFUNCTION("""COMPUTED_VALUE"""),"Bcv")</f>
        <v>Bcv</v>
      </c>
      <c r="O671" s="4" t="str">
        <f>IFERROR(__xludf.DUMMYFUNCTION("""COMPUTED_VALUE"""),"PEMBANDING SEJENIS")</f>
        <v>PEMBANDING SEJENIS</v>
      </c>
      <c r="P671" s="4" t="str">
        <f>IFERROR(__xludf.DUMMYFUNCTION("""COMPUTED_VALUE"""),"TERMINASI")</f>
        <v>TERMINASI</v>
      </c>
      <c r="Q671" s="4">
        <f>IFERROR(__xludf.DUMMYFUNCTION("""COMPUTED_VALUE"""),21.0)</f>
        <v>21</v>
      </c>
      <c r="R671" s="4">
        <f>IFERROR(__xludf.DUMMYFUNCTION("""COMPUTED_VALUE"""),21.0)</f>
        <v>21</v>
      </c>
      <c r="S671" s="4">
        <f>IFERROR(__xludf.DUMMYFUNCTION("""COMPUTED_VALUE"""),20.0)</f>
        <v>20</v>
      </c>
      <c r="T671" s="4"/>
      <c r="U671" s="4" t="str">
        <f>IFERROR(__xludf.DUMMYFUNCTION("""COMPUTED_VALUE"""),"BAIK")</f>
        <v>BAIK</v>
      </c>
      <c r="V671" s="4" t="str">
        <f>IFERROR(__xludf.DUMMYFUNCTION("""COMPUTED_VALUE"""),"Tidak Ada")</f>
        <v>Tidak Ada</v>
      </c>
      <c r="W671" s="4"/>
      <c r="X671" s="4"/>
      <c r="Y671" s="4"/>
      <c r="Z671" s="4"/>
      <c r="AA671" s="4"/>
      <c r="AB671" s="4"/>
      <c r="AC671" s="4" t="str">
        <f>IFERROR(__xludf.DUMMYFUNCTION("""COMPUTED_VALUE"""),"INSPEKSI SUTM - T2_Images/28a0c5ba.FOTO.170736.jpg")</f>
        <v>INSPEKSI SUTM - T2_Images/28a0c5ba.FOTO.170736.jpg</v>
      </c>
      <c r="AD671" s="4"/>
      <c r="AE671" s="4"/>
      <c r="AF671" s="4" t="str">
        <f>IFERROR(__xludf.DUMMYFUNCTION("""COMPUTED_VALUE"""),"BELUM")</f>
        <v>BELUM</v>
      </c>
      <c r="AG671" s="6">
        <f>IFERROR(__xludf.DUMMYFUNCTION("""COMPUTED_VALUE"""),46088.0)</f>
        <v>46088</v>
      </c>
      <c r="AH671" s="4"/>
      <c r="AI671" s="4"/>
    </row>
    <row r="672" ht="15.75" customHeight="1">
      <c r="A672" s="4" t="str">
        <f>IFERROR(__xludf.DUMMYFUNCTION("""COMPUTED_VALUE"""),"aee239d2")</f>
        <v>aee239d2</v>
      </c>
      <c r="B672" s="5">
        <f>IFERROR(__xludf.DUMMYFUNCTION("""COMPUTED_VALUE"""),46088.00829861111)</f>
        <v>46088.0083</v>
      </c>
      <c r="C672" s="4" t="str">
        <f>IFERROR(__xludf.DUMMYFUNCTION("""COMPUTED_VALUE"""),"-6.896546, 107.674356")</f>
        <v>-6.896546, 107.674356</v>
      </c>
      <c r="D672" s="4" t="str">
        <f>IFERROR(__xludf.DUMMYFUNCTION("""COMPUTED_VALUE"""),"Canra heei")</f>
        <v>Canra heei</v>
      </c>
      <c r="E672" s="4" t="str">
        <f>IFERROR(__xludf.DUMMYFUNCTION("""COMPUTED_VALUE"""),"BANDUNG")</f>
        <v>BANDUNG</v>
      </c>
      <c r="F672" s="4" t="str">
        <f>IFERROR(__xludf.DUMMYFUNCTION("""COMPUTED_VALUE"""),"UJUNGBERUNG")</f>
        <v>UJUNGBERUNG</v>
      </c>
      <c r="G672" s="4" t="str">
        <f>IFERROR(__xludf.DUMMYFUNCTION("""COMPUTED_VALUE"""),"GIS BANDUNG TIMUR")</f>
        <v>GIS BANDUNG TIMUR</v>
      </c>
      <c r="H672" s="4" t="str">
        <f>IFERROR(__xludf.DUMMYFUNCTION("""COMPUTED_VALUE"""),"MDMK")</f>
        <v>MDMK</v>
      </c>
      <c r="I672" s="4" t="str">
        <f>IFERROR(__xludf.DUMMYFUNCTION("""COMPUTED_VALUE"""),"REC PSME - REC TARB")</f>
        <v>REC PSME - REC TARB</v>
      </c>
      <c r="J672" s="4" t="str">
        <f>IFERROR(__xludf.DUMMYFUNCTION("""COMPUTED_VALUE"""),"ZONA 2")</f>
        <v>ZONA 2</v>
      </c>
      <c r="K672" s="4" t="str">
        <f>IFERROR(__xludf.DUMMYFUNCTION("""COMPUTED_VALUE"""),"037L04")</f>
        <v>037L04</v>
      </c>
      <c r="L672" s="4" t="str">
        <f>IFERROR(__xludf.DUMMYFUNCTION("""COMPUTED_VALUE"""),"TM - 11B/H (Kabel Naik)")</f>
        <v>TM - 11B/H (Kabel Naik)</v>
      </c>
      <c r="M672" s="4" t="str">
        <f>IFERROR(__xludf.DUMMYFUNCTION("""COMPUTED_VALUE"""),"Gardu")</f>
        <v>Gardu</v>
      </c>
      <c r="N672" s="4" t="str">
        <f>IFERROR(__xludf.DUMMYFUNCTION("""COMPUTED_VALUE"""),"Bcv")</f>
        <v>Bcv</v>
      </c>
      <c r="O672" s="4" t="str">
        <f>IFERROR(__xludf.DUMMYFUNCTION("""COMPUTED_VALUE"""),"PEMBANDING SEJENIS")</f>
        <v>PEMBANDING SEJENIS</v>
      </c>
      <c r="P672" s="4" t="str">
        <f>IFERROR(__xludf.DUMMYFUNCTION("""COMPUTED_VALUE"""),"TERMINASI")</f>
        <v>TERMINASI</v>
      </c>
      <c r="Q672" s="4">
        <f>IFERROR(__xludf.DUMMYFUNCTION("""COMPUTED_VALUE"""),21.0)</f>
        <v>21</v>
      </c>
      <c r="R672" s="4">
        <f>IFERROR(__xludf.DUMMYFUNCTION("""COMPUTED_VALUE"""),17.0)</f>
        <v>17</v>
      </c>
      <c r="S672" s="4">
        <f>IFERROR(__xludf.DUMMYFUNCTION("""COMPUTED_VALUE"""),21.0)</f>
        <v>21</v>
      </c>
      <c r="T672" s="4"/>
      <c r="U672" s="4" t="str">
        <f>IFERROR(__xludf.DUMMYFUNCTION("""COMPUTED_VALUE"""),"CUKUP")</f>
        <v>CUKUP</v>
      </c>
      <c r="V672" s="4" t="str">
        <f>IFERROR(__xludf.DUMMYFUNCTION("""COMPUTED_VALUE"""),"Tidak Ada")</f>
        <v>Tidak Ada</v>
      </c>
      <c r="W672" s="4"/>
      <c r="X672" s="4"/>
      <c r="Y672" s="4"/>
      <c r="Z672" s="4"/>
      <c r="AA672" s="4"/>
      <c r="AB672" s="4"/>
      <c r="AC672" s="4" t="str">
        <f>IFERROR(__xludf.DUMMYFUNCTION("""COMPUTED_VALUE"""),"INSPEKSI SUTM - T2_Images/aee239d2.FOTO.171253.jpg")</f>
        <v>INSPEKSI SUTM - T2_Images/aee239d2.FOTO.171253.jpg</v>
      </c>
      <c r="AD672" s="4"/>
      <c r="AE672" s="4"/>
      <c r="AF672" s="4" t="str">
        <f>IFERROR(__xludf.DUMMYFUNCTION("""COMPUTED_VALUE"""),"BELUM")</f>
        <v>BELUM</v>
      </c>
      <c r="AG672" s="6">
        <f>IFERROR(__xludf.DUMMYFUNCTION("""COMPUTED_VALUE"""),46088.0)</f>
        <v>46088</v>
      </c>
      <c r="AH672" s="4"/>
      <c r="AI672" s="4"/>
    </row>
    <row r="673" ht="15.75" customHeight="1">
      <c r="A673" s="4" t="str">
        <f>IFERROR(__xludf.DUMMYFUNCTION("""COMPUTED_VALUE"""),"4801c95a")</f>
        <v>4801c95a</v>
      </c>
      <c r="B673" s="5">
        <f>IFERROR(__xludf.DUMMYFUNCTION("""COMPUTED_VALUE"""),46088.01107638889)</f>
        <v>46088.01108</v>
      </c>
      <c r="C673" s="4" t="str">
        <f>IFERROR(__xludf.DUMMYFUNCTION("""COMPUTED_VALUE"""),"-6.896589, 107.676011")</f>
        <v>-6.896589, 107.676011</v>
      </c>
      <c r="D673" s="4" t="str">
        <f>IFERROR(__xludf.DUMMYFUNCTION("""COMPUTED_VALUE"""),"Canra heei")</f>
        <v>Canra heei</v>
      </c>
      <c r="E673" s="4" t="str">
        <f>IFERROR(__xludf.DUMMYFUNCTION("""COMPUTED_VALUE"""),"BANDUNG")</f>
        <v>BANDUNG</v>
      </c>
      <c r="F673" s="4" t="str">
        <f>IFERROR(__xludf.DUMMYFUNCTION("""COMPUTED_VALUE"""),"UJUNGBERUNG")</f>
        <v>UJUNGBERUNG</v>
      </c>
      <c r="G673" s="4" t="str">
        <f>IFERROR(__xludf.DUMMYFUNCTION("""COMPUTED_VALUE"""),"GIS BANDUNG TIMUR")</f>
        <v>GIS BANDUNG TIMUR</v>
      </c>
      <c r="H673" s="4" t="str">
        <f>IFERROR(__xludf.DUMMYFUNCTION("""COMPUTED_VALUE"""),"MDMK")</f>
        <v>MDMK</v>
      </c>
      <c r="I673" s="4" t="str">
        <f>IFERROR(__xludf.DUMMYFUNCTION("""COMPUTED_VALUE"""),"REC PSME - REC TARB")</f>
        <v>REC PSME - REC TARB</v>
      </c>
      <c r="J673" s="4" t="str">
        <f>IFERROR(__xludf.DUMMYFUNCTION("""COMPUTED_VALUE"""),"ZONA 2")</f>
        <v>ZONA 2</v>
      </c>
      <c r="K673" s="4" t="str">
        <f>IFERROR(__xludf.DUMMYFUNCTION("""COMPUTED_VALUE"""),"037L02")</f>
        <v>037L02</v>
      </c>
      <c r="L673" s="4" t="str">
        <f>IFERROR(__xludf.DUMMYFUNCTION("""COMPUTED_VALUE"""),"TM - 7B/H (Afspan 90 Derajat)")</f>
        <v>TM - 7B/H (Afspan 90 Derajat)</v>
      </c>
      <c r="M673" s="4" t="str">
        <f>IFERROR(__xludf.DUMMYFUNCTION("""COMPUTED_VALUE"""),"Tidak Ada")</f>
        <v>Tidak Ada</v>
      </c>
      <c r="N673" s="4"/>
      <c r="O673" s="4" t="str">
        <f>IFERROR(__xludf.DUMMYFUNCTION("""COMPUTED_VALUE"""),"PEMBANDING SEJENIS")</f>
        <v>PEMBANDING SEJENIS</v>
      </c>
      <c r="P673" s="4" t="str">
        <f>IFERROR(__xludf.DUMMYFUNCTION("""COMPUTED_VALUE"""),"KONEKTOR/JUMPER")</f>
        <v>KONEKTOR/JUMPER</v>
      </c>
      <c r="Q673" s="4">
        <f>IFERROR(__xludf.DUMMYFUNCTION("""COMPUTED_VALUE"""),21.0)</f>
        <v>21</v>
      </c>
      <c r="R673" s="4">
        <f>IFERROR(__xludf.DUMMYFUNCTION("""COMPUTED_VALUE"""),21.0)</f>
        <v>21</v>
      </c>
      <c r="S673" s="4">
        <f>IFERROR(__xludf.DUMMYFUNCTION("""COMPUTED_VALUE"""),20.0)</f>
        <v>20</v>
      </c>
      <c r="T673" s="4"/>
      <c r="U673" s="4" t="str">
        <f>IFERROR(__xludf.DUMMYFUNCTION("""COMPUTED_VALUE"""),"BAIK")</f>
        <v>BAIK</v>
      </c>
      <c r="V673" s="4" t="str">
        <f>IFERROR(__xludf.DUMMYFUNCTION("""COMPUTED_VALUE"""),"Tidak Ada")</f>
        <v>Tidak Ada</v>
      </c>
      <c r="W673" s="4"/>
      <c r="X673" s="4"/>
      <c r="Y673" s="4"/>
      <c r="Z673" s="4"/>
      <c r="AA673" s="4"/>
      <c r="AB673" s="4"/>
      <c r="AC673" s="4" t="str">
        <f>IFERROR(__xludf.DUMMYFUNCTION("""COMPUTED_VALUE"""),"INSPEKSI SUTM - T2_Images/4801c95a.FOTO.171645.jpg")</f>
        <v>INSPEKSI SUTM - T2_Images/4801c95a.FOTO.171645.jpg</v>
      </c>
      <c r="AD673" s="4"/>
      <c r="AE673" s="4"/>
      <c r="AF673" s="4" t="str">
        <f>IFERROR(__xludf.DUMMYFUNCTION("""COMPUTED_VALUE"""),"BELUM")</f>
        <v>BELUM</v>
      </c>
      <c r="AG673" s="6">
        <f>IFERROR(__xludf.DUMMYFUNCTION("""COMPUTED_VALUE"""),46088.0)</f>
        <v>46088</v>
      </c>
      <c r="AH673" s="4"/>
      <c r="AI673" s="4"/>
    </row>
    <row r="674" ht="15.75" customHeight="1">
      <c r="A674" s="4" t="str">
        <f>IFERROR(__xludf.DUMMYFUNCTION("""COMPUTED_VALUE"""),"7adba3af")</f>
        <v>7adba3af</v>
      </c>
      <c r="B674" s="5">
        <f>IFERROR(__xludf.DUMMYFUNCTION("""COMPUTED_VALUE"""),46088.01361111111)</f>
        <v>46088.01361</v>
      </c>
      <c r="C674" s="4" t="str">
        <f>IFERROR(__xludf.DUMMYFUNCTION("""COMPUTED_VALUE"""),"-6.897267, 107.676335")</f>
        <v>-6.897267, 107.676335</v>
      </c>
      <c r="D674" s="4" t="str">
        <f>IFERROR(__xludf.DUMMYFUNCTION("""COMPUTED_VALUE"""),"Canra hwei")</f>
        <v>Canra hwei</v>
      </c>
      <c r="E674" s="4" t="str">
        <f>IFERROR(__xludf.DUMMYFUNCTION("""COMPUTED_VALUE"""),"BANDUNG")</f>
        <v>BANDUNG</v>
      </c>
      <c r="F674" s="4" t="str">
        <f>IFERROR(__xludf.DUMMYFUNCTION("""COMPUTED_VALUE"""),"UJUNGBERUNG")</f>
        <v>UJUNGBERUNG</v>
      </c>
      <c r="G674" s="4" t="str">
        <f>IFERROR(__xludf.DUMMYFUNCTION("""COMPUTED_VALUE"""),"GIS BANDUNG TIMUR")</f>
        <v>GIS BANDUNG TIMUR</v>
      </c>
      <c r="H674" s="4" t="str">
        <f>IFERROR(__xludf.DUMMYFUNCTION("""COMPUTED_VALUE"""),"MDMK")</f>
        <v>MDMK</v>
      </c>
      <c r="I674" s="4" t="str">
        <f>IFERROR(__xludf.DUMMYFUNCTION("""COMPUTED_VALUE"""),"REC PSME - REC TARB")</f>
        <v>REC PSME - REC TARB</v>
      </c>
      <c r="J674" s="4" t="str">
        <f>IFERROR(__xludf.DUMMYFUNCTION("""COMPUTED_VALUE"""),"ZONA 2")</f>
        <v>ZONA 2</v>
      </c>
      <c r="K674" s="4" t="str">
        <f>IFERROR(__xludf.DUMMYFUNCTION("""COMPUTED_VALUE"""),"036")</f>
        <v>036</v>
      </c>
      <c r="L674" s="4" t="str">
        <f>IFERROR(__xludf.DUMMYFUNCTION("""COMPUTED_VALUE"""),"TM - 13B/H (Kabel Naik Pada Tiang Tumpu)")</f>
        <v>TM - 13B/H (Kabel Naik Pada Tiang Tumpu)</v>
      </c>
      <c r="M674" s="4" t="str">
        <f>IFERROR(__xludf.DUMMYFUNCTION("""COMPUTED_VALUE"""),"Tidak Ada")</f>
        <v>Tidak Ada</v>
      </c>
      <c r="N674" s="4"/>
      <c r="O674" s="4" t="str">
        <f>IFERROR(__xludf.DUMMYFUNCTION("""COMPUTED_VALUE"""),"PEMBANDING SEJENIS")</f>
        <v>PEMBANDING SEJENIS</v>
      </c>
      <c r="P674" s="4" t="str">
        <f>IFERROR(__xludf.DUMMYFUNCTION("""COMPUTED_VALUE"""),"TERMINASI")</f>
        <v>TERMINASI</v>
      </c>
      <c r="Q674" s="4">
        <f>IFERROR(__xludf.DUMMYFUNCTION("""COMPUTED_VALUE"""),20.0)</f>
        <v>20</v>
      </c>
      <c r="R674" s="4">
        <f>IFERROR(__xludf.DUMMYFUNCTION("""COMPUTED_VALUE"""),18.0)</f>
        <v>18</v>
      </c>
      <c r="S674" s="4">
        <f>IFERROR(__xludf.DUMMYFUNCTION("""COMPUTED_VALUE"""),18.0)</f>
        <v>18</v>
      </c>
      <c r="T674" s="4"/>
      <c r="U674" s="4" t="str">
        <f>IFERROR(__xludf.DUMMYFUNCTION("""COMPUTED_VALUE"""),"BAIK")</f>
        <v>BAIK</v>
      </c>
      <c r="V674" s="4" t="str">
        <f>IFERROR(__xludf.DUMMYFUNCTION("""COMPUTED_VALUE"""),"Tidak Ada")</f>
        <v>Tidak Ada</v>
      </c>
      <c r="W674" s="4"/>
      <c r="X674" s="4"/>
      <c r="Y674" s="4"/>
      <c r="Z674" s="4"/>
      <c r="AA674" s="4"/>
      <c r="AB674" s="4"/>
      <c r="AC674" s="4" t="str">
        <f>IFERROR(__xludf.DUMMYFUNCTION("""COMPUTED_VALUE"""),"INSPEKSI SUTM - T2_Images/7adba3af.FOTO.172033.jpg")</f>
        <v>INSPEKSI SUTM - T2_Images/7adba3af.FOTO.172033.jpg</v>
      </c>
      <c r="AD674" s="4"/>
      <c r="AE674" s="4"/>
      <c r="AF674" s="4" t="str">
        <f>IFERROR(__xludf.DUMMYFUNCTION("""COMPUTED_VALUE"""),"BELUM")</f>
        <v>BELUM</v>
      </c>
      <c r="AG674" s="6">
        <f>IFERROR(__xludf.DUMMYFUNCTION("""COMPUTED_VALUE"""),46088.0)</f>
        <v>46088</v>
      </c>
      <c r="AH674" s="4"/>
      <c r="AI674" s="4"/>
    </row>
    <row r="675" ht="15.75" customHeight="1">
      <c r="A675" s="4" t="str">
        <f>IFERROR(__xludf.DUMMYFUNCTION("""COMPUTED_VALUE"""),"2178e8bb")</f>
        <v>2178e8bb</v>
      </c>
      <c r="B675" s="5">
        <f>IFERROR(__xludf.DUMMYFUNCTION("""COMPUTED_VALUE"""),46088.015543981484)</f>
        <v>46088.01554</v>
      </c>
      <c r="C675" s="4" t="str">
        <f>IFERROR(__xludf.DUMMYFUNCTION("""COMPUTED_VALUE"""),"-6.896647, 107.676529")</f>
        <v>-6.896647, 107.676529</v>
      </c>
      <c r="D675" s="4" t="str">
        <f>IFERROR(__xludf.DUMMYFUNCTION("""COMPUTED_VALUE"""),"Canra heei")</f>
        <v>Canra heei</v>
      </c>
      <c r="E675" s="4" t="str">
        <f>IFERROR(__xludf.DUMMYFUNCTION("""COMPUTED_VALUE"""),"BANDUNG")</f>
        <v>BANDUNG</v>
      </c>
      <c r="F675" s="4" t="str">
        <f>IFERROR(__xludf.DUMMYFUNCTION("""COMPUTED_VALUE"""),"UJUNGBERUNG")</f>
        <v>UJUNGBERUNG</v>
      </c>
      <c r="G675" s="4" t="str">
        <f>IFERROR(__xludf.DUMMYFUNCTION("""COMPUTED_VALUE"""),"GIS BANDUNG TIMUR")</f>
        <v>GIS BANDUNG TIMUR</v>
      </c>
      <c r="H675" s="4" t="str">
        <f>IFERROR(__xludf.DUMMYFUNCTION("""COMPUTED_VALUE"""),"MDMK")</f>
        <v>MDMK</v>
      </c>
      <c r="I675" s="4" t="str">
        <f>IFERROR(__xludf.DUMMYFUNCTION("""COMPUTED_VALUE"""),"REC PSME - REC TARB")</f>
        <v>REC PSME - REC TARB</v>
      </c>
      <c r="J675" s="4" t="str">
        <f>IFERROR(__xludf.DUMMYFUNCTION("""COMPUTED_VALUE"""),"ZONA 2")</f>
        <v>ZONA 2</v>
      </c>
      <c r="K675" s="4" t="str">
        <f>IFERROR(__xludf.DUMMYFUNCTION("""COMPUTED_VALUE"""),"038")</f>
        <v>038</v>
      </c>
      <c r="L675" s="4" t="str">
        <f>IFERROR(__xludf.DUMMYFUNCTION("""COMPUTED_VALUE"""),"TM - 4B/H (Afspan)")</f>
        <v>TM - 4B/H (Afspan)</v>
      </c>
      <c r="M675" s="4" t="str">
        <f>IFERROR(__xludf.DUMMYFUNCTION("""COMPUTED_VALUE"""),"Tidak Ada")</f>
        <v>Tidak Ada</v>
      </c>
      <c r="N675" s="4"/>
      <c r="O675" s="4" t="str">
        <f>IFERROR(__xludf.DUMMYFUNCTION("""COMPUTED_VALUE"""),"PEMBANDING SEJENIS")</f>
        <v>PEMBANDING SEJENIS</v>
      </c>
      <c r="P675" s="4" t="str">
        <f>IFERROR(__xludf.DUMMYFUNCTION("""COMPUTED_VALUE"""),"KONEKTOR/JUMPER")</f>
        <v>KONEKTOR/JUMPER</v>
      </c>
      <c r="Q675" s="4">
        <f>IFERROR(__xludf.DUMMYFUNCTION("""COMPUTED_VALUE"""),21.0)</f>
        <v>21</v>
      </c>
      <c r="R675" s="4">
        <f>IFERROR(__xludf.DUMMYFUNCTION("""COMPUTED_VALUE"""),21.0)</f>
        <v>21</v>
      </c>
      <c r="S675" s="4">
        <f>IFERROR(__xludf.DUMMYFUNCTION("""COMPUTED_VALUE"""),21.0)</f>
        <v>21</v>
      </c>
      <c r="T675" s="4"/>
      <c r="U675" s="4" t="str">
        <f>IFERROR(__xludf.DUMMYFUNCTION("""COMPUTED_VALUE"""),"BAIK")</f>
        <v>BAIK</v>
      </c>
      <c r="V675" s="4" t="str">
        <f>IFERROR(__xludf.DUMMYFUNCTION("""COMPUTED_VALUE"""),"Tidak Ada")</f>
        <v>Tidak Ada</v>
      </c>
      <c r="W675" s="4"/>
      <c r="X675" s="4"/>
      <c r="Y675" s="4"/>
      <c r="Z675" s="4"/>
      <c r="AA675" s="4"/>
      <c r="AB675" s="4"/>
      <c r="AC675" s="4" t="str">
        <f>IFERROR(__xludf.DUMMYFUNCTION("""COMPUTED_VALUE"""),"INSPEKSI SUTM - T2_Images/2178e8bb.FOTO.172315.jpg")</f>
        <v>INSPEKSI SUTM - T2_Images/2178e8bb.FOTO.172315.jpg</v>
      </c>
      <c r="AD675" s="4"/>
      <c r="AE675" s="4"/>
      <c r="AF675" s="4" t="str">
        <f>IFERROR(__xludf.DUMMYFUNCTION("""COMPUTED_VALUE"""),"BELUM")</f>
        <v>BELUM</v>
      </c>
      <c r="AG675" s="6">
        <f>IFERROR(__xludf.DUMMYFUNCTION("""COMPUTED_VALUE"""),46088.0)</f>
        <v>46088</v>
      </c>
      <c r="AH675" s="4"/>
      <c r="AI675" s="4"/>
    </row>
    <row r="676" ht="15.75" customHeight="1">
      <c r="A676" s="4" t="str">
        <f>IFERROR(__xludf.DUMMYFUNCTION("""COMPUTED_VALUE"""),"8a78489d")</f>
        <v>8a78489d</v>
      </c>
      <c r="B676" s="5">
        <f>IFERROR(__xludf.DUMMYFUNCTION("""COMPUTED_VALUE"""),46088.016851851855)</f>
        <v>46088.01685</v>
      </c>
      <c r="C676" s="4" t="str">
        <f>IFERROR(__xludf.DUMMYFUNCTION("""COMPUTED_VALUE"""),"-6.896721, 107.676443")</f>
        <v>-6.896721, 107.676443</v>
      </c>
      <c r="D676" s="4" t="str">
        <f>IFERROR(__xludf.DUMMYFUNCTION("""COMPUTED_VALUE"""),"Canra heei")</f>
        <v>Canra heei</v>
      </c>
      <c r="E676" s="4" t="str">
        <f>IFERROR(__xludf.DUMMYFUNCTION("""COMPUTED_VALUE"""),"BANDUNG")</f>
        <v>BANDUNG</v>
      </c>
      <c r="F676" s="4" t="str">
        <f>IFERROR(__xludf.DUMMYFUNCTION("""COMPUTED_VALUE"""),"UJUNGBERUNG")</f>
        <v>UJUNGBERUNG</v>
      </c>
      <c r="G676" s="4" t="str">
        <f>IFERROR(__xludf.DUMMYFUNCTION("""COMPUTED_VALUE"""),"GIS BANDUNG TIMUR")</f>
        <v>GIS BANDUNG TIMUR</v>
      </c>
      <c r="H676" s="4" t="str">
        <f>IFERROR(__xludf.DUMMYFUNCTION("""COMPUTED_VALUE"""),"MDMK")</f>
        <v>MDMK</v>
      </c>
      <c r="I676" s="4" t="str">
        <f>IFERROR(__xludf.DUMMYFUNCTION("""COMPUTED_VALUE"""),"REC PSME - REC TARB")</f>
        <v>REC PSME - REC TARB</v>
      </c>
      <c r="J676" s="4" t="str">
        <f>IFERROR(__xludf.DUMMYFUNCTION("""COMPUTED_VALUE"""),"ZONA 2")</f>
        <v>ZONA 2</v>
      </c>
      <c r="K676" s="4" t="str">
        <f>IFERROR(__xludf.DUMMYFUNCTION("""COMPUTED_VALUE"""),"037")</f>
        <v>037</v>
      </c>
      <c r="L676" s="4" t="str">
        <f>IFERROR(__xludf.DUMMYFUNCTION("""COMPUTED_VALUE"""),"TM - 16B/H (REC/SSO/LBS)")</f>
        <v>TM - 16B/H (REC/SSO/LBS)</v>
      </c>
      <c r="M676" s="4" t="str">
        <f>IFERROR(__xludf.DUMMYFUNCTION("""COMPUTED_VALUE"""),"LBS")</f>
        <v>LBS</v>
      </c>
      <c r="N676" s="4" t="str">
        <f>IFERROR(__xludf.DUMMYFUNCTION("""COMPUTED_VALUE"""),"3way")</f>
        <v>3way</v>
      </c>
      <c r="O676" s="4" t="str">
        <f>IFERROR(__xludf.DUMMYFUNCTION("""COMPUTED_VALUE"""),"PEMBANDING SEJENIS")</f>
        <v>PEMBANDING SEJENIS</v>
      </c>
      <c r="P676" s="4" t="str">
        <f>IFERROR(__xludf.DUMMYFUNCTION("""COMPUTED_VALUE"""),"KONEKTOR/JUMPER")</f>
        <v>KONEKTOR/JUMPER</v>
      </c>
      <c r="Q676" s="4">
        <f>IFERROR(__xludf.DUMMYFUNCTION("""COMPUTED_VALUE"""),18.0)</f>
        <v>18</v>
      </c>
      <c r="R676" s="4">
        <f>IFERROR(__xludf.DUMMYFUNCTION("""COMPUTED_VALUE"""),20.0)</f>
        <v>20</v>
      </c>
      <c r="S676" s="4">
        <f>IFERROR(__xludf.DUMMYFUNCTION("""COMPUTED_VALUE"""),13.0)</f>
        <v>13</v>
      </c>
      <c r="T676" s="4"/>
      <c r="U676" s="4" t="str">
        <f>IFERROR(__xludf.DUMMYFUNCTION("""COMPUTED_VALUE"""),"CUKUP")</f>
        <v>CUKUP</v>
      </c>
      <c r="V676" s="4" t="str">
        <f>IFERROR(__xludf.DUMMYFUNCTION("""COMPUTED_VALUE"""),"Tidak Ada")</f>
        <v>Tidak Ada</v>
      </c>
      <c r="W676" s="4"/>
      <c r="X676" s="4"/>
      <c r="Y676" s="4"/>
      <c r="Z676" s="4"/>
      <c r="AA676" s="4"/>
      <c r="AB676" s="4"/>
      <c r="AC676" s="4" t="str">
        <f>IFERROR(__xludf.DUMMYFUNCTION("""COMPUTED_VALUE"""),"INSPEKSI SUTM - T2_Images/8a78489d.FOTO.172510.jpg")</f>
        <v>INSPEKSI SUTM - T2_Images/8a78489d.FOTO.172510.jpg</v>
      </c>
      <c r="AD676" s="4"/>
      <c r="AE676" s="4"/>
      <c r="AF676" s="4" t="str">
        <f>IFERROR(__xludf.DUMMYFUNCTION("""COMPUTED_VALUE"""),"BELUM")</f>
        <v>BELUM</v>
      </c>
      <c r="AG676" s="6">
        <f>IFERROR(__xludf.DUMMYFUNCTION("""COMPUTED_VALUE"""),46088.0)</f>
        <v>46088</v>
      </c>
      <c r="AH676" s="4"/>
      <c r="AI676" s="4"/>
    </row>
    <row r="677" ht="15.75" customHeight="1">
      <c r="A677" s="4" t="str">
        <f>IFERROR(__xludf.DUMMYFUNCTION("""COMPUTED_VALUE"""),"411a52d9")</f>
        <v>411a52d9</v>
      </c>
      <c r="B677" s="5">
        <f>IFERROR(__xludf.DUMMYFUNCTION("""COMPUTED_VALUE"""),46088.018541666665)</f>
        <v>46088.01854</v>
      </c>
      <c r="C677" s="4" t="str">
        <f>IFERROR(__xludf.DUMMYFUNCTION("""COMPUTED_VALUE"""),"-6.895146, 107.677242")</f>
        <v>-6.895146, 107.677242</v>
      </c>
      <c r="D677" s="4" t="str">
        <f>IFERROR(__xludf.DUMMYFUNCTION("""COMPUTED_VALUE"""),"Canra heei")</f>
        <v>Canra heei</v>
      </c>
      <c r="E677" s="4" t="str">
        <f>IFERROR(__xludf.DUMMYFUNCTION("""COMPUTED_VALUE"""),"BANDUNG")</f>
        <v>BANDUNG</v>
      </c>
      <c r="F677" s="4" t="str">
        <f>IFERROR(__xludf.DUMMYFUNCTION("""COMPUTED_VALUE"""),"UJUNGBERUNG")</f>
        <v>UJUNGBERUNG</v>
      </c>
      <c r="G677" s="4" t="str">
        <f>IFERROR(__xludf.DUMMYFUNCTION("""COMPUTED_VALUE"""),"GIS BANDUNG TIMUR")</f>
        <v>GIS BANDUNG TIMUR</v>
      </c>
      <c r="H677" s="4" t="str">
        <f>IFERROR(__xludf.DUMMYFUNCTION("""COMPUTED_VALUE"""),"MDMK")</f>
        <v>MDMK</v>
      </c>
      <c r="I677" s="4" t="str">
        <f>IFERROR(__xludf.DUMMYFUNCTION("""COMPUTED_VALUE"""),"REC PSME - REC TARB")</f>
        <v>REC PSME - REC TARB</v>
      </c>
      <c r="J677" s="4" t="str">
        <f>IFERROR(__xludf.DUMMYFUNCTION("""COMPUTED_VALUE"""),"ZONA 2")</f>
        <v>ZONA 2</v>
      </c>
      <c r="K677" s="4" t="str">
        <f>IFERROR(__xludf.DUMMYFUNCTION("""COMPUTED_VALUE"""),"042")</f>
        <v>042</v>
      </c>
      <c r="L677" s="4" t="str">
        <f>IFERROR(__xludf.DUMMYFUNCTION("""COMPUTED_VALUE"""),"TM - 8B/H (Percabangan)")</f>
        <v>TM - 8B/H (Percabangan)</v>
      </c>
      <c r="M677" s="4" t="str">
        <f>IFERROR(__xludf.DUMMYFUNCTION("""COMPUTED_VALUE"""),"Tidak Ada")</f>
        <v>Tidak Ada</v>
      </c>
      <c r="N677" s="4"/>
      <c r="O677" s="4" t="str">
        <f>IFERROR(__xludf.DUMMYFUNCTION("""COMPUTED_VALUE"""),"PEMBANDING SEJENIS")</f>
        <v>PEMBANDING SEJENIS</v>
      </c>
      <c r="P677" s="4" t="str">
        <f>IFERROR(__xludf.DUMMYFUNCTION("""COMPUTED_VALUE"""),"KONEKTOR/JUMPER")</f>
        <v>KONEKTOR/JUMPER</v>
      </c>
      <c r="Q677" s="4">
        <f>IFERROR(__xludf.DUMMYFUNCTION("""COMPUTED_VALUE"""),18.0)</f>
        <v>18</v>
      </c>
      <c r="R677" s="4">
        <f>IFERROR(__xludf.DUMMYFUNCTION("""COMPUTED_VALUE"""),19.0)</f>
        <v>19</v>
      </c>
      <c r="S677" s="4">
        <f>IFERROR(__xludf.DUMMYFUNCTION("""COMPUTED_VALUE"""),18.0)</f>
        <v>18</v>
      </c>
      <c r="T677" s="4"/>
      <c r="U677" s="4" t="str">
        <f>IFERROR(__xludf.DUMMYFUNCTION("""COMPUTED_VALUE"""),"BAIK")</f>
        <v>BAIK</v>
      </c>
      <c r="V677" s="4" t="str">
        <f>IFERROR(__xludf.DUMMYFUNCTION("""COMPUTED_VALUE"""),"Tidak Ada")</f>
        <v>Tidak Ada</v>
      </c>
      <c r="W677" s="4"/>
      <c r="X677" s="4"/>
      <c r="Y677" s="4"/>
      <c r="Z677" s="4"/>
      <c r="AA677" s="4"/>
      <c r="AB677" s="4"/>
      <c r="AC677" s="4" t="str">
        <f>IFERROR(__xludf.DUMMYFUNCTION("""COMPUTED_VALUE"""),"INSPEKSI SUTM - T2_Images/411a52d9.FOTO.172736.jpg")</f>
        <v>INSPEKSI SUTM - T2_Images/411a52d9.FOTO.172736.jpg</v>
      </c>
      <c r="AD677" s="4"/>
      <c r="AE677" s="4"/>
      <c r="AF677" s="4" t="str">
        <f>IFERROR(__xludf.DUMMYFUNCTION("""COMPUTED_VALUE"""),"BELUM")</f>
        <v>BELUM</v>
      </c>
      <c r="AG677" s="6">
        <f>IFERROR(__xludf.DUMMYFUNCTION("""COMPUTED_VALUE"""),46088.0)</f>
        <v>46088</v>
      </c>
      <c r="AH677" s="4"/>
      <c r="AI677" s="4"/>
    </row>
    <row r="678" ht="15.75" customHeight="1">
      <c r="A678" s="4" t="str">
        <f>IFERROR(__xludf.DUMMYFUNCTION("""COMPUTED_VALUE"""),"0c47ded8")</f>
        <v>0c47ded8</v>
      </c>
      <c r="B678" s="5">
        <f>IFERROR(__xludf.DUMMYFUNCTION("""COMPUTED_VALUE"""),46088.01951388889)</f>
        <v>46088.01951</v>
      </c>
      <c r="C678" s="4" t="str">
        <f>IFERROR(__xludf.DUMMYFUNCTION("""COMPUTED_VALUE"""),"-6.895147, 107.677224")</f>
        <v>-6.895147, 107.677224</v>
      </c>
      <c r="D678" s="4" t="str">
        <f>IFERROR(__xludf.DUMMYFUNCTION("""COMPUTED_VALUE"""),"Canra heri")</f>
        <v>Canra heri</v>
      </c>
      <c r="E678" s="4" t="str">
        <f>IFERROR(__xludf.DUMMYFUNCTION("""COMPUTED_VALUE"""),"BANDUNG")</f>
        <v>BANDUNG</v>
      </c>
      <c r="F678" s="4" t="str">
        <f>IFERROR(__xludf.DUMMYFUNCTION("""COMPUTED_VALUE"""),"UJUNGBERUNG")</f>
        <v>UJUNGBERUNG</v>
      </c>
      <c r="G678" s="4" t="str">
        <f>IFERROR(__xludf.DUMMYFUNCTION("""COMPUTED_VALUE"""),"GIS BANDUNG TIMUR")</f>
        <v>GIS BANDUNG TIMUR</v>
      </c>
      <c r="H678" s="4" t="str">
        <f>IFERROR(__xludf.DUMMYFUNCTION("""COMPUTED_VALUE"""),"MDMK")</f>
        <v>MDMK</v>
      </c>
      <c r="I678" s="4" t="str">
        <f>IFERROR(__xludf.DUMMYFUNCTION("""COMPUTED_VALUE"""),"REC PSME - REC TARB")</f>
        <v>REC PSME - REC TARB</v>
      </c>
      <c r="J678" s="4" t="str">
        <f>IFERROR(__xludf.DUMMYFUNCTION("""COMPUTED_VALUE"""),"ZONA 2")</f>
        <v>ZONA 2</v>
      </c>
      <c r="K678" s="4" t="str">
        <f>IFERROR(__xludf.DUMMYFUNCTION("""COMPUTED_VALUE"""),"042L01")</f>
        <v>042L01</v>
      </c>
      <c r="L678" s="4" t="str">
        <f>IFERROR(__xludf.DUMMYFUNCTION("""COMPUTED_VALUE"""),"TM - 7B/H (Afspan 90 Derajat)")</f>
        <v>TM - 7B/H (Afspan 90 Derajat)</v>
      </c>
      <c r="M678" s="4" t="str">
        <f>IFERROR(__xludf.DUMMYFUNCTION("""COMPUTED_VALUE"""),"Gardu")</f>
        <v>Gardu</v>
      </c>
      <c r="N678" s="4" t="str">
        <f>IFERROR(__xludf.DUMMYFUNCTION("""COMPUTED_VALUE"""),"Psmd")</f>
        <v>Psmd</v>
      </c>
      <c r="O678" s="4" t="str">
        <f>IFERROR(__xludf.DUMMYFUNCTION("""COMPUTED_VALUE"""),"PEMBANDING SEJENIS")</f>
        <v>PEMBANDING SEJENIS</v>
      </c>
      <c r="P678" s="4" t="str">
        <f>IFERROR(__xludf.DUMMYFUNCTION("""COMPUTED_VALUE"""),"KONEKTOR/JUMPER")</f>
        <v>KONEKTOR/JUMPER</v>
      </c>
      <c r="Q678" s="4">
        <f>IFERROR(__xludf.DUMMYFUNCTION("""COMPUTED_VALUE"""),17.0)</f>
        <v>17</v>
      </c>
      <c r="R678" s="4">
        <f>IFERROR(__xludf.DUMMYFUNCTION("""COMPUTED_VALUE"""),16.0)</f>
        <v>16</v>
      </c>
      <c r="S678" s="4">
        <f>IFERROR(__xludf.DUMMYFUNCTION("""COMPUTED_VALUE"""),21.0)</f>
        <v>21</v>
      </c>
      <c r="T678" s="4"/>
      <c r="U678" s="4" t="str">
        <f>IFERROR(__xludf.DUMMYFUNCTION("""COMPUTED_VALUE"""),"CUKUP")</f>
        <v>CUKUP</v>
      </c>
      <c r="V678" s="4" t="str">
        <f>IFERROR(__xludf.DUMMYFUNCTION("""COMPUTED_VALUE"""),"Tidak Ada")</f>
        <v>Tidak Ada</v>
      </c>
      <c r="W678" s="4"/>
      <c r="X678" s="4"/>
      <c r="Y678" s="4"/>
      <c r="Z678" s="4"/>
      <c r="AA678" s="4"/>
      <c r="AB678" s="4"/>
      <c r="AC678" s="4" t="str">
        <f>IFERROR(__xludf.DUMMYFUNCTION("""COMPUTED_VALUE"""),"INSPEKSI SUTM - T2_Images/0c47ded8.FOTO.172857.jpg")</f>
        <v>INSPEKSI SUTM - T2_Images/0c47ded8.FOTO.172857.jpg</v>
      </c>
      <c r="AD678" s="4"/>
      <c r="AE678" s="4"/>
      <c r="AF678" s="4" t="str">
        <f>IFERROR(__xludf.DUMMYFUNCTION("""COMPUTED_VALUE"""),"BELUM")</f>
        <v>BELUM</v>
      </c>
      <c r="AG678" s="6">
        <f>IFERROR(__xludf.DUMMYFUNCTION("""COMPUTED_VALUE"""),46088.0)</f>
        <v>46088</v>
      </c>
      <c r="AH678" s="4"/>
      <c r="AI678" s="4"/>
    </row>
    <row r="679" ht="15.75" customHeight="1">
      <c r="A679" s="4" t="str">
        <f>IFERROR(__xludf.DUMMYFUNCTION("""COMPUTED_VALUE"""),"759bf1da")</f>
        <v>759bf1da</v>
      </c>
      <c r="B679" s="5">
        <f>IFERROR(__xludf.DUMMYFUNCTION("""COMPUTED_VALUE"""),46088.020590277774)</f>
        <v>46088.02059</v>
      </c>
      <c r="C679" s="4" t="str">
        <f>IFERROR(__xludf.DUMMYFUNCTION("""COMPUTED_VALUE"""),"-6.894000, 107.677645")</f>
        <v>-6.894000, 107.677645</v>
      </c>
      <c r="D679" s="4" t="str">
        <f>IFERROR(__xludf.DUMMYFUNCTION("""COMPUTED_VALUE"""),"Canra heei")</f>
        <v>Canra heei</v>
      </c>
      <c r="E679" s="4" t="str">
        <f>IFERROR(__xludf.DUMMYFUNCTION("""COMPUTED_VALUE"""),"BANDUNG")</f>
        <v>BANDUNG</v>
      </c>
      <c r="F679" s="4" t="str">
        <f>IFERROR(__xludf.DUMMYFUNCTION("""COMPUTED_VALUE"""),"UJUNGBERUNG")</f>
        <v>UJUNGBERUNG</v>
      </c>
      <c r="G679" s="4" t="str">
        <f>IFERROR(__xludf.DUMMYFUNCTION("""COMPUTED_VALUE"""),"GIS BANDUNG TIMUR")</f>
        <v>GIS BANDUNG TIMUR</v>
      </c>
      <c r="H679" s="4" t="str">
        <f>IFERROR(__xludf.DUMMYFUNCTION("""COMPUTED_VALUE"""),"MDMK")</f>
        <v>MDMK</v>
      </c>
      <c r="I679" s="4" t="str">
        <f>IFERROR(__xludf.DUMMYFUNCTION("""COMPUTED_VALUE"""),"REC PSME - REC TARB")</f>
        <v>REC PSME - REC TARB</v>
      </c>
      <c r="J679" s="4" t="str">
        <f>IFERROR(__xludf.DUMMYFUNCTION("""COMPUTED_VALUE"""),"ZONA 2")</f>
        <v>ZONA 2</v>
      </c>
      <c r="K679" s="4" t="str">
        <f>IFERROR(__xludf.DUMMYFUNCTION("""COMPUTED_VALUE"""),"045")</f>
        <v>045</v>
      </c>
      <c r="L679" s="4" t="str">
        <f>IFERROR(__xludf.DUMMYFUNCTION("""COMPUTED_VALUE"""),"TM - 8B/H (Percabangan)")</f>
        <v>TM - 8B/H (Percabangan)</v>
      </c>
      <c r="M679" s="4" t="str">
        <f>IFERROR(__xludf.DUMMYFUNCTION("""COMPUTED_VALUE"""),"Tidak Ada")</f>
        <v>Tidak Ada</v>
      </c>
      <c r="N679" s="4"/>
      <c r="O679" s="4" t="str">
        <f>IFERROR(__xludf.DUMMYFUNCTION("""COMPUTED_VALUE"""),"PEMBANDING SEJENIS")</f>
        <v>PEMBANDING SEJENIS</v>
      </c>
      <c r="P679" s="4" t="str">
        <f>IFERROR(__xludf.DUMMYFUNCTION("""COMPUTED_VALUE"""),"KONEKTOR/JUMPER")</f>
        <v>KONEKTOR/JUMPER</v>
      </c>
      <c r="Q679" s="4">
        <f>IFERROR(__xludf.DUMMYFUNCTION("""COMPUTED_VALUE"""),20.0)</f>
        <v>20</v>
      </c>
      <c r="R679" s="4">
        <f>IFERROR(__xludf.DUMMYFUNCTION("""COMPUTED_VALUE"""),18.0)</f>
        <v>18</v>
      </c>
      <c r="S679" s="4">
        <f>IFERROR(__xludf.DUMMYFUNCTION("""COMPUTED_VALUE"""),18.0)</f>
        <v>18</v>
      </c>
      <c r="T679" s="4"/>
      <c r="U679" s="4" t="str">
        <f>IFERROR(__xludf.DUMMYFUNCTION("""COMPUTED_VALUE"""),"BAIK")</f>
        <v>BAIK</v>
      </c>
      <c r="V679" s="4" t="str">
        <f>IFERROR(__xludf.DUMMYFUNCTION("""COMPUTED_VALUE"""),"Tidak Ada")</f>
        <v>Tidak Ada</v>
      </c>
      <c r="W679" s="4"/>
      <c r="X679" s="4"/>
      <c r="Y679" s="4"/>
      <c r="Z679" s="4"/>
      <c r="AA679" s="4"/>
      <c r="AB679" s="4"/>
      <c r="AC679" s="4" t="str">
        <f>IFERROR(__xludf.DUMMYFUNCTION("""COMPUTED_VALUE"""),"INSPEKSI SUTM - T2_Images/759bf1da.FOTO.173042.jpg")</f>
        <v>INSPEKSI SUTM - T2_Images/759bf1da.FOTO.173042.jpg</v>
      </c>
      <c r="AD679" s="4"/>
      <c r="AE679" s="4"/>
      <c r="AF679" s="4" t="str">
        <f>IFERROR(__xludf.DUMMYFUNCTION("""COMPUTED_VALUE"""),"BELUM")</f>
        <v>BELUM</v>
      </c>
      <c r="AG679" s="6">
        <f>IFERROR(__xludf.DUMMYFUNCTION("""COMPUTED_VALUE"""),46088.0)</f>
        <v>46088</v>
      </c>
      <c r="AH679" s="4"/>
      <c r="AI679" s="4"/>
    </row>
    <row r="680" ht="15.75" customHeight="1">
      <c r="A680" s="4" t="str">
        <f>IFERROR(__xludf.DUMMYFUNCTION("""COMPUTED_VALUE"""),"1700872a")</f>
        <v>1700872a</v>
      </c>
      <c r="B680" s="5">
        <f>IFERROR(__xludf.DUMMYFUNCTION("""COMPUTED_VALUE"""),46088.021898148145)</f>
        <v>46088.0219</v>
      </c>
      <c r="C680" s="4" t="str">
        <f>IFERROR(__xludf.DUMMYFUNCTION("""COMPUTED_VALUE"""),"-6.893725, 107.677764")</f>
        <v>-6.893725, 107.677764</v>
      </c>
      <c r="D680" s="4" t="str">
        <f>IFERROR(__xludf.DUMMYFUNCTION("""COMPUTED_VALUE"""),"Csnra heru")</f>
        <v>Csnra heru</v>
      </c>
      <c r="E680" s="4" t="str">
        <f>IFERROR(__xludf.DUMMYFUNCTION("""COMPUTED_VALUE"""),"BANDUNG")</f>
        <v>BANDUNG</v>
      </c>
      <c r="F680" s="4" t="str">
        <f>IFERROR(__xludf.DUMMYFUNCTION("""COMPUTED_VALUE"""),"UJUNGBERUNG")</f>
        <v>UJUNGBERUNG</v>
      </c>
      <c r="G680" s="4" t="str">
        <f>IFERROR(__xludf.DUMMYFUNCTION("""COMPUTED_VALUE"""),"GIS BANDUNG TIMUR")</f>
        <v>GIS BANDUNG TIMUR</v>
      </c>
      <c r="H680" s="4" t="str">
        <f>IFERROR(__xludf.DUMMYFUNCTION("""COMPUTED_VALUE"""),"MDMK")</f>
        <v>MDMK</v>
      </c>
      <c r="I680" s="4" t="str">
        <f>IFERROR(__xludf.DUMMYFUNCTION("""COMPUTED_VALUE"""),"REC PSME - REC TARB")</f>
        <v>REC PSME - REC TARB</v>
      </c>
      <c r="J680" s="4" t="str">
        <f>IFERROR(__xludf.DUMMYFUNCTION("""COMPUTED_VALUE"""),"ZONA 2")</f>
        <v>ZONA 2</v>
      </c>
      <c r="K680" s="4" t="str">
        <f>IFERROR(__xludf.DUMMYFUNCTION("""COMPUTED_VALUE"""),"046")</f>
        <v>046</v>
      </c>
      <c r="L680" s="4" t="str">
        <f>IFERROR(__xludf.DUMMYFUNCTION("""COMPUTED_VALUE"""),"TM - 8B/H (Percabangan)")</f>
        <v>TM - 8B/H (Percabangan)</v>
      </c>
      <c r="M680" s="4" t="str">
        <f>IFERROR(__xludf.DUMMYFUNCTION("""COMPUTED_VALUE"""),"Tidak Ada")</f>
        <v>Tidak Ada</v>
      </c>
      <c r="N680" s="4"/>
      <c r="O680" s="4" t="str">
        <f>IFERROR(__xludf.DUMMYFUNCTION("""COMPUTED_VALUE"""),"PEMBANDING SEJENIS")</f>
        <v>PEMBANDING SEJENIS</v>
      </c>
      <c r="P680" s="4" t="str">
        <f>IFERROR(__xludf.DUMMYFUNCTION("""COMPUTED_VALUE"""),"KONEKTOR/JUMPER")</f>
        <v>KONEKTOR/JUMPER</v>
      </c>
      <c r="Q680" s="4">
        <f>IFERROR(__xludf.DUMMYFUNCTION("""COMPUTED_VALUE"""),15.0)</f>
        <v>15</v>
      </c>
      <c r="R680" s="4">
        <f>IFERROR(__xludf.DUMMYFUNCTION("""COMPUTED_VALUE"""),18.0)</f>
        <v>18</v>
      </c>
      <c r="S680" s="4">
        <f>IFERROR(__xludf.DUMMYFUNCTION("""COMPUTED_VALUE"""),15.0)</f>
        <v>15</v>
      </c>
      <c r="T680" s="4"/>
      <c r="U680" s="4" t="str">
        <f>IFERROR(__xludf.DUMMYFUNCTION("""COMPUTED_VALUE"""),"CUKUP")</f>
        <v>CUKUP</v>
      </c>
      <c r="V680" s="4" t="str">
        <f>IFERROR(__xludf.DUMMYFUNCTION("""COMPUTED_VALUE"""),"Tidak Ada")</f>
        <v>Tidak Ada</v>
      </c>
      <c r="W680" s="4"/>
      <c r="X680" s="4"/>
      <c r="Y680" s="4"/>
      <c r="Z680" s="4"/>
      <c r="AA680" s="4"/>
      <c r="AB680" s="4"/>
      <c r="AC680" s="4" t="str">
        <f>IFERROR(__xludf.DUMMYFUNCTION("""COMPUTED_VALUE"""),"INSPEKSI SUTM - T2_Images/1700872a.FOTO.173224.jpg")</f>
        <v>INSPEKSI SUTM - T2_Images/1700872a.FOTO.173224.jpg</v>
      </c>
      <c r="AD680" s="4"/>
      <c r="AE680" s="4"/>
      <c r="AF680" s="4" t="str">
        <f>IFERROR(__xludf.DUMMYFUNCTION("""COMPUTED_VALUE"""),"BELUM")</f>
        <v>BELUM</v>
      </c>
      <c r="AG680" s="6">
        <f>IFERROR(__xludf.DUMMYFUNCTION("""COMPUTED_VALUE"""),46088.0)</f>
        <v>46088</v>
      </c>
      <c r="AH680" s="4"/>
      <c r="AI680" s="4"/>
    </row>
    <row r="681" ht="15.75" customHeight="1">
      <c r="A681" s="4" t="str">
        <f>IFERROR(__xludf.DUMMYFUNCTION("""COMPUTED_VALUE"""),"03157aa2")</f>
        <v>03157aa2</v>
      </c>
      <c r="B681" s="5">
        <f>IFERROR(__xludf.DUMMYFUNCTION("""COMPUTED_VALUE"""),46088.02297453704)</f>
        <v>46088.02297</v>
      </c>
      <c r="C681" s="4" t="str">
        <f>IFERROR(__xludf.DUMMYFUNCTION("""COMPUTED_VALUE"""),"-6.892594, 107.678029")</f>
        <v>-6.892594, 107.678029</v>
      </c>
      <c r="D681" s="4" t="str">
        <f>IFERROR(__xludf.DUMMYFUNCTION("""COMPUTED_VALUE"""),"Canra heei")</f>
        <v>Canra heei</v>
      </c>
      <c r="E681" s="4" t="str">
        <f>IFERROR(__xludf.DUMMYFUNCTION("""COMPUTED_VALUE"""),"BANDUNG")</f>
        <v>BANDUNG</v>
      </c>
      <c r="F681" s="4" t="str">
        <f>IFERROR(__xludf.DUMMYFUNCTION("""COMPUTED_VALUE"""),"UJUNGBERUNG")</f>
        <v>UJUNGBERUNG</v>
      </c>
      <c r="G681" s="4" t="str">
        <f>IFERROR(__xludf.DUMMYFUNCTION("""COMPUTED_VALUE"""),"GIS BANDUNG TIMUR")</f>
        <v>GIS BANDUNG TIMUR</v>
      </c>
      <c r="H681" s="4" t="str">
        <f>IFERROR(__xludf.DUMMYFUNCTION("""COMPUTED_VALUE"""),"MDMK")</f>
        <v>MDMK</v>
      </c>
      <c r="I681" s="4" t="str">
        <f>IFERROR(__xludf.DUMMYFUNCTION("""COMPUTED_VALUE"""),"REC PSME - REC TARB")</f>
        <v>REC PSME - REC TARB</v>
      </c>
      <c r="J681" s="4" t="str">
        <f>IFERROR(__xludf.DUMMYFUNCTION("""COMPUTED_VALUE"""),"ZONA 2")</f>
        <v>ZONA 2</v>
      </c>
      <c r="K681" s="4" t="str">
        <f>IFERROR(__xludf.DUMMYFUNCTION("""COMPUTED_VALUE"""),"049")</f>
        <v>049</v>
      </c>
      <c r="L681" s="4" t="str">
        <f>IFERROR(__xludf.DUMMYFUNCTION("""COMPUTED_VALUE"""),"TM - 8BC/HC (Percabangan dengan CO)")</f>
        <v>TM - 8BC/HC (Percabangan dengan CO)</v>
      </c>
      <c r="M681" s="4" t="str">
        <f>IFERROR(__xludf.DUMMYFUNCTION("""COMPUTED_VALUE"""),"Tidak Ada")</f>
        <v>Tidak Ada</v>
      </c>
      <c r="N681" s="4"/>
      <c r="O681" s="4" t="str">
        <f>IFERROR(__xludf.DUMMYFUNCTION("""COMPUTED_VALUE"""),"PEMBANDING SEJENIS")</f>
        <v>PEMBANDING SEJENIS</v>
      </c>
      <c r="P681" s="4" t="str">
        <f>IFERROR(__xludf.DUMMYFUNCTION("""COMPUTED_VALUE"""),"KONEKTOR/JUMPER")</f>
        <v>KONEKTOR/JUMPER</v>
      </c>
      <c r="Q681" s="4">
        <f>IFERROR(__xludf.DUMMYFUNCTION("""COMPUTED_VALUE"""),18.0)</f>
        <v>18</v>
      </c>
      <c r="R681" s="4">
        <f>IFERROR(__xludf.DUMMYFUNCTION("""COMPUTED_VALUE"""),19.0)</f>
        <v>19</v>
      </c>
      <c r="S681" s="4">
        <f>IFERROR(__xludf.DUMMYFUNCTION("""COMPUTED_VALUE"""),21.0)</f>
        <v>21</v>
      </c>
      <c r="T681" s="4"/>
      <c r="U681" s="4" t="str">
        <f>IFERROR(__xludf.DUMMYFUNCTION("""COMPUTED_VALUE"""),"CUKUP")</f>
        <v>CUKUP</v>
      </c>
      <c r="V681" s="4" t="str">
        <f>IFERROR(__xludf.DUMMYFUNCTION("""COMPUTED_VALUE"""),"Tidak Ada")</f>
        <v>Tidak Ada</v>
      </c>
      <c r="W681" s="4"/>
      <c r="X681" s="4"/>
      <c r="Y681" s="4"/>
      <c r="Z681" s="4"/>
      <c r="AA681" s="4"/>
      <c r="AB681" s="4"/>
      <c r="AC681" s="4" t="str">
        <f>IFERROR(__xludf.DUMMYFUNCTION("""COMPUTED_VALUE"""),"INSPEKSI SUTM - T2_Images/03157aa2.FOTO.173403.jpg")</f>
        <v>INSPEKSI SUTM - T2_Images/03157aa2.FOTO.173403.jpg</v>
      </c>
      <c r="AD681" s="4"/>
      <c r="AE681" s="4"/>
      <c r="AF681" s="4" t="str">
        <f>IFERROR(__xludf.DUMMYFUNCTION("""COMPUTED_VALUE"""),"BELUM")</f>
        <v>BELUM</v>
      </c>
      <c r="AG681" s="6">
        <f>IFERROR(__xludf.DUMMYFUNCTION("""COMPUTED_VALUE"""),46088.0)</f>
        <v>46088</v>
      </c>
      <c r="AH681" s="4"/>
      <c r="AI681" s="4"/>
    </row>
    <row r="682" ht="15.75" customHeight="1">
      <c r="A682" s="4" t="str">
        <f>IFERROR(__xludf.DUMMYFUNCTION("""COMPUTED_VALUE"""),"3b847736")</f>
        <v>3b847736</v>
      </c>
      <c r="B682" s="5">
        <f>IFERROR(__xludf.DUMMYFUNCTION("""COMPUTED_VALUE"""),46088.024097222224)</f>
        <v>46088.0241</v>
      </c>
      <c r="C682" s="4" t="str">
        <f>IFERROR(__xludf.DUMMYFUNCTION("""COMPUTED_VALUE"""),"-6.892222, 107.677179")</f>
        <v>-6.892222, 107.677179</v>
      </c>
      <c r="D682" s="4" t="str">
        <f>IFERROR(__xludf.DUMMYFUNCTION("""COMPUTED_VALUE"""),"Canra heei")</f>
        <v>Canra heei</v>
      </c>
      <c r="E682" s="4" t="str">
        <f>IFERROR(__xludf.DUMMYFUNCTION("""COMPUTED_VALUE"""),"BANDUNG")</f>
        <v>BANDUNG</v>
      </c>
      <c r="F682" s="4" t="str">
        <f>IFERROR(__xludf.DUMMYFUNCTION("""COMPUTED_VALUE"""),"UJUNGBERUNG")</f>
        <v>UJUNGBERUNG</v>
      </c>
      <c r="G682" s="4" t="str">
        <f>IFERROR(__xludf.DUMMYFUNCTION("""COMPUTED_VALUE"""),"GIS BANDUNG TIMUR")</f>
        <v>GIS BANDUNG TIMUR</v>
      </c>
      <c r="H682" s="4" t="str">
        <f>IFERROR(__xludf.DUMMYFUNCTION("""COMPUTED_VALUE"""),"MDMK")</f>
        <v>MDMK</v>
      </c>
      <c r="I682" s="4" t="str">
        <f>IFERROR(__xludf.DUMMYFUNCTION("""COMPUTED_VALUE"""),"REC PSME - REC TARB")</f>
        <v>REC PSME - REC TARB</v>
      </c>
      <c r="J682" s="4" t="str">
        <f>IFERROR(__xludf.DUMMYFUNCTION("""COMPUTED_VALUE"""),"ZONA 2")</f>
        <v>ZONA 2</v>
      </c>
      <c r="K682" s="4" t="str">
        <f>IFERROR(__xludf.DUMMYFUNCTION("""COMPUTED_VALUE"""),"049L05")</f>
        <v>049L05</v>
      </c>
      <c r="L682" s="4" t="str">
        <f>IFERROR(__xludf.DUMMYFUNCTION("""COMPUTED_VALUE"""),"TM - 7B/H (Afspan 90 Derajat)")</f>
        <v>TM - 7B/H (Afspan 90 Derajat)</v>
      </c>
      <c r="M682" s="4" t="str">
        <f>IFERROR(__xludf.DUMMYFUNCTION("""COMPUTED_VALUE"""),"Tidak Ada")</f>
        <v>Tidak Ada</v>
      </c>
      <c r="N682" s="4"/>
      <c r="O682" s="4" t="str">
        <f>IFERROR(__xludf.DUMMYFUNCTION("""COMPUTED_VALUE"""),"PEMBANDING SEJENIS")</f>
        <v>PEMBANDING SEJENIS</v>
      </c>
      <c r="P682" s="4" t="str">
        <f>IFERROR(__xludf.DUMMYFUNCTION("""COMPUTED_VALUE"""),"KONEKTOR/JUMPER")</f>
        <v>KONEKTOR/JUMPER</v>
      </c>
      <c r="Q682" s="4">
        <f>IFERROR(__xludf.DUMMYFUNCTION("""COMPUTED_VALUE"""),17.0)</f>
        <v>17</v>
      </c>
      <c r="R682" s="4">
        <f>IFERROR(__xludf.DUMMYFUNCTION("""COMPUTED_VALUE"""),17.0)</f>
        <v>17</v>
      </c>
      <c r="S682" s="4">
        <f>IFERROR(__xludf.DUMMYFUNCTION("""COMPUTED_VALUE"""),17.0)</f>
        <v>17</v>
      </c>
      <c r="T682" s="4"/>
      <c r="U682" s="4" t="str">
        <f>IFERROR(__xludf.DUMMYFUNCTION("""COMPUTED_VALUE"""),"BAIK")</f>
        <v>BAIK</v>
      </c>
      <c r="V682" s="4" t="str">
        <f>IFERROR(__xludf.DUMMYFUNCTION("""COMPUTED_VALUE"""),"Tidak Ada")</f>
        <v>Tidak Ada</v>
      </c>
      <c r="W682" s="4"/>
      <c r="X682" s="4"/>
      <c r="Y682" s="4"/>
      <c r="Z682" s="4"/>
      <c r="AA682" s="4"/>
      <c r="AB682" s="4"/>
      <c r="AC682" s="4" t="str">
        <f>IFERROR(__xludf.DUMMYFUNCTION("""COMPUTED_VALUE"""),"INSPEKSI SUTM - T2_Images/3b847736.FOTO.173528.jpg")</f>
        <v>INSPEKSI SUTM - T2_Images/3b847736.FOTO.173528.jpg</v>
      </c>
      <c r="AD682" s="4"/>
      <c r="AE682" s="4"/>
      <c r="AF682" s="4" t="str">
        <f>IFERROR(__xludf.DUMMYFUNCTION("""COMPUTED_VALUE"""),"BELUM")</f>
        <v>BELUM</v>
      </c>
      <c r="AG682" s="6">
        <f>IFERROR(__xludf.DUMMYFUNCTION("""COMPUTED_VALUE"""),46088.0)</f>
        <v>46088</v>
      </c>
      <c r="AH682" s="4"/>
      <c r="AI682" s="4"/>
    </row>
    <row r="683" ht="15.75" customHeight="1">
      <c r="A683" s="4" t="str">
        <f>IFERROR(__xludf.DUMMYFUNCTION("""COMPUTED_VALUE"""),"5798c89b")</f>
        <v>5798c89b</v>
      </c>
      <c r="B683" s="5">
        <f>IFERROR(__xludf.DUMMYFUNCTION("""COMPUTED_VALUE"""),46088.025289351855)</f>
        <v>46088.02529</v>
      </c>
      <c r="C683" s="4" t="str">
        <f>IFERROR(__xludf.DUMMYFUNCTION("""COMPUTED_VALUE"""),"-6.892373, 107.676982")</f>
        <v>-6.892373, 107.676982</v>
      </c>
      <c r="D683" s="4" t="str">
        <f>IFERROR(__xludf.DUMMYFUNCTION("""COMPUTED_VALUE"""),"Canra heei")</f>
        <v>Canra heei</v>
      </c>
      <c r="E683" s="4" t="str">
        <f>IFERROR(__xludf.DUMMYFUNCTION("""COMPUTED_VALUE"""),"BANDUNG")</f>
        <v>BANDUNG</v>
      </c>
      <c r="F683" s="4" t="str">
        <f>IFERROR(__xludf.DUMMYFUNCTION("""COMPUTED_VALUE"""),"UJUNGBERUNG")</f>
        <v>UJUNGBERUNG</v>
      </c>
      <c r="G683" s="4" t="str">
        <f>IFERROR(__xludf.DUMMYFUNCTION("""COMPUTED_VALUE"""),"GIS BANDUNG TIMUR")</f>
        <v>GIS BANDUNG TIMUR</v>
      </c>
      <c r="H683" s="4" t="str">
        <f>IFERROR(__xludf.DUMMYFUNCTION("""COMPUTED_VALUE"""),"MDMK")</f>
        <v>MDMK</v>
      </c>
      <c r="I683" s="4" t="str">
        <f>IFERROR(__xludf.DUMMYFUNCTION("""COMPUTED_VALUE"""),"REC PSME - REC TARB")</f>
        <v>REC PSME - REC TARB</v>
      </c>
      <c r="J683" s="4" t="str">
        <f>IFERROR(__xludf.DUMMYFUNCTION("""COMPUTED_VALUE"""),"ZONA 2")</f>
        <v>ZONA 2</v>
      </c>
      <c r="K683" s="4" t="str">
        <f>IFERROR(__xludf.DUMMYFUNCTION("""COMPUTED_VALUE"""),"049L08")</f>
        <v>049L08</v>
      </c>
      <c r="L683" s="4" t="str">
        <f>IFERROR(__xludf.DUMMYFUNCTION("""COMPUTED_VALUE"""),"TM - 4B/H (Afspan)")</f>
        <v>TM - 4B/H (Afspan)</v>
      </c>
      <c r="M683" s="4" t="str">
        <f>IFERROR(__xludf.DUMMYFUNCTION("""COMPUTED_VALUE"""),"Tidak Ada")</f>
        <v>Tidak Ada</v>
      </c>
      <c r="N683" s="4"/>
      <c r="O683" s="4" t="str">
        <f>IFERROR(__xludf.DUMMYFUNCTION("""COMPUTED_VALUE"""),"PEMBANDING SEJENIS")</f>
        <v>PEMBANDING SEJENIS</v>
      </c>
      <c r="P683" s="4" t="str">
        <f>IFERROR(__xludf.DUMMYFUNCTION("""COMPUTED_VALUE"""),"KONEKTOR/JUMPER")</f>
        <v>KONEKTOR/JUMPER</v>
      </c>
      <c r="Q683" s="4">
        <f>IFERROR(__xludf.DUMMYFUNCTION("""COMPUTED_VALUE"""),19.0)</f>
        <v>19</v>
      </c>
      <c r="R683" s="4">
        <f>IFERROR(__xludf.DUMMYFUNCTION("""COMPUTED_VALUE"""),18.0)</f>
        <v>18</v>
      </c>
      <c r="S683" s="4">
        <f>IFERROR(__xludf.DUMMYFUNCTION("""COMPUTED_VALUE"""),18.0)</f>
        <v>18</v>
      </c>
      <c r="T683" s="4"/>
      <c r="U683" s="4" t="str">
        <f>IFERROR(__xludf.DUMMYFUNCTION("""COMPUTED_VALUE"""),"BAIK")</f>
        <v>BAIK</v>
      </c>
      <c r="V683" s="4" t="str">
        <f>IFERROR(__xludf.DUMMYFUNCTION("""COMPUTED_VALUE"""),"Tidak Ada")</f>
        <v>Tidak Ada</v>
      </c>
      <c r="W683" s="4"/>
      <c r="X683" s="4"/>
      <c r="Y683" s="4"/>
      <c r="Z683" s="4"/>
      <c r="AA683" s="4"/>
      <c r="AB683" s="4"/>
      <c r="AC683" s="4" t="str">
        <f>IFERROR(__xludf.DUMMYFUNCTION("""COMPUTED_VALUE"""),"INSPEKSI SUTM - T2_Images/5798c89b.FOTO.173719.jpg")</f>
        <v>INSPEKSI SUTM - T2_Images/5798c89b.FOTO.173719.jpg</v>
      </c>
      <c r="AD683" s="4"/>
      <c r="AE683" s="4"/>
      <c r="AF683" s="4" t="str">
        <f>IFERROR(__xludf.DUMMYFUNCTION("""COMPUTED_VALUE"""),"BELUM")</f>
        <v>BELUM</v>
      </c>
      <c r="AG683" s="6">
        <f>IFERROR(__xludf.DUMMYFUNCTION("""COMPUTED_VALUE"""),46088.0)</f>
        <v>46088</v>
      </c>
      <c r="AH683" s="4"/>
      <c r="AI683" s="4"/>
    </row>
    <row r="684" ht="15.75" customHeight="1">
      <c r="A684" s="4" t="str">
        <f>IFERROR(__xludf.DUMMYFUNCTION("""COMPUTED_VALUE"""),"dfbbf5e7")</f>
        <v>dfbbf5e7</v>
      </c>
      <c r="B684" s="5">
        <f>IFERROR(__xludf.DUMMYFUNCTION("""COMPUTED_VALUE"""),46088.03089120371)</f>
        <v>46088.03089</v>
      </c>
      <c r="C684" s="4" t="str">
        <f>IFERROR(__xludf.DUMMYFUNCTION("""COMPUTED_VALUE"""),"-6.892361, 107.676861")</f>
        <v>-6.892361, 107.676861</v>
      </c>
      <c r="D684" s="4" t="str">
        <f>IFERROR(__xludf.DUMMYFUNCTION("""COMPUTED_VALUE"""),"Canra heri")</f>
        <v>Canra heri</v>
      </c>
      <c r="E684" s="4" t="str">
        <f>IFERROR(__xludf.DUMMYFUNCTION("""COMPUTED_VALUE"""),"BANDUNG")</f>
        <v>BANDUNG</v>
      </c>
      <c r="F684" s="4" t="str">
        <f>IFERROR(__xludf.DUMMYFUNCTION("""COMPUTED_VALUE"""),"UJUNGBERUNG")</f>
        <v>UJUNGBERUNG</v>
      </c>
      <c r="G684" s="4" t="str">
        <f>IFERROR(__xludf.DUMMYFUNCTION("""COMPUTED_VALUE"""),"GIS BANDUNG TIMUR")</f>
        <v>GIS BANDUNG TIMUR</v>
      </c>
      <c r="H684" s="4" t="str">
        <f>IFERROR(__xludf.DUMMYFUNCTION("""COMPUTED_VALUE"""),"MDMK")</f>
        <v>MDMK</v>
      </c>
      <c r="I684" s="4" t="str">
        <f>IFERROR(__xludf.DUMMYFUNCTION("""COMPUTED_VALUE"""),"REC PSME - REC TARB")</f>
        <v>REC PSME - REC TARB</v>
      </c>
      <c r="J684" s="4" t="str">
        <f>IFERROR(__xludf.DUMMYFUNCTION("""COMPUTED_VALUE"""),"ZONA 2")</f>
        <v>ZONA 2</v>
      </c>
      <c r="K684" s="4" t="str">
        <f>IFERROR(__xludf.DUMMYFUNCTION("""COMPUTED_VALUE"""),"049L06")</f>
        <v>049L06</v>
      </c>
      <c r="L684" s="4" t="str">
        <f>IFERROR(__xludf.DUMMYFUNCTION("""COMPUTED_VALUE"""),"TM - 7B/H (Afspan 90 Derajat)")</f>
        <v>TM - 7B/H (Afspan 90 Derajat)</v>
      </c>
      <c r="M684" s="4" t="str">
        <f>IFERROR(__xludf.DUMMYFUNCTION("""COMPUTED_VALUE"""),"Tidak Ada")</f>
        <v>Tidak Ada</v>
      </c>
      <c r="N684" s="4"/>
      <c r="O684" s="4" t="str">
        <f>IFERROR(__xludf.DUMMYFUNCTION("""COMPUTED_VALUE"""),"PEMBANDING SEJENIS , SUHU AMBIENT")</f>
        <v>PEMBANDING SEJENIS , SUHU AMBIENT</v>
      </c>
      <c r="P684" s="4" t="str">
        <f>IFERROR(__xludf.DUMMYFUNCTION("""COMPUTED_VALUE"""),"KONEKTOR/JUMPER")</f>
        <v>KONEKTOR/JUMPER</v>
      </c>
      <c r="Q684" s="4">
        <f>IFERROR(__xludf.DUMMYFUNCTION("""COMPUTED_VALUE"""),17.0)</f>
        <v>17</v>
      </c>
      <c r="R684" s="4">
        <f>IFERROR(__xludf.DUMMYFUNCTION("""COMPUTED_VALUE"""),19.0)</f>
        <v>19</v>
      </c>
      <c r="S684" s="4">
        <f>IFERROR(__xludf.DUMMYFUNCTION("""COMPUTED_VALUE"""),19.0)</f>
        <v>19</v>
      </c>
      <c r="T684" s="4"/>
      <c r="U684" s="4" t="str">
        <f>IFERROR(__xludf.DUMMYFUNCTION("""COMPUTED_VALUE"""),"BAIK")</f>
        <v>BAIK</v>
      </c>
      <c r="V684" s="4" t="str">
        <f>IFERROR(__xludf.DUMMYFUNCTION("""COMPUTED_VALUE"""),"Tidak Ada")</f>
        <v>Tidak Ada</v>
      </c>
      <c r="W684" s="4"/>
      <c r="X684" s="4"/>
      <c r="Y684" s="4"/>
      <c r="Z684" s="4"/>
      <c r="AA684" s="4"/>
      <c r="AB684" s="4"/>
      <c r="AC684" s="4" t="str">
        <f>IFERROR(__xludf.DUMMYFUNCTION("""COMPUTED_VALUE"""),"INSPEKSI SUTM - T2_Images/dfbbf5e7.FOTO.174511.jpg")</f>
        <v>INSPEKSI SUTM - T2_Images/dfbbf5e7.FOTO.174511.jpg</v>
      </c>
      <c r="AD684" s="4"/>
      <c r="AE684" s="4"/>
      <c r="AF684" s="4" t="str">
        <f>IFERROR(__xludf.DUMMYFUNCTION("""COMPUTED_VALUE"""),"BELUM")</f>
        <v>BELUM</v>
      </c>
      <c r="AG684" s="6">
        <f>IFERROR(__xludf.DUMMYFUNCTION("""COMPUTED_VALUE"""),46088.0)</f>
        <v>46088</v>
      </c>
      <c r="AH684" s="4"/>
      <c r="AI684" s="4"/>
    </row>
    <row r="685" ht="15.75" customHeight="1">
      <c r="A685" s="4" t="str">
        <f>IFERROR(__xludf.DUMMYFUNCTION("""COMPUTED_VALUE"""),"6e5c1a0a")</f>
        <v>6e5c1a0a</v>
      </c>
      <c r="B685" s="5">
        <f>IFERROR(__xludf.DUMMYFUNCTION("""COMPUTED_VALUE"""),46088.031793981485)</f>
        <v>46088.03179</v>
      </c>
      <c r="C685" s="4" t="str">
        <f>IFERROR(__xludf.DUMMYFUNCTION("""COMPUTED_VALUE"""),"-6.892341, 107.676485")</f>
        <v>-6.892341, 107.676485</v>
      </c>
      <c r="D685" s="4" t="str">
        <f>IFERROR(__xludf.DUMMYFUNCTION("""COMPUTED_VALUE"""),"Canra hwei")</f>
        <v>Canra hwei</v>
      </c>
      <c r="E685" s="4" t="str">
        <f>IFERROR(__xludf.DUMMYFUNCTION("""COMPUTED_VALUE"""),"BANDUNG")</f>
        <v>BANDUNG</v>
      </c>
      <c r="F685" s="4" t="str">
        <f>IFERROR(__xludf.DUMMYFUNCTION("""COMPUTED_VALUE"""),"UJUNGBERUNG")</f>
        <v>UJUNGBERUNG</v>
      </c>
      <c r="G685" s="4" t="str">
        <f>IFERROR(__xludf.DUMMYFUNCTION("""COMPUTED_VALUE"""),"GIS BANDUNG TIMUR")</f>
        <v>GIS BANDUNG TIMUR</v>
      </c>
      <c r="H685" s="4" t="str">
        <f>IFERROR(__xludf.DUMMYFUNCTION("""COMPUTED_VALUE"""),"MDMK")</f>
        <v>MDMK</v>
      </c>
      <c r="I685" s="4" t="str">
        <f>IFERROR(__xludf.DUMMYFUNCTION("""COMPUTED_VALUE"""),"REC PSME - REC TARB")</f>
        <v>REC PSME - REC TARB</v>
      </c>
      <c r="J685" s="4" t="str">
        <f>IFERROR(__xludf.DUMMYFUNCTION("""COMPUTED_VALUE"""),"ZONA 2")</f>
        <v>ZONA 2</v>
      </c>
      <c r="K685" s="4" t="str">
        <f>IFERROR(__xludf.DUMMYFUNCTION("""COMPUTED_VALUE"""),"049L09")</f>
        <v>049L09</v>
      </c>
      <c r="L685" s="4" t="str">
        <f>IFERROR(__xludf.DUMMYFUNCTION("""COMPUTED_VALUE"""),"TM - 1B/H (Tumpu)")</f>
        <v>TM - 1B/H (Tumpu)</v>
      </c>
      <c r="M685" s="4" t="str">
        <f>IFERROR(__xludf.DUMMYFUNCTION("""COMPUTED_VALUE"""),"Tidak Ada")</f>
        <v>Tidak Ada</v>
      </c>
      <c r="N685" s="4"/>
      <c r="O685" s="4" t="str">
        <f>IFERROR(__xludf.DUMMYFUNCTION("""COMPUTED_VALUE"""),"PEMBANDING SEJENIS")</f>
        <v>PEMBANDING SEJENIS</v>
      </c>
      <c r="P685" s="4" t="str">
        <f>IFERROR(__xludf.DUMMYFUNCTION("""COMPUTED_VALUE"""),"ARRESTER")</f>
        <v>ARRESTER</v>
      </c>
      <c r="Q685" s="4">
        <f>IFERROR(__xludf.DUMMYFUNCTION("""COMPUTED_VALUE"""),18.0)</f>
        <v>18</v>
      </c>
      <c r="R685" s="4">
        <f>IFERROR(__xludf.DUMMYFUNCTION("""COMPUTED_VALUE"""),21.0)</f>
        <v>21</v>
      </c>
      <c r="S685" s="4">
        <f>IFERROR(__xludf.DUMMYFUNCTION("""COMPUTED_VALUE"""),21.0)</f>
        <v>21</v>
      </c>
      <c r="T685" s="4"/>
      <c r="U685" s="4" t="str">
        <f>IFERROR(__xludf.DUMMYFUNCTION("""COMPUTED_VALUE"""),"CUKUP")</f>
        <v>CUKUP</v>
      </c>
      <c r="V685" s="4" t="str">
        <f>IFERROR(__xludf.DUMMYFUNCTION("""COMPUTED_VALUE"""),"Tidak Ada")</f>
        <v>Tidak Ada</v>
      </c>
      <c r="W685" s="4"/>
      <c r="X685" s="4"/>
      <c r="Y685" s="4"/>
      <c r="Z685" s="4"/>
      <c r="AA685" s="4"/>
      <c r="AB685" s="4"/>
      <c r="AC685" s="4" t="str">
        <f>IFERROR(__xludf.DUMMYFUNCTION("""COMPUTED_VALUE"""),"INSPEKSI SUTM - T2_Images/6e5c1a0a.FOTO.174635.jpg")</f>
        <v>INSPEKSI SUTM - T2_Images/6e5c1a0a.FOTO.174635.jpg</v>
      </c>
      <c r="AD685" s="4"/>
      <c r="AE685" s="4"/>
      <c r="AF685" s="4" t="str">
        <f>IFERROR(__xludf.DUMMYFUNCTION("""COMPUTED_VALUE"""),"BELUM")</f>
        <v>BELUM</v>
      </c>
      <c r="AG685" s="6">
        <f>IFERROR(__xludf.DUMMYFUNCTION("""COMPUTED_VALUE"""),46088.0)</f>
        <v>46088</v>
      </c>
      <c r="AH685" s="4"/>
      <c r="AI685" s="4"/>
    </row>
    <row r="686" ht="15.75" customHeight="1">
      <c r="A686" s="4" t="str">
        <f>IFERROR(__xludf.DUMMYFUNCTION("""COMPUTED_VALUE"""),"ac5e3d18")</f>
        <v>ac5e3d18</v>
      </c>
      <c r="B686" s="5">
        <f>IFERROR(__xludf.DUMMYFUNCTION("""COMPUTED_VALUE"""),46088.032997685186)</f>
        <v>46088.033</v>
      </c>
      <c r="C686" s="4" t="str">
        <f>IFERROR(__xludf.DUMMYFUNCTION("""COMPUTED_VALUE"""),"-6.891552, 107.678420")</f>
        <v>-6.891552, 107.678420</v>
      </c>
      <c r="D686" s="4" t="str">
        <f>IFERROR(__xludf.DUMMYFUNCTION("""COMPUTED_VALUE"""),"Canra heri")</f>
        <v>Canra heri</v>
      </c>
      <c r="E686" s="4" t="str">
        <f>IFERROR(__xludf.DUMMYFUNCTION("""COMPUTED_VALUE"""),"BANDUNG")</f>
        <v>BANDUNG</v>
      </c>
      <c r="F686" s="4" t="str">
        <f>IFERROR(__xludf.DUMMYFUNCTION("""COMPUTED_VALUE"""),"UJUNGBERUNG")</f>
        <v>UJUNGBERUNG</v>
      </c>
      <c r="G686" s="4" t="str">
        <f>IFERROR(__xludf.DUMMYFUNCTION("""COMPUTED_VALUE"""),"GIS BANDUNG TIMUR")</f>
        <v>GIS BANDUNG TIMUR</v>
      </c>
      <c r="H686" s="4" t="str">
        <f>IFERROR(__xludf.DUMMYFUNCTION("""COMPUTED_VALUE"""),"MDMK")</f>
        <v>MDMK</v>
      </c>
      <c r="I686" s="4" t="str">
        <f>IFERROR(__xludf.DUMMYFUNCTION("""COMPUTED_VALUE"""),"REC PSME - REC TARB")</f>
        <v>REC PSME - REC TARB</v>
      </c>
      <c r="J686" s="4" t="str">
        <f>IFERROR(__xludf.DUMMYFUNCTION("""COMPUTED_VALUE"""),"ZONA 2")</f>
        <v>ZONA 2</v>
      </c>
      <c r="K686" s="4" t="str">
        <f>IFERROR(__xludf.DUMMYFUNCTION("""COMPUTED_VALUE"""),"052")</f>
        <v>052</v>
      </c>
      <c r="L686" s="4" t="str">
        <f>IFERROR(__xludf.DUMMYFUNCTION("""COMPUTED_VALUE"""),"TM - 10B/H (Dua Percabangan)")</f>
        <v>TM - 10B/H (Dua Percabangan)</v>
      </c>
      <c r="M686" s="4" t="str">
        <f>IFERROR(__xludf.DUMMYFUNCTION("""COMPUTED_VALUE"""),"Tidak Ada")</f>
        <v>Tidak Ada</v>
      </c>
      <c r="N686" s="4"/>
      <c r="O686" s="4" t="str">
        <f>IFERROR(__xludf.DUMMYFUNCTION("""COMPUTED_VALUE"""),"PEMBANDING SEJENIS")</f>
        <v>PEMBANDING SEJENIS</v>
      </c>
      <c r="P686" s="4" t="str">
        <f>IFERROR(__xludf.DUMMYFUNCTION("""COMPUTED_VALUE"""),"KONEKTOR/JUMPER")</f>
        <v>KONEKTOR/JUMPER</v>
      </c>
      <c r="Q686" s="4">
        <f>IFERROR(__xludf.DUMMYFUNCTION("""COMPUTED_VALUE"""),18.0)</f>
        <v>18</v>
      </c>
      <c r="R686" s="4">
        <f>IFERROR(__xludf.DUMMYFUNCTION("""COMPUTED_VALUE"""),20.0)</f>
        <v>20</v>
      </c>
      <c r="S686" s="4">
        <f>IFERROR(__xludf.DUMMYFUNCTION("""COMPUTED_VALUE"""),20.0)</f>
        <v>20</v>
      </c>
      <c r="T686" s="4"/>
      <c r="U686" s="4" t="str">
        <f>IFERROR(__xludf.DUMMYFUNCTION("""COMPUTED_VALUE"""),"BAIK")</f>
        <v>BAIK</v>
      </c>
      <c r="V686" s="4" t="str">
        <f>IFERROR(__xludf.DUMMYFUNCTION("""COMPUTED_VALUE"""),"Tidak Ada")</f>
        <v>Tidak Ada</v>
      </c>
      <c r="W686" s="4"/>
      <c r="X686" s="4"/>
      <c r="Y686" s="4"/>
      <c r="Z686" s="4"/>
      <c r="AA686" s="4"/>
      <c r="AB686" s="4"/>
      <c r="AC686" s="4" t="str">
        <f>IFERROR(__xludf.DUMMYFUNCTION("""COMPUTED_VALUE"""),"INSPEKSI SUTM - T2_Images/ac5e3d18.FOTO.174817.jpg")</f>
        <v>INSPEKSI SUTM - T2_Images/ac5e3d18.FOTO.174817.jpg</v>
      </c>
      <c r="AD686" s="4"/>
      <c r="AE686" s="4"/>
      <c r="AF686" s="4" t="str">
        <f>IFERROR(__xludf.DUMMYFUNCTION("""COMPUTED_VALUE"""),"BELUM")</f>
        <v>BELUM</v>
      </c>
      <c r="AG686" s="6">
        <f>IFERROR(__xludf.DUMMYFUNCTION("""COMPUTED_VALUE"""),46088.0)</f>
        <v>46088</v>
      </c>
      <c r="AH686" s="4"/>
      <c r="AI686" s="4"/>
    </row>
    <row r="687" ht="15.75" customHeight="1">
      <c r="A687" s="4" t="str">
        <f>IFERROR(__xludf.DUMMYFUNCTION("""COMPUTED_VALUE"""),"b9e7ccc1")</f>
        <v>b9e7ccc1</v>
      </c>
      <c r="B687" s="5">
        <f>IFERROR(__xludf.DUMMYFUNCTION("""COMPUTED_VALUE"""),46088.03387731482)</f>
        <v>46088.03388</v>
      </c>
      <c r="C687" s="4" t="str">
        <f>IFERROR(__xludf.DUMMYFUNCTION("""COMPUTED_VALUE"""),"-6.891363, 107.677362")</f>
        <v>-6.891363, 107.677362</v>
      </c>
      <c r="D687" s="4" t="str">
        <f>IFERROR(__xludf.DUMMYFUNCTION("""COMPUTED_VALUE"""),"Canra heei")</f>
        <v>Canra heei</v>
      </c>
      <c r="E687" s="4" t="str">
        <f>IFERROR(__xludf.DUMMYFUNCTION("""COMPUTED_VALUE"""),"BANDUNG")</f>
        <v>BANDUNG</v>
      </c>
      <c r="F687" s="4" t="str">
        <f>IFERROR(__xludf.DUMMYFUNCTION("""COMPUTED_VALUE"""),"UJUNGBERUNG")</f>
        <v>UJUNGBERUNG</v>
      </c>
      <c r="G687" s="4" t="str">
        <f>IFERROR(__xludf.DUMMYFUNCTION("""COMPUTED_VALUE"""),"GIS BANDUNG TIMUR")</f>
        <v>GIS BANDUNG TIMUR</v>
      </c>
      <c r="H687" s="4" t="str">
        <f>IFERROR(__xludf.DUMMYFUNCTION("""COMPUTED_VALUE"""),"MDMK")</f>
        <v>MDMK</v>
      </c>
      <c r="I687" s="4" t="str">
        <f>IFERROR(__xludf.DUMMYFUNCTION("""COMPUTED_VALUE"""),"REC PSME - REC TARB")</f>
        <v>REC PSME - REC TARB</v>
      </c>
      <c r="J687" s="4" t="str">
        <f>IFERROR(__xludf.DUMMYFUNCTION("""COMPUTED_VALUE"""),"ZONA 2")</f>
        <v>ZONA 2</v>
      </c>
      <c r="K687" s="4" t="str">
        <f>IFERROR(__xludf.DUMMYFUNCTION("""COMPUTED_VALUE"""),"052L04")</f>
        <v>052L04</v>
      </c>
      <c r="L687" s="4" t="str">
        <f>IFERROR(__xludf.DUMMYFUNCTION("""COMPUTED_VALUE"""),"TM - 14B/H (Akhir)")</f>
        <v>TM - 14B/H (Akhir)</v>
      </c>
      <c r="M687" s="4" t="str">
        <f>IFERROR(__xludf.DUMMYFUNCTION("""COMPUTED_VALUE"""),"Tidak Ada")</f>
        <v>Tidak Ada</v>
      </c>
      <c r="N687" s="4"/>
      <c r="O687" s="4" t="str">
        <f>IFERROR(__xludf.DUMMYFUNCTION("""COMPUTED_VALUE"""),"PEMBANDING SEJENIS")</f>
        <v>PEMBANDING SEJENIS</v>
      </c>
      <c r="P687" s="4" t="str">
        <f>IFERROR(__xludf.DUMMYFUNCTION("""COMPUTED_VALUE"""),"TERMINASI")</f>
        <v>TERMINASI</v>
      </c>
      <c r="Q687" s="4">
        <f>IFERROR(__xludf.DUMMYFUNCTION("""COMPUTED_VALUE"""),13.0)</f>
        <v>13</v>
      </c>
      <c r="R687" s="4">
        <f>IFERROR(__xludf.DUMMYFUNCTION("""COMPUTED_VALUE"""),12.0)</f>
        <v>12</v>
      </c>
      <c r="S687" s="4">
        <f>IFERROR(__xludf.DUMMYFUNCTION("""COMPUTED_VALUE"""),13.0)</f>
        <v>13</v>
      </c>
      <c r="T687" s="4"/>
      <c r="U687" s="4" t="str">
        <f>IFERROR(__xludf.DUMMYFUNCTION("""COMPUTED_VALUE"""),"BAIK")</f>
        <v>BAIK</v>
      </c>
      <c r="V687" s="4" t="str">
        <f>IFERROR(__xludf.DUMMYFUNCTION("""COMPUTED_VALUE"""),"Tidak Ada")</f>
        <v>Tidak Ada</v>
      </c>
      <c r="W687" s="4"/>
      <c r="X687" s="4"/>
      <c r="Y687" s="4"/>
      <c r="Z687" s="4"/>
      <c r="AA687" s="4"/>
      <c r="AB687" s="4"/>
      <c r="AC687" s="4" t="str">
        <f>IFERROR(__xludf.DUMMYFUNCTION("""COMPUTED_VALUE"""),"INSPEKSI SUTM - T2_Images/b9e7ccc1.FOTO.174937.jpg")</f>
        <v>INSPEKSI SUTM - T2_Images/b9e7ccc1.FOTO.174937.jpg</v>
      </c>
      <c r="AD687" s="4"/>
      <c r="AE687" s="4"/>
      <c r="AF687" s="4" t="str">
        <f>IFERROR(__xludf.DUMMYFUNCTION("""COMPUTED_VALUE"""),"BELUM")</f>
        <v>BELUM</v>
      </c>
      <c r="AG687" s="6">
        <f>IFERROR(__xludf.DUMMYFUNCTION("""COMPUTED_VALUE"""),46088.0)</f>
        <v>46088</v>
      </c>
      <c r="AH687" s="4"/>
      <c r="AI687" s="4"/>
    </row>
    <row r="688" ht="15.75" customHeight="1">
      <c r="A688" s="4" t="str">
        <f>IFERROR(__xludf.DUMMYFUNCTION("""COMPUTED_VALUE"""),"facaae56")</f>
        <v>facaae56</v>
      </c>
      <c r="B688" s="5">
        <f>IFERROR(__xludf.DUMMYFUNCTION("""COMPUTED_VALUE"""),46088.04074074074)</f>
        <v>46088.04074</v>
      </c>
      <c r="C688" s="4" t="str">
        <f>IFERROR(__xludf.DUMMYFUNCTION("""COMPUTED_VALUE"""),"-6.891198, 107.678647")</f>
        <v>-6.891198, 107.678647</v>
      </c>
      <c r="D688" s="4" t="str">
        <f>IFERROR(__xludf.DUMMYFUNCTION("""COMPUTED_VALUE"""),"Canra heri")</f>
        <v>Canra heri</v>
      </c>
      <c r="E688" s="4" t="str">
        <f>IFERROR(__xludf.DUMMYFUNCTION("""COMPUTED_VALUE"""),"BANDUNG")</f>
        <v>BANDUNG</v>
      </c>
      <c r="F688" s="4" t="str">
        <f>IFERROR(__xludf.DUMMYFUNCTION("""COMPUTED_VALUE"""),"UJUNGBERUNG")</f>
        <v>UJUNGBERUNG</v>
      </c>
      <c r="G688" s="4" t="str">
        <f>IFERROR(__xludf.DUMMYFUNCTION("""COMPUTED_VALUE"""),"GIS BANDUNG TIMUR")</f>
        <v>GIS BANDUNG TIMUR</v>
      </c>
      <c r="H688" s="4" t="str">
        <f>IFERROR(__xludf.DUMMYFUNCTION("""COMPUTED_VALUE"""),"MDMK")</f>
        <v>MDMK</v>
      </c>
      <c r="I688" s="4" t="str">
        <f>IFERROR(__xludf.DUMMYFUNCTION("""COMPUTED_VALUE"""),"REC PSME - REC TARB")</f>
        <v>REC PSME - REC TARB</v>
      </c>
      <c r="J688" s="4" t="str">
        <f>IFERROR(__xludf.DUMMYFUNCTION("""COMPUTED_VALUE"""),"ZONA 2")</f>
        <v>ZONA 2</v>
      </c>
      <c r="K688" s="4" t="str">
        <f>IFERROR(__xludf.DUMMYFUNCTION("""COMPUTED_VALUE"""),"054")</f>
        <v>054</v>
      </c>
      <c r="L688" s="4" t="str">
        <f>IFERROR(__xludf.DUMMYFUNCTION("""COMPUTED_VALUE"""),"TM - 8BC/HC (Percabangan dengan CO)")</f>
        <v>TM - 8BC/HC (Percabangan dengan CO)</v>
      </c>
      <c r="M688" s="4" t="str">
        <f>IFERROR(__xludf.DUMMYFUNCTION("""COMPUTED_VALUE"""),"Tidak Ada")</f>
        <v>Tidak Ada</v>
      </c>
      <c r="N688" s="4"/>
      <c r="O688" s="4" t="str">
        <f>IFERROR(__xludf.DUMMYFUNCTION("""COMPUTED_VALUE"""),"PEMBANDING SEJENIS")</f>
        <v>PEMBANDING SEJENIS</v>
      </c>
      <c r="P688" s="4" t="str">
        <f>IFERROR(__xludf.DUMMYFUNCTION("""COMPUTED_VALUE"""),"KONEKTOR/JUMPER")</f>
        <v>KONEKTOR/JUMPER</v>
      </c>
      <c r="Q688" s="4">
        <f>IFERROR(__xludf.DUMMYFUNCTION("""COMPUTED_VALUE"""),18.0)</f>
        <v>18</v>
      </c>
      <c r="R688" s="4">
        <f>IFERROR(__xludf.DUMMYFUNCTION("""COMPUTED_VALUE"""),20.0)</f>
        <v>20</v>
      </c>
      <c r="S688" s="4">
        <f>IFERROR(__xludf.DUMMYFUNCTION("""COMPUTED_VALUE"""),18.0)</f>
        <v>18</v>
      </c>
      <c r="T688" s="4"/>
      <c r="U688" s="4" t="str">
        <f>IFERROR(__xludf.DUMMYFUNCTION("""COMPUTED_VALUE"""),"BAIK")</f>
        <v>BAIK</v>
      </c>
      <c r="V688" s="4" t="str">
        <f>IFERROR(__xludf.DUMMYFUNCTION("""COMPUTED_VALUE"""),"Tidak Ada")</f>
        <v>Tidak Ada</v>
      </c>
      <c r="W688" s="4"/>
      <c r="X688" s="4"/>
      <c r="Y688" s="4"/>
      <c r="Z688" s="4"/>
      <c r="AA688" s="4"/>
      <c r="AB688" s="4"/>
      <c r="AC688" s="4" t="str">
        <f>IFERROR(__xludf.DUMMYFUNCTION("""COMPUTED_VALUE"""),"INSPEKSI SUTM - T2_Images/facaae56.FOTO.175930.jpg")</f>
        <v>INSPEKSI SUTM - T2_Images/facaae56.FOTO.175930.jpg</v>
      </c>
      <c r="AD688" s="4"/>
      <c r="AE688" s="4"/>
      <c r="AF688" s="4" t="str">
        <f>IFERROR(__xludf.DUMMYFUNCTION("""COMPUTED_VALUE"""),"BELUM")</f>
        <v>BELUM</v>
      </c>
      <c r="AG688" s="6">
        <f>IFERROR(__xludf.DUMMYFUNCTION("""COMPUTED_VALUE"""),46088.0)</f>
        <v>46088</v>
      </c>
      <c r="AH688" s="4"/>
      <c r="AI688" s="4"/>
    </row>
    <row r="689" ht="15.75" customHeight="1">
      <c r="A689" s="4" t="str">
        <f>IFERROR(__xludf.DUMMYFUNCTION("""COMPUTED_VALUE"""),"3e1db39f")</f>
        <v>3e1db39f</v>
      </c>
      <c r="B689" s="5">
        <f>IFERROR(__xludf.DUMMYFUNCTION("""COMPUTED_VALUE"""),46088.04179398148)</f>
        <v>46088.04179</v>
      </c>
      <c r="C689" s="4" t="str">
        <f>IFERROR(__xludf.DUMMYFUNCTION("""COMPUTED_VALUE"""),"-6.889472, 107.678657")</f>
        <v>-6.889472, 107.678657</v>
      </c>
      <c r="D689" s="4" t="str">
        <f>IFERROR(__xludf.DUMMYFUNCTION("""COMPUTED_VALUE"""),"Canra heri")</f>
        <v>Canra heri</v>
      </c>
      <c r="E689" s="4" t="str">
        <f>IFERROR(__xludf.DUMMYFUNCTION("""COMPUTED_VALUE"""),"BANDUNG")</f>
        <v>BANDUNG</v>
      </c>
      <c r="F689" s="4" t="str">
        <f>IFERROR(__xludf.DUMMYFUNCTION("""COMPUTED_VALUE"""),"UJUNGBERUNG")</f>
        <v>UJUNGBERUNG</v>
      </c>
      <c r="G689" s="4" t="str">
        <f>IFERROR(__xludf.DUMMYFUNCTION("""COMPUTED_VALUE"""),"GIS BANDUNG TIMUR")</f>
        <v>GIS BANDUNG TIMUR</v>
      </c>
      <c r="H689" s="4" t="str">
        <f>IFERROR(__xludf.DUMMYFUNCTION("""COMPUTED_VALUE"""),"MDMK")</f>
        <v>MDMK</v>
      </c>
      <c r="I689" s="4" t="str">
        <f>IFERROR(__xludf.DUMMYFUNCTION("""COMPUTED_VALUE"""),"REC PSME - REC TARB")</f>
        <v>REC PSME - REC TARB</v>
      </c>
      <c r="J689" s="4" t="str">
        <f>IFERROR(__xludf.DUMMYFUNCTION("""COMPUTED_VALUE"""),"ZONA 2")</f>
        <v>ZONA 2</v>
      </c>
      <c r="K689" s="4" t="str">
        <f>IFERROR(__xludf.DUMMYFUNCTION("""COMPUTED_VALUE"""),"054L06")</f>
        <v>054L06</v>
      </c>
      <c r="L689" s="4" t="str">
        <f>IFERROR(__xludf.DUMMYFUNCTION("""COMPUTED_VALUE"""),"TM - 4B/H (Afspan)")</f>
        <v>TM - 4B/H (Afspan)</v>
      </c>
      <c r="M689" s="4" t="str">
        <f>IFERROR(__xludf.DUMMYFUNCTION("""COMPUTED_VALUE"""),"Tidak Ada")</f>
        <v>Tidak Ada</v>
      </c>
      <c r="N689" s="4"/>
      <c r="O689" s="4" t="str">
        <f>IFERROR(__xludf.DUMMYFUNCTION("""COMPUTED_VALUE"""),"PEMBANDING SEJENIS")</f>
        <v>PEMBANDING SEJENIS</v>
      </c>
      <c r="P689" s="4" t="str">
        <f>IFERROR(__xludf.DUMMYFUNCTION("""COMPUTED_VALUE"""),"KONEKTOR/JUMPER")</f>
        <v>KONEKTOR/JUMPER</v>
      </c>
      <c r="Q689" s="4">
        <f>IFERROR(__xludf.DUMMYFUNCTION("""COMPUTED_VALUE"""),18.0)</f>
        <v>18</v>
      </c>
      <c r="R689" s="4">
        <f>IFERROR(__xludf.DUMMYFUNCTION("""COMPUTED_VALUE"""),18.0)</f>
        <v>18</v>
      </c>
      <c r="S689" s="4">
        <f>IFERROR(__xludf.DUMMYFUNCTION("""COMPUTED_VALUE"""),17.0)</f>
        <v>17</v>
      </c>
      <c r="T689" s="4"/>
      <c r="U689" s="4" t="str">
        <f>IFERROR(__xludf.DUMMYFUNCTION("""COMPUTED_VALUE"""),"BAIK")</f>
        <v>BAIK</v>
      </c>
      <c r="V689" s="4" t="str">
        <f>IFERROR(__xludf.DUMMYFUNCTION("""COMPUTED_VALUE"""),"Tidak Ada")</f>
        <v>Tidak Ada</v>
      </c>
      <c r="W689" s="4"/>
      <c r="X689" s="4"/>
      <c r="Y689" s="4"/>
      <c r="Z689" s="4"/>
      <c r="AA689" s="4"/>
      <c r="AB689" s="4"/>
      <c r="AC689" s="4" t="str">
        <f>IFERROR(__xludf.DUMMYFUNCTION("""COMPUTED_VALUE"""),"INSPEKSI SUTM - T2_Images/3e1db39f.FOTO.180109.jpg")</f>
        <v>INSPEKSI SUTM - T2_Images/3e1db39f.FOTO.180109.jpg</v>
      </c>
      <c r="AD689" s="4"/>
      <c r="AE689" s="4"/>
      <c r="AF689" s="4" t="str">
        <f>IFERROR(__xludf.DUMMYFUNCTION("""COMPUTED_VALUE"""),"BELUM")</f>
        <v>BELUM</v>
      </c>
      <c r="AG689" s="6">
        <f>IFERROR(__xludf.DUMMYFUNCTION("""COMPUTED_VALUE"""),46088.0)</f>
        <v>46088</v>
      </c>
      <c r="AH689" s="4"/>
      <c r="AI689" s="4"/>
    </row>
    <row r="690" ht="15.75" customHeight="1">
      <c r="A690" s="4" t="str">
        <f>IFERROR(__xludf.DUMMYFUNCTION("""COMPUTED_VALUE"""),"aea76f73")</f>
        <v>aea76f73</v>
      </c>
      <c r="B690" s="5">
        <f>IFERROR(__xludf.DUMMYFUNCTION("""COMPUTED_VALUE"""),46088.04295138889)</f>
        <v>46088.04295</v>
      </c>
      <c r="C690" s="4" t="str">
        <f>IFERROR(__xludf.DUMMYFUNCTION("""COMPUTED_VALUE"""),"-6.889119, 107.678598")</f>
        <v>-6.889119, 107.678598</v>
      </c>
      <c r="D690" s="4" t="str">
        <f>IFERROR(__xludf.DUMMYFUNCTION("""COMPUTED_VALUE"""),"Canra heei")</f>
        <v>Canra heei</v>
      </c>
      <c r="E690" s="4" t="str">
        <f>IFERROR(__xludf.DUMMYFUNCTION("""COMPUTED_VALUE"""),"BANDUNG")</f>
        <v>BANDUNG</v>
      </c>
      <c r="F690" s="4" t="str">
        <f>IFERROR(__xludf.DUMMYFUNCTION("""COMPUTED_VALUE"""),"UJUNGBERUNG")</f>
        <v>UJUNGBERUNG</v>
      </c>
      <c r="G690" s="4" t="str">
        <f>IFERROR(__xludf.DUMMYFUNCTION("""COMPUTED_VALUE"""),"GIS BANDUNG TIMUR")</f>
        <v>GIS BANDUNG TIMUR</v>
      </c>
      <c r="H690" s="4" t="str">
        <f>IFERROR(__xludf.DUMMYFUNCTION("""COMPUTED_VALUE"""),"MDMK")</f>
        <v>MDMK</v>
      </c>
      <c r="I690" s="4" t="str">
        <f>IFERROR(__xludf.DUMMYFUNCTION("""COMPUTED_VALUE"""),"REC PSME - REC TARB")</f>
        <v>REC PSME - REC TARB</v>
      </c>
      <c r="J690" s="4" t="str">
        <f>IFERROR(__xludf.DUMMYFUNCTION("""COMPUTED_VALUE"""),"ZONA 2")</f>
        <v>ZONA 2</v>
      </c>
      <c r="K690" s="4" t="str">
        <f>IFERROR(__xludf.DUMMYFUNCTION("""COMPUTED_VALUE"""),"054L07")</f>
        <v>054L07</v>
      </c>
      <c r="L690" s="4" t="str">
        <f>IFERROR(__xludf.DUMMYFUNCTION("""COMPUTED_VALUE"""),"TM - 7B/H (Afspan 90 Derajat)")</f>
        <v>TM - 7B/H (Afspan 90 Derajat)</v>
      </c>
      <c r="M690" s="4" t="str">
        <f>IFERROR(__xludf.DUMMYFUNCTION("""COMPUTED_VALUE"""),"Tidak Ada")</f>
        <v>Tidak Ada</v>
      </c>
      <c r="N690" s="4"/>
      <c r="O690" s="4" t="str">
        <f>IFERROR(__xludf.DUMMYFUNCTION("""COMPUTED_VALUE"""),"PEMBANDING SEJENIS")</f>
        <v>PEMBANDING SEJENIS</v>
      </c>
      <c r="P690" s="4" t="str">
        <f>IFERROR(__xludf.DUMMYFUNCTION("""COMPUTED_VALUE"""),"KONEKTOR/JUMPER")</f>
        <v>KONEKTOR/JUMPER</v>
      </c>
      <c r="Q690" s="4">
        <f>IFERROR(__xludf.DUMMYFUNCTION("""COMPUTED_VALUE"""),19.0)</f>
        <v>19</v>
      </c>
      <c r="R690" s="4">
        <f>IFERROR(__xludf.DUMMYFUNCTION("""COMPUTED_VALUE"""),20.0)</f>
        <v>20</v>
      </c>
      <c r="S690" s="4">
        <f>IFERROR(__xludf.DUMMYFUNCTION("""COMPUTED_VALUE"""),20.0)</f>
        <v>20</v>
      </c>
      <c r="T690" s="4"/>
      <c r="U690" s="4" t="str">
        <f>IFERROR(__xludf.DUMMYFUNCTION("""COMPUTED_VALUE"""),"BAIK")</f>
        <v>BAIK</v>
      </c>
      <c r="V690" s="4" t="str">
        <f>IFERROR(__xludf.DUMMYFUNCTION("""COMPUTED_VALUE"""),"Tidak Ada")</f>
        <v>Tidak Ada</v>
      </c>
      <c r="W690" s="4"/>
      <c r="X690" s="4"/>
      <c r="Y690" s="4"/>
      <c r="Z690" s="4"/>
      <c r="AA690" s="4"/>
      <c r="AB690" s="4"/>
      <c r="AC690" s="4" t="str">
        <f>IFERROR(__xludf.DUMMYFUNCTION("""COMPUTED_VALUE"""),"INSPEKSI SUTM - T2_Images/aea76f73.FOTO.180237.jpg")</f>
        <v>INSPEKSI SUTM - T2_Images/aea76f73.FOTO.180237.jpg</v>
      </c>
      <c r="AD690" s="4"/>
      <c r="AE690" s="4"/>
      <c r="AF690" s="4" t="str">
        <f>IFERROR(__xludf.DUMMYFUNCTION("""COMPUTED_VALUE"""),"BELUM")</f>
        <v>BELUM</v>
      </c>
      <c r="AG690" s="6">
        <f>IFERROR(__xludf.DUMMYFUNCTION("""COMPUTED_VALUE"""),46088.0)</f>
        <v>46088</v>
      </c>
      <c r="AH690" s="4"/>
      <c r="AI690" s="4"/>
    </row>
    <row r="691" ht="15.75" customHeight="1">
      <c r="A691" s="4" t="str">
        <f>IFERROR(__xludf.DUMMYFUNCTION("""COMPUTED_VALUE"""),"0cde62cf")</f>
        <v>0cde62cf</v>
      </c>
      <c r="B691" s="5">
        <f>IFERROR(__xludf.DUMMYFUNCTION("""COMPUTED_VALUE"""),46088.044282407405)</f>
        <v>46088.04428</v>
      </c>
      <c r="C691" s="4" t="str">
        <f>IFERROR(__xludf.DUMMYFUNCTION("""COMPUTED_VALUE"""),"-6.890821, 107.679494")</f>
        <v>-6.890821, 107.679494</v>
      </c>
      <c r="D691" s="4" t="str">
        <f>IFERROR(__xludf.DUMMYFUNCTION("""COMPUTED_VALUE"""),"Canra heei")</f>
        <v>Canra heei</v>
      </c>
      <c r="E691" s="4" t="str">
        <f>IFERROR(__xludf.DUMMYFUNCTION("""COMPUTED_VALUE"""),"BANDUNG")</f>
        <v>BANDUNG</v>
      </c>
      <c r="F691" s="4" t="str">
        <f>IFERROR(__xludf.DUMMYFUNCTION("""COMPUTED_VALUE"""),"UJUNGBERUNG")</f>
        <v>UJUNGBERUNG</v>
      </c>
      <c r="G691" s="4" t="str">
        <f>IFERROR(__xludf.DUMMYFUNCTION("""COMPUTED_VALUE"""),"GIS BANDUNG TIMUR")</f>
        <v>GIS BANDUNG TIMUR</v>
      </c>
      <c r="H691" s="4" t="str">
        <f>IFERROR(__xludf.DUMMYFUNCTION("""COMPUTED_VALUE"""),"MDMK")</f>
        <v>MDMK</v>
      </c>
      <c r="I691" s="4" t="str">
        <f>IFERROR(__xludf.DUMMYFUNCTION("""COMPUTED_VALUE"""),"REC PSME - REC TARB")</f>
        <v>REC PSME - REC TARB</v>
      </c>
      <c r="J691" s="4" t="str">
        <f>IFERROR(__xludf.DUMMYFUNCTION("""COMPUTED_VALUE"""),"ZONA 2")</f>
        <v>ZONA 2</v>
      </c>
      <c r="K691" s="4" t="str">
        <f>IFERROR(__xludf.DUMMYFUNCTION("""COMPUTED_VALUE"""),"057")</f>
        <v>057</v>
      </c>
      <c r="L691" s="4" t="str">
        <f>IFERROR(__xludf.DUMMYFUNCTION("""COMPUTED_VALUE"""),"TM - 7B/H (Afspan 90 Derajat)")</f>
        <v>TM - 7B/H (Afspan 90 Derajat)</v>
      </c>
      <c r="M691" s="4" t="str">
        <f>IFERROR(__xludf.DUMMYFUNCTION("""COMPUTED_VALUE"""),"Tidak Ada")</f>
        <v>Tidak Ada</v>
      </c>
      <c r="N691" s="4"/>
      <c r="O691" s="4" t="str">
        <f>IFERROR(__xludf.DUMMYFUNCTION("""COMPUTED_VALUE"""),"PEMBANDING SEJENIS")</f>
        <v>PEMBANDING SEJENIS</v>
      </c>
      <c r="P691" s="4" t="str">
        <f>IFERROR(__xludf.DUMMYFUNCTION("""COMPUTED_VALUE"""),"KONEKTOR/JUMPER")</f>
        <v>KONEKTOR/JUMPER</v>
      </c>
      <c r="Q691" s="4">
        <f>IFERROR(__xludf.DUMMYFUNCTION("""COMPUTED_VALUE"""),18.0)</f>
        <v>18</v>
      </c>
      <c r="R691" s="4">
        <f>IFERROR(__xludf.DUMMYFUNCTION("""COMPUTED_VALUE"""),15.0)</f>
        <v>15</v>
      </c>
      <c r="S691" s="4">
        <f>IFERROR(__xludf.DUMMYFUNCTION("""COMPUTED_VALUE"""),17.0)</f>
        <v>17</v>
      </c>
      <c r="T691" s="4"/>
      <c r="U691" s="4" t="str">
        <f>IFERROR(__xludf.DUMMYFUNCTION("""COMPUTED_VALUE"""),"CUKUP")</f>
        <v>CUKUP</v>
      </c>
      <c r="V691" s="4" t="str">
        <f>IFERROR(__xludf.DUMMYFUNCTION("""COMPUTED_VALUE"""),"Tidak Ada")</f>
        <v>Tidak Ada</v>
      </c>
      <c r="W691" s="4"/>
      <c r="X691" s="4"/>
      <c r="Y691" s="4"/>
      <c r="Z691" s="4"/>
      <c r="AA691" s="4"/>
      <c r="AB691" s="4"/>
      <c r="AC691" s="4" t="str">
        <f>IFERROR(__xludf.DUMMYFUNCTION("""COMPUTED_VALUE"""),"INSPEKSI SUTM - T2_Images/0cde62cf.FOTO.180431.jpg")</f>
        <v>INSPEKSI SUTM - T2_Images/0cde62cf.FOTO.180431.jpg</v>
      </c>
      <c r="AD691" s="4"/>
      <c r="AE691" s="4"/>
      <c r="AF691" s="4" t="str">
        <f>IFERROR(__xludf.DUMMYFUNCTION("""COMPUTED_VALUE"""),"BELUM")</f>
        <v>BELUM</v>
      </c>
      <c r="AG691" s="6">
        <f>IFERROR(__xludf.DUMMYFUNCTION("""COMPUTED_VALUE"""),46088.0)</f>
        <v>46088</v>
      </c>
      <c r="AH691" s="4"/>
      <c r="AI691" s="4"/>
    </row>
    <row r="692" ht="15.75" customHeight="1">
      <c r="A692" s="4" t="str">
        <f>IFERROR(__xludf.DUMMYFUNCTION("""COMPUTED_VALUE"""),"99fee58a")</f>
        <v>99fee58a</v>
      </c>
      <c r="B692" s="5">
        <f>IFERROR(__xludf.DUMMYFUNCTION("""COMPUTED_VALUE"""),46088.045219907406)</f>
        <v>46088.04522</v>
      </c>
      <c r="C692" s="4" t="str">
        <f>IFERROR(__xludf.DUMMYFUNCTION("""COMPUTED_VALUE"""),"-6.889686, 107.679678")</f>
        <v>-6.889686, 107.679678</v>
      </c>
      <c r="D692" s="4" t="str">
        <f>IFERROR(__xludf.DUMMYFUNCTION("""COMPUTED_VALUE"""),"Canra heri")</f>
        <v>Canra heri</v>
      </c>
      <c r="E692" s="4" t="str">
        <f>IFERROR(__xludf.DUMMYFUNCTION("""COMPUTED_VALUE"""),"BANDUNG")</f>
        <v>BANDUNG</v>
      </c>
      <c r="F692" s="4" t="str">
        <f>IFERROR(__xludf.DUMMYFUNCTION("""COMPUTED_VALUE"""),"UJUNGBERUNG")</f>
        <v>UJUNGBERUNG</v>
      </c>
      <c r="G692" s="4" t="str">
        <f>IFERROR(__xludf.DUMMYFUNCTION("""COMPUTED_VALUE"""),"GIS BANDUNG TIMUR")</f>
        <v>GIS BANDUNG TIMUR</v>
      </c>
      <c r="H692" s="4" t="str">
        <f>IFERROR(__xludf.DUMMYFUNCTION("""COMPUTED_VALUE"""),"MDMK")</f>
        <v>MDMK</v>
      </c>
      <c r="I692" s="4" t="str">
        <f>IFERROR(__xludf.DUMMYFUNCTION("""COMPUTED_VALUE"""),"REC PSME - REC TARB")</f>
        <v>REC PSME - REC TARB</v>
      </c>
      <c r="J692" s="4" t="str">
        <f>IFERROR(__xludf.DUMMYFUNCTION("""COMPUTED_VALUE"""),"ZONA 2")</f>
        <v>ZONA 2</v>
      </c>
      <c r="K692" s="4" t="str">
        <f>IFERROR(__xludf.DUMMYFUNCTION("""COMPUTED_VALUE"""),"061")</f>
        <v>061</v>
      </c>
      <c r="L692" s="4" t="str">
        <f>IFERROR(__xludf.DUMMYFUNCTION("""COMPUTED_VALUE"""),"TM - 7B/H (Afspan 90 Derajat)")</f>
        <v>TM - 7B/H (Afspan 90 Derajat)</v>
      </c>
      <c r="M692" s="4" t="str">
        <f>IFERROR(__xludf.DUMMYFUNCTION("""COMPUTED_VALUE"""),"Tidak Ada")</f>
        <v>Tidak Ada</v>
      </c>
      <c r="N692" s="4"/>
      <c r="O692" s="4" t="str">
        <f>IFERROR(__xludf.DUMMYFUNCTION("""COMPUTED_VALUE"""),"PEMBANDING SEJENIS")</f>
        <v>PEMBANDING SEJENIS</v>
      </c>
      <c r="P692" s="4" t="str">
        <f>IFERROR(__xludf.DUMMYFUNCTION("""COMPUTED_VALUE"""),"KONEKTOR/JUMPER")</f>
        <v>KONEKTOR/JUMPER</v>
      </c>
      <c r="Q692" s="4">
        <f>IFERROR(__xludf.DUMMYFUNCTION("""COMPUTED_VALUE"""),14.0)</f>
        <v>14</v>
      </c>
      <c r="R692" s="4">
        <f>IFERROR(__xludf.DUMMYFUNCTION("""COMPUTED_VALUE"""),16.0)</f>
        <v>16</v>
      </c>
      <c r="S692" s="4">
        <f>IFERROR(__xludf.DUMMYFUNCTION("""COMPUTED_VALUE"""),15.0)</f>
        <v>15</v>
      </c>
      <c r="T692" s="4"/>
      <c r="U692" s="4" t="str">
        <f>IFERROR(__xludf.DUMMYFUNCTION("""COMPUTED_VALUE"""),"BAIK")</f>
        <v>BAIK</v>
      </c>
      <c r="V692" s="4" t="str">
        <f>IFERROR(__xludf.DUMMYFUNCTION("""COMPUTED_VALUE"""),"Tidak Ada")</f>
        <v>Tidak Ada</v>
      </c>
      <c r="W692" s="4"/>
      <c r="X692" s="4"/>
      <c r="Y692" s="4"/>
      <c r="Z692" s="4"/>
      <c r="AA692" s="4"/>
      <c r="AB692" s="4"/>
      <c r="AC692" s="4" t="str">
        <f>IFERROR(__xludf.DUMMYFUNCTION("""COMPUTED_VALUE"""),"INSPEKSI SUTM - T2_Images/99fee58a.FOTO.180603.jpg")</f>
        <v>INSPEKSI SUTM - T2_Images/99fee58a.FOTO.180603.jpg</v>
      </c>
      <c r="AD692" s="4"/>
      <c r="AE692" s="4"/>
      <c r="AF692" s="4" t="str">
        <f>IFERROR(__xludf.DUMMYFUNCTION("""COMPUTED_VALUE"""),"BELUM")</f>
        <v>BELUM</v>
      </c>
      <c r="AG692" s="6">
        <f>IFERROR(__xludf.DUMMYFUNCTION("""COMPUTED_VALUE"""),46088.0)</f>
        <v>46088</v>
      </c>
      <c r="AH692" s="4"/>
      <c r="AI692" s="4"/>
    </row>
    <row r="693" ht="15.75" customHeight="1">
      <c r="A693" s="4" t="str">
        <f>IFERROR(__xludf.DUMMYFUNCTION("""COMPUTED_VALUE"""),"68210321")</f>
        <v>68210321</v>
      </c>
      <c r="B693" s="5">
        <f>IFERROR(__xludf.DUMMYFUNCTION("""COMPUTED_VALUE"""),46088.04646990741)</f>
        <v>46088.04647</v>
      </c>
      <c r="C693" s="4" t="str">
        <f>IFERROR(__xludf.DUMMYFUNCTION("""COMPUTED_VALUE"""),"-6.889673, 107.680057")</f>
        <v>-6.889673, 107.680057</v>
      </c>
      <c r="D693" s="4" t="str">
        <f>IFERROR(__xludf.DUMMYFUNCTION("""COMPUTED_VALUE"""),"Canra heei")</f>
        <v>Canra heei</v>
      </c>
      <c r="E693" s="4" t="str">
        <f>IFERROR(__xludf.DUMMYFUNCTION("""COMPUTED_VALUE"""),"BANDUNG")</f>
        <v>BANDUNG</v>
      </c>
      <c r="F693" s="4" t="str">
        <f>IFERROR(__xludf.DUMMYFUNCTION("""COMPUTED_VALUE"""),"UJUNGBERUNG")</f>
        <v>UJUNGBERUNG</v>
      </c>
      <c r="G693" s="4" t="str">
        <f>IFERROR(__xludf.DUMMYFUNCTION("""COMPUTED_VALUE"""),"GIS BANDUNG TIMUR")</f>
        <v>GIS BANDUNG TIMUR</v>
      </c>
      <c r="H693" s="4" t="str">
        <f>IFERROR(__xludf.DUMMYFUNCTION("""COMPUTED_VALUE"""),"MDMK")</f>
        <v>MDMK</v>
      </c>
      <c r="I693" s="4" t="str">
        <f>IFERROR(__xludf.DUMMYFUNCTION("""COMPUTED_VALUE"""),"REC PSME - REC TARB")</f>
        <v>REC PSME - REC TARB</v>
      </c>
      <c r="J693" s="4" t="str">
        <f>IFERROR(__xludf.DUMMYFUNCTION("""COMPUTED_VALUE"""),"ZONA 2")</f>
        <v>ZONA 2</v>
      </c>
      <c r="K693" s="4" t="str">
        <f>IFERROR(__xludf.DUMMYFUNCTION("""COMPUTED_VALUE"""),"062")</f>
        <v>062</v>
      </c>
      <c r="L693" s="4" t="str">
        <f>IFERROR(__xludf.DUMMYFUNCTION("""COMPUTED_VALUE"""),"TM - 4B/H (Afspan)")</f>
        <v>TM - 4B/H (Afspan)</v>
      </c>
      <c r="M693" s="4" t="str">
        <f>IFERROR(__xludf.DUMMYFUNCTION("""COMPUTED_VALUE"""),"Tidak Ada")</f>
        <v>Tidak Ada</v>
      </c>
      <c r="N693" s="4"/>
      <c r="O693" s="4" t="str">
        <f>IFERROR(__xludf.DUMMYFUNCTION("""COMPUTED_VALUE"""),"PEMBANDING SEJENIS")</f>
        <v>PEMBANDING SEJENIS</v>
      </c>
      <c r="P693" s="4" t="str">
        <f>IFERROR(__xludf.DUMMYFUNCTION("""COMPUTED_VALUE"""),"KONEKTOR/JUMPER")</f>
        <v>KONEKTOR/JUMPER</v>
      </c>
      <c r="Q693" s="4">
        <f>IFERROR(__xludf.DUMMYFUNCTION("""COMPUTED_VALUE"""),15.0)</f>
        <v>15</v>
      </c>
      <c r="R693" s="4">
        <f>IFERROR(__xludf.DUMMYFUNCTION("""COMPUTED_VALUE"""),15.0)</f>
        <v>15</v>
      </c>
      <c r="S693" s="4">
        <f>IFERROR(__xludf.DUMMYFUNCTION("""COMPUTED_VALUE"""),17.0)</f>
        <v>17</v>
      </c>
      <c r="T693" s="4"/>
      <c r="U693" s="4" t="str">
        <f>IFERROR(__xludf.DUMMYFUNCTION("""COMPUTED_VALUE"""),"BAIK")</f>
        <v>BAIK</v>
      </c>
      <c r="V693" s="4" t="str">
        <f>IFERROR(__xludf.DUMMYFUNCTION("""COMPUTED_VALUE"""),"Tidak Ada")</f>
        <v>Tidak Ada</v>
      </c>
      <c r="W693" s="4"/>
      <c r="X693" s="4"/>
      <c r="Y693" s="4"/>
      <c r="Z693" s="4"/>
      <c r="AA693" s="4"/>
      <c r="AB693" s="4"/>
      <c r="AC693" s="4" t="str">
        <f>IFERROR(__xludf.DUMMYFUNCTION("""COMPUTED_VALUE"""),"INSPEKSI SUTM - T2_Images/68210321.FOTO.180738.jpg")</f>
        <v>INSPEKSI SUTM - T2_Images/68210321.FOTO.180738.jpg</v>
      </c>
      <c r="AD693" s="4"/>
      <c r="AE693" s="4"/>
      <c r="AF693" s="4" t="str">
        <f>IFERROR(__xludf.DUMMYFUNCTION("""COMPUTED_VALUE"""),"BELUM")</f>
        <v>BELUM</v>
      </c>
      <c r="AG693" s="6">
        <f>IFERROR(__xludf.DUMMYFUNCTION("""COMPUTED_VALUE"""),46088.0)</f>
        <v>46088</v>
      </c>
      <c r="AH693" s="4"/>
      <c r="AI693" s="4"/>
    </row>
    <row r="694" ht="15.75" customHeight="1">
      <c r="A694" s="4" t="str">
        <f>IFERROR(__xludf.DUMMYFUNCTION("""COMPUTED_VALUE"""),"a4a5c714")</f>
        <v>a4a5c714</v>
      </c>
      <c r="B694" s="5">
        <f>IFERROR(__xludf.DUMMYFUNCTION("""COMPUTED_VALUE"""),46088.049259259256)</f>
        <v>46088.04926</v>
      </c>
      <c r="C694" s="4" t="str">
        <f>IFERROR(__xludf.DUMMYFUNCTION("""COMPUTED_VALUE"""),"-6.889418, 107.680639")</f>
        <v>-6.889418, 107.680639</v>
      </c>
      <c r="D694" s="4" t="str">
        <f>IFERROR(__xludf.DUMMYFUNCTION("""COMPUTED_VALUE"""),"Canra heri")</f>
        <v>Canra heri</v>
      </c>
      <c r="E694" s="4" t="str">
        <f>IFERROR(__xludf.DUMMYFUNCTION("""COMPUTED_VALUE"""),"BANDUNG")</f>
        <v>BANDUNG</v>
      </c>
      <c r="F694" s="4" t="str">
        <f>IFERROR(__xludf.DUMMYFUNCTION("""COMPUTED_VALUE"""),"UJUNGBERUNG")</f>
        <v>UJUNGBERUNG</v>
      </c>
      <c r="G694" s="4" t="str">
        <f>IFERROR(__xludf.DUMMYFUNCTION("""COMPUTED_VALUE"""),"GIS BANDUNG TIMUR")</f>
        <v>GIS BANDUNG TIMUR</v>
      </c>
      <c r="H694" s="4" t="str">
        <f>IFERROR(__xludf.DUMMYFUNCTION("""COMPUTED_VALUE"""),"MDMK")</f>
        <v>MDMK</v>
      </c>
      <c r="I694" s="4" t="str">
        <f>IFERROR(__xludf.DUMMYFUNCTION("""COMPUTED_VALUE"""),"REC PSME - REC TARB")</f>
        <v>REC PSME - REC TARB</v>
      </c>
      <c r="J694" s="4" t="str">
        <f>IFERROR(__xludf.DUMMYFUNCTION("""COMPUTED_VALUE"""),"ZONA 2")</f>
        <v>ZONA 2</v>
      </c>
      <c r="K694" s="4" t="str">
        <f>IFERROR(__xludf.DUMMYFUNCTION("""COMPUTED_VALUE"""),"064")</f>
        <v>064</v>
      </c>
      <c r="L694" s="4" t="str">
        <f>IFERROR(__xludf.DUMMYFUNCTION("""COMPUTED_VALUE"""),"TM - 7B/H (Afspan 90 Derajat)")</f>
        <v>TM - 7B/H (Afspan 90 Derajat)</v>
      </c>
      <c r="M694" s="4" t="str">
        <f>IFERROR(__xludf.DUMMYFUNCTION("""COMPUTED_VALUE"""),"Tidak Ada")</f>
        <v>Tidak Ada</v>
      </c>
      <c r="N694" s="4"/>
      <c r="O694" s="4" t="str">
        <f>IFERROR(__xludf.DUMMYFUNCTION("""COMPUTED_VALUE"""),"PEMBANDING SEJENIS")</f>
        <v>PEMBANDING SEJENIS</v>
      </c>
      <c r="P694" s="4" t="str">
        <f>IFERROR(__xludf.DUMMYFUNCTION("""COMPUTED_VALUE"""),"KONEKTOR/JUMPER")</f>
        <v>KONEKTOR/JUMPER</v>
      </c>
      <c r="Q694" s="4">
        <f>IFERROR(__xludf.DUMMYFUNCTION("""COMPUTED_VALUE"""),14.0)</f>
        <v>14</v>
      </c>
      <c r="R694" s="4">
        <f>IFERROR(__xludf.DUMMYFUNCTION("""COMPUTED_VALUE"""),12.0)</f>
        <v>12</v>
      </c>
      <c r="S694" s="4">
        <f>IFERROR(__xludf.DUMMYFUNCTION("""COMPUTED_VALUE"""),15.0)</f>
        <v>15</v>
      </c>
      <c r="T694" s="4"/>
      <c r="U694" s="4" t="str">
        <f>IFERROR(__xludf.DUMMYFUNCTION("""COMPUTED_VALUE"""),"CUKUP")</f>
        <v>CUKUP</v>
      </c>
      <c r="V694" s="4" t="str">
        <f>IFERROR(__xludf.DUMMYFUNCTION("""COMPUTED_VALUE"""),"Tidak Ada")</f>
        <v>Tidak Ada</v>
      </c>
      <c r="W694" s="4"/>
      <c r="X694" s="4"/>
      <c r="Y694" s="4"/>
      <c r="Z694" s="4"/>
      <c r="AA694" s="4"/>
      <c r="AB694" s="4"/>
      <c r="AC694" s="4" t="str">
        <f>IFERROR(__xludf.DUMMYFUNCTION("""COMPUTED_VALUE"""),"INSPEKSI SUTM - T2_Images/a4a5c714.FOTO.181148.jpg")</f>
        <v>INSPEKSI SUTM - T2_Images/a4a5c714.FOTO.181148.jpg</v>
      </c>
      <c r="AD694" s="4"/>
      <c r="AE694" s="4"/>
      <c r="AF694" s="4" t="str">
        <f>IFERROR(__xludf.DUMMYFUNCTION("""COMPUTED_VALUE"""),"BELUM")</f>
        <v>BELUM</v>
      </c>
      <c r="AG694" s="6">
        <f>IFERROR(__xludf.DUMMYFUNCTION("""COMPUTED_VALUE"""),46088.0)</f>
        <v>46088</v>
      </c>
      <c r="AH694" s="4"/>
      <c r="AI694" s="4"/>
    </row>
    <row r="695" ht="15.75" customHeight="1">
      <c r="A695" s="4" t="str">
        <f>IFERROR(__xludf.DUMMYFUNCTION("""COMPUTED_VALUE"""),"5a8803f5")</f>
        <v>5a8803f5</v>
      </c>
      <c r="B695" s="5">
        <f>IFERROR(__xludf.DUMMYFUNCTION("""COMPUTED_VALUE"""),46088.05037037037)</f>
        <v>46088.05037</v>
      </c>
      <c r="C695" s="4" t="str">
        <f>IFERROR(__xludf.DUMMYFUNCTION("""COMPUTED_VALUE"""),"-6.890413, 107.681645")</f>
        <v>-6.890413, 107.681645</v>
      </c>
      <c r="D695" s="4" t="str">
        <f>IFERROR(__xludf.DUMMYFUNCTION("""COMPUTED_VALUE"""),"Canra hwei")</f>
        <v>Canra hwei</v>
      </c>
      <c r="E695" s="4" t="str">
        <f>IFERROR(__xludf.DUMMYFUNCTION("""COMPUTED_VALUE"""),"BANDUNG")</f>
        <v>BANDUNG</v>
      </c>
      <c r="F695" s="4" t="str">
        <f>IFERROR(__xludf.DUMMYFUNCTION("""COMPUTED_VALUE"""),"UJUNGBERUNG")</f>
        <v>UJUNGBERUNG</v>
      </c>
      <c r="G695" s="4" t="str">
        <f>IFERROR(__xludf.DUMMYFUNCTION("""COMPUTED_VALUE"""),"GIS BANDUNG TIMUR")</f>
        <v>GIS BANDUNG TIMUR</v>
      </c>
      <c r="H695" s="4" t="str">
        <f>IFERROR(__xludf.DUMMYFUNCTION("""COMPUTED_VALUE"""),"MDMK")</f>
        <v>MDMK</v>
      </c>
      <c r="I695" s="4" t="str">
        <f>IFERROR(__xludf.DUMMYFUNCTION("""COMPUTED_VALUE"""),"REC PSME - REC TARB")</f>
        <v>REC PSME - REC TARB</v>
      </c>
      <c r="J695" s="4" t="str">
        <f>IFERROR(__xludf.DUMMYFUNCTION("""COMPUTED_VALUE"""),"ZONA 2")</f>
        <v>ZONA 2</v>
      </c>
      <c r="K695" s="4" t="str">
        <f>IFERROR(__xludf.DUMMYFUNCTION("""COMPUTED_VALUE"""),"068")</f>
        <v>068</v>
      </c>
      <c r="L695" s="4" t="str">
        <f>IFERROR(__xludf.DUMMYFUNCTION("""COMPUTED_VALUE"""),"TM - 7B/H (Afspan 90 Derajat)")</f>
        <v>TM - 7B/H (Afspan 90 Derajat)</v>
      </c>
      <c r="M695" s="4" t="str">
        <f>IFERROR(__xludf.DUMMYFUNCTION("""COMPUTED_VALUE"""),"Tidak Ada")</f>
        <v>Tidak Ada</v>
      </c>
      <c r="N695" s="4"/>
      <c r="O695" s="4" t="str">
        <f>IFERROR(__xludf.DUMMYFUNCTION("""COMPUTED_VALUE"""),"PEMBANDING SEJENIS")</f>
        <v>PEMBANDING SEJENIS</v>
      </c>
      <c r="P695" s="4" t="str">
        <f>IFERROR(__xludf.DUMMYFUNCTION("""COMPUTED_VALUE"""),"KONEKTOR/JUMPER")</f>
        <v>KONEKTOR/JUMPER</v>
      </c>
      <c r="Q695" s="4">
        <f>IFERROR(__xludf.DUMMYFUNCTION("""COMPUTED_VALUE"""),14.0)</f>
        <v>14</v>
      </c>
      <c r="R695" s="4">
        <f>IFERROR(__xludf.DUMMYFUNCTION("""COMPUTED_VALUE"""),15.0)</f>
        <v>15</v>
      </c>
      <c r="S695" s="4">
        <f>IFERROR(__xludf.DUMMYFUNCTION("""COMPUTED_VALUE"""),18.0)</f>
        <v>18</v>
      </c>
      <c r="T695" s="4"/>
      <c r="U695" s="4" t="str">
        <f>IFERROR(__xludf.DUMMYFUNCTION("""COMPUTED_VALUE"""),"CUKUP")</f>
        <v>CUKUP</v>
      </c>
      <c r="V695" s="4" t="str">
        <f>IFERROR(__xludf.DUMMYFUNCTION("""COMPUTED_VALUE"""),"Tidak Ada")</f>
        <v>Tidak Ada</v>
      </c>
      <c r="W695" s="4"/>
      <c r="X695" s="4"/>
      <c r="Y695" s="4"/>
      <c r="Z695" s="4"/>
      <c r="AA695" s="4"/>
      <c r="AB695" s="4"/>
      <c r="AC695" s="4" t="str">
        <f>IFERROR(__xludf.DUMMYFUNCTION("""COMPUTED_VALUE"""),"INSPEKSI SUTM - T2_Images/5a8803f5.FOTO.181318.jpg")</f>
        <v>INSPEKSI SUTM - T2_Images/5a8803f5.FOTO.181318.jpg</v>
      </c>
      <c r="AD695" s="4"/>
      <c r="AE695" s="4"/>
      <c r="AF695" s="4" t="str">
        <f>IFERROR(__xludf.DUMMYFUNCTION("""COMPUTED_VALUE"""),"BELUM")</f>
        <v>BELUM</v>
      </c>
      <c r="AG695" s="6">
        <f>IFERROR(__xludf.DUMMYFUNCTION("""COMPUTED_VALUE"""),46088.0)</f>
        <v>46088</v>
      </c>
      <c r="AH695" s="4"/>
      <c r="AI695" s="4"/>
    </row>
    <row r="696" ht="15.75" customHeight="1">
      <c r="A696" s="4" t="str">
        <f>IFERROR(__xludf.DUMMYFUNCTION("""COMPUTED_VALUE"""),"4c90592f")</f>
        <v>4c90592f</v>
      </c>
      <c r="B696" s="5">
        <f>IFERROR(__xludf.DUMMYFUNCTION("""COMPUTED_VALUE"""),46088.051400462966)</f>
        <v>46088.0514</v>
      </c>
      <c r="C696" s="4" t="str">
        <f>IFERROR(__xludf.DUMMYFUNCTION("""COMPUTED_VALUE"""),"-6.889402, 107.682330")</f>
        <v>-6.889402, 107.682330</v>
      </c>
      <c r="D696" s="4" t="str">
        <f>IFERROR(__xludf.DUMMYFUNCTION("""COMPUTED_VALUE"""),"Canra hwei")</f>
        <v>Canra hwei</v>
      </c>
      <c r="E696" s="4" t="str">
        <f>IFERROR(__xludf.DUMMYFUNCTION("""COMPUTED_VALUE"""),"BANDUNG")</f>
        <v>BANDUNG</v>
      </c>
      <c r="F696" s="4" t="str">
        <f>IFERROR(__xludf.DUMMYFUNCTION("""COMPUTED_VALUE"""),"UJUNGBERUNG")</f>
        <v>UJUNGBERUNG</v>
      </c>
      <c r="G696" s="4" t="str">
        <f>IFERROR(__xludf.DUMMYFUNCTION("""COMPUTED_VALUE"""),"GIS BANDUNG TIMUR")</f>
        <v>GIS BANDUNG TIMUR</v>
      </c>
      <c r="H696" s="4" t="str">
        <f>IFERROR(__xludf.DUMMYFUNCTION("""COMPUTED_VALUE"""),"MDMK")</f>
        <v>MDMK</v>
      </c>
      <c r="I696" s="4" t="str">
        <f>IFERROR(__xludf.DUMMYFUNCTION("""COMPUTED_VALUE"""),"REC PSME - REC TARB")</f>
        <v>REC PSME - REC TARB</v>
      </c>
      <c r="J696" s="4" t="str">
        <f>IFERROR(__xludf.DUMMYFUNCTION("""COMPUTED_VALUE"""),"ZONA 2")</f>
        <v>ZONA 2</v>
      </c>
      <c r="K696" s="4" t="str">
        <f>IFERROR(__xludf.DUMMYFUNCTION("""COMPUTED_VALUE"""),"072")</f>
        <v>072</v>
      </c>
      <c r="L696" s="4" t="str">
        <f>IFERROR(__xludf.DUMMYFUNCTION("""COMPUTED_VALUE"""),"TM - 2B/H (Double Tumpu)")</f>
        <v>TM - 2B/H (Double Tumpu)</v>
      </c>
      <c r="M696" s="4" t="str">
        <f>IFERROR(__xludf.DUMMYFUNCTION("""COMPUTED_VALUE"""),"Tidak Ada")</f>
        <v>Tidak Ada</v>
      </c>
      <c r="N696" s="4"/>
      <c r="O696" s="4" t="str">
        <f>IFERROR(__xludf.DUMMYFUNCTION("""COMPUTED_VALUE"""),"PEMBANDING SEJENIS")</f>
        <v>PEMBANDING SEJENIS</v>
      </c>
      <c r="P696" s="4" t="str">
        <f>IFERROR(__xludf.DUMMYFUNCTION("""COMPUTED_VALUE"""),"ARRESTER")</f>
        <v>ARRESTER</v>
      </c>
      <c r="Q696" s="4">
        <f>IFERROR(__xludf.DUMMYFUNCTION("""COMPUTED_VALUE"""),20.0)</f>
        <v>20</v>
      </c>
      <c r="R696" s="4">
        <f>IFERROR(__xludf.DUMMYFUNCTION("""COMPUTED_VALUE"""),20.0)</f>
        <v>20</v>
      </c>
      <c r="S696" s="4">
        <f>IFERROR(__xludf.DUMMYFUNCTION("""COMPUTED_VALUE"""),20.0)</f>
        <v>20</v>
      </c>
      <c r="T696" s="4"/>
      <c r="U696" s="4" t="str">
        <f>IFERROR(__xludf.DUMMYFUNCTION("""COMPUTED_VALUE"""),"BAIK")</f>
        <v>BAIK</v>
      </c>
      <c r="V696" s="4" t="str">
        <f>IFERROR(__xludf.DUMMYFUNCTION("""COMPUTED_VALUE"""),"Tidak Ada")</f>
        <v>Tidak Ada</v>
      </c>
      <c r="W696" s="4"/>
      <c r="X696" s="4"/>
      <c r="Y696" s="4"/>
      <c r="Z696" s="4"/>
      <c r="AA696" s="4"/>
      <c r="AB696" s="4"/>
      <c r="AC696" s="4" t="str">
        <f>IFERROR(__xludf.DUMMYFUNCTION("""COMPUTED_VALUE"""),"INSPEKSI SUTM - T2_Images/4c90592f.FOTO.181447.jpg")</f>
        <v>INSPEKSI SUTM - T2_Images/4c90592f.FOTO.181447.jpg</v>
      </c>
      <c r="AD696" s="4"/>
      <c r="AE696" s="4"/>
      <c r="AF696" s="4" t="str">
        <f>IFERROR(__xludf.DUMMYFUNCTION("""COMPUTED_VALUE"""),"BELUM")</f>
        <v>BELUM</v>
      </c>
      <c r="AG696" s="6">
        <f>IFERROR(__xludf.DUMMYFUNCTION("""COMPUTED_VALUE"""),46088.0)</f>
        <v>46088</v>
      </c>
      <c r="AH696" s="4"/>
      <c r="AI696" s="4"/>
    </row>
    <row r="697" ht="15.75" customHeight="1">
      <c r="A697" s="4" t="str">
        <f>IFERROR(__xludf.DUMMYFUNCTION("""COMPUTED_VALUE"""),"2db2cb00")</f>
        <v>2db2cb00</v>
      </c>
      <c r="B697" s="5">
        <f>IFERROR(__xludf.DUMMYFUNCTION("""COMPUTED_VALUE"""),46088.052453703705)</f>
        <v>46088.05245</v>
      </c>
      <c r="C697" s="4" t="str">
        <f>IFERROR(__xludf.DUMMYFUNCTION("""COMPUTED_VALUE"""),"-6.886834, 107.683042")</f>
        <v>-6.886834, 107.683042</v>
      </c>
      <c r="D697" s="4" t="str">
        <f>IFERROR(__xludf.DUMMYFUNCTION("""COMPUTED_VALUE"""),"Canra heei")</f>
        <v>Canra heei</v>
      </c>
      <c r="E697" s="4" t="str">
        <f>IFERROR(__xludf.DUMMYFUNCTION("""COMPUTED_VALUE"""),"BANDUNG")</f>
        <v>BANDUNG</v>
      </c>
      <c r="F697" s="4" t="str">
        <f>IFERROR(__xludf.DUMMYFUNCTION("""COMPUTED_VALUE"""),"UJUNGBERUNG")</f>
        <v>UJUNGBERUNG</v>
      </c>
      <c r="G697" s="4" t="str">
        <f>IFERROR(__xludf.DUMMYFUNCTION("""COMPUTED_VALUE"""),"GIS BANDUNG TIMUR")</f>
        <v>GIS BANDUNG TIMUR</v>
      </c>
      <c r="H697" s="4" t="str">
        <f>IFERROR(__xludf.DUMMYFUNCTION("""COMPUTED_VALUE"""),"MDMK")</f>
        <v>MDMK</v>
      </c>
      <c r="I697" s="4" t="str">
        <f>IFERROR(__xludf.DUMMYFUNCTION("""COMPUTED_VALUE"""),"REC PSME - REC TARB")</f>
        <v>REC PSME - REC TARB</v>
      </c>
      <c r="J697" s="4" t="str">
        <f>IFERROR(__xludf.DUMMYFUNCTION("""COMPUTED_VALUE"""),"ZONA 2")</f>
        <v>ZONA 2</v>
      </c>
      <c r="K697" s="4" t="str">
        <f>IFERROR(__xludf.DUMMYFUNCTION("""COMPUTED_VALUE"""),"079")</f>
        <v>079</v>
      </c>
      <c r="L697" s="4" t="str">
        <f>IFERROR(__xludf.DUMMYFUNCTION("""COMPUTED_VALUE"""),"TM - 16B/H (REC/SSO/LBS)")</f>
        <v>TM - 16B/H (REC/SSO/LBS)</v>
      </c>
      <c r="M697" s="4" t="str">
        <f>IFERROR(__xludf.DUMMYFUNCTION("""COMPUTED_VALUE"""),"LBS")</f>
        <v>LBS</v>
      </c>
      <c r="N697" s="4" t="str">
        <f>IFERROR(__xludf.DUMMYFUNCTION("""COMPUTED_VALUE"""),"Lbs")</f>
        <v>Lbs</v>
      </c>
      <c r="O697" s="4" t="str">
        <f>IFERROR(__xludf.DUMMYFUNCTION("""COMPUTED_VALUE"""),"PEMBANDING SEJENIS")</f>
        <v>PEMBANDING SEJENIS</v>
      </c>
      <c r="P697" s="4" t="str">
        <f>IFERROR(__xludf.DUMMYFUNCTION("""COMPUTED_VALUE"""),"KONEKTOR/JUMPER")</f>
        <v>KONEKTOR/JUMPER</v>
      </c>
      <c r="Q697" s="4">
        <f>IFERROR(__xludf.DUMMYFUNCTION("""COMPUTED_VALUE"""),16.0)</f>
        <v>16</v>
      </c>
      <c r="R697" s="4">
        <f>IFERROR(__xludf.DUMMYFUNCTION("""COMPUTED_VALUE"""),17.0)</f>
        <v>17</v>
      </c>
      <c r="S697" s="4">
        <f>IFERROR(__xludf.DUMMYFUNCTION("""COMPUTED_VALUE"""),15.0)</f>
        <v>15</v>
      </c>
      <c r="T697" s="4"/>
      <c r="U697" s="4" t="str">
        <f>IFERROR(__xludf.DUMMYFUNCTION("""COMPUTED_VALUE"""),"BAIK")</f>
        <v>BAIK</v>
      </c>
      <c r="V697" s="4" t="str">
        <f>IFERROR(__xludf.DUMMYFUNCTION("""COMPUTED_VALUE"""),"Tidak Ada")</f>
        <v>Tidak Ada</v>
      </c>
      <c r="W697" s="4"/>
      <c r="X697" s="4"/>
      <c r="Y697" s="4"/>
      <c r="Z697" s="4"/>
      <c r="AA697" s="4"/>
      <c r="AB697" s="4"/>
      <c r="AC697" s="4" t="str">
        <f>IFERROR(__xludf.DUMMYFUNCTION("""COMPUTED_VALUE"""),"INSPEKSI SUTM - T2_Images/2db2cb00.FOTO.181637.jpg")</f>
        <v>INSPEKSI SUTM - T2_Images/2db2cb00.FOTO.181637.jpg</v>
      </c>
      <c r="AD697" s="4"/>
      <c r="AE697" s="4"/>
      <c r="AF697" s="4" t="str">
        <f>IFERROR(__xludf.DUMMYFUNCTION("""COMPUTED_VALUE"""),"BELUM")</f>
        <v>BELUM</v>
      </c>
      <c r="AG697" s="6">
        <f>IFERROR(__xludf.DUMMYFUNCTION("""COMPUTED_VALUE"""),46088.0)</f>
        <v>46088</v>
      </c>
      <c r="AH697" s="4"/>
      <c r="AI697" s="4"/>
    </row>
    <row r="698" ht="15.75" customHeight="1">
      <c r="A698" s="4" t="str">
        <f>IFERROR(__xludf.DUMMYFUNCTION("""COMPUTED_VALUE"""),"5322393e")</f>
        <v>5322393e</v>
      </c>
      <c r="B698" s="5">
        <f>IFERROR(__xludf.DUMMYFUNCTION("""COMPUTED_VALUE"""),46088.053715277776)</f>
        <v>46088.05372</v>
      </c>
      <c r="C698" s="4" t="str">
        <f>IFERROR(__xludf.DUMMYFUNCTION("""COMPUTED_VALUE"""),"-6.884391, 107.683725")</f>
        <v>-6.884391, 107.683725</v>
      </c>
      <c r="D698" s="4" t="str">
        <f>IFERROR(__xludf.DUMMYFUNCTION("""COMPUTED_VALUE"""),"Canra hwei")</f>
        <v>Canra hwei</v>
      </c>
      <c r="E698" s="4" t="str">
        <f>IFERROR(__xludf.DUMMYFUNCTION("""COMPUTED_VALUE"""),"BANDUNG")</f>
        <v>BANDUNG</v>
      </c>
      <c r="F698" s="4" t="str">
        <f>IFERROR(__xludf.DUMMYFUNCTION("""COMPUTED_VALUE"""),"UJUNGBERUNG")</f>
        <v>UJUNGBERUNG</v>
      </c>
      <c r="G698" s="4" t="str">
        <f>IFERROR(__xludf.DUMMYFUNCTION("""COMPUTED_VALUE"""),"GIS BANDUNG TIMUR")</f>
        <v>GIS BANDUNG TIMUR</v>
      </c>
      <c r="H698" s="4" t="str">
        <f>IFERROR(__xludf.DUMMYFUNCTION("""COMPUTED_VALUE"""),"MDMK")</f>
        <v>MDMK</v>
      </c>
      <c r="I698" s="4" t="str">
        <f>IFERROR(__xludf.DUMMYFUNCTION("""COMPUTED_VALUE"""),"REC PSME - REC TARB")</f>
        <v>REC PSME - REC TARB</v>
      </c>
      <c r="J698" s="4" t="str">
        <f>IFERROR(__xludf.DUMMYFUNCTION("""COMPUTED_VALUE"""),"ZONA 2")</f>
        <v>ZONA 2</v>
      </c>
      <c r="K698" s="4" t="str">
        <f>IFERROR(__xludf.DUMMYFUNCTION("""COMPUTED_VALUE"""),"080")</f>
        <v>080</v>
      </c>
      <c r="L698" s="4" t="str">
        <f>IFERROR(__xludf.DUMMYFUNCTION("""COMPUTED_VALUE"""),"TM - 14B/H (Akhir)")</f>
        <v>TM - 14B/H (Akhir)</v>
      </c>
      <c r="M698" s="4" t="str">
        <f>IFERROR(__xludf.DUMMYFUNCTION("""COMPUTED_VALUE"""),"Gardu")</f>
        <v>Gardu</v>
      </c>
      <c r="N698" s="4" t="str">
        <f>IFERROR(__xludf.DUMMYFUNCTION("""COMPUTED_VALUE"""),"Phh")</f>
        <v>Phh</v>
      </c>
      <c r="O698" s="4" t="str">
        <f>IFERROR(__xludf.DUMMYFUNCTION("""COMPUTED_VALUE"""),"PEMBANDING SEJENIS")</f>
        <v>PEMBANDING SEJENIS</v>
      </c>
      <c r="P698" s="4" t="str">
        <f>IFERROR(__xludf.DUMMYFUNCTION("""COMPUTED_VALUE"""),"TERMINASI")</f>
        <v>TERMINASI</v>
      </c>
      <c r="Q698" s="4">
        <f>IFERROR(__xludf.DUMMYFUNCTION("""COMPUTED_VALUE"""),16.0)</f>
        <v>16</v>
      </c>
      <c r="R698" s="4">
        <f>IFERROR(__xludf.DUMMYFUNCTION("""COMPUTED_VALUE"""),15.0)</f>
        <v>15</v>
      </c>
      <c r="S698" s="4">
        <f>IFERROR(__xludf.DUMMYFUNCTION("""COMPUTED_VALUE"""),18.0)</f>
        <v>18</v>
      </c>
      <c r="T698" s="4"/>
      <c r="U698" s="4" t="str">
        <f>IFERROR(__xludf.DUMMYFUNCTION("""COMPUTED_VALUE"""),"CUKUP")</f>
        <v>CUKUP</v>
      </c>
      <c r="V698" s="4" t="str">
        <f>IFERROR(__xludf.DUMMYFUNCTION("""COMPUTED_VALUE"""),"Tidak Ada")</f>
        <v>Tidak Ada</v>
      </c>
      <c r="W698" s="4"/>
      <c r="X698" s="4"/>
      <c r="Y698" s="4"/>
      <c r="Z698" s="4"/>
      <c r="AA698" s="4"/>
      <c r="AB698" s="4"/>
      <c r="AC698" s="4" t="str">
        <f>IFERROR(__xludf.DUMMYFUNCTION("""COMPUTED_VALUE"""),"INSPEKSI SUTM - T2_Images/5322393e.FOTO.181814.jpg")</f>
        <v>INSPEKSI SUTM - T2_Images/5322393e.FOTO.181814.jpg</v>
      </c>
      <c r="AD698" s="4"/>
      <c r="AE698" s="4"/>
      <c r="AF698" s="4" t="str">
        <f>IFERROR(__xludf.DUMMYFUNCTION("""COMPUTED_VALUE"""),"BELUM")</f>
        <v>BELUM</v>
      </c>
      <c r="AG698" s="6">
        <f>IFERROR(__xludf.DUMMYFUNCTION("""COMPUTED_VALUE"""),46088.0)</f>
        <v>46088</v>
      </c>
      <c r="AH698" s="4"/>
      <c r="AI698" s="4"/>
    </row>
    <row r="699" ht="15.75" customHeight="1">
      <c r="A699" s="4" t="str">
        <f>IFERROR(__xludf.DUMMYFUNCTION("""COMPUTED_VALUE"""),"890dc032")</f>
        <v>890dc032</v>
      </c>
      <c r="B699" s="5">
        <f>IFERROR(__xludf.DUMMYFUNCTION("""COMPUTED_VALUE"""),46088.05457175926)</f>
        <v>46088.05457</v>
      </c>
      <c r="C699" s="4" t="str">
        <f>IFERROR(__xludf.DUMMYFUNCTION("""COMPUTED_VALUE"""),"-6.884389, 107.683711")</f>
        <v>-6.884389, 107.683711</v>
      </c>
      <c r="D699" s="4" t="str">
        <f>IFERROR(__xludf.DUMMYFUNCTION("""COMPUTED_VALUE"""),"Canra heei")</f>
        <v>Canra heei</v>
      </c>
      <c r="E699" s="4" t="str">
        <f>IFERROR(__xludf.DUMMYFUNCTION("""COMPUTED_VALUE"""),"BANDUNG")</f>
        <v>BANDUNG</v>
      </c>
      <c r="F699" s="4" t="str">
        <f>IFERROR(__xludf.DUMMYFUNCTION("""COMPUTED_VALUE"""),"UJUNGBERUNG")</f>
        <v>UJUNGBERUNG</v>
      </c>
      <c r="G699" s="4" t="str">
        <f>IFERROR(__xludf.DUMMYFUNCTION("""COMPUTED_VALUE"""),"GIS BANDUNG TIMUR")</f>
        <v>GIS BANDUNG TIMUR</v>
      </c>
      <c r="H699" s="4" t="str">
        <f>IFERROR(__xludf.DUMMYFUNCTION("""COMPUTED_VALUE"""),"MDMK")</f>
        <v>MDMK</v>
      </c>
      <c r="I699" s="4" t="str">
        <f>IFERROR(__xludf.DUMMYFUNCTION("""COMPUTED_VALUE"""),"REC PSME - REC TARB")</f>
        <v>REC PSME - REC TARB</v>
      </c>
      <c r="J699" s="4" t="str">
        <f>IFERROR(__xludf.DUMMYFUNCTION("""COMPUTED_VALUE"""),"ZONA 2")</f>
        <v>ZONA 2</v>
      </c>
      <c r="K699" s="4" t="str">
        <f>IFERROR(__xludf.DUMMYFUNCTION("""COMPUTED_VALUE"""),"081")</f>
        <v>081</v>
      </c>
      <c r="L699" s="4" t="str">
        <f>IFERROR(__xludf.DUMMYFUNCTION("""COMPUTED_VALUE"""),"TM - 13B/H (Kabel Naik Pada Tiang Tumpu)")</f>
        <v>TM - 13B/H (Kabel Naik Pada Tiang Tumpu)</v>
      </c>
      <c r="M699" s="4" t="str">
        <f>IFERROR(__xludf.DUMMYFUNCTION("""COMPUTED_VALUE"""),"Gardu")</f>
        <v>Gardu</v>
      </c>
      <c r="N699" s="4" t="str">
        <f>IFERROR(__xludf.DUMMYFUNCTION("""COMPUTED_VALUE"""),"Phh")</f>
        <v>Phh</v>
      </c>
      <c r="O699" s="4" t="str">
        <f>IFERROR(__xludf.DUMMYFUNCTION("""COMPUTED_VALUE"""),"PEMBANDING SEJENIS")</f>
        <v>PEMBANDING SEJENIS</v>
      </c>
      <c r="P699" s="4" t="str">
        <f>IFERROR(__xludf.DUMMYFUNCTION("""COMPUTED_VALUE"""),"TERMINASI")</f>
        <v>TERMINASI</v>
      </c>
      <c r="Q699" s="4">
        <f>IFERROR(__xludf.DUMMYFUNCTION("""COMPUTED_VALUE"""),18.0)</f>
        <v>18</v>
      </c>
      <c r="R699" s="4">
        <f>IFERROR(__xludf.DUMMYFUNCTION("""COMPUTED_VALUE"""),18.0)</f>
        <v>18</v>
      </c>
      <c r="S699" s="4">
        <f>IFERROR(__xludf.DUMMYFUNCTION("""COMPUTED_VALUE"""),19.0)</f>
        <v>19</v>
      </c>
      <c r="T699" s="4"/>
      <c r="U699" s="4" t="str">
        <f>IFERROR(__xludf.DUMMYFUNCTION("""COMPUTED_VALUE"""),"BAIK")</f>
        <v>BAIK</v>
      </c>
      <c r="V699" s="4" t="str">
        <f>IFERROR(__xludf.DUMMYFUNCTION("""COMPUTED_VALUE"""),"Tidak Ada")</f>
        <v>Tidak Ada</v>
      </c>
      <c r="W699" s="4"/>
      <c r="X699" s="4"/>
      <c r="Y699" s="4"/>
      <c r="Z699" s="4"/>
      <c r="AA699" s="4"/>
      <c r="AB699" s="4"/>
      <c r="AC699" s="4" t="str">
        <f>IFERROR(__xludf.DUMMYFUNCTION("""COMPUTED_VALUE"""),"INSPEKSI SUTM - T2_Images/890dc032.FOTO.181935.jpg")</f>
        <v>INSPEKSI SUTM - T2_Images/890dc032.FOTO.181935.jpg</v>
      </c>
      <c r="AD699" s="4"/>
      <c r="AE699" s="4"/>
      <c r="AF699" s="4" t="str">
        <f>IFERROR(__xludf.DUMMYFUNCTION("""COMPUTED_VALUE"""),"BELUM")</f>
        <v>BELUM</v>
      </c>
      <c r="AG699" s="6">
        <f>IFERROR(__xludf.DUMMYFUNCTION("""COMPUTED_VALUE"""),46088.0)</f>
        <v>46088</v>
      </c>
      <c r="AH699" s="4"/>
      <c r="AI699" s="4"/>
    </row>
    <row r="700" ht="15.75" customHeight="1">
      <c r="A700" s="4" t="str">
        <f>IFERROR(__xludf.DUMMYFUNCTION("""COMPUTED_VALUE"""),"5ada3614")</f>
        <v>5ada3614</v>
      </c>
      <c r="B700" s="5">
        <f>IFERROR(__xludf.DUMMYFUNCTION("""COMPUTED_VALUE"""),46088.05567129629)</f>
        <v>46088.05567</v>
      </c>
      <c r="C700" s="4" t="str">
        <f>IFERROR(__xludf.DUMMYFUNCTION("""COMPUTED_VALUE"""),"-6.883745, 107.684035")</f>
        <v>-6.883745, 107.684035</v>
      </c>
      <c r="D700" s="4" t="str">
        <f>IFERROR(__xludf.DUMMYFUNCTION("""COMPUTED_VALUE"""),"Canra heei")</f>
        <v>Canra heei</v>
      </c>
      <c r="E700" s="4" t="str">
        <f>IFERROR(__xludf.DUMMYFUNCTION("""COMPUTED_VALUE"""),"BANDUNG")</f>
        <v>BANDUNG</v>
      </c>
      <c r="F700" s="4" t="str">
        <f>IFERROR(__xludf.DUMMYFUNCTION("""COMPUTED_VALUE"""),"UJUNGBERUNG")</f>
        <v>UJUNGBERUNG</v>
      </c>
      <c r="G700" s="4" t="str">
        <f>IFERROR(__xludf.DUMMYFUNCTION("""COMPUTED_VALUE"""),"GIS BANDUNG TIMUR")</f>
        <v>GIS BANDUNG TIMUR</v>
      </c>
      <c r="H700" s="4" t="str">
        <f>IFERROR(__xludf.DUMMYFUNCTION("""COMPUTED_VALUE"""),"MDMK")</f>
        <v>MDMK</v>
      </c>
      <c r="I700" s="4" t="str">
        <f>IFERROR(__xludf.DUMMYFUNCTION("""COMPUTED_VALUE"""),"REC PSME - REC TARB")</f>
        <v>REC PSME - REC TARB</v>
      </c>
      <c r="J700" s="4" t="str">
        <f>IFERROR(__xludf.DUMMYFUNCTION("""COMPUTED_VALUE"""),"ZONA 2")</f>
        <v>ZONA 2</v>
      </c>
      <c r="K700" s="4" t="str">
        <f>IFERROR(__xludf.DUMMYFUNCTION("""COMPUTED_VALUE"""),"082")</f>
        <v>082</v>
      </c>
      <c r="L700" s="4" t="str">
        <f>IFERROR(__xludf.DUMMYFUNCTION("""COMPUTED_VALUE"""),"TM - 11B/H (Kabel Naik)")</f>
        <v>TM - 11B/H (Kabel Naik)</v>
      </c>
      <c r="M700" s="4" t="str">
        <f>IFERROR(__xludf.DUMMYFUNCTION("""COMPUTED_VALUE"""),"Tidak Ada")</f>
        <v>Tidak Ada</v>
      </c>
      <c r="N700" s="4"/>
      <c r="O700" s="4" t="str">
        <f>IFERROR(__xludf.DUMMYFUNCTION("""COMPUTED_VALUE"""),"PEMBANDING SEJENIS")</f>
        <v>PEMBANDING SEJENIS</v>
      </c>
      <c r="P700" s="4" t="str">
        <f>IFERROR(__xludf.DUMMYFUNCTION("""COMPUTED_VALUE"""),"TERMINASI")</f>
        <v>TERMINASI</v>
      </c>
      <c r="Q700" s="4">
        <f>IFERROR(__xludf.DUMMYFUNCTION("""COMPUTED_VALUE"""),15.0)</f>
        <v>15</v>
      </c>
      <c r="R700" s="4">
        <f>IFERROR(__xludf.DUMMYFUNCTION("""COMPUTED_VALUE"""),15.0)</f>
        <v>15</v>
      </c>
      <c r="S700" s="4">
        <f>IFERROR(__xludf.DUMMYFUNCTION("""COMPUTED_VALUE"""),19.0)</f>
        <v>19</v>
      </c>
      <c r="T700" s="4"/>
      <c r="U700" s="4" t="str">
        <f>IFERROR(__xludf.DUMMYFUNCTION("""COMPUTED_VALUE"""),"CUKUP")</f>
        <v>CUKUP</v>
      </c>
      <c r="V700" s="4" t="str">
        <f>IFERROR(__xludf.DUMMYFUNCTION("""COMPUTED_VALUE"""),"Tidak Ada")</f>
        <v>Tidak Ada</v>
      </c>
      <c r="W700" s="4"/>
      <c r="X700" s="4"/>
      <c r="Y700" s="4"/>
      <c r="Z700" s="4"/>
      <c r="AA700" s="4"/>
      <c r="AB700" s="4"/>
      <c r="AC700" s="4" t="str">
        <f>IFERROR(__xludf.DUMMYFUNCTION("""COMPUTED_VALUE"""),"INSPEKSI SUTM - T2_Images/5ada3614.FOTO.182106.jpg")</f>
        <v>INSPEKSI SUTM - T2_Images/5ada3614.FOTO.182106.jpg</v>
      </c>
      <c r="AD700" s="4"/>
      <c r="AE700" s="4"/>
      <c r="AF700" s="4" t="str">
        <f>IFERROR(__xludf.DUMMYFUNCTION("""COMPUTED_VALUE"""),"BELUM")</f>
        <v>BELUM</v>
      </c>
      <c r="AG700" s="6">
        <f>IFERROR(__xludf.DUMMYFUNCTION("""COMPUTED_VALUE"""),46088.0)</f>
        <v>46088</v>
      </c>
      <c r="AH700" s="4"/>
      <c r="AI700" s="4"/>
    </row>
    <row r="701" ht="15.75" customHeight="1">
      <c r="A701" s="4" t="str">
        <f>IFERROR(__xludf.DUMMYFUNCTION("""COMPUTED_VALUE"""),"fb654735")</f>
        <v>fb654735</v>
      </c>
      <c r="B701" s="5">
        <f>IFERROR(__xludf.DUMMYFUNCTION("""COMPUTED_VALUE"""),46088.056666666664)</f>
        <v>46088.05667</v>
      </c>
      <c r="C701" s="4" t="str">
        <f>IFERROR(__xludf.DUMMYFUNCTION("""COMPUTED_VALUE"""),"-6.883663, 107.684459")</f>
        <v>-6.883663, 107.684459</v>
      </c>
      <c r="D701" s="4" t="str">
        <f>IFERROR(__xludf.DUMMYFUNCTION("""COMPUTED_VALUE"""),"Canra heei")</f>
        <v>Canra heei</v>
      </c>
      <c r="E701" s="4" t="str">
        <f>IFERROR(__xludf.DUMMYFUNCTION("""COMPUTED_VALUE"""),"BANDUNG")</f>
        <v>BANDUNG</v>
      </c>
      <c r="F701" s="4" t="str">
        <f>IFERROR(__xludf.DUMMYFUNCTION("""COMPUTED_VALUE"""),"UJUNGBERUNG")</f>
        <v>UJUNGBERUNG</v>
      </c>
      <c r="G701" s="4" t="str">
        <f>IFERROR(__xludf.DUMMYFUNCTION("""COMPUTED_VALUE"""),"GIS BANDUNG TIMUR")</f>
        <v>GIS BANDUNG TIMUR</v>
      </c>
      <c r="H701" s="4" t="str">
        <f>IFERROR(__xludf.DUMMYFUNCTION("""COMPUTED_VALUE"""),"MDMK")</f>
        <v>MDMK</v>
      </c>
      <c r="I701" s="4" t="str">
        <f>IFERROR(__xludf.DUMMYFUNCTION("""COMPUTED_VALUE"""),"REC PSME - REC TARB")</f>
        <v>REC PSME - REC TARB</v>
      </c>
      <c r="J701" s="4" t="str">
        <f>IFERROR(__xludf.DUMMYFUNCTION("""COMPUTED_VALUE"""),"ZONA 2")</f>
        <v>ZONA 2</v>
      </c>
      <c r="K701" s="4" t="str">
        <f>IFERROR(__xludf.DUMMYFUNCTION("""COMPUTED_VALUE"""),"083")</f>
        <v>083</v>
      </c>
      <c r="L701" s="4" t="str">
        <f>IFERROR(__xludf.DUMMYFUNCTION("""COMPUTED_VALUE"""),"TM - 7B/H (Afspan 90 Derajat)")</f>
        <v>TM - 7B/H (Afspan 90 Derajat)</v>
      </c>
      <c r="M701" s="4" t="str">
        <f>IFERROR(__xludf.DUMMYFUNCTION("""COMPUTED_VALUE"""),"Tidak Ada")</f>
        <v>Tidak Ada</v>
      </c>
      <c r="N701" s="4"/>
      <c r="O701" s="4" t="str">
        <f>IFERROR(__xludf.DUMMYFUNCTION("""COMPUTED_VALUE"""),"PEMBANDING SEJENIS")</f>
        <v>PEMBANDING SEJENIS</v>
      </c>
      <c r="P701" s="4" t="str">
        <f>IFERROR(__xludf.DUMMYFUNCTION("""COMPUTED_VALUE"""),"KONEKTOR/JUMPER")</f>
        <v>KONEKTOR/JUMPER</v>
      </c>
      <c r="Q701" s="4">
        <f>IFERROR(__xludf.DUMMYFUNCTION("""COMPUTED_VALUE"""),18.0)</f>
        <v>18</v>
      </c>
      <c r="R701" s="4">
        <f>IFERROR(__xludf.DUMMYFUNCTION("""COMPUTED_VALUE"""),18.0)</f>
        <v>18</v>
      </c>
      <c r="S701" s="4">
        <f>IFERROR(__xludf.DUMMYFUNCTION("""COMPUTED_VALUE"""),18.0)</f>
        <v>18</v>
      </c>
      <c r="T701" s="4"/>
      <c r="U701" s="4" t="str">
        <f>IFERROR(__xludf.DUMMYFUNCTION("""COMPUTED_VALUE"""),"BAIK")</f>
        <v>BAIK</v>
      </c>
      <c r="V701" s="4" t="str">
        <f>IFERROR(__xludf.DUMMYFUNCTION("""COMPUTED_VALUE"""),"Tidak Ada")</f>
        <v>Tidak Ada</v>
      </c>
      <c r="W701" s="4"/>
      <c r="X701" s="4"/>
      <c r="Y701" s="4"/>
      <c r="Z701" s="4"/>
      <c r="AA701" s="4"/>
      <c r="AB701" s="4"/>
      <c r="AC701" s="4" t="str">
        <f>IFERROR(__xludf.DUMMYFUNCTION("""COMPUTED_VALUE"""),"INSPEKSI SUTM - T2_Images/fb654735.FOTO.182222.jpg")</f>
        <v>INSPEKSI SUTM - T2_Images/fb654735.FOTO.182222.jpg</v>
      </c>
      <c r="AD701" s="4"/>
      <c r="AE701" s="4"/>
      <c r="AF701" s="4" t="str">
        <f>IFERROR(__xludf.DUMMYFUNCTION("""COMPUTED_VALUE"""),"BELUM")</f>
        <v>BELUM</v>
      </c>
      <c r="AG701" s="6">
        <f>IFERROR(__xludf.DUMMYFUNCTION("""COMPUTED_VALUE"""),46088.0)</f>
        <v>46088</v>
      </c>
      <c r="AH701" s="4"/>
      <c r="AI701" s="4"/>
    </row>
    <row r="702" ht="15.75" customHeight="1">
      <c r="A702" s="4" t="str">
        <f>IFERROR(__xludf.DUMMYFUNCTION("""COMPUTED_VALUE"""),"26292b18")</f>
        <v>26292b18</v>
      </c>
      <c r="B702" s="5">
        <f>IFERROR(__xludf.DUMMYFUNCTION("""COMPUTED_VALUE"""),46088.05763888889)</f>
        <v>46088.05764</v>
      </c>
      <c r="C702" s="4" t="str">
        <f>IFERROR(__xludf.DUMMYFUNCTION("""COMPUTED_VALUE"""),"-6.882345, 107.684475")</f>
        <v>-6.882345, 107.684475</v>
      </c>
      <c r="D702" s="4" t="str">
        <f>IFERROR(__xludf.DUMMYFUNCTION("""COMPUTED_VALUE"""),"Canra hwei")</f>
        <v>Canra hwei</v>
      </c>
      <c r="E702" s="4" t="str">
        <f>IFERROR(__xludf.DUMMYFUNCTION("""COMPUTED_VALUE"""),"BANDUNG")</f>
        <v>BANDUNG</v>
      </c>
      <c r="F702" s="4" t="str">
        <f>IFERROR(__xludf.DUMMYFUNCTION("""COMPUTED_VALUE"""),"UJUNGBERUNG")</f>
        <v>UJUNGBERUNG</v>
      </c>
      <c r="G702" s="4" t="str">
        <f>IFERROR(__xludf.DUMMYFUNCTION("""COMPUTED_VALUE"""),"GIS BANDUNG TIMUR")</f>
        <v>GIS BANDUNG TIMUR</v>
      </c>
      <c r="H702" s="4" t="str">
        <f>IFERROR(__xludf.DUMMYFUNCTION("""COMPUTED_VALUE"""),"MDMK")</f>
        <v>MDMK</v>
      </c>
      <c r="I702" s="4" t="str">
        <f>IFERROR(__xludf.DUMMYFUNCTION("""COMPUTED_VALUE"""),"REC PSME - REC TARB")</f>
        <v>REC PSME - REC TARB</v>
      </c>
      <c r="J702" s="4" t="str">
        <f>IFERROR(__xludf.DUMMYFUNCTION("""COMPUTED_VALUE"""),"ZONA 2")</f>
        <v>ZONA 2</v>
      </c>
      <c r="K702" s="4" t="str">
        <f>IFERROR(__xludf.DUMMYFUNCTION("""COMPUTED_VALUE"""),"086")</f>
        <v>086</v>
      </c>
      <c r="L702" s="4" t="str">
        <f>IFERROR(__xludf.DUMMYFUNCTION("""COMPUTED_VALUE"""),"TM - 16B/H (REC/SSO/LBS)")</f>
        <v>TM - 16B/H (REC/SSO/LBS)</v>
      </c>
      <c r="M702" s="4" t="str">
        <f>IFERROR(__xludf.DUMMYFUNCTION("""COMPUTED_VALUE"""),"REC")</f>
        <v>REC</v>
      </c>
      <c r="N702" s="4" t="str">
        <f>IFERROR(__xludf.DUMMYFUNCTION("""COMPUTED_VALUE"""),"Tarb")</f>
        <v>Tarb</v>
      </c>
      <c r="O702" s="4" t="str">
        <f>IFERROR(__xludf.DUMMYFUNCTION("""COMPUTED_VALUE"""),"PEMBANDING SEJENIS")</f>
        <v>PEMBANDING SEJENIS</v>
      </c>
      <c r="P702" s="4" t="str">
        <f>IFERROR(__xludf.DUMMYFUNCTION("""COMPUTED_VALUE"""),"KONEKTOR/JUMPER")</f>
        <v>KONEKTOR/JUMPER</v>
      </c>
      <c r="Q702" s="4">
        <f>IFERROR(__xludf.DUMMYFUNCTION("""COMPUTED_VALUE"""),18.0)</f>
        <v>18</v>
      </c>
      <c r="R702" s="4">
        <f>IFERROR(__xludf.DUMMYFUNCTION("""COMPUTED_VALUE"""),19.0)</f>
        <v>19</v>
      </c>
      <c r="S702" s="4">
        <f>IFERROR(__xludf.DUMMYFUNCTION("""COMPUTED_VALUE"""),21.0)</f>
        <v>21</v>
      </c>
      <c r="T702" s="4"/>
      <c r="U702" s="4" t="str">
        <f>IFERROR(__xludf.DUMMYFUNCTION("""COMPUTED_VALUE"""),"CUKUP")</f>
        <v>CUKUP</v>
      </c>
      <c r="V702" s="4" t="str">
        <f>IFERROR(__xludf.DUMMYFUNCTION("""COMPUTED_VALUE"""),"Tidak Ada")</f>
        <v>Tidak Ada</v>
      </c>
      <c r="W702" s="4"/>
      <c r="X702" s="4"/>
      <c r="Y702" s="4"/>
      <c r="Z702" s="4"/>
      <c r="AA702" s="4"/>
      <c r="AB702" s="4"/>
      <c r="AC702" s="4" t="str">
        <f>IFERROR(__xludf.DUMMYFUNCTION("""COMPUTED_VALUE"""),"INSPEKSI SUTM - T2_Images/26292b18.FOTO.182350.jpg")</f>
        <v>INSPEKSI SUTM - T2_Images/26292b18.FOTO.182350.jpg</v>
      </c>
      <c r="AD702" s="4"/>
      <c r="AE702" s="4"/>
      <c r="AF702" s="4" t="str">
        <f>IFERROR(__xludf.DUMMYFUNCTION("""COMPUTED_VALUE"""),"BELUM")</f>
        <v>BELUM</v>
      </c>
      <c r="AG702" s="6">
        <f>IFERROR(__xludf.DUMMYFUNCTION("""COMPUTED_VALUE"""),46088.0)</f>
        <v>46088</v>
      </c>
      <c r="AH702" s="4"/>
      <c r="AI702" s="4"/>
    </row>
    <row r="703" ht="15.75" customHeight="1">
      <c r="A703" s="4" t="str">
        <f>IFERROR(__xludf.DUMMYFUNCTION("""COMPUTED_VALUE"""),"013dc487")</f>
        <v>013dc487</v>
      </c>
      <c r="B703" s="5">
        <f>IFERROR(__xludf.DUMMYFUNCTION("""COMPUTED_VALUE"""),46088.060381944444)</f>
        <v>46088.06038</v>
      </c>
      <c r="C703" s="4" t="str">
        <f>IFERROR(__xludf.DUMMYFUNCTION("""COMPUTED_VALUE"""),"-6.880172, 107.684382")</f>
        <v>-6.880172, 107.684382</v>
      </c>
      <c r="D703" s="4" t="str">
        <f>IFERROR(__xludf.DUMMYFUNCTION("""COMPUTED_VALUE"""),"Canra heei")</f>
        <v>Canra heei</v>
      </c>
      <c r="E703" s="4" t="str">
        <f>IFERROR(__xludf.DUMMYFUNCTION("""COMPUTED_VALUE"""),"BANDUNG")</f>
        <v>BANDUNG</v>
      </c>
      <c r="F703" s="4" t="str">
        <f>IFERROR(__xludf.DUMMYFUNCTION("""COMPUTED_VALUE"""),"UJUNGBERUNG")</f>
        <v>UJUNGBERUNG</v>
      </c>
      <c r="G703" s="4" t="str">
        <f>IFERROR(__xludf.DUMMYFUNCTION("""COMPUTED_VALUE"""),"GIS BANDUNG TIMUR")</f>
        <v>GIS BANDUNG TIMUR</v>
      </c>
      <c r="H703" s="4" t="str">
        <f>IFERROR(__xludf.DUMMYFUNCTION("""COMPUTED_VALUE"""),"MDMK")</f>
        <v>MDMK</v>
      </c>
      <c r="I703" s="4" t="str">
        <f>IFERROR(__xludf.DUMMYFUNCTION("""COMPUTED_VALUE"""),"REC TARB - UJUNG")</f>
        <v>REC TARB - UJUNG</v>
      </c>
      <c r="J703" s="4" t="str">
        <f>IFERROR(__xludf.DUMMYFUNCTION("""COMPUTED_VALUE"""),"ZONA 2")</f>
        <v>ZONA 2</v>
      </c>
      <c r="K703" s="4" t="str">
        <f>IFERROR(__xludf.DUMMYFUNCTION("""COMPUTED_VALUE"""),"094")</f>
        <v>094</v>
      </c>
      <c r="L703" s="4" t="str">
        <f>IFERROR(__xludf.DUMMYFUNCTION("""COMPUTED_VALUE"""),"TM - 7B/H (Afspan 90 Derajat)")</f>
        <v>TM - 7B/H (Afspan 90 Derajat)</v>
      </c>
      <c r="M703" s="4" t="str">
        <f>IFERROR(__xludf.DUMMYFUNCTION("""COMPUTED_VALUE"""),"Tidak Ada")</f>
        <v>Tidak Ada</v>
      </c>
      <c r="N703" s="4"/>
      <c r="O703" s="4" t="str">
        <f>IFERROR(__xludf.DUMMYFUNCTION("""COMPUTED_VALUE"""),"PEMBANDING SEJENIS")</f>
        <v>PEMBANDING SEJENIS</v>
      </c>
      <c r="P703" s="4" t="str">
        <f>IFERROR(__xludf.DUMMYFUNCTION("""COMPUTED_VALUE"""),"KONEKTOR/JUMPER")</f>
        <v>KONEKTOR/JUMPER</v>
      </c>
      <c r="Q703" s="4">
        <f>IFERROR(__xludf.DUMMYFUNCTION("""COMPUTED_VALUE"""),22.0)</f>
        <v>22</v>
      </c>
      <c r="R703" s="4">
        <f>IFERROR(__xludf.DUMMYFUNCTION("""COMPUTED_VALUE"""),19.0)</f>
        <v>19</v>
      </c>
      <c r="S703" s="4">
        <f>IFERROR(__xludf.DUMMYFUNCTION("""COMPUTED_VALUE"""),20.0)</f>
        <v>20</v>
      </c>
      <c r="T703" s="4"/>
      <c r="U703" s="4" t="str">
        <f>IFERROR(__xludf.DUMMYFUNCTION("""COMPUTED_VALUE"""),"CUKUP")</f>
        <v>CUKUP</v>
      </c>
      <c r="V703" s="4" t="str">
        <f>IFERROR(__xludf.DUMMYFUNCTION("""COMPUTED_VALUE"""),"Tidak Ada")</f>
        <v>Tidak Ada</v>
      </c>
      <c r="W703" s="4"/>
      <c r="X703" s="4"/>
      <c r="Y703" s="4"/>
      <c r="Z703" s="4"/>
      <c r="AA703" s="4"/>
      <c r="AB703" s="4"/>
      <c r="AC703" s="4" t="str">
        <f>IFERROR(__xludf.DUMMYFUNCTION("""COMPUTED_VALUE"""),"INSPEKSI SUTM - T2_Images/013dc487.FOTO.182748.jpg")</f>
        <v>INSPEKSI SUTM - T2_Images/013dc487.FOTO.182748.jpg</v>
      </c>
      <c r="AD703" s="4"/>
      <c r="AE703" s="4"/>
      <c r="AF703" s="4" t="str">
        <f>IFERROR(__xludf.DUMMYFUNCTION("""COMPUTED_VALUE"""),"BELUM")</f>
        <v>BELUM</v>
      </c>
      <c r="AG703" s="6">
        <f>IFERROR(__xludf.DUMMYFUNCTION("""COMPUTED_VALUE"""),46088.0)</f>
        <v>46088</v>
      </c>
      <c r="AH703" s="4"/>
      <c r="AI703" s="4"/>
    </row>
    <row r="704" ht="15.75" customHeight="1">
      <c r="A704" s="4" t="str">
        <f>IFERROR(__xludf.DUMMYFUNCTION("""COMPUTED_VALUE"""),"e4568feb")</f>
        <v>e4568feb</v>
      </c>
      <c r="B704" s="5">
        <f>IFERROR(__xludf.DUMMYFUNCTION("""COMPUTED_VALUE"""),46088.06216435185)</f>
        <v>46088.06216</v>
      </c>
      <c r="C704" s="4" t="str">
        <f>IFERROR(__xludf.DUMMYFUNCTION("""COMPUTED_VALUE"""),"-6.880147, 107.685276")</f>
        <v>-6.880147, 107.685276</v>
      </c>
      <c r="D704" s="4" t="str">
        <f>IFERROR(__xludf.DUMMYFUNCTION("""COMPUTED_VALUE"""),"Canra heei")</f>
        <v>Canra heei</v>
      </c>
      <c r="E704" s="4" t="str">
        <f>IFERROR(__xludf.DUMMYFUNCTION("""COMPUTED_VALUE"""),"BANDUNG")</f>
        <v>BANDUNG</v>
      </c>
      <c r="F704" s="4" t="str">
        <f>IFERROR(__xludf.DUMMYFUNCTION("""COMPUTED_VALUE"""),"UJUNGBERUNG")</f>
        <v>UJUNGBERUNG</v>
      </c>
      <c r="G704" s="4" t="str">
        <f>IFERROR(__xludf.DUMMYFUNCTION("""COMPUTED_VALUE"""),"GIS BANDUNG TIMUR")</f>
        <v>GIS BANDUNG TIMUR</v>
      </c>
      <c r="H704" s="4" t="str">
        <f>IFERROR(__xludf.DUMMYFUNCTION("""COMPUTED_VALUE"""),"MDMK")</f>
        <v>MDMK</v>
      </c>
      <c r="I704" s="4" t="str">
        <f>IFERROR(__xludf.DUMMYFUNCTION("""COMPUTED_VALUE"""),"REC TARB - UJUNG")</f>
        <v>REC TARB - UJUNG</v>
      </c>
      <c r="J704" s="4" t="str">
        <f>IFERROR(__xludf.DUMMYFUNCTION("""COMPUTED_VALUE"""),"ZONA 2")</f>
        <v>ZONA 2</v>
      </c>
      <c r="K704" s="4" t="str">
        <f>IFERROR(__xludf.DUMMYFUNCTION("""COMPUTED_VALUE"""),"096")</f>
        <v>096</v>
      </c>
      <c r="L704" s="4" t="str">
        <f>IFERROR(__xludf.DUMMYFUNCTION("""COMPUTED_VALUE"""),"TM - 8B/H (Percabangan)")</f>
        <v>TM - 8B/H (Percabangan)</v>
      </c>
      <c r="M704" s="4" t="str">
        <f>IFERROR(__xludf.DUMMYFUNCTION("""COMPUTED_VALUE"""),"Tidak Ada")</f>
        <v>Tidak Ada</v>
      </c>
      <c r="N704" s="4"/>
      <c r="O704" s="4" t="str">
        <f>IFERROR(__xludf.DUMMYFUNCTION("""COMPUTED_VALUE"""),"PEMBANDING SEJENIS")</f>
        <v>PEMBANDING SEJENIS</v>
      </c>
      <c r="P704" s="4" t="str">
        <f>IFERROR(__xludf.DUMMYFUNCTION("""COMPUTED_VALUE"""),"KONEKTOR/JUMPER")</f>
        <v>KONEKTOR/JUMPER</v>
      </c>
      <c r="Q704" s="4">
        <f>IFERROR(__xludf.DUMMYFUNCTION("""COMPUTED_VALUE"""),20.0)</f>
        <v>20</v>
      </c>
      <c r="R704" s="4">
        <f>IFERROR(__xludf.DUMMYFUNCTION("""COMPUTED_VALUE"""),18.0)</f>
        <v>18</v>
      </c>
      <c r="S704" s="4">
        <f>IFERROR(__xludf.DUMMYFUNCTION("""COMPUTED_VALUE"""),20.0)</f>
        <v>20</v>
      </c>
      <c r="T704" s="4"/>
      <c r="U704" s="4" t="str">
        <f>IFERROR(__xludf.DUMMYFUNCTION("""COMPUTED_VALUE"""),"BAIK")</f>
        <v>BAIK</v>
      </c>
      <c r="V704" s="4" t="str">
        <f>IFERROR(__xludf.DUMMYFUNCTION("""COMPUTED_VALUE"""),"Tidak Ada")</f>
        <v>Tidak Ada</v>
      </c>
      <c r="W704" s="4"/>
      <c r="X704" s="4"/>
      <c r="Y704" s="4"/>
      <c r="Z704" s="4"/>
      <c r="AA704" s="4"/>
      <c r="AB704" s="4"/>
      <c r="AC704" s="4" t="str">
        <f>IFERROR(__xludf.DUMMYFUNCTION("""COMPUTED_VALUE"""),"INSPEKSI SUTM - T2_Images/e4568feb.FOTO.183024.jpg")</f>
        <v>INSPEKSI SUTM - T2_Images/e4568feb.FOTO.183024.jpg</v>
      </c>
      <c r="AD704" s="4"/>
      <c r="AE704" s="4"/>
      <c r="AF704" s="4" t="str">
        <f>IFERROR(__xludf.DUMMYFUNCTION("""COMPUTED_VALUE"""),"BELUM")</f>
        <v>BELUM</v>
      </c>
      <c r="AG704" s="6">
        <f>IFERROR(__xludf.DUMMYFUNCTION("""COMPUTED_VALUE"""),46088.0)</f>
        <v>46088</v>
      </c>
      <c r="AH704" s="4"/>
      <c r="AI704" s="4"/>
    </row>
    <row r="705" ht="15.75" customHeight="1">
      <c r="A705" s="4" t="str">
        <f>IFERROR(__xludf.DUMMYFUNCTION("""COMPUTED_VALUE"""),"e0332ef9")</f>
        <v>e0332ef9</v>
      </c>
      <c r="B705" s="5">
        <f>IFERROR(__xludf.DUMMYFUNCTION("""COMPUTED_VALUE"""),46088.06358796296)</f>
        <v>46088.06359</v>
      </c>
      <c r="C705" s="4" t="str">
        <f>IFERROR(__xludf.DUMMYFUNCTION("""COMPUTED_VALUE"""),"-6.874845, 107.684277")</f>
        <v>-6.874845, 107.684277</v>
      </c>
      <c r="D705" s="4" t="str">
        <f>IFERROR(__xludf.DUMMYFUNCTION("""COMPUTED_VALUE"""),"Canra heei")</f>
        <v>Canra heei</v>
      </c>
      <c r="E705" s="4" t="str">
        <f>IFERROR(__xludf.DUMMYFUNCTION("""COMPUTED_VALUE"""),"BANDUNG")</f>
        <v>BANDUNG</v>
      </c>
      <c r="F705" s="4" t="str">
        <f>IFERROR(__xludf.DUMMYFUNCTION("""COMPUTED_VALUE"""),"UJUNGBERUNG")</f>
        <v>UJUNGBERUNG</v>
      </c>
      <c r="G705" s="4" t="str">
        <f>IFERROR(__xludf.DUMMYFUNCTION("""COMPUTED_VALUE"""),"GIS BANDUNG TIMUR")</f>
        <v>GIS BANDUNG TIMUR</v>
      </c>
      <c r="H705" s="4" t="str">
        <f>IFERROR(__xludf.DUMMYFUNCTION("""COMPUTED_VALUE"""),"MDMK")</f>
        <v>MDMK</v>
      </c>
      <c r="I705" s="4" t="str">
        <f>IFERROR(__xludf.DUMMYFUNCTION("""COMPUTED_VALUE"""),"REC TARB - UJUNG")</f>
        <v>REC TARB - UJUNG</v>
      </c>
      <c r="J705" s="4" t="str">
        <f>IFERROR(__xludf.DUMMYFUNCTION("""COMPUTED_VALUE"""),"ZONA 2")</f>
        <v>ZONA 2</v>
      </c>
      <c r="K705" s="4" t="str">
        <f>IFERROR(__xludf.DUMMYFUNCTION("""COMPUTED_VALUE"""),"096L012")</f>
        <v>096L012</v>
      </c>
      <c r="L705" s="4" t="str">
        <f>IFERROR(__xludf.DUMMYFUNCTION("""COMPUTED_VALUE"""),"TM - 4B/H (Afspan)")</f>
        <v>TM - 4B/H (Afspan)</v>
      </c>
      <c r="M705" s="4" t="str">
        <f>IFERROR(__xludf.DUMMYFUNCTION("""COMPUTED_VALUE"""),"Tidak Ada")</f>
        <v>Tidak Ada</v>
      </c>
      <c r="N705" s="4"/>
      <c r="O705" s="4" t="str">
        <f>IFERROR(__xludf.DUMMYFUNCTION("""COMPUTED_VALUE"""),"PEMBANDING SEJENIS")</f>
        <v>PEMBANDING SEJENIS</v>
      </c>
      <c r="P705" s="4" t="str">
        <f>IFERROR(__xludf.DUMMYFUNCTION("""COMPUTED_VALUE"""),"KONEKTOR/JUMPER")</f>
        <v>KONEKTOR/JUMPER</v>
      </c>
      <c r="Q705" s="4">
        <f>IFERROR(__xludf.DUMMYFUNCTION("""COMPUTED_VALUE"""),20.0)</f>
        <v>20</v>
      </c>
      <c r="R705" s="4">
        <f>IFERROR(__xludf.DUMMYFUNCTION("""COMPUTED_VALUE"""),20.0)</f>
        <v>20</v>
      </c>
      <c r="S705" s="4">
        <f>IFERROR(__xludf.DUMMYFUNCTION("""COMPUTED_VALUE"""),20.0)</f>
        <v>20</v>
      </c>
      <c r="T705" s="4"/>
      <c r="U705" s="4" t="str">
        <f>IFERROR(__xludf.DUMMYFUNCTION("""COMPUTED_VALUE"""),"BAIK")</f>
        <v>BAIK</v>
      </c>
      <c r="V705" s="4" t="str">
        <f>IFERROR(__xludf.DUMMYFUNCTION("""COMPUTED_VALUE"""),"Tidak Ada")</f>
        <v>Tidak Ada</v>
      </c>
      <c r="W705" s="4"/>
      <c r="X705" s="4"/>
      <c r="Y705" s="4"/>
      <c r="Z705" s="4"/>
      <c r="AA705" s="4"/>
      <c r="AB705" s="4"/>
      <c r="AC705" s="4" t="str">
        <f>IFERROR(__xludf.DUMMYFUNCTION("""COMPUTED_VALUE"""),"INSPEKSI SUTM - T2_Images/e0332ef9.FOTO.183223.jpg")</f>
        <v>INSPEKSI SUTM - T2_Images/e0332ef9.FOTO.183223.jpg</v>
      </c>
      <c r="AD705" s="4"/>
      <c r="AE705" s="4"/>
      <c r="AF705" s="4" t="str">
        <f>IFERROR(__xludf.DUMMYFUNCTION("""COMPUTED_VALUE"""),"BELUM")</f>
        <v>BELUM</v>
      </c>
      <c r="AG705" s="6">
        <f>IFERROR(__xludf.DUMMYFUNCTION("""COMPUTED_VALUE"""),46088.0)</f>
        <v>46088</v>
      </c>
      <c r="AH705" s="4"/>
      <c r="AI705" s="4"/>
    </row>
    <row r="706" ht="15.75" customHeight="1">
      <c r="A706" s="4" t="str">
        <f>IFERROR(__xludf.DUMMYFUNCTION("""COMPUTED_VALUE"""),"52a442fb")</f>
        <v>52a442fb</v>
      </c>
      <c r="B706" s="5">
        <f>IFERROR(__xludf.DUMMYFUNCTION("""COMPUTED_VALUE"""),46088.06494212963)</f>
        <v>46088.06494</v>
      </c>
      <c r="C706" s="4" t="str">
        <f>IFERROR(__xludf.DUMMYFUNCTION("""COMPUTED_VALUE"""),"-6.873109, 107.684543")</f>
        <v>-6.873109, 107.684543</v>
      </c>
      <c r="D706" s="4" t="str">
        <f>IFERROR(__xludf.DUMMYFUNCTION("""COMPUTED_VALUE"""),"Canra heei")</f>
        <v>Canra heei</v>
      </c>
      <c r="E706" s="4" t="str">
        <f>IFERROR(__xludf.DUMMYFUNCTION("""COMPUTED_VALUE"""),"BANDUNG")</f>
        <v>BANDUNG</v>
      </c>
      <c r="F706" s="4" t="str">
        <f>IFERROR(__xludf.DUMMYFUNCTION("""COMPUTED_VALUE"""),"UJUNGBERUNG")</f>
        <v>UJUNGBERUNG</v>
      </c>
      <c r="G706" s="4" t="str">
        <f>IFERROR(__xludf.DUMMYFUNCTION("""COMPUTED_VALUE"""),"GIS BANDUNG TIMUR")</f>
        <v>GIS BANDUNG TIMUR</v>
      </c>
      <c r="H706" s="4" t="str">
        <f>IFERROR(__xludf.DUMMYFUNCTION("""COMPUTED_VALUE"""),"MDMK")</f>
        <v>MDMK</v>
      </c>
      <c r="I706" s="4" t="str">
        <f>IFERROR(__xludf.DUMMYFUNCTION("""COMPUTED_VALUE"""),"REC TARB - UJUNG")</f>
        <v>REC TARB - UJUNG</v>
      </c>
      <c r="J706" s="4" t="str">
        <f>IFERROR(__xludf.DUMMYFUNCTION("""COMPUTED_VALUE"""),"ZONA 2")</f>
        <v>ZONA 2</v>
      </c>
      <c r="K706" s="4" t="str">
        <f>IFERROR(__xludf.DUMMYFUNCTION("""COMPUTED_VALUE"""),"096L015")</f>
        <v>096L015</v>
      </c>
      <c r="L706" s="4" t="str">
        <f>IFERROR(__xludf.DUMMYFUNCTION("""COMPUTED_VALUE"""),"TM - 8B/H (Percabangan)")</f>
        <v>TM - 8B/H (Percabangan)</v>
      </c>
      <c r="M706" s="4" t="str">
        <f>IFERROR(__xludf.DUMMYFUNCTION("""COMPUTED_VALUE"""),"Tidak Ada")</f>
        <v>Tidak Ada</v>
      </c>
      <c r="N706" s="4"/>
      <c r="O706" s="4" t="str">
        <f>IFERROR(__xludf.DUMMYFUNCTION("""COMPUTED_VALUE"""),"PEMBANDING SEJENIS")</f>
        <v>PEMBANDING SEJENIS</v>
      </c>
      <c r="P706" s="4" t="str">
        <f>IFERROR(__xludf.DUMMYFUNCTION("""COMPUTED_VALUE"""),"KONEKTOR/JUMPER")</f>
        <v>KONEKTOR/JUMPER</v>
      </c>
      <c r="Q706" s="4">
        <f>IFERROR(__xludf.DUMMYFUNCTION("""COMPUTED_VALUE"""),16.0)</f>
        <v>16</v>
      </c>
      <c r="R706" s="4">
        <f>IFERROR(__xludf.DUMMYFUNCTION("""COMPUTED_VALUE"""),17.0)</f>
        <v>17</v>
      </c>
      <c r="S706" s="4">
        <f>IFERROR(__xludf.DUMMYFUNCTION("""COMPUTED_VALUE"""),18.0)</f>
        <v>18</v>
      </c>
      <c r="T706" s="4"/>
      <c r="U706" s="4" t="str">
        <f>IFERROR(__xludf.DUMMYFUNCTION("""COMPUTED_VALUE"""),"BAIK")</f>
        <v>BAIK</v>
      </c>
      <c r="V706" s="4" t="str">
        <f>IFERROR(__xludf.DUMMYFUNCTION("""COMPUTED_VALUE"""),"Tidak Ada")</f>
        <v>Tidak Ada</v>
      </c>
      <c r="W706" s="4"/>
      <c r="X706" s="4"/>
      <c r="Y706" s="4"/>
      <c r="Z706" s="4"/>
      <c r="AA706" s="4"/>
      <c r="AB706" s="4"/>
      <c r="AC706" s="4" t="str">
        <f>IFERROR(__xludf.DUMMYFUNCTION("""COMPUTED_VALUE"""),"INSPEKSI SUTM - T2_Images/52a442fb.FOTO.183420.jpg")</f>
        <v>INSPEKSI SUTM - T2_Images/52a442fb.FOTO.183420.jpg</v>
      </c>
      <c r="AD706" s="4"/>
      <c r="AE706" s="4"/>
      <c r="AF706" s="4" t="str">
        <f>IFERROR(__xludf.DUMMYFUNCTION("""COMPUTED_VALUE"""),"BELUM")</f>
        <v>BELUM</v>
      </c>
      <c r="AG706" s="6">
        <f>IFERROR(__xludf.DUMMYFUNCTION("""COMPUTED_VALUE"""),46088.0)</f>
        <v>46088</v>
      </c>
      <c r="AH706" s="4"/>
      <c r="AI706" s="4"/>
    </row>
    <row r="707" ht="15.75" customHeight="1">
      <c r="A707" s="4" t="str">
        <f>IFERROR(__xludf.DUMMYFUNCTION("""COMPUTED_VALUE"""),"9d071118")</f>
        <v>9d071118</v>
      </c>
      <c r="B707" s="5">
        <f>IFERROR(__xludf.DUMMYFUNCTION("""COMPUTED_VALUE"""),46088.066400462965)</f>
        <v>46088.0664</v>
      </c>
      <c r="C707" s="4" t="str">
        <f>IFERROR(__xludf.DUMMYFUNCTION("""COMPUTED_VALUE"""),"-6.873106, 107.684518")</f>
        <v>-6.873106, 107.684518</v>
      </c>
      <c r="D707" s="4" t="str">
        <f>IFERROR(__xludf.DUMMYFUNCTION("""COMPUTED_VALUE"""),"Canra heei")</f>
        <v>Canra heei</v>
      </c>
      <c r="E707" s="4" t="str">
        <f>IFERROR(__xludf.DUMMYFUNCTION("""COMPUTED_VALUE"""),"BANDUNG")</f>
        <v>BANDUNG</v>
      </c>
      <c r="F707" s="4" t="str">
        <f>IFERROR(__xludf.DUMMYFUNCTION("""COMPUTED_VALUE"""),"UJUNGBERUNG")</f>
        <v>UJUNGBERUNG</v>
      </c>
      <c r="G707" s="4" t="str">
        <f>IFERROR(__xludf.DUMMYFUNCTION("""COMPUTED_VALUE"""),"GIS BANDUNG TIMUR")</f>
        <v>GIS BANDUNG TIMUR</v>
      </c>
      <c r="H707" s="4" t="str">
        <f>IFERROR(__xludf.DUMMYFUNCTION("""COMPUTED_VALUE"""),"MDMK")</f>
        <v>MDMK</v>
      </c>
      <c r="I707" s="4" t="str">
        <f>IFERROR(__xludf.DUMMYFUNCTION("""COMPUTED_VALUE"""),"REC TARB - UJUNG")</f>
        <v>REC TARB - UJUNG</v>
      </c>
      <c r="J707" s="4" t="str">
        <f>IFERROR(__xludf.DUMMYFUNCTION("""COMPUTED_VALUE"""),"ZONA 2")</f>
        <v>ZONA 2</v>
      </c>
      <c r="K707" s="4" t="str">
        <f>IFERROR(__xludf.DUMMYFUNCTION("""COMPUTED_VALUE"""),"A")</f>
        <v>A</v>
      </c>
      <c r="L707" s="4" t="str">
        <f>IFERROR(__xludf.DUMMYFUNCTION("""COMPUTED_VALUE"""),"TM - 7B/H (Afspan 90 Derajat)")</f>
        <v>TM - 7B/H (Afspan 90 Derajat)</v>
      </c>
      <c r="M707" s="4" t="str">
        <f>IFERROR(__xludf.DUMMYFUNCTION("""COMPUTED_VALUE"""),"Tidak Ada")</f>
        <v>Tidak Ada</v>
      </c>
      <c r="N707" s="4"/>
      <c r="O707" s="4" t="str">
        <f>IFERROR(__xludf.DUMMYFUNCTION("""COMPUTED_VALUE"""),"PEMBANDING SEJENIS")</f>
        <v>PEMBANDING SEJENIS</v>
      </c>
      <c r="P707" s="4" t="str">
        <f>IFERROR(__xludf.DUMMYFUNCTION("""COMPUTED_VALUE"""),"KONEKTOR/JUMPER")</f>
        <v>KONEKTOR/JUMPER</v>
      </c>
      <c r="Q707" s="4">
        <f>IFERROR(__xludf.DUMMYFUNCTION("""COMPUTED_VALUE"""),19.0)</f>
        <v>19</v>
      </c>
      <c r="R707" s="4">
        <f>IFERROR(__xludf.DUMMYFUNCTION("""COMPUTED_VALUE"""),19.0)</f>
        <v>19</v>
      </c>
      <c r="S707" s="4">
        <f>IFERROR(__xludf.DUMMYFUNCTION("""COMPUTED_VALUE"""),19.0)</f>
        <v>19</v>
      </c>
      <c r="T707" s="4"/>
      <c r="U707" s="4" t="str">
        <f>IFERROR(__xludf.DUMMYFUNCTION("""COMPUTED_VALUE"""),"BAIK")</f>
        <v>BAIK</v>
      </c>
      <c r="V707" s="4" t="str">
        <f>IFERROR(__xludf.DUMMYFUNCTION("""COMPUTED_VALUE"""),"Tidak Ada")</f>
        <v>Tidak Ada</v>
      </c>
      <c r="W707" s="4"/>
      <c r="X707" s="4"/>
      <c r="Y707" s="4"/>
      <c r="Z707" s="4"/>
      <c r="AA707" s="4"/>
      <c r="AB707" s="4"/>
      <c r="AC707" s="4" t="str">
        <f>IFERROR(__xludf.DUMMYFUNCTION("""COMPUTED_VALUE"""),"INSPEKSI SUTM - T2_Images/9d071118.FOTO.183620.jpg")</f>
        <v>INSPEKSI SUTM - T2_Images/9d071118.FOTO.183620.jpg</v>
      </c>
      <c r="AD707" s="4"/>
      <c r="AE707" s="4"/>
      <c r="AF707" s="4" t="str">
        <f>IFERROR(__xludf.DUMMYFUNCTION("""COMPUTED_VALUE"""),"BELUM")</f>
        <v>BELUM</v>
      </c>
      <c r="AG707" s="6">
        <f>IFERROR(__xludf.DUMMYFUNCTION("""COMPUTED_VALUE"""),46088.0)</f>
        <v>46088</v>
      </c>
      <c r="AH707" s="4"/>
      <c r="AI707" s="4"/>
    </row>
    <row r="708" ht="15.75" customHeight="1">
      <c r="A708" s="4" t="str">
        <f>IFERROR(__xludf.DUMMYFUNCTION("""COMPUTED_VALUE"""),"be1166d1")</f>
        <v>be1166d1</v>
      </c>
      <c r="B708" s="5">
        <f>IFERROR(__xludf.DUMMYFUNCTION("""COMPUTED_VALUE"""),46091.77361111111)</f>
        <v>46091.77361</v>
      </c>
      <c r="C708" s="4" t="str">
        <f>IFERROR(__xludf.DUMMYFUNCTION("""COMPUTED_VALUE"""),"-6.949085, 107.611796")</f>
        <v>-6.949085, 107.611796</v>
      </c>
      <c r="D708" s="4" t="str">
        <f>IFERROR(__xludf.DUMMYFUNCTION("""COMPUTED_VALUE"""),"Nugi Firman")</f>
        <v>Nugi Firman</v>
      </c>
      <c r="E708" s="4" t="str">
        <f>IFERROR(__xludf.DUMMYFUNCTION("""COMPUTED_VALUE"""),"BANDUNG")</f>
        <v>BANDUNG</v>
      </c>
      <c r="F708" s="4" t="str">
        <f>IFERROR(__xludf.DUMMYFUNCTION("""COMPUTED_VALUE"""),"BANDUNG SELATAN")</f>
        <v>BANDUNG SELATAN</v>
      </c>
      <c r="G708" s="4" t="str">
        <f>IFERROR(__xludf.DUMMYFUNCTION("""COMPUTED_VALUE"""),"GI DAYEUHKOLOT")</f>
        <v>GI DAYEUHKOLOT</v>
      </c>
      <c r="H708" s="4" t="str">
        <f>IFERROR(__xludf.DUMMYFUNCTION("""COMPUTED_VALUE"""),"DYPI")</f>
        <v>DYPI</v>
      </c>
      <c r="I708" s="4" t="str">
        <f>IFERROR(__xludf.DUMMYFUNCTION("""COMPUTED_VALUE"""),"LBS DBS - UJUNG")</f>
        <v>LBS DBS - UJUNG</v>
      </c>
      <c r="J708" s="4" t="str">
        <f>IFERROR(__xludf.DUMMYFUNCTION("""COMPUTED_VALUE"""),"ZONA 2")</f>
        <v>ZONA 2</v>
      </c>
      <c r="K708" s="4" t="str">
        <f>IFERROR(__xludf.DUMMYFUNCTION("""COMPUTED_VALUE"""),"072R81")</f>
        <v>072R81</v>
      </c>
      <c r="L708" s="4" t="str">
        <f>IFERROR(__xludf.DUMMYFUNCTION("""COMPUTED_VALUE"""),"TM - 16B/H (REC/SSO/LBS)")</f>
        <v>TM - 16B/H (REC/SSO/LBS)</v>
      </c>
      <c r="M708" s="4" t="str">
        <f>IFERROR(__xludf.DUMMYFUNCTION("""COMPUTED_VALUE"""),"LBS")</f>
        <v>LBS</v>
      </c>
      <c r="N708" s="4" t="str">
        <f>IFERROR(__xludf.DUMMYFUNCTION("""COMPUTED_VALUE"""),"DBS")</f>
        <v>DBS</v>
      </c>
      <c r="O708" s="4" t="str">
        <f>IFERROR(__xludf.DUMMYFUNCTION("""COMPUTED_VALUE"""),"PEMBANDING SEJENIS")</f>
        <v>PEMBANDING SEJENIS</v>
      </c>
      <c r="P708" s="4" t="str">
        <f>IFERROR(__xludf.DUMMYFUNCTION("""COMPUTED_VALUE"""),"KONEKTOR/JUMPER")</f>
        <v>KONEKTOR/JUMPER</v>
      </c>
      <c r="Q708" s="4">
        <f>IFERROR(__xludf.DUMMYFUNCTION("""COMPUTED_VALUE"""),20.0)</f>
        <v>20</v>
      </c>
      <c r="R708" s="4">
        <f>IFERROR(__xludf.DUMMYFUNCTION("""COMPUTED_VALUE"""),21.0)</f>
        <v>21</v>
      </c>
      <c r="S708" s="4">
        <f>IFERROR(__xludf.DUMMYFUNCTION("""COMPUTED_VALUE"""),20.0)</f>
        <v>20</v>
      </c>
      <c r="T708" s="4"/>
      <c r="U708" s="4" t="str">
        <f>IFERROR(__xludf.DUMMYFUNCTION("""COMPUTED_VALUE"""),"BAIK")</f>
        <v>BAIK</v>
      </c>
      <c r="V708" s="4" t="str">
        <f>IFERROR(__xludf.DUMMYFUNCTION("""COMPUTED_VALUE"""),"Tidak Ada")</f>
        <v>Tidak Ada</v>
      </c>
      <c r="W708" s="4"/>
      <c r="X708" s="4"/>
      <c r="Y708" s="4"/>
      <c r="Z708" s="4"/>
      <c r="AA708" s="4"/>
      <c r="AB708" s="4"/>
      <c r="AC708" s="4" t="str">
        <f>IFERROR(__xludf.DUMMYFUNCTION("""COMPUTED_VALUE"""),"INSPEKSI SUTM - T2_Images/be1166d1.FOTO.114207.jpg")</f>
        <v>INSPEKSI SUTM - T2_Images/be1166d1.FOTO.114207.jpg</v>
      </c>
      <c r="AD708" s="4"/>
      <c r="AE708" s="4"/>
      <c r="AF708" s="4" t="str">
        <f>IFERROR(__xludf.DUMMYFUNCTION("""COMPUTED_VALUE"""),"BELUM")</f>
        <v>BELUM</v>
      </c>
      <c r="AG708" s="6">
        <f>IFERROR(__xludf.DUMMYFUNCTION("""COMPUTED_VALUE"""),46091.0)</f>
        <v>46091</v>
      </c>
      <c r="AH708" s="4"/>
      <c r="AI708" s="4"/>
    </row>
    <row r="709" ht="15.75" customHeight="1">
      <c r="A709" s="4" t="str">
        <f>IFERROR(__xludf.DUMMYFUNCTION("""COMPUTED_VALUE"""),"59df528d")</f>
        <v>59df528d</v>
      </c>
      <c r="B709" s="5">
        <f>IFERROR(__xludf.DUMMYFUNCTION("""COMPUTED_VALUE"""),46091.77523148148)</f>
        <v>46091.77523</v>
      </c>
      <c r="C709" s="4" t="str">
        <f>IFERROR(__xludf.DUMMYFUNCTION("""COMPUTED_VALUE"""),"-6.949044, 107.611695")</f>
        <v>-6.949044, 107.611695</v>
      </c>
      <c r="D709" s="4" t="str">
        <f>IFERROR(__xludf.DUMMYFUNCTION("""COMPUTED_VALUE"""),"Nugi Firman")</f>
        <v>Nugi Firman</v>
      </c>
      <c r="E709" s="4" t="str">
        <f>IFERROR(__xludf.DUMMYFUNCTION("""COMPUTED_VALUE"""),"BANDUNG")</f>
        <v>BANDUNG</v>
      </c>
      <c r="F709" s="4" t="str">
        <f>IFERROR(__xludf.DUMMYFUNCTION("""COMPUTED_VALUE"""),"BANDUNG SELATAN")</f>
        <v>BANDUNG SELATAN</v>
      </c>
      <c r="G709" s="4" t="str">
        <f>IFERROR(__xludf.DUMMYFUNCTION("""COMPUTED_VALUE"""),"GI DAYEUHKOLOT")</f>
        <v>GI DAYEUHKOLOT</v>
      </c>
      <c r="H709" s="4" t="str">
        <f>IFERROR(__xludf.DUMMYFUNCTION("""COMPUTED_VALUE"""),"DYPI")</f>
        <v>DYPI</v>
      </c>
      <c r="I709" s="4" t="str">
        <f>IFERROR(__xludf.DUMMYFUNCTION("""COMPUTED_VALUE"""),"LBS DBS - UJUNG")</f>
        <v>LBS DBS - UJUNG</v>
      </c>
      <c r="J709" s="4" t="str">
        <f>IFERROR(__xludf.DUMMYFUNCTION("""COMPUTED_VALUE"""),"ZONA 2")</f>
        <v>ZONA 2</v>
      </c>
      <c r="K709" s="4" t="str">
        <f>IFERROR(__xludf.DUMMYFUNCTION("""COMPUTED_VALUE"""),"072R87")</f>
        <v>072R87</v>
      </c>
      <c r="L709" s="4" t="str">
        <f>IFERROR(__xludf.DUMMYFUNCTION("""COMPUTED_VALUE"""),"TM - 1B/H (Tumpu)")</f>
        <v>TM - 1B/H (Tumpu)</v>
      </c>
      <c r="M709" s="4" t="str">
        <f>IFERROR(__xludf.DUMMYFUNCTION("""COMPUTED_VALUE"""),"Tidak Ada")</f>
        <v>Tidak Ada</v>
      </c>
      <c r="N709" s="4"/>
      <c r="O709" s="4" t="str">
        <f>IFERROR(__xludf.DUMMYFUNCTION("""COMPUTED_VALUE"""),"PEMBANDING SEJENIS")</f>
        <v>PEMBANDING SEJENIS</v>
      </c>
      <c r="P709" s="4" t="str">
        <f>IFERROR(__xludf.DUMMYFUNCTION("""COMPUTED_VALUE"""),"ARRESTER")</f>
        <v>ARRESTER</v>
      </c>
      <c r="Q709" s="4">
        <f>IFERROR(__xludf.DUMMYFUNCTION("""COMPUTED_VALUE"""),22.0)</f>
        <v>22</v>
      </c>
      <c r="R709" s="4">
        <f>IFERROR(__xludf.DUMMYFUNCTION("""COMPUTED_VALUE"""),22.0)</f>
        <v>22</v>
      </c>
      <c r="S709" s="4">
        <f>IFERROR(__xludf.DUMMYFUNCTION("""COMPUTED_VALUE"""),21.0)</f>
        <v>21</v>
      </c>
      <c r="T709" s="4"/>
      <c r="U709" s="4" t="str">
        <f>IFERROR(__xludf.DUMMYFUNCTION("""COMPUTED_VALUE"""),"BAIK")</f>
        <v>BAIK</v>
      </c>
      <c r="V709" s="4" t="str">
        <f>IFERROR(__xludf.DUMMYFUNCTION("""COMPUTED_VALUE"""),"Tidak Ada")</f>
        <v>Tidak Ada</v>
      </c>
      <c r="W709" s="4"/>
      <c r="X709" s="4"/>
      <c r="Y709" s="4"/>
      <c r="Z709" s="4"/>
      <c r="AA709" s="4"/>
      <c r="AB709" s="4"/>
      <c r="AC709" s="4" t="str">
        <f>IFERROR(__xludf.DUMMYFUNCTION("""COMPUTED_VALUE"""),"INSPEKSI SUTM - T2_Images/59df528d.FOTO.114212.jpg")</f>
        <v>INSPEKSI SUTM - T2_Images/59df528d.FOTO.114212.jpg</v>
      </c>
      <c r="AD709" s="4"/>
      <c r="AE709" s="4"/>
      <c r="AF709" s="4" t="str">
        <f>IFERROR(__xludf.DUMMYFUNCTION("""COMPUTED_VALUE"""),"BELUM")</f>
        <v>BELUM</v>
      </c>
      <c r="AG709" s="6">
        <f>IFERROR(__xludf.DUMMYFUNCTION("""COMPUTED_VALUE"""),46091.0)</f>
        <v>46091</v>
      </c>
      <c r="AH709" s="4"/>
      <c r="AI709" s="4"/>
    </row>
    <row r="710" ht="15.75" customHeight="1">
      <c r="A710" s="4" t="str">
        <f>IFERROR(__xludf.DUMMYFUNCTION("""COMPUTED_VALUE"""),"16c0bd26")</f>
        <v>16c0bd26</v>
      </c>
      <c r="B710" s="5">
        <f>IFERROR(__xludf.DUMMYFUNCTION("""COMPUTED_VALUE"""),46091.77594907407)</f>
        <v>46091.77595</v>
      </c>
      <c r="C710" s="4" t="str">
        <f>IFERROR(__xludf.DUMMYFUNCTION("""COMPUTED_VALUE"""),"-6.949044, 107.611661")</f>
        <v>-6.949044, 107.611661</v>
      </c>
      <c r="D710" s="4" t="str">
        <f>IFERROR(__xludf.DUMMYFUNCTION("""COMPUTED_VALUE"""),"Nugi Firman")</f>
        <v>Nugi Firman</v>
      </c>
      <c r="E710" s="4" t="str">
        <f>IFERROR(__xludf.DUMMYFUNCTION("""COMPUTED_VALUE"""),"BANDUNG")</f>
        <v>BANDUNG</v>
      </c>
      <c r="F710" s="4" t="str">
        <f>IFERROR(__xludf.DUMMYFUNCTION("""COMPUTED_VALUE"""),"BANDUNG SELATAN")</f>
        <v>BANDUNG SELATAN</v>
      </c>
      <c r="G710" s="4" t="str">
        <f>IFERROR(__xludf.DUMMYFUNCTION("""COMPUTED_VALUE"""),"GI DAYEUHKOLOT")</f>
        <v>GI DAYEUHKOLOT</v>
      </c>
      <c r="H710" s="4" t="str">
        <f>IFERROR(__xludf.DUMMYFUNCTION("""COMPUTED_VALUE"""),"DYPI")</f>
        <v>DYPI</v>
      </c>
      <c r="I710" s="4" t="str">
        <f>IFERROR(__xludf.DUMMYFUNCTION("""COMPUTED_VALUE"""),"LBS DBS - UJUNG")</f>
        <v>LBS DBS - UJUNG</v>
      </c>
      <c r="J710" s="4" t="str">
        <f>IFERROR(__xludf.DUMMYFUNCTION("""COMPUTED_VALUE"""),"ZONA 2")</f>
        <v>ZONA 2</v>
      </c>
      <c r="K710" s="4" t="str">
        <f>IFERROR(__xludf.DUMMYFUNCTION("""COMPUTED_VALUE"""),"072R91")</f>
        <v>072R91</v>
      </c>
      <c r="L710" s="4" t="str">
        <f>IFERROR(__xludf.DUMMYFUNCTION("""COMPUTED_VALUE"""),"TM - 1B/H (Tumpu)")</f>
        <v>TM - 1B/H (Tumpu)</v>
      </c>
      <c r="M710" s="4" t="str">
        <f>IFERROR(__xludf.DUMMYFUNCTION("""COMPUTED_VALUE"""),"Tidak Ada")</f>
        <v>Tidak Ada</v>
      </c>
      <c r="N710" s="4"/>
      <c r="O710" s="4" t="str">
        <f>IFERROR(__xludf.DUMMYFUNCTION("""COMPUTED_VALUE"""),"PEMBANDING SEJENIS")</f>
        <v>PEMBANDING SEJENIS</v>
      </c>
      <c r="P710" s="4" t="str">
        <f>IFERROR(__xludf.DUMMYFUNCTION("""COMPUTED_VALUE"""),"ARRESTER")</f>
        <v>ARRESTER</v>
      </c>
      <c r="Q710" s="4">
        <f>IFERROR(__xludf.DUMMYFUNCTION("""COMPUTED_VALUE"""),21.0)</f>
        <v>21</v>
      </c>
      <c r="R710" s="4">
        <f>IFERROR(__xludf.DUMMYFUNCTION("""COMPUTED_VALUE"""),21.0)</f>
        <v>21</v>
      </c>
      <c r="S710" s="4">
        <f>IFERROR(__xludf.DUMMYFUNCTION("""COMPUTED_VALUE"""),21.0)</f>
        <v>21</v>
      </c>
      <c r="T710" s="4"/>
      <c r="U710" s="4" t="str">
        <f>IFERROR(__xludf.DUMMYFUNCTION("""COMPUTED_VALUE"""),"BAIK")</f>
        <v>BAIK</v>
      </c>
      <c r="V710" s="4" t="str">
        <f>IFERROR(__xludf.DUMMYFUNCTION("""COMPUTED_VALUE"""),"Tidak Ada")</f>
        <v>Tidak Ada</v>
      </c>
      <c r="W710" s="4"/>
      <c r="X710" s="4"/>
      <c r="Y710" s="4"/>
      <c r="Z710" s="4"/>
      <c r="AA710" s="4"/>
      <c r="AB710" s="4"/>
      <c r="AC710" s="4" t="str">
        <f>IFERROR(__xludf.DUMMYFUNCTION("""COMPUTED_VALUE"""),"INSPEKSI SUTM - T2_Images/16c0bd26.FOTO.114216.jpg")</f>
        <v>INSPEKSI SUTM - T2_Images/16c0bd26.FOTO.114216.jpg</v>
      </c>
      <c r="AD710" s="4"/>
      <c r="AE710" s="4"/>
      <c r="AF710" s="4" t="str">
        <f>IFERROR(__xludf.DUMMYFUNCTION("""COMPUTED_VALUE"""),"BELUM")</f>
        <v>BELUM</v>
      </c>
      <c r="AG710" s="6">
        <f>IFERROR(__xludf.DUMMYFUNCTION("""COMPUTED_VALUE"""),46091.0)</f>
        <v>46091</v>
      </c>
      <c r="AH710" s="4"/>
      <c r="AI710" s="4"/>
    </row>
    <row r="711" ht="15.75" customHeight="1">
      <c r="A711" s="4" t="str">
        <f>IFERROR(__xludf.DUMMYFUNCTION("""COMPUTED_VALUE"""),"c291cb56")</f>
        <v>c291cb56</v>
      </c>
      <c r="B711" s="5">
        <f>IFERROR(__xludf.DUMMYFUNCTION("""COMPUTED_VALUE"""),46091.77664351852)</f>
        <v>46091.77664</v>
      </c>
      <c r="C711" s="4" t="str">
        <f>IFERROR(__xludf.DUMMYFUNCTION("""COMPUTED_VALUE"""),"-6.949098, 107.611745")</f>
        <v>-6.949098, 107.611745</v>
      </c>
      <c r="D711" s="4" t="str">
        <f>IFERROR(__xludf.DUMMYFUNCTION("""COMPUTED_VALUE"""),"Nugi Firman")</f>
        <v>Nugi Firman</v>
      </c>
      <c r="E711" s="4" t="str">
        <f>IFERROR(__xludf.DUMMYFUNCTION("""COMPUTED_VALUE"""),"BANDUNG")</f>
        <v>BANDUNG</v>
      </c>
      <c r="F711" s="4" t="str">
        <f>IFERROR(__xludf.DUMMYFUNCTION("""COMPUTED_VALUE"""),"BANDUNG SELATAN")</f>
        <v>BANDUNG SELATAN</v>
      </c>
      <c r="G711" s="4" t="str">
        <f>IFERROR(__xludf.DUMMYFUNCTION("""COMPUTED_VALUE"""),"GI DAYEUHKOLOT")</f>
        <v>GI DAYEUHKOLOT</v>
      </c>
      <c r="H711" s="4" t="str">
        <f>IFERROR(__xludf.DUMMYFUNCTION("""COMPUTED_VALUE"""),"DYPI")</f>
        <v>DYPI</v>
      </c>
      <c r="I711" s="4" t="str">
        <f>IFERROR(__xludf.DUMMYFUNCTION("""COMPUTED_VALUE"""),"LBS DBS - UJUNG")</f>
        <v>LBS DBS - UJUNG</v>
      </c>
      <c r="J711" s="4" t="str">
        <f>IFERROR(__xludf.DUMMYFUNCTION("""COMPUTED_VALUE"""),"ZONA 2")</f>
        <v>ZONA 2</v>
      </c>
      <c r="K711" s="4" t="str">
        <f>IFERROR(__xludf.DUMMYFUNCTION("""COMPUTED_VALUE"""),"072R94")</f>
        <v>072R94</v>
      </c>
      <c r="L711" s="4" t="str">
        <f>IFERROR(__xludf.DUMMYFUNCTION("""COMPUTED_VALUE"""),"TM - 8B/H (Percabangan)")</f>
        <v>TM - 8B/H (Percabangan)</v>
      </c>
      <c r="M711" s="4" t="str">
        <f>IFERROR(__xludf.DUMMYFUNCTION("""COMPUTED_VALUE"""),"Tidak Ada")</f>
        <v>Tidak Ada</v>
      </c>
      <c r="N711" s="4"/>
      <c r="O711" s="4" t="str">
        <f>IFERROR(__xludf.DUMMYFUNCTION("""COMPUTED_VALUE"""),"PEMBANDING SEJENIS")</f>
        <v>PEMBANDING SEJENIS</v>
      </c>
      <c r="P711" s="4" t="str">
        <f>IFERROR(__xludf.DUMMYFUNCTION("""COMPUTED_VALUE"""),"KONEKTOR/JUMPER")</f>
        <v>KONEKTOR/JUMPER</v>
      </c>
      <c r="Q711" s="4">
        <f>IFERROR(__xludf.DUMMYFUNCTION("""COMPUTED_VALUE"""),21.0)</f>
        <v>21</v>
      </c>
      <c r="R711" s="4">
        <f>IFERROR(__xludf.DUMMYFUNCTION("""COMPUTED_VALUE"""),21.0)</f>
        <v>21</v>
      </c>
      <c r="S711" s="4">
        <f>IFERROR(__xludf.DUMMYFUNCTION("""COMPUTED_VALUE"""),20.0)</f>
        <v>20</v>
      </c>
      <c r="T711" s="4"/>
      <c r="U711" s="4" t="str">
        <f>IFERROR(__xludf.DUMMYFUNCTION("""COMPUTED_VALUE"""),"BAIK")</f>
        <v>BAIK</v>
      </c>
      <c r="V711" s="4" t="str">
        <f>IFERROR(__xludf.DUMMYFUNCTION("""COMPUTED_VALUE"""),"Tidak Ada")</f>
        <v>Tidak Ada</v>
      </c>
      <c r="W711" s="4"/>
      <c r="X711" s="4"/>
      <c r="Y711" s="4"/>
      <c r="Z711" s="4"/>
      <c r="AA711" s="4"/>
      <c r="AB711" s="4"/>
      <c r="AC711" s="4" t="str">
        <f>IFERROR(__xludf.DUMMYFUNCTION("""COMPUTED_VALUE"""),"INSPEKSI SUTM - T2_Images/c291cb56.FOTO.114220.jpg")</f>
        <v>INSPEKSI SUTM - T2_Images/c291cb56.FOTO.114220.jpg</v>
      </c>
      <c r="AD711" s="4"/>
      <c r="AE711" s="4"/>
      <c r="AF711" s="4" t="str">
        <f>IFERROR(__xludf.DUMMYFUNCTION("""COMPUTED_VALUE"""),"BELUM")</f>
        <v>BELUM</v>
      </c>
      <c r="AG711" s="6">
        <f>IFERROR(__xludf.DUMMYFUNCTION("""COMPUTED_VALUE"""),46091.0)</f>
        <v>46091</v>
      </c>
      <c r="AH711" s="4"/>
      <c r="AI711" s="4"/>
    </row>
    <row r="712" ht="15.75" customHeight="1">
      <c r="A712" s="4" t="str">
        <f>IFERROR(__xludf.DUMMYFUNCTION("""COMPUTED_VALUE"""),"570e86bf")</f>
        <v>570e86bf</v>
      </c>
      <c r="B712" s="5">
        <f>IFERROR(__xludf.DUMMYFUNCTION("""COMPUTED_VALUE"""),46091.777349537035)</f>
        <v>46091.77735</v>
      </c>
      <c r="C712" s="4" t="str">
        <f>IFERROR(__xludf.DUMMYFUNCTION("""COMPUTED_VALUE"""),"-6.949098, 107.611745")</f>
        <v>-6.949098, 107.611745</v>
      </c>
      <c r="D712" s="4" t="str">
        <f>IFERROR(__xludf.DUMMYFUNCTION("""COMPUTED_VALUE"""),"Nugi Firman")</f>
        <v>Nugi Firman</v>
      </c>
      <c r="E712" s="4" t="str">
        <f>IFERROR(__xludf.DUMMYFUNCTION("""COMPUTED_VALUE"""),"BANDUNG")</f>
        <v>BANDUNG</v>
      </c>
      <c r="F712" s="4" t="str">
        <f>IFERROR(__xludf.DUMMYFUNCTION("""COMPUTED_VALUE"""),"BANDUNG SELATAN")</f>
        <v>BANDUNG SELATAN</v>
      </c>
      <c r="G712" s="4" t="str">
        <f>IFERROR(__xludf.DUMMYFUNCTION("""COMPUTED_VALUE"""),"GI DAYEUHKOLOT")</f>
        <v>GI DAYEUHKOLOT</v>
      </c>
      <c r="H712" s="4" t="str">
        <f>IFERROR(__xludf.DUMMYFUNCTION("""COMPUTED_VALUE"""),"DYPI")</f>
        <v>DYPI</v>
      </c>
      <c r="I712" s="4" t="str">
        <f>IFERROR(__xludf.DUMMYFUNCTION("""COMPUTED_VALUE"""),"LBS DBS - UJUNG")</f>
        <v>LBS DBS - UJUNG</v>
      </c>
      <c r="J712" s="4" t="str">
        <f>IFERROR(__xludf.DUMMYFUNCTION("""COMPUTED_VALUE"""),"ZONA 2")</f>
        <v>ZONA 2</v>
      </c>
      <c r="K712" s="4" t="str">
        <f>IFERROR(__xludf.DUMMYFUNCTION("""COMPUTED_VALUE"""),"072R96")</f>
        <v>072R96</v>
      </c>
      <c r="L712" s="4" t="str">
        <f>IFERROR(__xludf.DUMMYFUNCTION("""COMPUTED_VALUE"""),"TM - 7B/H (Afspan 90 Derajat)")</f>
        <v>TM - 7B/H (Afspan 90 Derajat)</v>
      </c>
      <c r="M712" s="4" t="str">
        <f>IFERROR(__xludf.DUMMYFUNCTION("""COMPUTED_VALUE"""),"Tidak Ada")</f>
        <v>Tidak Ada</v>
      </c>
      <c r="N712" s="4"/>
      <c r="O712" s="4" t="str">
        <f>IFERROR(__xludf.DUMMYFUNCTION("""COMPUTED_VALUE"""),"PEMBANDING SEJENIS")</f>
        <v>PEMBANDING SEJENIS</v>
      </c>
      <c r="P712" s="4" t="str">
        <f>IFERROR(__xludf.DUMMYFUNCTION("""COMPUTED_VALUE"""),"KONEKTOR/JUMPER")</f>
        <v>KONEKTOR/JUMPER</v>
      </c>
      <c r="Q712" s="4">
        <f>IFERROR(__xludf.DUMMYFUNCTION("""COMPUTED_VALUE"""),20.0)</f>
        <v>20</v>
      </c>
      <c r="R712" s="4">
        <f>IFERROR(__xludf.DUMMYFUNCTION("""COMPUTED_VALUE"""),20.0)</f>
        <v>20</v>
      </c>
      <c r="S712" s="4">
        <f>IFERROR(__xludf.DUMMYFUNCTION("""COMPUTED_VALUE"""),20.0)</f>
        <v>20</v>
      </c>
      <c r="T712" s="4"/>
      <c r="U712" s="4" t="str">
        <f>IFERROR(__xludf.DUMMYFUNCTION("""COMPUTED_VALUE"""),"BAIK")</f>
        <v>BAIK</v>
      </c>
      <c r="V712" s="4" t="str">
        <f>IFERROR(__xludf.DUMMYFUNCTION("""COMPUTED_VALUE"""),"Tidak Ada")</f>
        <v>Tidak Ada</v>
      </c>
      <c r="W712" s="4"/>
      <c r="X712" s="4"/>
      <c r="Y712" s="4"/>
      <c r="Z712" s="4"/>
      <c r="AA712" s="4"/>
      <c r="AB712" s="4"/>
      <c r="AC712" s="4" t="str">
        <f>IFERROR(__xludf.DUMMYFUNCTION("""COMPUTED_VALUE"""),"INSPEKSI SUTM - T2_Images/570e86bf.FOTO.114224.jpg")</f>
        <v>INSPEKSI SUTM - T2_Images/570e86bf.FOTO.114224.jpg</v>
      </c>
      <c r="AD712" s="4"/>
      <c r="AE712" s="4"/>
      <c r="AF712" s="4" t="str">
        <f>IFERROR(__xludf.DUMMYFUNCTION("""COMPUTED_VALUE"""),"BELUM")</f>
        <v>BELUM</v>
      </c>
      <c r="AG712" s="6">
        <f>IFERROR(__xludf.DUMMYFUNCTION("""COMPUTED_VALUE"""),46091.0)</f>
        <v>46091</v>
      </c>
      <c r="AH712" s="4"/>
      <c r="AI712" s="4"/>
    </row>
    <row r="713" ht="15.75" customHeight="1">
      <c r="A713" s="4" t="str">
        <f>IFERROR(__xludf.DUMMYFUNCTION("""COMPUTED_VALUE"""),"3da4c7cb")</f>
        <v>3da4c7cb</v>
      </c>
      <c r="B713" s="5">
        <f>IFERROR(__xludf.DUMMYFUNCTION("""COMPUTED_VALUE"""),46091.778032407405)</f>
        <v>46091.77803</v>
      </c>
      <c r="C713" s="4" t="str">
        <f>IFERROR(__xludf.DUMMYFUNCTION("""COMPUTED_VALUE"""),"-6.949069, 107.611719")</f>
        <v>-6.949069, 107.611719</v>
      </c>
      <c r="D713" s="4" t="str">
        <f>IFERROR(__xludf.DUMMYFUNCTION("""COMPUTED_VALUE"""),"Nugi Firman")</f>
        <v>Nugi Firman</v>
      </c>
      <c r="E713" s="4" t="str">
        <f>IFERROR(__xludf.DUMMYFUNCTION("""COMPUTED_VALUE"""),"BANDUNG")</f>
        <v>BANDUNG</v>
      </c>
      <c r="F713" s="4" t="str">
        <f>IFERROR(__xludf.DUMMYFUNCTION("""COMPUTED_VALUE"""),"BANDUNG SELATAN")</f>
        <v>BANDUNG SELATAN</v>
      </c>
      <c r="G713" s="4" t="str">
        <f>IFERROR(__xludf.DUMMYFUNCTION("""COMPUTED_VALUE"""),"GI DAYEUHKOLOT")</f>
        <v>GI DAYEUHKOLOT</v>
      </c>
      <c r="H713" s="4" t="str">
        <f>IFERROR(__xludf.DUMMYFUNCTION("""COMPUTED_VALUE"""),"DYPI")</f>
        <v>DYPI</v>
      </c>
      <c r="I713" s="4" t="str">
        <f>IFERROR(__xludf.DUMMYFUNCTION("""COMPUTED_VALUE"""),"LBS DBS - UJUNG")</f>
        <v>LBS DBS - UJUNG</v>
      </c>
      <c r="J713" s="4" t="str">
        <f>IFERROR(__xludf.DUMMYFUNCTION("""COMPUTED_VALUE"""),"ZONA 2")</f>
        <v>ZONA 2</v>
      </c>
      <c r="K713" s="4" t="str">
        <f>IFERROR(__xludf.DUMMYFUNCTION("""COMPUTED_VALUE"""),"072R99")</f>
        <v>072R99</v>
      </c>
      <c r="L713" s="4" t="str">
        <f>IFERROR(__xludf.DUMMYFUNCTION("""COMPUTED_VALUE"""),"TM - 4B/H (Afspan)")</f>
        <v>TM - 4B/H (Afspan)</v>
      </c>
      <c r="M713" s="4" t="str">
        <f>IFERROR(__xludf.DUMMYFUNCTION("""COMPUTED_VALUE"""),"Tidak Ada")</f>
        <v>Tidak Ada</v>
      </c>
      <c r="N713" s="4"/>
      <c r="O713" s="4" t="str">
        <f>IFERROR(__xludf.DUMMYFUNCTION("""COMPUTED_VALUE"""),"PEMBANDING SEJENIS")</f>
        <v>PEMBANDING SEJENIS</v>
      </c>
      <c r="P713" s="4" t="str">
        <f>IFERROR(__xludf.DUMMYFUNCTION("""COMPUTED_VALUE"""),"KONEKTOR/JUMPER")</f>
        <v>KONEKTOR/JUMPER</v>
      </c>
      <c r="Q713" s="4">
        <f>IFERROR(__xludf.DUMMYFUNCTION("""COMPUTED_VALUE"""),20.0)</f>
        <v>20</v>
      </c>
      <c r="R713" s="4">
        <f>IFERROR(__xludf.DUMMYFUNCTION("""COMPUTED_VALUE"""),20.0)</f>
        <v>20</v>
      </c>
      <c r="S713" s="4">
        <f>IFERROR(__xludf.DUMMYFUNCTION("""COMPUTED_VALUE"""),20.0)</f>
        <v>20</v>
      </c>
      <c r="T713" s="4"/>
      <c r="U713" s="4" t="str">
        <f>IFERROR(__xludf.DUMMYFUNCTION("""COMPUTED_VALUE"""),"BAIK")</f>
        <v>BAIK</v>
      </c>
      <c r="V713" s="4" t="str">
        <f>IFERROR(__xludf.DUMMYFUNCTION("""COMPUTED_VALUE"""),"Tidak Ada")</f>
        <v>Tidak Ada</v>
      </c>
      <c r="W713" s="4"/>
      <c r="X713" s="4"/>
      <c r="Y713" s="4"/>
      <c r="Z713" s="4"/>
      <c r="AA713" s="4"/>
      <c r="AB713" s="4"/>
      <c r="AC713" s="4" t="str">
        <f>IFERROR(__xludf.DUMMYFUNCTION("""COMPUTED_VALUE"""),"INSPEKSI SUTM - T2_Images/3da4c7cb.FOTO.114229.jpg")</f>
        <v>INSPEKSI SUTM - T2_Images/3da4c7cb.FOTO.114229.jpg</v>
      </c>
      <c r="AD713" s="4"/>
      <c r="AE713" s="4"/>
      <c r="AF713" s="4" t="str">
        <f>IFERROR(__xludf.DUMMYFUNCTION("""COMPUTED_VALUE"""),"BELUM")</f>
        <v>BELUM</v>
      </c>
      <c r="AG713" s="6">
        <f>IFERROR(__xludf.DUMMYFUNCTION("""COMPUTED_VALUE"""),46091.0)</f>
        <v>46091</v>
      </c>
      <c r="AH713" s="4"/>
      <c r="AI713" s="4"/>
    </row>
    <row r="714" ht="15.75" customHeight="1">
      <c r="A714" s="4" t="str">
        <f>IFERROR(__xludf.DUMMYFUNCTION("""COMPUTED_VALUE"""),"bb25f164")</f>
        <v>bb25f164</v>
      </c>
      <c r="B714" s="5">
        <f>IFERROR(__xludf.DUMMYFUNCTION("""COMPUTED_VALUE"""),46091.778599537036)</f>
        <v>46091.7786</v>
      </c>
      <c r="C714" s="4" t="str">
        <f>IFERROR(__xludf.DUMMYFUNCTION("""COMPUTED_VALUE"""),"-6.949031, 107.611694")</f>
        <v>-6.949031, 107.611694</v>
      </c>
      <c r="D714" s="4" t="str">
        <f>IFERROR(__xludf.DUMMYFUNCTION("""COMPUTED_VALUE"""),"Nugi Firman")</f>
        <v>Nugi Firman</v>
      </c>
      <c r="E714" s="4" t="str">
        <f>IFERROR(__xludf.DUMMYFUNCTION("""COMPUTED_VALUE"""),"BANDUNG")</f>
        <v>BANDUNG</v>
      </c>
      <c r="F714" s="4" t="str">
        <f>IFERROR(__xludf.DUMMYFUNCTION("""COMPUTED_VALUE"""),"BANDUNG SELATAN")</f>
        <v>BANDUNG SELATAN</v>
      </c>
      <c r="G714" s="4" t="str">
        <f>IFERROR(__xludf.DUMMYFUNCTION("""COMPUTED_VALUE"""),"GI DAYEUHKOLOT")</f>
        <v>GI DAYEUHKOLOT</v>
      </c>
      <c r="H714" s="4" t="str">
        <f>IFERROR(__xludf.DUMMYFUNCTION("""COMPUTED_VALUE"""),"DYPI")</f>
        <v>DYPI</v>
      </c>
      <c r="I714" s="4" t="str">
        <f>IFERROR(__xludf.DUMMYFUNCTION("""COMPUTED_VALUE"""),"LBS DBS - UJUNG")</f>
        <v>LBS DBS - UJUNG</v>
      </c>
      <c r="J714" s="4" t="str">
        <f>IFERROR(__xludf.DUMMYFUNCTION("""COMPUTED_VALUE"""),"ZONA 2")</f>
        <v>ZONA 2</v>
      </c>
      <c r="K714" s="4" t="str">
        <f>IFERROR(__xludf.DUMMYFUNCTION("""COMPUTED_VALUE"""),"072R101")</f>
        <v>072R101</v>
      </c>
      <c r="L714" s="4" t="str">
        <f>IFERROR(__xludf.DUMMYFUNCTION("""COMPUTED_VALUE"""),"TM - 14B/H (Akhir)")</f>
        <v>TM - 14B/H (Akhir)</v>
      </c>
      <c r="M714" s="4" t="str">
        <f>IFERROR(__xludf.DUMMYFUNCTION("""COMPUTED_VALUE"""),"Tidak Ada")</f>
        <v>Tidak Ada</v>
      </c>
      <c r="N714" s="4"/>
      <c r="O714" s="4" t="str">
        <f>IFERROR(__xludf.DUMMYFUNCTION("""COMPUTED_VALUE"""),"PEMBANDING SEJENIS")</f>
        <v>PEMBANDING SEJENIS</v>
      </c>
      <c r="P714" s="4" t="str">
        <f>IFERROR(__xludf.DUMMYFUNCTION("""COMPUTED_VALUE"""),"KONEKTOR/JUMPER")</f>
        <v>KONEKTOR/JUMPER</v>
      </c>
      <c r="Q714" s="4">
        <f>IFERROR(__xludf.DUMMYFUNCTION("""COMPUTED_VALUE"""),21.0)</f>
        <v>21</v>
      </c>
      <c r="R714" s="4">
        <f>IFERROR(__xludf.DUMMYFUNCTION("""COMPUTED_VALUE"""),20.0)</f>
        <v>20</v>
      </c>
      <c r="S714" s="4">
        <f>IFERROR(__xludf.DUMMYFUNCTION("""COMPUTED_VALUE"""),20.0)</f>
        <v>20</v>
      </c>
      <c r="T714" s="4"/>
      <c r="U714" s="4" t="str">
        <f>IFERROR(__xludf.DUMMYFUNCTION("""COMPUTED_VALUE"""),"BAIK")</f>
        <v>BAIK</v>
      </c>
      <c r="V714" s="4" t="str">
        <f>IFERROR(__xludf.DUMMYFUNCTION("""COMPUTED_VALUE"""),"Tidak Ada")</f>
        <v>Tidak Ada</v>
      </c>
      <c r="W714" s="4"/>
      <c r="X714" s="4"/>
      <c r="Y714" s="4"/>
      <c r="Z714" s="4"/>
      <c r="AA714" s="4"/>
      <c r="AB714" s="4"/>
      <c r="AC714" s="4" t="str">
        <f>IFERROR(__xludf.DUMMYFUNCTION("""COMPUTED_VALUE"""),"INSPEKSI SUTM - T2_Images/bb25f164.FOTO.114233.jpg")</f>
        <v>INSPEKSI SUTM - T2_Images/bb25f164.FOTO.114233.jpg</v>
      </c>
      <c r="AD714" s="4"/>
      <c r="AE714" s="4"/>
      <c r="AF714" s="4" t="str">
        <f>IFERROR(__xludf.DUMMYFUNCTION("""COMPUTED_VALUE"""),"BELUM")</f>
        <v>BELUM</v>
      </c>
      <c r="AG714" s="6">
        <f>IFERROR(__xludf.DUMMYFUNCTION("""COMPUTED_VALUE"""),46091.0)</f>
        <v>46091</v>
      </c>
      <c r="AH714" s="4"/>
      <c r="AI714" s="4"/>
    </row>
    <row r="715" ht="15.75" customHeight="1">
      <c r="A715" s="4" t="str">
        <f>IFERROR(__xludf.DUMMYFUNCTION("""COMPUTED_VALUE"""),"cbb19700")</f>
        <v>cbb19700</v>
      </c>
      <c r="B715" s="5">
        <f>IFERROR(__xludf.DUMMYFUNCTION("""COMPUTED_VALUE"""),46094.85273148148)</f>
        <v>46094.85273</v>
      </c>
      <c r="C715" s="4" t="str">
        <f>IFERROR(__xludf.DUMMYFUNCTION("""COMPUTED_VALUE"""),"-6.926282, 107.665169")</f>
        <v>-6.926282, 107.665169</v>
      </c>
      <c r="D715" s="4" t="str">
        <f>IFERROR(__xludf.DUMMYFUNCTION("""COMPUTED_VALUE"""),"Angga sandi")</f>
        <v>Angga sandi</v>
      </c>
      <c r="E715" s="4" t="str">
        <f>IFERROR(__xludf.DUMMYFUNCTION("""COMPUTED_VALUE"""),"BANDUNG")</f>
        <v>BANDUNG</v>
      </c>
      <c r="F715" s="4" t="str">
        <f>IFERROR(__xludf.DUMMYFUNCTION("""COMPUTED_VALUE"""),"BANDUNG TIMUR")</f>
        <v>BANDUNG TIMUR</v>
      </c>
      <c r="G715" s="4" t="str">
        <f>IFERROR(__xludf.DUMMYFUNCTION("""COMPUTED_VALUE"""),"KIARACONDONG")</f>
        <v>KIARACONDONG</v>
      </c>
      <c r="H715" s="4" t="str">
        <f>IFERROR(__xludf.DUMMYFUNCTION("""COMPUTED_VALUE"""),"KKH")</f>
        <v>KKH</v>
      </c>
      <c r="I715" s="4" t="str">
        <f>IFERROR(__xludf.DUMMYFUNCTION("""COMPUTED_VALUE"""),"ATPY-RDW")</f>
        <v>ATPY-RDW</v>
      </c>
      <c r="J715" s="4" t="str">
        <f>IFERROR(__xludf.DUMMYFUNCTION("""COMPUTED_VALUE"""),"ZONA 2")</f>
        <v>ZONA 2</v>
      </c>
      <c r="K715" s="4" t="str">
        <f>IFERROR(__xludf.DUMMYFUNCTION("""COMPUTED_VALUE"""),"080")</f>
        <v>080</v>
      </c>
      <c r="L715" s="4" t="str">
        <f>IFERROR(__xludf.DUMMYFUNCTION("""COMPUTED_VALUE"""),"TM - 8B/H (Percabangan)")</f>
        <v>TM - 8B/H (Percabangan)</v>
      </c>
      <c r="M715" s="4" t="str">
        <f>IFERROR(__xludf.DUMMYFUNCTION("""COMPUTED_VALUE"""),"Tidak Ada")</f>
        <v>Tidak Ada</v>
      </c>
      <c r="N715" s="4"/>
      <c r="O715" s="4" t="str">
        <f>IFERROR(__xludf.DUMMYFUNCTION("""COMPUTED_VALUE"""),"PEMBANDING SEJENIS")</f>
        <v>PEMBANDING SEJENIS</v>
      </c>
      <c r="P715" s="4" t="str">
        <f>IFERROR(__xludf.DUMMYFUNCTION("""COMPUTED_VALUE"""),"KONEKTOR/JUMPER")</f>
        <v>KONEKTOR/JUMPER</v>
      </c>
      <c r="Q715" s="4">
        <f>IFERROR(__xludf.DUMMYFUNCTION("""COMPUTED_VALUE"""),22.7)</f>
        <v>22.7</v>
      </c>
      <c r="R715" s="4">
        <f>IFERROR(__xludf.DUMMYFUNCTION("""COMPUTED_VALUE"""),21.8)</f>
        <v>21.8</v>
      </c>
      <c r="S715" s="4">
        <f>IFERROR(__xludf.DUMMYFUNCTION("""COMPUTED_VALUE"""),21.5)</f>
        <v>21.5</v>
      </c>
      <c r="T715" s="4"/>
      <c r="U715" s="4" t="str">
        <f>IFERROR(__xludf.DUMMYFUNCTION("""COMPUTED_VALUE"""),"BAIK")</f>
        <v>BAIK</v>
      </c>
      <c r="V715" s="4" t="str">
        <f>IFERROR(__xludf.DUMMYFUNCTION("""COMPUTED_VALUE"""),"Tidak Ada")</f>
        <v>Tidak Ada</v>
      </c>
      <c r="W715" s="4"/>
      <c r="X715" s="4"/>
      <c r="Y715" s="4"/>
      <c r="Z715" s="4"/>
      <c r="AA715" s="4"/>
      <c r="AB715" s="4"/>
      <c r="AC715" s="4" t="str">
        <f>IFERROR(__xludf.DUMMYFUNCTION("""COMPUTED_VALUE"""),"INSPEKSI SUTM - T2_Images/cbb19700.FOTO.133045.jpg")</f>
        <v>INSPEKSI SUTM - T2_Images/cbb19700.FOTO.133045.jpg</v>
      </c>
      <c r="AD715" s="4"/>
      <c r="AE715" s="4"/>
      <c r="AF715" s="4" t="str">
        <f>IFERROR(__xludf.DUMMYFUNCTION("""COMPUTED_VALUE"""),"BELUM")</f>
        <v>BELUM</v>
      </c>
      <c r="AG715" s="6">
        <f>IFERROR(__xludf.DUMMYFUNCTION("""COMPUTED_VALUE"""),46094.0)</f>
        <v>46094</v>
      </c>
      <c r="AH715" s="4"/>
      <c r="AI715" s="4"/>
    </row>
    <row r="716" ht="15.75" customHeight="1">
      <c r="A716" s="4" t="str">
        <f>IFERROR(__xludf.DUMMYFUNCTION("""COMPUTED_VALUE"""),"2a12dc62")</f>
        <v>2a12dc62</v>
      </c>
      <c r="B716" s="5">
        <f>IFERROR(__xludf.DUMMYFUNCTION("""COMPUTED_VALUE"""),46094.85488425926)</f>
        <v>46094.85488</v>
      </c>
      <c r="C716" s="4" t="str">
        <f>IFERROR(__xludf.DUMMYFUNCTION("""COMPUTED_VALUE"""),"-6.927703, 107.664918")</f>
        <v>-6.927703, 107.664918</v>
      </c>
      <c r="D716" s="4" t="str">
        <f>IFERROR(__xludf.DUMMYFUNCTION("""COMPUTED_VALUE"""),"Angga sandi")</f>
        <v>Angga sandi</v>
      </c>
      <c r="E716" s="4" t="str">
        <f>IFERROR(__xludf.DUMMYFUNCTION("""COMPUTED_VALUE"""),"BANDUNG")</f>
        <v>BANDUNG</v>
      </c>
      <c r="F716" s="4" t="str">
        <f>IFERROR(__xludf.DUMMYFUNCTION("""COMPUTED_VALUE"""),"BANDUNG TIMUR")</f>
        <v>BANDUNG TIMUR</v>
      </c>
      <c r="G716" s="4" t="str">
        <f>IFERROR(__xludf.DUMMYFUNCTION("""COMPUTED_VALUE"""),"KIARACONDONG")</f>
        <v>KIARACONDONG</v>
      </c>
      <c r="H716" s="4" t="str">
        <f>IFERROR(__xludf.DUMMYFUNCTION("""COMPUTED_VALUE"""),"KKH")</f>
        <v>KKH</v>
      </c>
      <c r="I716" s="4" t="str">
        <f>IFERROR(__xludf.DUMMYFUNCTION("""COMPUTED_VALUE"""),"ATPY-RDW")</f>
        <v>ATPY-RDW</v>
      </c>
      <c r="J716" s="4" t="str">
        <f>IFERROR(__xludf.DUMMYFUNCTION("""COMPUTED_VALUE"""),"ZONA 2")</f>
        <v>ZONA 2</v>
      </c>
      <c r="K716" s="4" t="str">
        <f>IFERROR(__xludf.DUMMYFUNCTION("""COMPUTED_VALUE"""),"085")</f>
        <v>085</v>
      </c>
      <c r="L716" s="4" t="str">
        <f>IFERROR(__xludf.DUMMYFUNCTION("""COMPUTED_VALUE"""),"TM - 7B/H (Afspan 90 Derajat)")</f>
        <v>TM - 7B/H (Afspan 90 Derajat)</v>
      </c>
      <c r="M716" s="4" t="str">
        <f>IFERROR(__xludf.DUMMYFUNCTION("""COMPUTED_VALUE"""),"Tidak Ada")</f>
        <v>Tidak Ada</v>
      </c>
      <c r="N716" s="4"/>
      <c r="O716" s="4" t="str">
        <f>IFERROR(__xludf.DUMMYFUNCTION("""COMPUTED_VALUE"""),"PEMBANDING SEJENIS")</f>
        <v>PEMBANDING SEJENIS</v>
      </c>
      <c r="P716" s="4" t="str">
        <f>IFERROR(__xludf.DUMMYFUNCTION("""COMPUTED_VALUE"""),"KONEKTOR/JUMPER")</f>
        <v>KONEKTOR/JUMPER</v>
      </c>
      <c r="Q716" s="4">
        <f>IFERROR(__xludf.DUMMYFUNCTION("""COMPUTED_VALUE"""),21.0)</f>
        <v>21</v>
      </c>
      <c r="R716" s="4">
        <f>IFERROR(__xludf.DUMMYFUNCTION("""COMPUTED_VALUE"""),19.1)</f>
        <v>19.1</v>
      </c>
      <c r="S716" s="4">
        <f>IFERROR(__xludf.DUMMYFUNCTION("""COMPUTED_VALUE"""),19.3)</f>
        <v>19.3</v>
      </c>
      <c r="T716" s="4"/>
      <c r="U716" s="4" t="str">
        <f>IFERROR(__xludf.DUMMYFUNCTION("""COMPUTED_VALUE"""),"BAIK")</f>
        <v>BAIK</v>
      </c>
      <c r="V716" s="4" t="str">
        <f>IFERROR(__xludf.DUMMYFUNCTION("""COMPUTED_VALUE"""),"Tidak Ada")</f>
        <v>Tidak Ada</v>
      </c>
      <c r="W716" s="4"/>
      <c r="X716" s="4"/>
      <c r="Y716" s="4"/>
      <c r="Z716" s="4"/>
      <c r="AA716" s="4"/>
      <c r="AB716" s="4"/>
      <c r="AC716" s="4" t="str">
        <f>IFERROR(__xludf.DUMMYFUNCTION("""COMPUTED_VALUE"""),"INSPEKSI SUTM - T2_Images/2a12dc62.FOTO.133158.jpg")</f>
        <v>INSPEKSI SUTM - T2_Images/2a12dc62.FOTO.133158.jpg</v>
      </c>
      <c r="AD716" s="4"/>
      <c r="AE716" s="4"/>
      <c r="AF716" s="4" t="str">
        <f>IFERROR(__xludf.DUMMYFUNCTION("""COMPUTED_VALUE"""),"BELUM")</f>
        <v>BELUM</v>
      </c>
      <c r="AG716" s="6">
        <f>IFERROR(__xludf.DUMMYFUNCTION("""COMPUTED_VALUE"""),46094.0)</f>
        <v>46094</v>
      </c>
      <c r="AH716" s="4"/>
      <c r="AI716" s="4"/>
    </row>
    <row r="717" ht="15.75" customHeight="1">
      <c r="A717" s="4" t="str">
        <f>IFERROR(__xludf.DUMMYFUNCTION("""COMPUTED_VALUE"""),"885fe7b1")</f>
        <v>885fe7b1</v>
      </c>
      <c r="B717" s="5">
        <f>IFERROR(__xludf.DUMMYFUNCTION("""COMPUTED_VALUE"""),46094.855844907404)</f>
        <v>46094.85584</v>
      </c>
      <c r="C717" s="4" t="str">
        <f>IFERROR(__xludf.DUMMYFUNCTION("""COMPUTED_VALUE"""),"-6.927645, 107.665681")</f>
        <v>-6.927645, 107.665681</v>
      </c>
      <c r="D717" s="4" t="str">
        <f>IFERROR(__xludf.DUMMYFUNCTION("""COMPUTED_VALUE"""),"Angga sandi")</f>
        <v>Angga sandi</v>
      </c>
      <c r="E717" s="4" t="str">
        <f>IFERROR(__xludf.DUMMYFUNCTION("""COMPUTED_VALUE"""),"BANDUNG")</f>
        <v>BANDUNG</v>
      </c>
      <c r="F717" s="4" t="str">
        <f>IFERROR(__xludf.DUMMYFUNCTION("""COMPUTED_VALUE"""),"BANDUNG TIMUR")</f>
        <v>BANDUNG TIMUR</v>
      </c>
      <c r="G717" s="4" t="str">
        <f>IFERROR(__xludf.DUMMYFUNCTION("""COMPUTED_VALUE"""),"KIARACONDONG")</f>
        <v>KIARACONDONG</v>
      </c>
      <c r="H717" s="4" t="str">
        <f>IFERROR(__xludf.DUMMYFUNCTION("""COMPUTED_VALUE"""),"KKH")</f>
        <v>KKH</v>
      </c>
      <c r="I717" s="4" t="str">
        <f>IFERROR(__xludf.DUMMYFUNCTION("""COMPUTED_VALUE"""),"ATPY-RDW")</f>
        <v>ATPY-RDW</v>
      </c>
      <c r="J717" s="4" t="str">
        <f>IFERROR(__xludf.DUMMYFUNCTION("""COMPUTED_VALUE"""),"ZONA 2")</f>
        <v>ZONA 2</v>
      </c>
      <c r="K717" s="4" t="str">
        <f>IFERROR(__xludf.DUMMYFUNCTION("""COMPUTED_VALUE"""),"087")</f>
        <v>087</v>
      </c>
      <c r="L717" s="4" t="str">
        <f>IFERROR(__xludf.DUMMYFUNCTION("""COMPUTED_VALUE"""),"TM - 8B/H (Percabangan)")</f>
        <v>TM - 8B/H (Percabangan)</v>
      </c>
      <c r="M717" s="4" t="str">
        <f>IFERROR(__xludf.DUMMYFUNCTION("""COMPUTED_VALUE"""),"Tidak Ada")</f>
        <v>Tidak Ada</v>
      </c>
      <c r="N717" s="4"/>
      <c r="O717" s="4" t="str">
        <f>IFERROR(__xludf.DUMMYFUNCTION("""COMPUTED_VALUE"""),"PEMBANDING SEJENIS")</f>
        <v>PEMBANDING SEJENIS</v>
      </c>
      <c r="P717" s="4" t="str">
        <f>IFERROR(__xludf.DUMMYFUNCTION("""COMPUTED_VALUE"""),"KONEKTOR/JUMPER")</f>
        <v>KONEKTOR/JUMPER</v>
      </c>
      <c r="Q717" s="4">
        <f>IFERROR(__xludf.DUMMYFUNCTION("""COMPUTED_VALUE"""),22.7)</f>
        <v>22.7</v>
      </c>
      <c r="R717" s="4">
        <f>IFERROR(__xludf.DUMMYFUNCTION("""COMPUTED_VALUE"""),21.6)</f>
        <v>21.6</v>
      </c>
      <c r="S717" s="4">
        <f>IFERROR(__xludf.DUMMYFUNCTION("""COMPUTED_VALUE"""),20.2)</f>
        <v>20.2</v>
      </c>
      <c r="T717" s="4"/>
      <c r="U717" s="4" t="str">
        <f>IFERROR(__xludf.DUMMYFUNCTION("""COMPUTED_VALUE"""),"BAIK")</f>
        <v>BAIK</v>
      </c>
      <c r="V717" s="4" t="str">
        <f>IFERROR(__xludf.DUMMYFUNCTION("""COMPUTED_VALUE"""),"Tidak Ada")</f>
        <v>Tidak Ada</v>
      </c>
      <c r="W717" s="4"/>
      <c r="X717" s="4"/>
      <c r="Y717" s="4"/>
      <c r="Z717" s="4"/>
      <c r="AA717" s="4"/>
      <c r="AB717" s="4"/>
      <c r="AC717" s="4" t="str">
        <f>IFERROR(__xludf.DUMMYFUNCTION("""COMPUTED_VALUE"""),"INSPEKSI SUTM - T2_Images/885fe7b1.FOTO.133315.jpg")</f>
        <v>INSPEKSI SUTM - T2_Images/885fe7b1.FOTO.133315.jpg</v>
      </c>
      <c r="AD717" s="4"/>
      <c r="AE717" s="4"/>
      <c r="AF717" s="4" t="str">
        <f>IFERROR(__xludf.DUMMYFUNCTION("""COMPUTED_VALUE"""),"BELUM")</f>
        <v>BELUM</v>
      </c>
      <c r="AG717" s="6">
        <f>IFERROR(__xludf.DUMMYFUNCTION("""COMPUTED_VALUE"""),46094.0)</f>
        <v>46094</v>
      </c>
      <c r="AH717" s="4"/>
      <c r="AI717" s="4"/>
    </row>
    <row r="718" ht="15.75" customHeight="1">
      <c r="A718" s="4" t="str">
        <f>IFERROR(__xludf.DUMMYFUNCTION("""COMPUTED_VALUE"""),"890efa1f")</f>
        <v>890efa1f</v>
      </c>
      <c r="B718" s="5">
        <f>IFERROR(__xludf.DUMMYFUNCTION("""COMPUTED_VALUE"""),46094.856516203705)</f>
        <v>46094.85652</v>
      </c>
      <c r="C718" s="4" t="str">
        <f>IFERROR(__xludf.DUMMYFUNCTION("""COMPUTED_VALUE"""),"-6.927642, 107.665679")</f>
        <v>-6.927642, 107.665679</v>
      </c>
      <c r="D718" s="4" t="str">
        <f>IFERROR(__xludf.DUMMYFUNCTION("""COMPUTED_VALUE"""),"Angga sandi")</f>
        <v>Angga sandi</v>
      </c>
      <c r="E718" s="4" t="str">
        <f>IFERROR(__xludf.DUMMYFUNCTION("""COMPUTED_VALUE"""),"BANDUNG")</f>
        <v>BANDUNG</v>
      </c>
      <c r="F718" s="4" t="str">
        <f>IFERROR(__xludf.DUMMYFUNCTION("""COMPUTED_VALUE"""),"BANDUNG TIMUR")</f>
        <v>BANDUNG TIMUR</v>
      </c>
      <c r="G718" s="4" t="str">
        <f>IFERROR(__xludf.DUMMYFUNCTION("""COMPUTED_VALUE"""),"KIARACONDONG")</f>
        <v>KIARACONDONG</v>
      </c>
      <c r="H718" s="4" t="str">
        <f>IFERROR(__xludf.DUMMYFUNCTION("""COMPUTED_VALUE"""),"KKH")</f>
        <v>KKH</v>
      </c>
      <c r="I718" s="4" t="str">
        <f>IFERROR(__xludf.DUMMYFUNCTION("""COMPUTED_VALUE"""),"ATPY-RDW")</f>
        <v>ATPY-RDW</v>
      </c>
      <c r="J718" s="4" t="str">
        <f>IFERROR(__xludf.DUMMYFUNCTION("""COMPUTED_VALUE"""),"ZONA 2")</f>
        <v>ZONA 2</v>
      </c>
      <c r="K718" s="4" t="str">
        <f>IFERROR(__xludf.DUMMYFUNCTION("""COMPUTED_VALUE"""),"087R01")</f>
        <v>087R01</v>
      </c>
      <c r="L718" s="4" t="str">
        <f>IFERROR(__xludf.DUMMYFUNCTION("""COMPUTED_VALUE"""),"TM - 13B/H (Kabel Naik Pada Tiang Tumpu)")</f>
        <v>TM - 13B/H (Kabel Naik Pada Tiang Tumpu)</v>
      </c>
      <c r="M718" s="4" t="str">
        <f>IFERROR(__xludf.DUMMYFUNCTION("""COMPUTED_VALUE"""),"Gardu")</f>
        <v>Gardu</v>
      </c>
      <c r="N718" s="4" t="str">
        <f>IFERROR(__xludf.DUMMYFUNCTION("""COMPUTED_VALUE"""),"PAKA")</f>
        <v>PAKA</v>
      </c>
      <c r="O718" s="4" t="str">
        <f>IFERROR(__xludf.DUMMYFUNCTION("""COMPUTED_VALUE"""),"PEMBANDING SEJENIS")</f>
        <v>PEMBANDING SEJENIS</v>
      </c>
      <c r="P718" s="4" t="str">
        <f>IFERROR(__xludf.DUMMYFUNCTION("""COMPUTED_VALUE"""),"TERMINASI")</f>
        <v>TERMINASI</v>
      </c>
      <c r="Q718" s="4">
        <f>IFERROR(__xludf.DUMMYFUNCTION("""COMPUTED_VALUE"""),34.7)</f>
        <v>34.7</v>
      </c>
      <c r="R718" s="4">
        <f>IFERROR(__xludf.DUMMYFUNCTION("""COMPUTED_VALUE"""),22.2)</f>
        <v>22.2</v>
      </c>
      <c r="S718" s="4">
        <f>IFERROR(__xludf.DUMMYFUNCTION("""COMPUTED_VALUE"""),23.3)</f>
        <v>23.3</v>
      </c>
      <c r="T718" s="4"/>
      <c r="U718" s="4" t="str">
        <f>IFERROR(__xludf.DUMMYFUNCTION("""COMPUTED_VALUE"""),"KURANG")</f>
        <v>KURANG</v>
      </c>
      <c r="V718" s="4" t="str">
        <f>IFERROR(__xludf.DUMMYFUNCTION("""COMPUTED_VALUE"""),"Tidak Ada")</f>
        <v>Tidak Ada</v>
      </c>
      <c r="W718" s="4"/>
      <c r="X718" s="4"/>
      <c r="Y718" s="4"/>
      <c r="Z718" s="4"/>
      <c r="AA718" s="4"/>
      <c r="AB718" s="4"/>
      <c r="AC718" s="4" t="str">
        <f>IFERROR(__xludf.DUMMYFUNCTION("""COMPUTED_VALUE"""),"INSPEKSI SUTM - T2_Images/890efa1f.FOTO.133420.jpg")</f>
        <v>INSPEKSI SUTM - T2_Images/890efa1f.FOTO.133420.jpg</v>
      </c>
      <c r="AD718" s="4"/>
      <c r="AE718" s="4"/>
      <c r="AF718" s="4" t="str">
        <f>IFERROR(__xludf.DUMMYFUNCTION("""COMPUTED_VALUE"""),"BELUM")</f>
        <v>BELUM</v>
      </c>
      <c r="AG718" s="6">
        <f>IFERROR(__xludf.DUMMYFUNCTION("""COMPUTED_VALUE"""),46094.0)</f>
        <v>46094</v>
      </c>
      <c r="AH718" s="4"/>
      <c r="AI718" s="4"/>
    </row>
    <row r="719" ht="15.75" customHeight="1">
      <c r="A719" s="4" t="str">
        <f>IFERROR(__xludf.DUMMYFUNCTION("""COMPUTED_VALUE"""),"a522e262")</f>
        <v>a522e262</v>
      </c>
      <c r="B719" s="5">
        <f>IFERROR(__xludf.DUMMYFUNCTION("""COMPUTED_VALUE"""),46094.85738425926)</f>
        <v>46094.85738</v>
      </c>
      <c r="C719" s="4" t="str">
        <f>IFERROR(__xludf.DUMMYFUNCTION("""COMPUTED_VALUE"""),"-6.927899, 107.665601")</f>
        <v>-6.927899, 107.665601</v>
      </c>
      <c r="D719" s="4" t="str">
        <f>IFERROR(__xludf.DUMMYFUNCTION("""COMPUTED_VALUE"""),"Angga sandi")</f>
        <v>Angga sandi</v>
      </c>
      <c r="E719" s="4" t="str">
        <f>IFERROR(__xludf.DUMMYFUNCTION("""COMPUTED_VALUE"""),"BANDUNG")</f>
        <v>BANDUNG</v>
      </c>
      <c r="F719" s="4" t="str">
        <f>IFERROR(__xludf.DUMMYFUNCTION("""COMPUTED_VALUE"""),"BANDUNG TIMUR")</f>
        <v>BANDUNG TIMUR</v>
      </c>
      <c r="G719" s="4" t="str">
        <f>IFERROR(__xludf.DUMMYFUNCTION("""COMPUTED_VALUE"""),"KIARACONDONG")</f>
        <v>KIARACONDONG</v>
      </c>
      <c r="H719" s="4" t="str">
        <f>IFERROR(__xludf.DUMMYFUNCTION("""COMPUTED_VALUE"""),"KKH")</f>
        <v>KKH</v>
      </c>
      <c r="I719" s="4" t="str">
        <f>IFERROR(__xludf.DUMMYFUNCTION("""COMPUTED_VALUE"""),"ATPY-RDW")</f>
        <v>ATPY-RDW</v>
      </c>
      <c r="J719" s="4" t="str">
        <f>IFERROR(__xludf.DUMMYFUNCTION("""COMPUTED_VALUE"""),"ZONA 2")</f>
        <v>ZONA 2</v>
      </c>
      <c r="K719" s="4" t="str">
        <f>IFERROR(__xludf.DUMMYFUNCTION("""COMPUTED_VALUE"""),"087R03")</f>
        <v>087R03</v>
      </c>
      <c r="L719" s="4" t="str">
        <f>IFERROR(__xludf.DUMMYFUNCTION("""COMPUTED_VALUE"""),"TM - 4BC/HC (Afspan dengan CO)")</f>
        <v>TM - 4BC/HC (Afspan dengan CO)</v>
      </c>
      <c r="M719" s="4" t="str">
        <f>IFERROR(__xludf.DUMMYFUNCTION("""COMPUTED_VALUE"""),"FCO")</f>
        <v>FCO</v>
      </c>
      <c r="N719" s="4" t="str">
        <f>IFERROR(__xludf.DUMMYFUNCTION("""COMPUTED_VALUE"""),"FCO")</f>
        <v>FCO</v>
      </c>
      <c r="O719" s="4" t="str">
        <f>IFERROR(__xludf.DUMMYFUNCTION("""COMPUTED_VALUE"""),"PEMBANDING SEJENIS")</f>
        <v>PEMBANDING SEJENIS</v>
      </c>
      <c r="P719" s="4" t="str">
        <f>IFERROR(__xludf.DUMMYFUNCTION("""COMPUTED_VALUE"""),"FCO")</f>
        <v>FCO</v>
      </c>
      <c r="Q719" s="4">
        <f>IFERROR(__xludf.DUMMYFUNCTION("""COMPUTED_VALUE"""),21.5)</f>
        <v>21.5</v>
      </c>
      <c r="R719" s="4">
        <f>IFERROR(__xludf.DUMMYFUNCTION("""COMPUTED_VALUE"""),18.6)</f>
        <v>18.6</v>
      </c>
      <c r="S719" s="4">
        <f>IFERROR(__xludf.DUMMYFUNCTION("""COMPUTED_VALUE"""),19.6)</f>
        <v>19.6</v>
      </c>
      <c r="T719" s="4"/>
      <c r="U719" s="4" t="str">
        <f>IFERROR(__xludf.DUMMYFUNCTION("""COMPUTED_VALUE"""),"BAIK")</f>
        <v>BAIK</v>
      </c>
      <c r="V719" s="4" t="str">
        <f>IFERROR(__xludf.DUMMYFUNCTION("""COMPUTED_VALUE"""),"Tidak Ada")</f>
        <v>Tidak Ada</v>
      </c>
      <c r="W719" s="4"/>
      <c r="X719" s="4"/>
      <c r="Y719" s="4"/>
      <c r="Z719" s="4"/>
      <c r="AA719" s="4"/>
      <c r="AB719" s="4"/>
      <c r="AC719" s="4" t="str">
        <f>IFERROR(__xludf.DUMMYFUNCTION("""COMPUTED_VALUE"""),"INSPEKSI SUTM - T2_Images/a522e262.FOTO.133539.jpg")</f>
        <v>INSPEKSI SUTM - T2_Images/a522e262.FOTO.133539.jpg</v>
      </c>
      <c r="AD719" s="4"/>
      <c r="AE719" s="4"/>
      <c r="AF719" s="4" t="str">
        <f>IFERROR(__xludf.DUMMYFUNCTION("""COMPUTED_VALUE"""),"BELUM")</f>
        <v>BELUM</v>
      </c>
      <c r="AG719" s="6">
        <f>IFERROR(__xludf.DUMMYFUNCTION("""COMPUTED_VALUE"""),46094.0)</f>
        <v>46094</v>
      </c>
      <c r="AH719" s="4"/>
      <c r="AI719" s="4"/>
    </row>
    <row r="720" ht="15.75" customHeight="1">
      <c r="A720" s="4" t="str">
        <f>IFERROR(__xludf.DUMMYFUNCTION("""COMPUTED_VALUE"""),"31370422")</f>
        <v>31370422</v>
      </c>
      <c r="B720" s="5">
        <f>IFERROR(__xludf.DUMMYFUNCTION("""COMPUTED_VALUE"""),46094.85854166667)</f>
        <v>46094.85854</v>
      </c>
      <c r="C720" s="4" t="str">
        <f>IFERROR(__xludf.DUMMYFUNCTION("""COMPUTED_VALUE"""),"-6.929126, 107.665054")</f>
        <v>-6.929126, 107.665054</v>
      </c>
      <c r="D720" s="4" t="str">
        <f>IFERROR(__xludf.DUMMYFUNCTION("""COMPUTED_VALUE"""),"Angga sandi")</f>
        <v>Angga sandi</v>
      </c>
      <c r="E720" s="4" t="str">
        <f>IFERROR(__xludf.DUMMYFUNCTION("""COMPUTED_VALUE"""),"BANDUNG")</f>
        <v>BANDUNG</v>
      </c>
      <c r="F720" s="4" t="str">
        <f>IFERROR(__xludf.DUMMYFUNCTION("""COMPUTED_VALUE"""),"BANDUNG TIMUR")</f>
        <v>BANDUNG TIMUR</v>
      </c>
      <c r="G720" s="4" t="str">
        <f>IFERROR(__xludf.DUMMYFUNCTION("""COMPUTED_VALUE"""),"KIARACONDONG")</f>
        <v>KIARACONDONG</v>
      </c>
      <c r="H720" s="4" t="str">
        <f>IFERROR(__xludf.DUMMYFUNCTION("""COMPUTED_VALUE"""),"KKH")</f>
        <v>KKH</v>
      </c>
      <c r="I720" s="4" t="str">
        <f>IFERROR(__xludf.DUMMYFUNCTION("""COMPUTED_VALUE"""),"ATPY-RDW")</f>
        <v>ATPY-RDW</v>
      </c>
      <c r="J720" s="4" t="str">
        <f>IFERROR(__xludf.DUMMYFUNCTION("""COMPUTED_VALUE"""),"ZONA 2")</f>
        <v>ZONA 2</v>
      </c>
      <c r="K720" s="4" t="str">
        <f>IFERROR(__xludf.DUMMYFUNCTION("""COMPUTED_VALUE"""),"087R06")</f>
        <v>087R06</v>
      </c>
      <c r="L720" s="4" t="str">
        <f>IFERROR(__xludf.DUMMYFUNCTION("""COMPUTED_VALUE"""),"TM - 1B/H (Tumpu)")</f>
        <v>TM - 1B/H (Tumpu)</v>
      </c>
      <c r="M720" s="4" t="str">
        <f>IFERROR(__xludf.DUMMYFUNCTION("""COMPUTED_VALUE"""),"Tidak Ada")</f>
        <v>Tidak Ada</v>
      </c>
      <c r="N720" s="4"/>
      <c r="O720" s="4" t="str">
        <f>IFERROR(__xludf.DUMMYFUNCTION("""COMPUTED_VALUE"""),"PEMBANDING SEJENIS")</f>
        <v>PEMBANDING SEJENIS</v>
      </c>
      <c r="P720" s="4" t="str">
        <f>IFERROR(__xludf.DUMMYFUNCTION("""COMPUTED_VALUE"""),"ARRESTER")</f>
        <v>ARRESTER</v>
      </c>
      <c r="Q720" s="4">
        <f>IFERROR(__xludf.DUMMYFUNCTION("""COMPUTED_VALUE"""),22.7)</f>
        <v>22.7</v>
      </c>
      <c r="R720" s="4">
        <f>IFERROR(__xludf.DUMMYFUNCTION("""COMPUTED_VALUE"""),22.5)</f>
        <v>22.5</v>
      </c>
      <c r="S720" s="4">
        <f>IFERROR(__xludf.DUMMYFUNCTION("""COMPUTED_VALUE"""),22.5)</f>
        <v>22.5</v>
      </c>
      <c r="T720" s="4"/>
      <c r="U720" s="4" t="str">
        <f>IFERROR(__xludf.DUMMYFUNCTION("""COMPUTED_VALUE"""),"BAIK")</f>
        <v>BAIK</v>
      </c>
      <c r="V720" s="4" t="str">
        <f>IFERROR(__xludf.DUMMYFUNCTION("""COMPUTED_VALUE"""),"Tidak Ada")</f>
        <v>Tidak Ada</v>
      </c>
      <c r="W720" s="4"/>
      <c r="X720" s="4"/>
      <c r="Y720" s="4"/>
      <c r="Z720" s="4"/>
      <c r="AA720" s="4"/>
      <c r="AB720" s="4"/>
      <c r="AC720" s="4" t="str">
        <f>IFERROR(__xludf.DUMMYFUNCTION("""COMPUTED_VALUE"""),"INSPEKSI SUTM - T2_Images/31370422.FOTO.133701.jpg")</f>
        <v>INSPEKSI SUTM - T2_Images/31370422.FOTO.133701.jpg</v>
      </c>
      <c r="AD720" s="4"/>
      <c r="AE720" s="4"/>
      <c r="AF720" s="4" t="str">
        <f>IFERROR(__xludf.DUMMYFUNCTION("""COMPUTED_VALUE"""),"BELUM")</f>
        <v>BELUM</v>
      </c>
      <c r="AG720" s="6">
        <f>IFERROR(__xludf.DUMMYFUNCTION("""COMPUTED_VALUE"""),46094.0)</f>
        <v>46094</v>
      </c>
      <c r="AH720" s="4"/>
      <c r="AI720" s="4"/>
    </row>
    <row r="721" ht="15.75" customHeight="1">
      <c r="A721" s="4" t="str">
        <f>IFERROR(__xludf.DUMMYFUNCTION("""COMPUTED_VALUE"""),"deb84e9b")</f>
        <v>deb84e9b</v>
      </c>
      <c r="B721" s="5">
        <f>IFERROR(__xludf.DUMMYFUNCTION("""COMPUTED_VALUE"""),46094.859456018516)</f>
        <v>46094.85946</v>
      </c>
      <c r="C721" s="4" t="str">
        <f>IFERROR(__xludf.DUMMYFUNCTION("""COMPUTED_VALUE"""),"-6.929121, 107.665053")</f>
        <v>-6.929121, 107.665053</v>
      </c>
      <c r="D721" s="4" t="str">
        <f>IFERROR(__xludf.DUMMYFUNCTION("""COMPUTED_VALUE"""),"Angga sandi")</f>
        <v>Angga sandi</v>
      </c>
      <c r="E721" s="4" t="str">
        <f>IFERROR(__xludf.DUMMYFUNCTION("""COMPUTED_VALUE"""),"BANDUNG")</f>
        <v>BANDUNG</v>
      </c>
      <c r="F721" s="4" t="str">
        <f>IFERROR(__xludf.DUMMYFUNCTION("""COMPUTED_VALUE"""),"BANDUNG TIMUR")</f>
        <v>BANDUNG TIMUR</v>
      </c>
      <c r="G721" s="4" t="str">
        <f>IFERROR(__xludf.DUMMYFUNCTION("""COMPUTED_VALUE"""),"KIARACONDONG")</f>
        <v>KIARACONDONG</v>
      </c>
      <c r="H721" s="4" t="str">
        <f>IFERROR(__xludf.DUMMYFUNCTION("""COMPUTED_VALUE"""),"KKH")</f>
        <v>KKH</v>
      </c>
      <c r="I721" s="4" t="str">
        <f>IFERROR(__xludf.DUMMYFUNCTION("""COMPUTED_VALUE"""),"ATPY-RDW")</f>
        <v>ATPY-RDW</v>
      </c>
      <c r="J721" s="4" t="str">
        <f>IFERROR(__xludf.DUMMYFUNCTION("""COMPUTED_VALUE"""),"ZONA 2")</f>
        <v>ZONA 2</v>
      </c>
      <c r="K721" s="4" t="str">
        <f>IFERROR(__xludf.DUMMYFUNCTION("""COMPUTED_VALUE"""),"087R15")</f>
        <v>087R15</v>
      </c>
      <c r="L721" s="4" t="str">
        <f>IFERROR(__xludf.DUMMYFUNCTION("""COMPUTED_VALUE"""),"TM - 1B/H (Tumpu)")</f>
        <v>TM - 1B/H (Tumpu)</v>
      </c>
      <c r="M721" s="4" t="str">
        <f>IFERROR(__xludf.DUMMYFUNCTION("""COMPUTED_VALUE"""),"Tidak Ada")</f>
        <v>Tidak Ada</v>
      </c>
      <c r="N721" s="4"/>
      <c r="O721" s="4" t="str">
        <f>IFERROR(__xludf.DUMMYFUNCTION("""COMPUTED_VALUE"""),"PEMBANDING SEJENIS")</f>
        <v>PEMBANDING SEJENIS</v>
      </c>
      <c r="P721" s="4" t="str">
        <f>IFERROR(__xludf.DUMMYFUNCTION("""COMPUTED_VALUE"""),"ARRESTER")</f>
        <v>ARRESTER</v>
      </c>
      <c r="Q721" s="4">
        <f>IFERROR(__xludf.DUMMYFUNCTION("""COMPUTED_VALUE"""),22.5)</f>
        <v>22.5</v>
      </c>
      <c r="R721" s="4">
        <f>IFERROR(__xludf.DUMMYFUNCTION("""COMPUTED_VALUE"""),22.7)</f>
        <v>22.7</v>
      </c>
      <c r="S721" s="4">
        <f>IFERROR(__xludf.DUMMYFUNCTION("""COMPUTED_VALUE"""),22.2)</f>
        <v>22.2</v>
      </c>
      <c r="T721" s="4"/>
      <c r="U721" s="4" t="str">
        <f>IFERROR(__xludf.DUMMYFUNCTION("""COMPUTED_VALUE"""),"BAIK")</f>
        <v>BAIK</v>
      </c>
      <c r="V721" s="4" t="str">
        <f>IFERROR(__xludf.DUMMYFUNCTION("""COMPUTED_VALUE"""),"Tidak Ada")</f>
        <v>Tidak Ada</v>
      </c>
      <c r="W721" s="4"/>
      <c r="X721" s="4"/>
      <c r="Y721" s="4"/>
      <c r="Z721" s="4"/>
      <c r="AA721" s="4"/>
      <c r="AB721" s="4"/>
      <c r="AC721" s="4" t="str">
        <f>IFERROR(__xludf.DUMMYFUNCTION("""COMPUTED_VALUE"""),"INSPEKSI SUTM - T2_Images/deb84e9b.FOTO.133822.jpg")</f>
        <v>INSPEKSI SUTM - T2_Images/deb84e9b.FOTO.133822.jpg</v>
      </c>
      <c r="AD721" s="4"/>
      <c r="AE721" s="4"/>
      <c r="AF721" s="4" t="str">
        <f>IFERROR(__xludf.DUMMYFUNCTION("""COMPUTED_VALUE"""),"BELUM")</f>
        <v>BELUM</v>
      </c>
      <c r="AG721" s="6">
        <f>IFERROR(__xludf.DUMMYFUNCTION("""COMPUTED_VALUE"""),46094.0)</f>
        <v>46094</v>
      </c>
      <c r="AH721" s="4"/>
      <c r="AI721" s="4"/>
    </row>
    <row r="722" ht="15.75" customHeight="1">
      <c r="A722" s="4" t="str">
        <f>IFERROR(__xludf.DUMMYFUNCTION("""COMPUTED_VALUE"""),"367a9b69")</f>
        <v>367a9b69</v>
      </c>
      <c r="B722" s="5">
        <f>IFERROR(__xludf.DUMMYFUNCTION("""COMPUTED_VALUE"""),46094.84950231481)</f>
        <v>46094.8495</v>
      </c>
      <c r="C722" s="4" t="str">
        <f>IFERROR(__xludf.DUMMYFUNCTION("""COMPUTED_VALUE"""),"-6.949057, 107.611674")</f>
        <v>-6.949057, 107.611674</v>
      </c>
      <c r="D722" s="4" t="str">
        <f>IFERROR(__xludf.DUMMYFUNCTION("""COMPUTED_VALUE"""),"Nugi Firman")</f>
        <v>Nugi Firman</v>
      </c>
      <c r="E722" s="4" t="str">
        <f>IFERROR(__xludf.DUMMYFUNCTION("""COMPUTED_VALUE"""),"BANDUNG")</f>
        <v>BANDUNG</v>
      </c>
      <c r="F722" s="4" t="str">
        <f>IFERROR(__xludf.DUMMYFUNCTION("""COMPUTED_VALUE"""),"BANDUNG SELATAN")</f>
        <v>BANDUNG SELATAN</v>
      </c>
      <c r="G722" s="4" t="str">
        <f>IFERROR(__xludf.DUMMYFUNCTION("""COMPUTED_VALUE"""),"GI DAYEUHKOLOT")</f>
        <v>GI DAYEUHKOLOT</v>
      </c>
      <c r="H722" s="4" t="str">
        <f>IFERROR(__xludf.DUMMYFUNCTION("""COMPUTED_VALUE"""),"DYPI")</f>
        <v>DYPI</v>
      </c>
      <c r="I722" s="4" t="str">
        <f>IFERROR(__xludf.DUMMYFUNCTION("""COMPUTED_VALUE"""),"KP.PLI - LBS BJSF")</f>
        <v>KP.PLI - LBS BJSF</v>
      </c>
      <c r="J722" s="4" t="str">
        <f>IFERROR(__xludf.DUMMYFUNCTION("""COMPUTED_VALUE"""),"ZONA 2")</f>
        <v>ZONA 2</v>
      </c>
      <c r="K722" s="4" t="str">
        <f>IFERROR(__xludf.DUMMYFUNCTION("""COMPUTED_VALUE"""),"001")</f>
        <v>001</v>
      </c>
      <c r="L722" s="4" t="str">
        <f>IFERROR(__xludf.DUMMYFUNCTION("""COMPUTED_VALUE"""),"TM - 11B/H (Kabel Naik)")</f>
        <v>TM - 11B/H (Kabel Naik)</v>
      </c>
      <c r="M722" s="4" t="str">
        <f>IFERROR(__xludf.DUMMYFUNCTION("""COMPUTED_VALUE"""),"Tidak Ada")</f>
        <v>Tidak Ada</v>
      </c>
      <c r="N722" s="4"/>
      <c r="O722" s="4" t="str">
        <f>IFERROR(__xludf.DUMMYFUNCTION("""COMPUTED_VALUE"""),"PEMBANDING SEJENIS")</f>
        <v>PEMBANDING SEJENIS</v>
      </c>
      <c r="P722" s="4" t="str">
        <f>IFERROR(__xludf.DUMMYFUNCTION("""COMPUTED_VALUE"""),"KONEKTOR/JUMPER")</f>
        <v>KONEKTOR/JUMPER</v>
      </c>
      <c r="Q722" s="4">
        <f>IFERROR(__xludf.DUMMYFUNCTION("""COMPUTED_VALUE"""),20.0)</f>
        <v>20</v>
      </c>
      <c r="R722" s="4">
        <f>IFERROR(__xludf.DUMMYFUNCTION("""COMPUTED_VALUE"""),21.0)</f>
        <v>21</v>
      </c>
      <c r="S722" s="4">
        <f>IFERROR(__xludf.DUMMYFUNCTION("""COMPUTED_VALUE"""),20.0)</f>
        <v>20</v>
      </c>
      <c r="T722" s="4"/>
      <c r="U722" s="4" t="str">
        <f>IFERROR(__xludf.DUMMYFUNCTION("""COMPUTED_VALUE"""),"BAIK")</f>
        <v>BAIK</v>
      </c>
      <c r="V722" s="4" t="str">
        <f>IFERROR(__xludf.DUMMYFUNCTION("""COMPUTED_VALUE"""),"Tidak Ada")</f>
        <v>Tidak Ada</v>
      </c>
      <c r="W722" s="4"/>
      <c r="X722" s="4"/>
      <c r="Y722" s="4"/>
      <c r="Z722" s="4"/>
      <c r="AA722" s="4"/>
      <c r="AB722" s="4"/>
      <c r="AC722" s="4" t="str">
        <f>IFERROR(__xludf.DUMMYFUNCTION("""COMPUTED_VALUE"""),"INSPEKSI SUTM - T2_Images/367a9b69.FOTO.134217.jpg")</f>
        <v>INSPEKSI SUTM - T2_Images/367a9b69.FOTO.134217.jpg</v>
      </c>
      <c r="AD722" s="4"/>
      <c r="AE722" s="4"/>
      <c r="AF722" s="4" t="str">
        <f>IFERROR(__xludf.DUMMYFUNCTION("""COMPUTED_VALUE"""),"BELUM")</f>
        <v>BELUM</v>
      </c>
      <c r="AG722" s="6">
        <f>IFERROR(__xludf.DUMMYFUNCTION("""COMPUTED_VALUE"""),46094.0)</f>
        <v>46094</v>
      </c>
      <c r="AH722" s="4"/>
      <c r="AI722" s="4"/>
    </row>
    <row r="723" ht="15.75" customHeight="1">
      <c r="A723" s="4" t="str">
        <f>IFERROR(__xludf.DUMMYFUNCTION("""COMPUTED_VALUE"""),"acf208e3")</f>
        <v>acf208e3</v>
      </c>
      <c r="B723" s="5">
        <f>IFERROR(__xludf.DUMMYFUNCTION("""COMPUTED_VALUE"""),46094.85013888889)</f>
        <v>46094.85014</v>
      </c>
      <c r="C723" s="4" t="str">
        <f>IFERROR(__xludf.DUMMYFUNCTION("""COMPUTED_VALUE"""),"-6.949056, 107.611679")</f>
        <v>-6.949056, 107.611679</v>
      </c>
      <c r="D723" s="4" t="str">
        <f>IFERROR(__xludf.DUMMYFUNCTION("""COMPUTED_VALUE"""),"Nugi Firman")</f>
        <v>Nugi Firman</v>
      </c>
      <c r="E723" s="4" t="str">
        <f>IFERROR(__xludf.DUMMYFUNCTION("""COMPUTED_VALUE"""),"BANDUNG")</f>
        <v>BANDUNG</v>
      </c>
      <c r="F723" s="4" t="str">
        <f>IFERROR(__xludf.DUMMYFUNCTION("""COMPUTED_VALUE"""),"BANDUNG SELATAN")</f>
        <v>BANDUNG SELATAN</v>
      </c>
      <c r="G723" s="4" t="str">
        <f>IFERROR(__xludf.DUMMYFUNCTION("""COMPUTED_VALUE"""),"GI DAYEUHKOLOT")</f>
        <v>GI DAYEUHKOLOT</v>
      </c>
      <c r="H723" s="4" t="str">
        <f>IFERROR(__xludf.DUMMYFUNCTION("""COMPUTED_VALUE"""),"DYPI")</f>
        <v>DYPI</v>
      </c>
      <c r="I723" s="4" t="str">
        <f>IFERROR(__xludf.DUMMYFUNCTION("""COMPUTED_VALUE"""),"KP.PLI - LBS BJSF")</f>
        <v>KP.PLI - LBS BJSF</v>
      </c>
      <c r="J723" s="4" t="str">
        <f>IFERROR(__xludf.DUMMYFUNCTION("""COMPUTED_VALUE"""),"ZONA 2")</f>
        <v>ZONA 2</v>
      </c>
      <c r="K723" s="4" t="str">
        <f>IFERROR(__xludf.DUMMYFUNCTION("""COMPUTED_VALUE"""),"002")</f>
        <v>002</v>
      </c>
      <c r="L723" s="4" t="str">
        <f>IFERROR(__xludf.DUMMYFUNCTION("""COMPUTED_VALUE"""),"TM - 7B/H (Afspan 90 Derajat)")</f>
        <v>TM - 7B/H (Afspan 90 Derajat)</v>
      </c>
      <c r="M723" s="4" t="str">
        <f>IFERROR(__xludf.DUMMYFUNCTION("""COMPUTED_VALUE"""),"Tidak Ada")</f>
        <v>Tidak Ada</v>
      </c>
      <c r="N723" s="4"/>
      <c r="O723" s="4" t="str">
        <f>IFERROR(__xludf.DUMMYFUNCTION("""COMPUTED_VALUE"""),"PEMBANDING SEJENIS")</f>
        <v>PEMBANDING SEJENIS</v>
      </c>
      <c r="P723" s="4" t="str">
        <f>IFERROR(__xludf.DUMMYFUNCTION("""COMPUTED_VALUE"""),"KONEKTOR/JUMPER")</f>
        <v>KONEKTOR/JUMPER</v>
      </c>
      <c r="Q723" s="4">
        <f>IFERROR(__xludf.DUMMYFUNCTION("""COMPUTED_VALUE"""),19.0)</f>
        <v>19</v>
      </c>
      <c r="R723" s="4">
        <f>IFERROR(__xludf.DUMMYFUNCTION("""COMPUTED_VALUE"""),20.0)</f>
        <v>20</v>
      </c>
      <c r="S723" s="4">
        <f>IFERROR(__xludf.DUMMYFUNCTION("""COMPUTED_VALUE"""),20.0)</f>
        <v>20</v>
      </c>
      <c r="T723" s="4"/>
      <c r="U723" s="4" t="str">
        <f>IFERROR(__xludf.DUMMYFUNCTION("""COMPUTED_VALUE"""),"BAIK")</f>
        <v>BAIK</v>
      </c>
      <c r="V723" s="4" t="str">
        <f>IFERROR(__xludf.DUMMYFUNCTION("""COMPUTED_VALUE"""),"Tidak Ada")</f>
        <v>Tidak Ada</v>
      </c>
      <c r="W723" s="4"/>
      <c r="X723" s="4"/>
      <c r="Y723" s="4"/>
      <c r="Z723" s="4"/>
      <c r="AA723" s="4"/>
      <c r="AB723" s="4"/>
      <c r="AC723" s="4" t="str">
        <f>IFERROR(__xludf.DUMMYFUNCTION("""COMPUTED_VALUE"""),"INSPEKSI SUTM - T2_Images/acf208e3.FOTO.134224.jpg")</f>
        <v>INSPEKSI SUTM - T2_Images/acf208e3.FOTO.134224.jpg</v>
      </c>
      <c r="AD723" s="4"/>
      <c r="AE723" s="4"/>
      <c r="AF723" s="4" t="str">
        <f>IFERROR(__xludf.DUMMYFUNCTION("""COMPUTED_VALUE"""),"BELUM")</f>
        <v>BELUM</v>
      </c>
      <c r="AG723" s="6">
        <f>IFERROR(__xludf.DUMMYFUNCTION("""COMPUTED_VALUE"""),46094.0)</f>
        <v>46094</v>
      </c>
      <c r="AH723" s="4"/>
      <c r="AI723" s="4"/>
    </row>
    <row r="724" ht="15.75" customHeight="1">
      <c r="A724" s="4" t="str">
        <f>IFERROR(__xludf.DUMMYFUNCTION("""COMPUTED_VALUE"""),"33931df1")</f>
        <v>33931df1</v>
      </c>
      <c r="B724" s="5">
        <f>IFERROR(__xludf.DUMMYFUNCTION("""COMPUTED_VALUE"""),46094.8506712963)</f>
        <v>46094.85067</v>
      </c>
      <c r="C724" s="4" t="str">
        <f>IFERROR(__xludf.DUMMYFUNCTION("""COMPUTED_VALUE"""),"-6.949091, 107.611683")</f>
        <v>-6.949091, 107.611683</v>
      </c>
      <c r="D724" s="4" t="str">
        <f>IFERROR(__xludf.DUMMYFUNCTION("""COMPUTED_VALUE"""),"Nugi Firman")</f>
        <v>Nugi Firman</v>
      </c>
      <c r="E724" s="4" t="str">
        <f>IFERROR(__xludf.DUMMYFUNCTION("""COMPUTED_VALUE"""),"BANDUNG")</f>
        <v>BANDUNG</v>
      </c>
      <c r="F724" s="4" t="str">
        <f>IFERROR(__xludf.DUMMYFUNCTION("""COMPUTED_VALUE"""),"BANDUNG SELATAN")</f>
        <v>BANDUNG SELATAN</v>
      </c>
      <c r="G724" s="4" t="str">
        <f>IFERROR(__xludf.DUMMYFUNCTION("""COMPUTED_VALUE"""),"GI DAYEUHKOLOT")</f>
        <v>GI DAYEUHKOLOT</v>
      </c>
      <c r="H724" s="4" t="str">
        <f>IFERROR(__xludf.DUMMYFUNCTION("""COMPUTED_VALUE"""),"DYPI")</f>
        <v>DYPI</v>
      </c>
      <c r="I724" s="4" t="str">
        <f>IFERROR(__xludf.DUMMYFUNCTION("""COMPUTED_VALUE"""),"KP.PLI - LBS BJSF")</f>
        <v>KP.PLI - LBS BJSF</v>
      </c>
      <c r="J724" s="4" t="str">
        <f>IFERROR(__xludf.DUMMYFUNCTION("""COMPUTED_VALUE"""),"ZONA 2")</f>
        <v>ZONA 2</v>
      </c>
      <c r="K724" s="4" t="str">
        <f>IFERROR(__xludf.DUMMYFUNCTION("""COMPUTED_VALUE"""),"004")</f>
        <v>004</v>
      </c>
      <c r="L724" s="4" t="str">
        <f>IFERROR(__xludf.DUMMYFUNCTION("""COMPUTED_VALUE"""),"TM - 1B/H (Tumpu)")</f>
        <v>TM - 1B/H (Tumpu)</v>
      </c>
      <c r="M724" s="4" t="str">
        <f>IFERROR(__xludf.DUMMYFUNCTION("""COMPUTED_VALUE"""),"Tidak Ada")</f>
        <v>Tidak Ada</v>
      </c>
      <c r="N724" s="4"/>
      <c r="O724" s="4" t="str">
        <f>IFERROR(__xludf.DUMMYFUNCTION("""COMPUTED_VALUE"""),"PEMBANDING SEJENIS")</f>
        <v>PEMBANDING SEJENIS</v>
      </c>
      <c r="P724" s="4" t="str">
        <f>IFERROR(__xludf.DUMMYFUNCTION("""COMPUTED_VALUE"""),"ARRESTER")</f>
        <v>ARRESTER</v>
      </c>
      <c r="Q724" s="4">
        <f>IFERROR(__xludf.DUMMYFUNCTION("""COMPUTED_VALUE"""),19.0)</f>
        <v>19</v>
      </c>
      <c r="R724" s="4">
        <f>IFERROR(__xludf.DUMMYFUNCTION("""COMPUTED_VALUE"""),19.0)</f>
        <v>19</v>
      </c>
      <c r="S724" s="4">
        <f>IFERROR(__xludf.DUMMYFUNCTION("""COMPUTED_VALUE"""),19.0)</f>
        <v>19</v>
      </c>
      <c r="T724" s="4"/>
      <c r="U724" s="4" t="str">
        <f>IFERROR(__xludf.DUMMYFUNCTION("""COMPUTED_VALUE"""),"BAIK")</f>
        <v>BAIK</v>
      </c>
      <c r="V724" s="4" t="str">
        <f>IFERROR(__xludf.DUMMYFUNCTION("""COMPUTED_VALUE"""),"Tidak Ada")</f>
        <v>Tidak Ada</v>
      </c>
      <c r="W724" s="4"/>
      <c r="X724" s="4"/>
      <c r="Y724" s="4"/>
      <c r="Z724" s="4"/>
      <c r="AA724" s="4"/>
      <c r="AB724" s="4"/>
      <c r="AC724" s="4" t="str">
        <f>IFERROR(__xludf.DUMMYFUNCTION("""COMPUTED_VALUE"""),"INSPEKSI SUTM - T2_Images/33931df1.FOTO.134228.jpg")</f>
        <v>INSPEKSI SUTM - T2_Images/33931df1.FOTO.134228.jpg</v>
      </c>
      <c r="AD724" s="4"/>
      <c r="AE724" s="4"/>
      <c r="AF724" s="4" t="str">
        <f>IFERROR(__xludf.DUMMYFUNCTION("""COMPUTED_VALUE"""),"BELUM")</f>
        <v>BELUM</v>
      </c>
      <c r="AG724" s="6">
        <f>IFERROR(__xludf.DUMMYFUNCTION("""COMPUTED_VALUE"""),46094.0)</f>
        <v>46094</v>
      </c>
      <c r="AH724" s="4"/>
      <c r="AI724" s="4"/>
    </row>
    <row r="725" ht="15.75" customHeight="1">
      <c r="A725" s="4" t="str">
        <f>IFERROR(__xludf.DUMMYFUNCTION("""COMPUTED_VALUE"""),"9477e7fa")</f>
        <v>9477e7fa</v>
      </c>
      <c r="B725" s="5">
        <f>IFERROR(__xludf.DUMMYFUNCTION("""COMPUTED_VALUE"""),46094.851122685184)</f>
        <v>46094.85112</v>
      </c>
      <c r="C725" s="4" t="str">
        <f>IFERROR(__xludf.DUMMYFUNCTION("""COMPUTED_VALUE"""),"-6.949170, 107.611705")</f>
        <v>-6.949170, 107.611705</v>
      </c>
      <c r="D725" s="4" t="str">
        <f>IFERROR(__xludf.DUMMYFUNCTION("""COMPUTED_VALUE"""),"Nugi Firman")</f>
        <v>Nugi Firman</v>
      </c>
      <c r="E725" s="4" t="str">
        <f>IFERROR(__xludf.DUMMYFUNCTION("""COMPUTED_VALUE"""),"BANDUNG")</f>
        <v>BANDUNG</v>
      </c>
      <c r="F725" s="4" t="str">
        <f>IFERROR(__xludf.DUMMYFUNCTION("""COMPUTED_VALUE"""),"BANDUNG SELATAN")</f>
        <v>BANDUNG SELATAN</v>
      </c>
      <c r="G725" s="4" t="str">
        <f>IFERROR(__xludf.DUMMYFUNCTION("""COMPUTED_VALUE"""),"GI DAYEUHKOLOT")</f>
        <v>GI DAYEUHKOLOT</v>
      </c>
      <c r="H725" s="4" t="str">
        <f>IFERROR(__xludf.DUMMYFUNCTION("""COMPUTED_VALUE"""),"DYPI")</f>
        <v>DYPI</v>
      </c>
      <c r="I725" s="4" t="str">
        <f>IFERROR(__xludf.DUMMYFUNCTION("""COMPUTED_VALUE"""),"KP.PLI - LBS BJSF")</f>
        <v>KP.PLI - LBS BJSF</v>
      </c>
      <c r="J725" s="4" t="str">
        <f>IFERROR(__xludf.DUMMYFUNCTION("""COMPUTED_VALUE"""),"ZONA 2")</f>
        <v>ZONA 2</v>
      </c>
      <c r="K725" s="4" t="str">
        <f>IFERROR(__xludf.DUMMYFUNCTION("""COMPUTED_VALUE"""),"005")</f>
        <v>005</v>
      </c>
      <c r="L725" s="4" t="str">
        <f>IFERROR(__xludf.DUMMYFUNCTION("""COMPUTED_VALUE"""),"TM - 4B/H (Afspan)")</f>
        <v>TM - 4B/H (Afspan)</v>
      </c>
      <c r="M725" s="4" t="str">
        <f>IFERROR(__xludf.DUMMYFUNCTION("""COMPUTED_VALUE"""),"Tidak Ada")</f>
        <v>Tidak Ada</v>
      </c>
      <c r="N725" s="4"/>
      <c r="O725" s="4" t="str">
        <f>IFERROR(__xludf.DUMMYFUNCTION("""COMPUTED_VALUE"""),"PEMBANDING SEJENIS")</f>
        <v>PEMBANDING SEJENIS</v>
      </c>
      <c r="P725" s="4" t="str">
        <f>IFERROR(__xludf.DUMMYFUNCTION("""COMPUTED_VALUE"""),"KONEKTOR/JUMPER")</f>
        <v>KONEKTOR/JUMPER</v>
      </c>
      <c r="Q725" s="4">
        <f>IFERROR(__xludf.DUMMYFUNCTION("""COMPUTED_VALUE"""),19.0)</f>
        <v>19</v>
      </c>
      <c r="R725" s="4">
        <f>IFERROR(__xludf.DUMMYFUNCTION("""COMPUTED_VALUE"""),19.0)</f>
        <v>19</v>
      </c>
      <c r="S725" s="4">
        <f>IFERROR(__xludf.DUMMYFUNCTION("""COMPUTED_VALUE"""),19.0)</f>
        <v>19</v>
      </c>
      <c r="T725" s="4"/>
      <c r="U725" s="4" t="str">
        <f>IFERROR(__xludf.DUMMYFUNCTION("""COMPUTED_VALUE"""),"BAIK")</f>
        <v>BAIK</v>
      </c>
      <c r="V725" s="4" t="str">
        <f>IFERROR(__xludf.DUMMYFUNCTION("""COMPUTED_VALUE"""),"Tidak Ada")</f>
        <v>Tidak Ada</v>
      </c>
      <c r="W725" s="4"/>
      <c r="X725" s="4"/>
      <c r="Y725" s="4"/>
      <c r="Z725" s="4"/>
      <c r="AA725" s="4"/>
      <c r="AB725" s="4"/>
      <c r="AC725" s="4" t="str">
        <f>IFERROR(__xludf.DUMMYFUNCTION("""COMPUTED_VALUE"""),"INSPEKSI SUTM - T2_Images/9477e7fa.FOTO.134233.jpg")</f>
        <v>INSPEKSI SUTM - T2_Images/9477e7fa.FOTO.134233.jpg</v>
      </c>
      <c r="AD725" s="4"/>
      <c r="AE725" s="4"/>
      <c r="AF725" s="4" t="str">
        <f>IFERROR(__xludf.DUMMYFUNCTION("""COMPUTED_VALUE"""),"BELUM")</f>
        <v>BELUM</v>
      </c>
      <c r="AG725" s="6">
        <f>IFERROR(__xludf.DUMMYFUNCTION("""COMPUTED_VALUE"""),46094.0)</f>
        <v>46094</v>
      </c>
      <c r="AH725" s="4"/>
      <c r="AI725" s="4"/>
    </row>
    <row r="726" ht="15.75" customHeight="1">
      <c r="A726" s="4" t="str">
        <f>IFERROR(__xludf.DUMMYFUNCTION("""COMPUTED_VALUE"""),"5127efbf")</f>
        <v>5127efbf</v>
      </c>
      <c r="B726" s="5">
        <f>IFERROR(__xludf.DUMMYFUNCTION("""COMPUTED_VALUE"""),46094.851585648146)</f>
        <v>46094.85159</v>
      </c>
      <c r="C726" s="4" t="str">
        <f>IFERROR(__xludf.DUMMYFUNCTION("""COMPUTED_VALUE"""),"-6.949115, 107.611701")</f>
        <v>-6.949115, 107.611701</v>
      </c>
      <c r="D726" s="4" t="str">
        <f>IFERROR(__xludf.DUMMYFUNCTION("""COMPUTED_VALUE"""),"Nugi Firman")</f>
        <v>Nugi Firman</v>
      </c>
      <c r="E726" s="4" t="str">
        <f>IFERROR(__xludf.DUMMYFUNCTION("""COMPUTED_VALUE"""),"BANDUNG")</f>
        <v>BANDUNG</v>
      </c>
      <c r="F726" s="4" t="str">
        <f>IFERROR(__xludf.DUMMYFUNCTION("""COMPUTED_VALUE"""),"BANDUNG SELATAN")</f>
        <v>BANDUNG SELATAN</v>
      </c>
      <c r="G726" s="4" t="str">
        <f>IFERROR(__xludf.DUMMYFUNCTION("""COMPUTED_VALUE"""),"GI DAYEUHKOLOT")</f>
        <v>GI DAYEUHKOLOT</v>
      </c>
      <c r="H726" s="4" t="str">
        <f>IFERROR(__xludf.DUMMYFUNCTION("""COMPUTED_VALUE"""),"DYPI")</f>
        <v>DYPI</v>
      </c>
      <c r="I726" s="4" t="str">
        <f>IFERROR(__xludf.DUMMYFUNCTION("""COMPUTED_VALUE"""),"KP.PLI - LBS BJSF")</f>
        <v>KP.PLI - LBS BJSF</v>
      </c>
      <c r="J726" s="4" t="str">
        <f>IFERROR(__xludf.DUMMYFUNCTION("""COMPUTED_VALUE"""),"ZONA 2")</f>
        <v>ZONA 2</v>
      </c>
      <c r="K726" s="4" t="str">
        <f>IFERROR(__xludf.DUMMYFUNCTION("""COMPUTED_VALUE"""),"007")</f>
        <v>007</v>
      </c>
      <c r="L726" s="4" t="str">
        <f>IFERROR(__xludf.DUMMYFUNCTION("""COMPUTED_VALUE"""),"TM - 1B/H (Tumpu)")</f>
        <v>TM - 1B/H (Tumpu)</v>
      </c>
      <c r="M726" s="4" t="str">
        <f>IFERROR(__xludf.DUMMYFUNCTION("""COMPUTED_VALUE"""),"Tidak Ada")</f>
        <v>Tidak Ada</v>
      </c>
      <c r="N726" s="4"/>
      <c r="O726" s="4" t="str">
        <f>IFERROR(__xludf.DUMMYFUNCTION("""COMPUTED_VALUE"""),"PEMBANDING SEJENIS")</f>
        <v>PEMBANDING SEJENIS</v>
      </c>
      <c r="P726" s="4" t="str">
        <f>IFERROR(__xludf.DUMMYFUNCTION("""COMPUTED_VALUE"""),"ARRESTER")</f>
        <v>ARRESTER</v>
      </c>
      <c r="Q726" s="4">
        <f>IFERROR(__xludf.DUMMYFUNCTION("""COMPUTED_VALUE"""),20.0)</f>
        <v>20</v>
      </c>
      <c r="R726" s="4">
        <f>IFERROR(__xludf.DUMMYFUNCTION("""COMPUTED_VALUE"""),20.0)</f>
        <v>20</v>
      </c>
      <c r="S726" s="4">
        <f>IFERROR(__xludf.DUMMYFUNCTION("""COMPUTED_VALUE"""),20.0)</f>
        <v>20</v>
      </c>
      <c r="T726" s="4"/>
      <c r="U726" s="4" t="str">
        <f>IFERROR(__xludf.DUMMYFUNCTION("""COMPUTED_VALUE"""),"BAIK")</f>
        <v>BAIK</v>
      </c>
      <c r="V726" s="4" t="str">
        <f>IFERROR(__xludf.DUMMYFUNCTION("""COMPUTED_VALUE"""),"Tidak Ada")</f>
        <v>Tidak Ada</v>
      </c>
      <c r="W726" s="4"/>
      <c r="X726" s="4"/>
      <c r="Y726" s="4"/>
      <c r="Z726" s="4"/>
      <c r="AA726" s="4"/>
      <c r="AB726" s="4"/>
      <c r="AC726" s="4" t="str">
        <f>IFERROR(__xludf.DUMMYFUNCTION("""COMPUTED_VALUE"""),"INSPEKSI SUTM - T2_Images/5127efbf.FOTO.134237.jpg")</f>
        <v>INSPEKSI SUTM - T2_Images/5127efbf.FOTO.134237.jpg</v>
      </c>
      <c r="AD726" s="4"/>
      <c r="AE726" s="4"/>
      <c r="AF726" s="4" t="str">
        <f>IFERROR(__xludf.DUMMYFUNCTION("""COMPUTED_VALUE"""),"BELUM")</f>
        <v>BELUM</v>
      </c>
      <c r="AG726" s="6">
        <f>IFERROR(__xludf.DUMMYFUNCTION("""COMPUTED_VALUE"""),46094.0)</f>
        <v>46094</v>
      </c>
      <c r="AH726" s="4"/>
      <c r="AI726" s="4"/>
    </row>
    <row r="727" ht="15.75" customHeight="1">
      <c r="A727" s="4" t="str">
        <f>IFERROR(__xludf.DUMMYFUNCTION("""COMPUTED_VALUE"""),"296ca775")</f>
        <v>296ca775</v>
      </c>
      <c r="B727" s="5">
        <f>IFERROR(__xludf.DUMMYFUNCTION("""COMPUTED_VALUE"""),46094.85204861111)</f>
        <v>46094.85205</v>
      </c>
      <c r="C727" s="4" t="str">
        <f>IFERROR(__xludf.DUMMYFUNCTION("""COMPUTED_VALUE"""),"-6.949100, 107.611745")</f>
        <v>-6.949100, 107.611745</v>
      </c>
      <c r="D727" s="4" t="str">
        <f>IFERROR(__xludf.DUMMYFUNCTION("""COMPUTED_VALUE"""),"Nugi Firman")</f>
        <v>Nugi Firman</v>
      </c>
      <c r="E727" s="4" t="str">
        <f>IFERROR(__xludf.DUMMYFUNCTION("""COMPUTED_VALUE"""),"BANDUNG")</f>
        <v>BANDUNG</v>
      </c>
      <c r="F727" s="4" t="str">
        <f>IFERROR(__xludf.DUMMYFUNCTION("""COMPUTED_VALUE"""),"BANDUNG SELATAN")</f>
        <v>BANDUNG SELATAN</v>
      </c>
      <c r="G727" s="4" t="str">
        <f>IFERROR(__xludf.DUMMYFUNCTION("""COMPUTED_VALUE"""),"GI DAYEUHKOLOT")</f>
        <v>GI DAYEUHKOLOT</v>
      </c>
      <c r="H727" s="4" t="str">
        <f>IFERROR(__xludf.DUMMYFUNCTION("""COMPUTED_VALUE"""),"DYPI")</f>
        <v>DYPI</v>
      </c>
      <c r="I727" s="4" t="str">
        <f>IFERROR(__xludf.DUMMYFUNCTION("""COMPUTED_VALUE"""),"KP.PLI - LBS BJSF")</f>
        <v>KP.PLI - LBS BJSF</v>
      </c>
      <c r="J727" s="4" t="str">
        <f>IFERROR(__xludf.DUMMYFUNCTION("""COMPUTED_VALUE"""),"ZONA 2")</f>
        <v>ZONA 2</v>
      </c>
      <c r="K727" s="4" t="str">
        <f>IFERROR(__xludf.DUMMYFUNCTION("""COMPUTED_VALUE"""),"011")</f>
        <v>011</v>
      </c>
      <c r="L727" s="4" t="str">
        <f>IFERROR(__xludf.DUMMYFUNCTION("""COMPUTED_VALUE"""),"TM - 1B/H (Tumpu)")</f>
        <v>TM - 1B/H (Tumpu)</v>
      </c>
      <c r="M727" s="4" t="str">
        <f>IFERROR(__xludf.DUMMYFUNCTION("""COMPUTED_VALUE"""),"Tidak Ada")</f>
        <v>Tidak Ada</v>
      </c>
      <c r="N727" s="4"/>
      <c r="O727" s="4" t="str">
        <f>IFERROR(__xludf.DUMMYFUNCTION("""COMPUTED_VALUE"""),"PEMBANDING SEJENIS")</f>
        <v>PEMBANDING SEJENIS</v>
      </c>
      <c r="P727" s="4" t="str">
        <f>IFERROR(__xludf.DUMMYFUNCTION("""COMPUTED_VALUE"""),"ARRESTER")</f>
        <v>ARRESTER</v>
      </c>
      <c r="Q727" s="4">
        <f>IFERROR(__xludf.DUMMYFUNCTION("""COMPUTED_VALUE"""),21.0)</f>
        <v>21</v>
      </c>
      <c r="R727" s="4">
        <f>IFERROR(__xludf.DUMMYFUNCTION("""COMPUTED_VALUE"""),21.0)</f>
        <v>21</v>
      </c>
      <c r="S727" s="4">
        <f>IFERROR(__xludf.DUMMYFUNCTION("""COMPUTED_VALUE"""),21.0)</f>
        <v>21</v>
      </c>
      <c r="T727" s="4"/>
      <c r="U727" s="4" t="str">
        <f>IFERROR(__xludf.DUMMYFUNCTION("""COMPUTED_VALUE"""),"BAIK")</f>
        <v>BAIK</v>
      </c>
      <c r="V727" s="4" t="str">
        <f>IFERROR(__xludf.DUMMYFUNCTION("""COMPUTED_VALUE"""),"Tidak Ada")</f>
        <v>Tidak Ada</v>
      </c>
      <c r="W727" s="4"/>
      <c r="X727" s="4"/>
      <c r="Y727" s="4"/>
      <c r="Z727" s="4"/>
      <c r="AA727" s="4"/>
      <c r="AB727" s="4"/>
      <c r="AC727" s="4" t="str">
        <f>IFERROR(__xludf.DUMMYFUNCTION("""COMPUTED_VALUE"""),"INSPEKSI SUTM - T2_Images/296ca775.FOTO.134242.jpg")</f>
        <v>INSPEKSI SUTM - T2_Images/296ca775.FOTO.134242.jpg</v>
      </c>
      <c r="AD727" s="4"/>
      <c r="AE727" s="4"/>
      <c r="AF727" s="4" t="str">
        <f>IFERROR(__xludf.DUMMYFUNCTION("""COMPUTED_VALUE"""),"BELUM")</f>
        <v>BELUM</v>
      </c>
      <c r="AG727" s="6">
        <f>IFERROR(__xludf.DUMMYFUNCTION("""COMPUTED_VALUE"""),46094.0)</f>
        <v>46094</v>
      </c>
      <c r="AH727" s="4"/>
      <c r="AI727" s="4"/>
    </row>
    <row r="728" ht="15.75" customHeight="1">
      <c r="A728" s="4" t="str">
        <f>IFERROR(__xludf.DUMMYFUNCTION("""COMPUTED_VALUE"""),"3d90dcd9")</f>
        <v>3d90dcd9</v>
      </c>
      <c r="B728" s="5">
        <f>IFERROR(__xludf.DUMMYFUNCTION("""COMPUTED_VALUE"""),46094.852789351855)</f>
        <v>46094.85279</v>
      </c>
      <c r="C728" s="4" t="str">
        <f>IFERROR(__xludf.DUMMYFUNCTION("""COMPUTED_VALUE"""),"-6.949090, 107.611692")</f>
        <v>-6.949090, 107.611692</v>
      </c>
      <c r="D728" s="4" t="str">
        <f>IFERROR(__xludf.DUMMYFUNCTION("""COMPUTED_VALUE"""),"Nugi Firman")</f>
        <v>Nugi Firman</v>
      </c>
      <c r="E728" s="4" t="str">
        <f>IFERROR(__xludf.DUMMYFUNCTION("""COMPUTED_VALUE"""),"BANDUNG")</f>
        <v>BANDUNG</v>
      </c>
      <c r="F728" s="4" t="str">
        <f>IFERROR(__xludf.DUMMYFUNCTION("""COMPUTED_VALUE"""),"BANDUNG SELATAN")</f>
        <v>BANDUNG SELATAN</v>
      </c>
      <c r="G728" s="4" t="str">
        <f>IFERROR(__xludf.DUMMYFUNCTION("""COMPUTED_VALUE"""),"GI DAYEUHKOLOT")</f>
        <v>GI DAYEUHKOLOT</v>
      </c>
      <c r="H728" s="4" t="str">
        <f>IFERROR(__xludf.DUMMYFUNCTION("""COMPUTED_VALUE"""),"DYPI")</f>
        <v>DYPI</v>
      </c>
      <c r="I728" s="4" t="str">
        <f>IFERROR(__xludf.DUMMYFUNCTION("""COMPUTED_VALUE"""),"KP.PLI - LBS BJSF")</f>
        <v>KP.PLI - LBS BJSF</v>
      </c>
      <c r="J728" s="4" t="str">
        <f>IFERROR(__xludf.DUMMYFUNCTION("""COMPUTED_VALUE"""),"ZONA 2")</f>
        <v>ZONA 2</v>
      </c>
      <c r="K728" s="4" t="str">
        <f>IFERROR(__xludf.DUMMYFUNCTION("""COMPUTED_VALUE"""),"012")</f>
        <v>012</v>
      </c>
      <c r="L728" s="4" t="str">
        <f>IFERROR(__xludf.DUMMYFUNCTION("""COMPUTED_VALUE"""),"TM - 4B/H (Afspan)")</f>
        <v>TM - 4B/H (Afspan)</v>
      </c>
      <c r="M728" s="4" t="str">
        <f>IFERROR(__xludf.DUMMYFUNCTION("""COMPUTED_VALUE"""),"Tidak Ada")</f>
        <v>Tidak Ada</v>
      </c>
      <c r="N728" s="4"/>
      <c r="O728" s="4" t="str">
        <f>IFERROR(__xludf.DUMMYFUNCTION("""COMPUTED_VALUE"""),"PEMBANDING SEJENIS")</f>
        <v>PEMBANDING SEJENIS</v>
      </c>
      <c r="P728" s="4" t="str">
        <f>IFERROR(__xludf.DUMMYFUNCTION("""COMPUTED_VALUE"""),"KONEKTOR/JUMPER")</f>
        <v>KONEKTOR/JUMPER</v>
      </c>
      <c r="Q728" s="4">
        <f>IFERROR(__xludf.DUMMYFUNCTION("""COMPUTED_VALUE"""),18.0)</f>
        <v>18</v>
      </c>
      <c r="R728" s="4">
        <f>IFERROR(__xludf.DUMMYFUNCTION("""COMPUTED_VALUE"""),19.0)</f>
        <v>19</v>
      </c>
      <c r="S728" s="4">
        <f>IFERROR(__xludf.DUMMYFUNCTION("""COMPUTED_VALUE"""),18.0)</f>
        <v>18</v>
      </c>
      <c r="T728" s="4"/>
      <c r="U728" s="4" t="str">
        <f>IFERROR(__xludf.DUMMYFUNCTION("""COMPUTED_VALUE"""),"BAIK")</f>
        <v>BAIK</v>
      </c>
      <c r="V728" s="4" t="str">
        <f>IFERROR(__xludf.DUMMYFUNCTION("""COMPUTED_VALUE"""),"Tidak Ada")</f>
        <v>Tidak Ada</v>
      </c>
      <c r="W728" s="4"/>
      <c r="X728" s="4"/>
      <c r="Y728" s="4"/>
      <c r="Z728" s="4"/>
      <c r="AA728" s="4"/>
      <c r="AB728" s="4"/>
      <c r="AC728" s="4" t="str">
        <f>IFERROR(__xludf.DUMMYFUNCTION("""COMPUTED_VALUE"""),"INSPEKSI SUTM - T2_Images/3d90dcd9.FOTO.134247.jpg")</f>
        <v>INSPEKSI SUTM - T2_Images/3d90dcd9.FOTO.134247.jpg</v>
      </c>
      <c r="AD728" s="4"/>
      <c r="AE728" s="4"/>
      <c r="AF728" s="4" t="str">
        <f>IFERROR(__xludf.DUMMYFUNCTION("""COMPUTED_VALUE"""),"BELUM")</f>
        <v>BELUM</v>
      </c>
      <c r="AG728" s="6">
        <f>IFERROR(__xludf.DUMMYFUNCTION("""COMPUTED_VALUE"""),46094.0)</f>
        <v>46094</v>
      </c>
      <c r="AH728" s="4"/>
      <c r="AI728" s="4"/>
    </row>
    <row r="729" ht="15.75" customHeight="1">
      <c r="A729" s="4" t="str">
        <f>IFERROR(__xludf.DUMMYFUNCTION("""COMPUTED_VALUE"""),"287d6a54")</f>
        <v>287d6a54</v>
      </c>
      <c r="B729" s="5">
        <f>IFERROR(__xludf.DUMMYFUNCTION("""COMPUTED_VALUE"""),46094.853321759256)</f>
        <v>46094.85332</v>
      </c>
      <c r="C729" s="4" t="str">
        <f>IFERROR(__xludf.DUMMYFUNCTION("""COMPUTED_VALUE"""),"-6.949075, 107.611666")</f>
        <v>-6.949075, 107.611666</v>
      </c>
      <c r="D729" s="4" t="str">
        <f>IFERROR(__xludf.DUMMYFUNCTION("""COMPUTED_VALUE"""),"Nugi Firman")</f>
        <v>Nugi Firman</v>
      </c>
      <c r="E729" s="4" t="str">
        <f>IFERROR(__xludf.DUMMYFUNCTION("""COMPUTED_VALUE"""),"BANDUNG")</f>
        <v>BANDUNG</v>
      </c>
      <c r="F729" s="4" t="str">
        <f>IFERROR(__xludf.DUMMYFUNCTION("""COMPUTED_VALUE"""),"BANDUNG SELATAN")</f>
        <v>BANDUNG SELATAN</v>
      </c>
      <c r="G729" s="4" t="str">
        <f>IFERROR(__xludf.DUMMYFUNCTION("""COMPUTED_VALUE"""),"GI DAYEUHKOLOT")</f>
        <v>GI DAYEUHKOLOT</v>
      </c>
      <c r="H729" s="4" t="str">
        <f>IFERROR(__xludf.DUMMYFUNCTION("""COMPUTED_VALUE"""),"DYPI")</f>
        <v>DYPI</v>
      </c>
      <c r="I729" s="4" t="str">
        <f>IFERROR(__xludf.DUMMYFUNCTION("""COMPUTED_VALUE"""),"KP.PLI - LBS BJSF")</f>
        <v>KP.PLI - LBS BJSF</v>
      </c>
      <c r="J729" s="4" t="str">
        <f>IFERROR(__xludf.DUMMYFUNCTION("""COMPUTED_VALUE"""),"ZONA 2")</f>
        <v>ZONA 2</v>
      </c>
      <c r="K729" s="4" t="str">
        <f>IFERROR(__xludf.DUMMYFUNCTION("""COMPUTED_VALUE"""),"013")</f>
        <v>013</v>
      </c>
      <c r="L729" s="4" t="str">
        <f>IFERROR(__xludf.DUMMYFUNCTION("""COMPUTED_VALUE"""),"TM - 8B/H (Percabangan)")</f>
        <v>TM - 8B/H (Percabangan)</v>
      </c>
      <c r="M729" s="4" t="str">
        <f>IFERROR(__xludf.DUMMYFUNCTION("""COMPUTED_VALUE"""),"Tidak Ada")</f>
        <v>Tidak Ada</v>
      </c>
      <c r="N729" s="4"/>
      <c r="O729" s="4" t="str">
        <f>IFERROR(__xludf.DUMMYFUNCTION("""COMPUTED_VALUE"""),"PEMBANDING SEJENIS")</f>
        <v>PEMBANDING SEJENIS</v>
      </c>
      <c r="P729" s="4" t="str">
        <f>IFERROR(__xludf.DUMMYFUNCTION("""COMPUTED_VALUE"""),"KONEKTOR/JUMPER")</f>
        <v>KONEKTOR/JUMPER</v>
      </c>
      <c r="Q729" s="4">
        <f>IFERROR(__xludf.DUMMYFUNCTION("""COMPUTED_VALUE"""),18.0)</f>
        <v>18</v>
      </c>
      <c r="R729" s="4">
        <f>IFERROR(__xludf.DUMMYFUNCTION("""COMPUTED_VALUE"""),19.0)</f>
        <v>19</v>
      </c>
      <c r="S729" s="4">
        <f>IFERROR(__xludf.DUMMYFUNCTION("""COMPUTED_VALUE"""),19.0)</f>
        <v>19</v>
      </c>
      <c r="T729" s="4"/>
      <c r="U729" s="4" t="str">
        <f>IFERROR(__xludf.DUMMYFUNCTION("""COMPUTED_VALUE"""),"BAIK")</f>
        <v>BAIK</v>
      </c>
      <c r="V729" s="4" t="str">
        <f>IFERROR(__xludf.DUMMYFUNCTION("""COMPUTED_VALUE"""),"Tidak Ada")</f>
        <v>Tidak Ada</v>
      </c>
      <c r="W729" s="4"/>
      <c r="X729" s="4"/>
      <c r="Y729" s="4"/>
      <c r="Z729" s="4"/>
      <c r="AA729" s="4"/>
      <c r="AB729" s="4"/>
      <c r="AC729" s="4" t="str">
        <f>IFERROR(__xludf.DUMMYFUNCTION("""COMPUTED_VALUE"""),"INSPEKSI SUTM - T2_Images/287d6a54.FOTO.134251.jpg")</f>
        <v>INSPEKSI SUTM - T2_Images/287d6a54.FOTO.134251.jpg</v>
      </c>
      <c r="AD729" s="4"/>
      <c r="AE729" s="4"/>
      <c r="AF729" s="4" t="str">
        <f>IFERROR(__xludf.DUMMYFUNCTION("""COMPUTED_VALUE"""),"BELUM")</f>
        <v>BELUM</v>
      </c>
      <c r="AG729" s="6">
        <f>IFERROR(__xludf.DUMMYFUNCTION("""COMPUTED_VALUE"""),46094.0)</f>
        <v>46094</v>
      </c>
      <c r="AH729" s="4"/>
      <c r="AI729" s="4"/>
    </row>
    <row r="730" ht="15.75" customHeight="1">
      <c r="A730" s="4" t="str">
        <f>IFERROR(__xludf.DUMMYFUNCTION("""COMPUTED_VALUE"""),"01b9392d")</f>
        <v>01b9392d</v>
      </c>
      <c r="B730" s="5">
        <f>IFERROR(__xludf.DUMMYFUNCTION("""COMPUTED_VALUE"""),46094.85391203704)</f>
        <v>46094.85391</v>
      </c>
      <c r="C730" s="4" t="str">
        <f>IFERROR(__xludf.DUMMYFUNCTION("""COMPUTED_VALUE"""),"-6.949112, 107.611669")</f>
        <v>-6.949112, 107.611669</v>
      </c>
      <c r="D730" s="4" t="str">
        <f>IFERROR(__xludf.DUMMYFUNCTION("""COMPUTED_VALUE"""),"Nugi Firman")</f>
        <v>Nugi Firman</v>
      </c>
      <c r="E730" s="4" t="str">
        <f>IFERROR(__xludf.DUMMYFUNCTION("""COMPUTED_VALUE"""),"BANDUNG")</f>
        <v>BANDUNG</v>
      </c>
      <c r="F730" s="4" t="str">
        <f>IFERROR(__xludf.DUMMYFUNCTION("""COMPUTED_VALUE"""),"BANDUNG SELATAN")</f>
        <v>BANDUNG SELATAN</v>
      </c>
      <c r="G730" s="4" t="str">
        <f>IFERROR(__xludf.DUMMYFUNCTION("""COMPUTED_VALUE"""),"GI DAYEUHKOLOT")</f>
        <v>GI DAYEUHKOLOT</v>
      </c>
      <c r="H730" s="4" t="str">
        <f>IFERROR(__xludf.DUMMYFUNCTION("""COMPUTED_VALUE"""),"DYPI")</f>
        <v>DYPI</v>
      </c>
      <c r="I730" s="4" t="str">
        <f>IFERROR(__xludf.DUMMYFUNCTION("""COMPUTED_VALUE"""),"KP.PLI - LBS BJSF")</f>
        <v>KP.PLI - LBS BJSF</v>
      </c>
      <c r="J730" s="4" t="str">
        <f>IFERROR(__xludf.DUMMYFUNCTION("""COMPUTED_VALUE"""),"ZONA 2")</f>
        <v>ZONA 2</v>
      </c>
      <c r="K730" s="4" t="str">
        <f>IFERROR(__xludf.DUMMYFUNCTION("""COMPUTED_VALUE"""),"015")</f>
        <v>015</v>
      </c>
      <c r="L730" s="4" t="str">
        <f>IFERROR(__xludf.DUMMYFUNCTION("""COMPUTED_VALUE"""),"TM - 4B/H (Afspan)")</f>
        <v>TM - 4B/H (Afspan)</v>
      </c>
      <c r="M730" s="4" t="str">
        <f>IFERROR(__xludf.DUMMYFUNCTION("""COMPUTED_VALUE"""),"Tidak Ada")</f>
        <v>Tidak Ada</v>
      </c>
      <c r="N730" s="4"/>
      <c r="O730" s="4" t="str">
        <f>IFERROR(__xludf.DUMMYFUNCTION("""COMPUTED_VALUE"""),"PEMBANDING SEJENIS")</f>
        <v>PEMBANDING SEJENIS</v>
      </c>
      <c r="P730" s="4" t="str">
        <f>IFERROR(__xludf.DUMMYFUNCTION("""COMPUTED_VALUE"""),"KONEKTOR/JUMPER")</f>
        <v>KONEKTOR/JUMPER</v>
      </c>
      <c r="Q730" s="4">
        <f>IFERROR(__xludf.DUMMYFUNCTION("""COMPUTED_VALUE"""),20.0)</f>
        <v>20</v>
      </c>
      <c r="R730" s="4">
        <f>IFERROR(__xludf.DUMMYFUNCTION("""COMPUTED_VALUE"""),20.0)</f>
        <v>20</v>
      </c>
      <c r="S730" s="4">
        <f>IFERROR(__xludf.DUMMYFUNCTION("""COMPUTED_VALUE"""),20.0)</f>
        <v>20</v>
      </c>
      <c r="T730" s="4"/>
      <c r="U730" s="4" t="str">
        <f>IFERROR(__xludf.DUMMYFUNCTION("""COMPUTED_VALUE"""),"BAIK")</f>
        <v>BAIK</v>
      </c>
      <c r="V730" s="4" t="str">
        <f>IFERROR(__xludf.DUMMYFUNCTION("""COMPUTED_VALUE"""),"Tidak Ada")</f>
        <v>Tidak Ada</v>
      </c>
      <c r="W730" s="4"/>
      <c r="X730" s="4"/>
      <c r="Y730" s="4"/>
      <c r="Z730" s="4"/>
      <c r="AA730" s="4"/>
      <c r="AB730" s="4"/>
      <c r="AC730" s="4" t="str">
        <f>IFERROR(__xludf.DUMMYFUNCTION("""COMPUTED_VALUE"""),"INSPEKSI SUTM - T2_Images/01b9392d.FOTO.134256.jpg")</f>
        <v>INSPEKSI SUTM - T2_Images/01b9392d.FOTO.134256.jpg</v>
      </c>
      <c r="AD730" s="4"/>
      <c r="AE730" s="4"/>
      <c r="AF730" s="4" t="str">
        <f>IFERROR(__xludf.DUMMYFUNCTION("""COMPUTED_VALUE"""),"BELUM")</f>
        <v>BELUM</v>
      </c>
      <c r="AG730" s="6">
        <f>IFERROR(__xludf.DUMMYFUNCTION("""COMPUTED_VALUE"""),46094.0)</f>
        <v>46094</v>
      </c>
      <c r="AH730" s="4"/>
      <c r="AI730" s="4"/>
    </row>
    <row r="731" ht="15.75" customHeight="1">
      <c r="A731" s="4" t="str">
        <f>IFERROR(__xludf.DUMMYFUNCTION("""COMPUTED_VALUE"""),"b2f821fb")</f>
        <v>b2f821fb</v>
      </c>
      <c r="B731" s="5">
        <f>IFERROR(__xludf.DUMMYFUNCTION("""COMPUTED_VALUE"""),46094.854317129626)</f>
        <v>46094.85432</v>
      </c>
      <c r="C731" s="4" t="str">
        <f>IFERROR(__xludf.DUMMYFUNCTION("""COMPUTED_VALUE"""),"-6.949124, 107.611728")</f>
        <v>-6.949124, 107.611728</v>
      </c>
      <c r="D731" s="4" t="str">
        <f>IFERROR(__xludf.DUMMYFUNCTION("""COMPUTED_VALUE"""),"Nugi Firman")</f>
        <v>Nugi Firman</v>
      </c>
      <c r="E731" s="4" t="str">
        <f>IFERROR(__xludf.DUMMYFUNCTION("""COMPUTED_VALUE"""),"BANDUNG")</f>
        <v>BANDUNG</v>
      </c>
      <c r="F731" s="4" t="str">
        <f>IFERROR(__xludf.DUMMYFUNCTION("""COMPUTED_VALUE"""),"BANDUNG SELATAN")</f>
        <v>BANDUNG SELATAN</v>
      </c>
      <c r="G731" s="4" t="str">
        <f>IFERROR(__xludf.DUMMYFUNCTION("""COMPUTED_VALUE"""),"GI DAYEUHKOLOT")</f>
        <v>GI DAYEUHKOLOT</v>
      </c>
      <c r="H731" s="4" t="str">
        <f>IFERROR(__xludf.DUMMYFUNCTION("""COMPUTED_VALUE"""),"DYPI")</f>
        <v>DYPI</v>
      </c>
      <c r="I731" s="4" t="str">
        <f>IFERROR(__xludf.DUMMYFUNCTION("""COMPUTED_VALUE"""),"KP.PLI - LBS BJSF")</f>
        <v>KP.PLI - LBS BJSF</v>
      </c>
      <c r="J731" s="4" t="str">
        <f>IFERROR(__xludf.DUMMYFUNCTION("""COMPUTED_VALUE"""),"ZONA 2")</f>
        <v>ZONA 2</v>
      </c>
      <c r="K731" s="4" t="str">
        <f>IFERROR(__xludf.DUMMYFUNCTION("""COMPUTED_VALUE"""),"019")</f>
        <v>019</v>
      </c>
      <c r="L731" s="4" t="str">
        <f>IFERROR(__xludf.DUMMYFUNCTION("""COMPUTED_VALUE"""),"TM - 1B/H (Tumpu)")</f>
        <v>TM - 1B/H (Tumpu)</v>
      </c>
      <c r="M731" s="4" t="str">
        <f>IFERROR(__xludf.DUMMYFUNCTION("""COMPUTED_VALUE"""),"Tidak Ada")</f>
        <v>Tidak Ada</v>
      </c>
      <c r="N731" s="4"/>
      <c r="O731" s="4" t="str">
        <f>IFERROR(__xludf.DUMMYFUNCTION("""COMPUTED_VALUE"""),"PEMBANDING SEJENIS")</f>
        <v>PEMBANDING SEJENIS</v>
      </c>
      <c r="P731" s="4" t="str">
        <f>IFERROR(__xludf.DUMMYFUNCTION("""COMPUTED_VALUE"""),"ARRESTER")</f>
        <v>ARRESTER</v>
      </c>
      <c r="Q731" s="4">
        <f>IFERROR(__xludf.DUMMYFUNCTION("""COMPUTED_VALUE"""),19.0)</f>
        <v>19</v>
      </c>
      <c r="R731" s="4">
        <f>IFERROR(__xludf.DUMMYFUNCTION("""COMPUTED_VALUE"""),19.0)</f>
        <v>19</v>
      </c>
      <c r="S731" s="4">
        <f>IFERROR(__xludf.DUMMYFUNCTION("""COMPUTED_VALUE"""),18.0)</f>
        <v>18</v>
      </c>
      <c r="T731" s="4"/>
      <c r="U731" s="4" t="str">
        <f>IFERROR(__xludf.DUMMYFUNCTION("""COMPUTED_VALUE"""),"BAIK")</f>
        <v>BAIK</v>
      </c>
      <c r="V731" s="4" t="str">
        <f>IFERROR(__xludf.DUMMYFUNCTION("""COMPUTED_VALUE"""),"Tidak Ada")</f>
        <v>Tidak Ada</v>
      </c>
      <c r="W731" s="4"/>
      <c r="X731" s="4"/>
      <c r="Y731" s="4"/>
      <c r="Z731" s="4"/>
      <c r="AA731" s="4"/>
      <c r="AB731" s="4"/>
      <c r="AC731" s="4" t="str">
        <f>IFERROR(__xludf.DUMMYFUNCTION("""COMPUTED_VALUE"""),"INSPEKSI SUTM - T2_Images/b2f821fb.FOTO.134300.jpg")</f>
        <v>INSPEKSI SUTM - T2_Images/b2f821fb.FOTO.134300.jpg</v>
      </c>
      <c r="AD731" s="4"/>
      <c r="AE731" s="4"/>
      <c r="AF731" s="4" t="str">
        <f>IFERROR(__xludf.DUMMYFUNCTION("""COMPUTED_VALUE"""),"BELUM")</f>
        <v>BELUM</v>
      </c>
      <c r="AG731" s="6">
        <f>IFERROR(__xludf.DUMMYFUNCTION("""COMPUTED_VALUE"""),46094.0)</f>
        <v>46094</v>
      </c>
      <c r="AH731" s="4"/>
      <c r="AI731" s="4"/>
    </row>
    <row r="732" ht="15.75" customHeight="1">
      <c r="A732" s="4" t="str">
        <f>IFERROR(__xludf.DUMMYFUNCTION("""COMPUTED_VALUE"""),"b8187ef0")</f>
        <v>b8187ef0</v>
      </c>
      <c r="B732" s="5">
        <f>IFERROR(__xludf.DUMMYFUNCTION("""COMPUTED_VALUE"""),46094.85481481482)</f>
        <v>46094.85481</v>
      </c>
      <c r="C732" s="4" t="str">
        <f>IFERROR(__xludf.DUMMYFUNCTION("""COMPUTED_VALUE"""),"-6.949052, 107.611664")</f>
        <v>-6.949052, 107.611664</v>
      </c>
      <c r="D732" s="4" t="str">
        <f>IFERROR(__xludf.DUMMYFUNCTION("""COMPUTED_VALUE"""),"Nugi Firman")</f>
        <v>Nugi Firman</v>
      </c>
      <c r="E732" s="4" t="str">
        <f>IFERROR(__xludf.DUMMYFUNCTION("""COMPUTED_VALUE"""),"BANDUNG")</f>
        <v>BANDUNG</v>
      </c>
      <c r="F732" s="4" t="str">
        <f>IFERROR(__xludf.DUMMYFUNCTION("""COMPUTED_VALUE"""),"BANDUNG SELATAN")</f>
        <v>BANDUNG SELATAN</v>
      </c>
      <c r="G732" s="4" t="str">
        <f>IFERROR(__xludf.DUMMYFUNCTION("""COMPUTED_VALUE"""),"GI DAYEUHKOLOT")</f>
        <v>GI DAYEUHKOLOT</v>
      </c>
      <c r="H732" s="4" t="str">
        <f>IFERROR(__xludf.DUMMYFUNCTION("""COMPUTED_VALUE"""),"DYPI")</f>
        <v>DYPI</v>
      </c>
      <c r="I732" s="4" t="str">
        <f>IFERROR(__xludf.DUMMYFUNCTION("""COMPUTED_VALUE"""),"KP.PLI - LBS BJSF")</f>
        <v>KP.PLI - LBS BJSF</v>
      </c>
      <c r="J732" s="4" t="str">
        <f>IFERROR(__xludf.DUMMYFUNCTION("""COMPUTED_VALUE"""),"ZONA 2")</f>
        <v>ZONA 2</v>
      </c>
      <c r="K732" s="4" t="str">
        <f>IFERROR(__xludf.DUMMYFUNCTION("""COMPUTED_VALUE"""),"020")</f>
        <v>020</v>
      </c>
      <c r="L732" s="4" t="str">
        <f>IFERROR(__xludf.DUMMYFUNCTION("""COMPUTED_VALUE"""),"TM - 4B/H (Afspan)")</f>
        <v>TM - 4B/H (Afspan)</v>
      </c>
      <c r="M732" s="4" t="str">
        <f>IFERROR(__xludf.DUMMYFUNCTION("""COMPUTED_VALUE"""),"Tidak Ada")</f>
        <v>Tidak Ada</v>
      </c>
      <c r="N732" s="4"/>
      <c r="O732" s="4" t="str">
        <f>IFERROR(__xludf.DUMMYFUNCTION("""COMPUTED_VALUE"""),"PEMBANDING SEJENIS")</f>
        <v>PEMBANDING SEJENIS</v>
      </c>
      <c r="P732" s="4" t="str">
        <f>IFERROR(__xludf.DUMMYFUNCTION("""COMPUTED_VALUE"""),"KONEKTOR/JUMPER")</f>
        <v>KONEKTOR/JUMPER</v>
      </c>
      <c r="Q732" s="4">
        <f>IFERROR(__xludf.DUMMYFUNCTION("""COMPUTED_VALUE"""),19.0)</f>
        <v>19</v>
      </c>
      <c r="R732" s="4">
        <f>IFERROR(__xludf.DUMMYFUNCTION("""COMPUTED_VALUE"""),19.0)</f>
        <v>19</v>
      </c>
      <c r="S732" s="4">
        <f>IFERROR(__xludf.DUMMYFUNCTION("""COMPUTED_VALUE"""),19.0)</f>
        <v>19</v>
      </c>
      <c r="T732" s="4"/>
      <c r="U732" s="4" t="str">
        <f>IFERROR(__xludf.DUMMYFUNCTION("""COMPUTED_VALUE"""),"BAIK")</f>
        <v>BAIK</v>
      </c>
      <c r="V732" s="4" t="str">
        <f>IFERROR(__xludf.DUMMYFUNCTION("""COMPUTED_VALUE"""),"Tidak Ada")</f>
        <v>Tidak Ada</v>
      </c>
      <c r="W732" s="4"/>
      <c r="X732" s="4"/>
      <c r="Y732" s="4"/>
      <c r="Z732" s="4"/>
      <c r="AA732" s="4"/>
      <c r="AB732" s="4"/>
      <c r="AC732" s="4" t="str">
        <f>IFERROR(__xludf.DUMMYFUNCTION("""COMPUTED_VALUE"""),"INSPEKSI SUTM - T2_Images/b8187ef0.FOTO.134304.jpg")</f>
        <v>INSPEKSI SUTM - T2_Images/b8187ef0.FOTO.134304.jpg</v>
      </c>
      <c r="AD732" s="4"/>
      <c r="AE732" s="4"/>
      <c r="AF732" s="4" t="str">
        <f>IFERROR(__xludf.DUMMYFUNCTION("""COMPUTED_VALUE"""),"BELUM")</f>
        <v>BELUM</v>
      </c>
      <c r="AG732" s="6">
        <f>IFERROR(__xludf.DUMMYFUNCTION("""COMPUTED_VALUE"""),46094.0)</f>
        <v>46094</v>
      </c>
      <c r="AH732" s="4"/>
      <c r="AI732" s="4"/>
    </row>
    <row r="733" ht="15.75" customHeight="1">
      <c r="A733" s="4" t="str">
        <f>IFERROR(__xludf.DUMMYFUNCTION("""COMPUTED_VALUE"""),"356f231e")</f>
        <v>356f231e</v>
      </c>
      <c r="B733" s="5">
        <f>IFERROR(__xludf.DUMMYFUNCTION("""COMPUTED_VALUE"""),46094.85525462963)</f>
        <v>46094.85525</v>
      </c>
      <c r="C733" s="4" t="str">
        <f>IFERROR(__xludf.DUMMYFUNCTION("""COMPUTED_VALUE"""),"-6.949120, 107.611737")</f>
        <v>-6.949120, 107.611737</v>
      </c>
      <c r="D733" s="4" t="str">
        <f>IFERROR(__xludf.DUMMYFUNCTION("""COMPUTED_VALUE"""),"Nugi Firman")</f>
        <v>Nugi Firman</v>
      </c>
      <c r="E733" s="4" t="str">
        <f>IFERROR(__xludf.DUMMYFUNCTION("""COMPUTED_VALUE"""),"BANDUNG")</f>
        <v>BANDUNG</v>
      </c>
      <c r="F733" s="4" t="str">
        <f>IFERROR(__xludf.DUMMYFUNCTION("""COMPUTED_VALUE"""),"BANDUNG SELATAN")</f>
        <v>BANDUNG SELATAN</v>
      </c>
      <c r="G733" s="4" t="str">
        <f>IFERROR(__xludf.DUMMYFUNCTION("""COMPUTED_VALUE"""),"GI DAYEUHKOLOT")</f>
        <v>GI DAYEUHKOLOT</v>
      </c>
      <c r="H733" s="4" t="str">
        <f>IFERROR(__xludf.DUMMYFUNCTION("""COMPUTED_VALUE"""),"DYPI")</f>
        <v>DYPI</v>
      </c>
      <c r="I733" s="4" t="str">
        <f>IFERROR(__xludf.DUMMYFUNCTION("""COMPUTED_VALUE"""),"KP.PLI - LBS BJSF")</f>
        <v>KP.PLI - LBS BJSF</v>
      </c>
      <c r="J733" s="4" t="str">
        <f>IFERROR(__xludf.DUMMYFUNCTION("""COMPUTED_VALUE"""),"ZONA 2")</f>
        <v>ZONA 2</v>
      </c>
      <c r="K733" s="4" t="str">
        <f>IFERROR(__xludf.DUMMYFUNCTION("""COMPUTED_VALUE"""),"024")</f>
        <v>024</v>
      </c>
      <c r="L733" s="4" t="str">
        <f>IFERROR(__xludf.DUMMYFUNCTION("""COMPUTED_VALUE"""),"TM - 1B/H (Tumpu)")</f>
        <v>TM - 1B/H (Tumpu)</v>
      </c>
      <c r="M733" s="4" t="str">
        <f>IFERROR(__xludf.DUMMYFUNCTION("""COMPUTED_VALUE"""),"Tidak Ada")</f>
        <v>Tidak Ada</v>
      </c>
      <c r="N733" s="4"/>
      <c r="O733" s="4" t="str">
        <f>IFERROR(__xludf.DUMMYFUNCTION("""COMPUTED_VALUE"""),"PEMBANDING SEJENIS")</f>
        <v>PEMBANDING SEJENIS</v>
      </c>
      <c r="P733" s="4" t="str">
        <f>IFERROR(__xludf.DUMMYFUNCTION("""COMPUTED_VALUE"""),"ARRESTER")</f>
        <v>ARRESTER</v>
      </c>
      <c r="Q733" s="4">
        <f>IFERROR(__xludf.DUMMYFUNCTION("""COMPUTED_VALUE"""),19.0)</f>
        <v>19</v>
      </c>
      <c r="R733" s="4">
        <f>IFERROR(__xludf.DUMMYFUNCTION("""COMPUTED_VALUE"""),19.0)</f>
        <v>19</v>
      </c>
      <c r="S733" s="4">
        <f>IFERROR(__xludf.DUMMYFUNCTION("""COMPUTED_VALUE"""),19.0)</f>
        <v>19</v>
      </c>
      <c r="T733" s="4"/>
      <c r="U733" s="4" t="str">
        <f>IFERROR(__xludf.DUMMYFUNCTION("""COMPUTED_VALUE"""),"BAIK")</f>
        <v>BAIK</v>
      </c>
      <c r="V733" s="4" t="str">
        <f>IFERROR(__xludf.DUMMYFUNCTION("""COMPUTED_VALUE"""),"Tidak Ada")</f>
        <v>Tidak Ada</v>
      </c>
      <c r="W733" s="4"/>
      <c r="X733" s="4"/>
      <c r="Y733" s="4"/>
      <c r="Z733" s="4"/>
      <c r="AA733" s="4"/>
      <c r="AB733" s="4"/>
      <c r="AC733" s="4" t="str">
        <f>IFERROR(__xludf.DUMMYFUNCTION("""COMPUTED_VALUE"""),"INSPEKSI SUTM - T2_Images/356f231e.FOTO.134313.jpg")</f>
        <v>INSPEKSI SUTM - T2_Images/356f231e.FOTO.134313.jpg</v>
      </c>
      <c r="AD733" s="4"/>
      <c r="AE733" s="4"/>
      <c r="AF733" s="4" t="str">
        <f>IFERROR(__xludf.DUMMYFUNCTION("""COMPUTED_VALUE"""),"BELUM")</f>
        <v>BELUM</v>
      </c>
      <c r="AG733" s="6">
        <f>IFERROR(__xludf.DUMMYFUNCTION("""COMPUTED_VALUE"""),46094.0)</f>
        <v>46094</v>
      </c>
      <c r="AH733" s="4"/>
      <c r="AI733" s="4"/>
    </row>
    <row r="734" ht="15.75" customHeight="1">
      <c r="A734" s="4" t="str">
        <f>IFERROR(__xludf.DUMMYFUNCTION("""COMPUTED_VALUE"""),"659d8128")</f>
        <v>659d8128</v>
      </c>
      <c r="B734" s="5">
        <f>IFERROR(__xludf.DUMMYFUNCTION("""COMPUTED_VALUE"""),46094.85599537037)</f>
        <v>46094.856</v>
      </c>
      <c r="C734" s="4" t="str">
        <f>IFERROR(__xludf.DUMMYFUNCTION("""COMPUTED_VALUE"""),"-6.949079, 107.611668")</f>
        <v>-6.949079, 107.611668</v>
      </c>
      <c r="D734" s="4" t="str">
        <f>IFERROR(__xludf.DUMMYFUNCTION("""COMPUTED_VALUE"""),"Nugi Firman")</f>
        <v>Nugi Firman</v>
      </c>
      <c r="E734" s="4" t="str">
        <f>IFERROR(__xludf.DUMMYFUNCTION("""COMPUTED_VALUE"""),"BANDUNG")</f>
        <v>BANDUNG</v>
      </c>
      <c r="F734" s="4" t="str">
        <f>IFERROR(__xludf.DUMMYFUNCTION("""COMPUTED_VALUE"""),"BANDUNG SELATAN")</f>
        <v>BANDUNG SELATAN</v>
      </c>
      <c r="G734" s="4" t="str">
        <f>IFERROR(__xludf.DUMMYFUNCTION("""COMPUTED_VALUE"""),"GI DAYEUHKOLOT")</f>
        <v>GI DAYEUHKOLOT</v>
      </c>
      <c r="H734" s="4" t="str">
        <f>IFERROR(__xludf.DUMMYFUNCTION("""COMPUTED_VALUE"""),"DYPI")</f>
        <v>DYPI</v>
      </c>
      <c r="I734" s="4" t="str">
        <f>IFERROR(__xludf.DUMMYFUNCTION("""COMPUTED_VALUE"""),"KP.PLI - LBS BJSF")</f>
        <v>KP.PLI - LBS BJSF</v>
      </c>
      <c r="J734" s="4" t="str">
        <f>IFERROR(__xludf.DUMMYFUNCTION("""COMPUTED_VALUE"""),"ZONA 2")</f>
        <v>ZONA 2</v>
      </c>
      <c r="K734" s="4" t="str">
        <f>IFERROR(__xludf.DUMMYFUNCTION("""COMPUTED_VALUE"""),"027")</f>
        <v>027</v>
      </c>
      <c r="L734" s="4" t="str">
        <f>IFERROR(__xludf.DUMMYFUNCTION("""COMPUTED_VALUE"""),"TM - 1B/H (Tumpu)")</f>
        <v>TM - 1B/H (Tumpu)</v>
      </c>
      <c r="M734" s="4" t="str">
        <f>IFERROR(__xludf.DUMMYFUNCTION("""COMPUTED_VALUE"""),"Tidak Ada")</f>
        <v>Tidak Ada</v>
      </c>
      <c r="N734" s="4"/>
      <c r="O734" s="4" t="str">
        <f>IFERROR(__xludf.DUMMYFUNCTION("""COMPUTED_VALUE"""),"PEMBANDING SEJENIS")</f>
        <v>PEMBANDING SEJENIS</v>
      </c>
      <c r="P734" s="4" t="str">
        <f>IFERROR(__xludf.DUMMYFUNCTION("""COMPUTED_VALUE"""),"ARRESTER")</f>
        <v>ARRESTER</v>
      </c>
      <c r="Q734" s="4">
        <f>IFERROR(__xludf.DUMMYFUNCTION("""COMPUTED_VALUE"""),20.0)</f>
        <v>20</v>
      </c>
      <c r="R734" s="4">
        <f>IFERROR(__xludf.DUMMYFUNCTION("""COMPUTED_VALUE"""),21.0)</f>
        <v>21</v>
      </c>
      <c r="S734" s="4">
        <f>IFERROR(__xludf.DUMMYFUNCTION("""COMPUTED_VALUE"""),20.0)</f>
        <v>20</v>
      </c>
      <c r="T734" s="4"/>
      <c r="U734" s="4" t="str">
        <f>IFERROR(__xludf.DUMMYFUNCTION("""COMPUTED_VALUE"""),"BAIK")</f>
        <v>BAIK</v>
      </c>
      <c r="V734" s="4" t="str">
        <f>IFERROR(__xludf.DUMMYFUNCTION("""COMPUTED_VALUE"""),"Tidak Ada")</f>
        <v>Tidak Ada</v>
      </c>
      <c r="W734" s="4"/>
      <c r="X734" s="4"/>
      <c r="Y734" s="4"/>
      <c r="Z734" s="4"/>
      <c r="AA734" s="4"/>
      <c r="AB734" s="4"/>
      <c r="AC734" s="4" t="str">
        <f>IFERROR(__xludf.DUMMYFUNCTION("""COMPUTED_VALUE"""),"INSPEKSI SUTM - T2_Images/659d8128.FOTO.134317.jpg")</f>
        <v>INSPEKSI SUTM - T2_Images/659d8128.FOTO.134317.jpg</v>
      </c>
      <c r="AD734" s="4"/>
      <c r="AE734" s="4"/>
      <c r="AF734" s="4" t="str">
        <f>IFERROR(__xludf.DUMMYFUNCTION("""COMPUTED_VALUE"""),"BELUM")</f>
        <v>BELUM</v>
      </c>
      <c r="AG734" s="6">
        <f>IFERROR(__xludf.DUMMYFUNCTION("""COMPUTED_VALUE"""),46094.0)</f>
        <v>46094</v>
      </c>
      <c r="AH734" s="4"/>
      <c r="AI734" s="4"/>
    </row>
    <row r="735" ht="15.75" customHeight="1">
      <c r="A735" s="4" t="str">
        <f>IFERROR(__xludf.DUMMYFUNCTION("""COMPUTED_VALUE"""),"5ff68ca4")</f>
        <v>5ff68ca4</v>
      </c>
      <c r="B735" s="5">
        <f>IFERROR(__xludf.DUMMYFUNCTION("""COMPUTED_VALUE"""),46094.85638888889)</f>
        <v>46094.85639</v>
      </c>
      <c r="C735" s="4" t="str">
        <f>IFERROR(__xludf.DUMMYFUNCTION("""COMPUTED_VALUE"""),"-6.949052, 107.611699")</f>
        <v>-6.949052, 107.611699</v>
      </c>
      <c r="D735" s="4" t="str">
        <f>IFERROR(__xludf.DUMMYFUNCTION("""COMPUTED_VALUE"""),"Nugi Firman")</f>
        <v>Nugi Firman</v>
      </c>
      <c r="E735" s="4" t="str">
        <f>IFERROR(__xludf.DUMMYFUNCTION("""COMPUTED_VALUE"""),"BANDUNG")</f>
        <v>BANDUNG</v>
      </c>
      <c r="F735" s="4" t="str">
        <f>IFERROR(__xludf.DUMMYFUNCTION("""COMPUTED_VALUE"""),"BANDUNG SELATAN")</f>
        <v>BANDUNG SELATAN</v>
      </c>
      <c r="G735" s="4" t="str">
        <f>IFERROR(__xludf.DUMMYFUNCTION("""COMPUTED_VALUE"""),"GI DAYEUHKOLOT")</f>
        <v>GI DAYEUHKOLOT</v>
      </c>
      <c r="H735" s="4" t="str">
        <f>IFERROR(__xludf.DUMMYFUNCTION("""COMPUTED_VALUE"""),"DYPI")</f>
        <v>DYPI</v>
      </c>
      <c r="I735" s="4" t="str">
        <f>IFERROR(__xludf.DUMMYFUNCTION("""COMPUTED_VALUE"""),"KP.PLI - LBS BJSF")</f>
        <v>KP.PLI - LBS BJSF</v>
      </c>
      <c r="J735" s="4" t="str">
        <f>IFERROR(__xludf.DUMMYFUNCTION("""COMPUTED_VALUE"""),"ZONA 2")</f>
        <v>ZONA 2</v>
      </c>
      <c r="K735" s="4" t="str">
        <f>IFERROR(__xludf.DUMMYFUNCTION("""COMPUTED_VALUE"""),"028")</f>
        <v>028</v>
      </c>
      <c r="L735" s="4" t="str">
        <f>IFERROR(__xludf.DUMMYFUNCTION("""COMPUTED_VALUE"""),"TM - 7B/H (Afspan 90 Derajat)")</f>
        <v>TM - 7B/H (Afspan 90 Derajat)</v>
      </c>
      <c r="M735" s="4" t="str">
        <f>IFERROR(__xludf.DUMMYFUNCTION("""COMPUTED_VALUE"""),"Tidak Ada")</f>
        <v>Tidak Ada</v>
      </c>
      <c r="N735" s="4"/>
      <c r="O735" s="4" t="str">
        <f>IFERROR(__xludf.DUMMYFUNCTION("""COMPUTED_VALUE"""),"PEMBANDING SEJENIS")</f>
        <v>PEMBANDING SEJENIS</v>
      </c>
      <c r="P735" s="4" t="str">
        <f>IFERROR(__xludf.DUMMYFUNCTION("""COMPUTED_VALUE"""),"KONEKTOR/JUMPER")</f>
        <v>KONEKTOR/JUMPER</v>
      </c>
      <c r="Q735" s="4">
        <f>IFERROR(__xludf.DUMMYFUNCTION("""COMPUTED_VALUE"""),19.0)</f>
        <v>19</v>
      </c>
      <c r="R735" s="4">
        <f>IFERROR(__xludf.DUMMYFUNCTION("""COMPUTED_VALUE"""),19.0)</f>
        <v>19</v>
      </c>
      <c r="S735" s="4">
        <f>IFERROR(__xludf.DUMMYFUNCTION("""COMPUTED_VALUE"""),19.0)</f>
        <v>19</v>
      </c>
      <c r="T735" s="4"/>
      <c r="U735" s="4" t="str">
        <f>IFERROR(__xludf.DUMMYFUNCTION("""COMPUTED_VALUE"""),"BAIK")</f>
        <v>BAIK</v>
      </c>
      <c r="V735" s="4" t="str">
        <f>IFERROR(__xludf.DUMMYFUNCTION("""COMPUTED_VALUE"""),"Tidak Ada")</f>
        <v>Tidak Ada</v>
      </c>
      <c r="W735" s="4"/>
      <c r="X735" s="4"/>
      <c r="Y735" s="4"/>
      <c r="Z735" s="4"/>
      <c r="AA735" s="4"/>
      <c r="AB735" s="4"/>
      <c r="AC735" s="4" t="str">
        <f>IFERROR(__xludf.DUMMYFUNCTION("""COMPUTED_VALUE"""),"INSPEKSI SUTM - T2_Images/5ff68ca4.FOTO.134321.jpg")</f>
        <v>INSPEKSI SUTM - T2_Images/5ff68ca4.FOTO.134321.jpg</v>
      </c>
      <c r="AD735" s="4"/>
      <c r="AE735" s="4"/>
      <c r="AF735" s="4" t="str">
        <f>IFERROR(__xludf.DUMMYFUNCTION("""COMPUTED_VALUE"""),"BELUM")</f>
        <v>BELUM</v>
      </c>
      <c r="AG735" s="6">
        <f>IFERROR(__xludf.DUMMYFUNCTION("""COMPUTED_VALUE"""),46094.0)</f>
        <v>46094</v>
      </c>
      <c r="AH735" s="4"/>
      <c r="AI735" s="4"/>
    </row>
    <row r="736" ht="15.75" customHeight="1">
      <c r="A736" s="4" t="str">
        <f>IFERROR(__xludf.DUMMYFUNCTION("""COMPUTED_VALUE"""),"bafe25e9")</f>
        <v>bafe25e9</v>
      </c>
      <c r="B736" s="5">
        <f>IFERROR(__xludf.DUMMYFUNCTION("""COMPUTED_VALUE"""),46094.856828703705)</f>
        <v>46094.85683</v>
      </c>
      <c r="C736" s="4" t="str">
        <f>IFERROR(__xludf.DUMMYFUNCTION("""COMPUTED_VALUE"""),"-6.949094, 107.611699")</f>
        <v>-6.949094, 107.611699</v>
      </c>
      <c r="D736" s="4" t="str">
        <f>IFERROR(__xludf.DUMMYFUNCTION("""COMPUTED_VALUE"""),"Nugi Firman")</f>
        <v>Nugi Firman</v>
      </c>
      <c r="E736" s="4" t="str">
        <f>IFERROR(__xludf.DUMMYFUNCTION("""COMPUTED_VALUE"""),"BANDUNG")</f>
        <v>BANDUNG</v>
      </c>
      <c r="F736" s="4" t="str">
        <f>IFERROR(__xludf.DUMMYFUNCTION("""COMPUTED_VALUE"""),"BANDUNG SELATAN")</f>
        <v>BANDUNG SELATAN</v>
      </c>
      <c r="G736" s="4" t="str">
        <f>IFERROR(__xludf.DUMMYFUNCTION("""COMPUTED_VALUE"""),"GI DAYEUHKOLOT")</f>
        <v>GI DAYEUHKOLOT</v>
      </c>
      <c r="H736" s="4" t="str">
        <f>IFERROR(__xludf.DUMMYFUNCTION("""COMPUTED_VALUE"""),"DYPI")</f>
        <v>DYPI</v>
      </c>
      <c r="I736" s="4" t="str">
        <f>IFERROR(__xludf.DUMMYFUNCTION("""COMPUTED_VALUE"""),"KP.PLI - LBS BJSF")</f>
        <v>KP.PLI - LBS BJSF</v>
      </c>
      <c r="J736" s="4" t="str">
        <f>IFERROR(__xludf.DUMMYFUNCTION("""COMPUTED_VALUE"""),"ZONA 2")</f>
        <v>ZONA 2</v>
      </c>
      <c r="K736" s="4" t="str">
        <f>IFERROR(__xludf.DUMMYFUNCTION("""COMPUTED_VALUE"""),"031")</f>
        <v>031</v>
      </c>
      <c r="L736" s="4" t="str">
        <f>IFERROR(__xludf.DUMMYFUNCTION("""COMPUTED_VALUE"""),"TM - 8B/H (Percabangan)")</f>
        <v>TM - 8B/H (Percabangan)</v>
      </c>
      <c r="M736" s="4" t="str">
        <f>IFERROR(__xludf.DUMMYFUNCTION("""COMPUTED_VALUE"""),"Tidak Ada")</f>
        <v>Tidak Ada</v>
      </c>
      <c r="N736" s="4"/>
      <c r="O736" s="4" t="str">
        <f>IFERROR(__xludf.DUMMYFUNCTION("""COMPUTED_VALUE"""),"PEMBANDING SEJENIS")</f>
        <v>PEMBANDING SEJENIS</v>
      </c>
      <c r="P736" s="4" t="str">
        <f>IFERROR(__xludf.DUMMYFUNCTION("""COMPUTED_VALUE"""),"KONEKTOR/JUMPER")</f>
        <v>KONEKTOR/JUMPER</v>
      </c>
      <c r="Q736" s="4">
        <f>IFERROR(__xludf.DUMMYFUNCTION("""COMPUTED_VALUE"""),20.0)</f>
        <v>20</v>
      </c>
      <c r="R736" s="4">
        <f>IFERROR(__xludf.DUMMYFUNCTION("""COMPUTED_VALUE"""),20.0)</f>
        <v>20</v>
      </c>
      <c r="S736" s="4">
        <f>IFERROR(__xludf.DUMMYFUNCTION("""COMPUTED_VALUE"""),20.0)</f>
        <v>20</v>
      </c>
      <c r="T736" s="4"/>
      <c r="U736" s="4" t="str">
        <f>IFERROR(__xludf.DUMMYFUNCTION("""COMPUTED_VALUE"""),"BAIK")</f>
        <v>BAIK</v>
      </c>
      <c r="V736" s="4" t="str">
        <f>IFERROR(__xludf.DUMMYFUNCTION("""COMPUTED_VALUE"""),"Tidak Ada")</f>
        <v>Tidak Ada</v>
      </c>
      <c r="W736" s="4"/>
      <c r="X736" s="4"/>
      <c r="Y736" s="4"/>
      <c r="Z736" s="4"/>
      <c r="AA736" s="4"/>
      <c r="AB736" s="4"/>
      <c r="AC736" s="4" t="str">
        <f>IFERROR(__xludf.DUMMYFUNCTION("""COMPUTED_VALUE"""),"INSPEKSI SUTM - T2_Images/bafe25e9.FOTO.134324.jpg")</f>
        <v>INSPEKSI SUTM - T2_Images/bafe25e9.FOTO.134324.jpg</v>
      </c>
      <c r="AD736" s="4"/>
      <c r="AE736" s="4"/>
      <c r="AF736" s="4" t="str">
        <f>IFERROR(__xludf.DUMMYFUNCTION("""COMPUTED_VALUE"""),"BELUM")</f>
        <v>BELUM</v>
      </c>
      <c r="AG736" s="6">
        <f>IFERROR(__xludf.DUMMYFUNCTION("""COMPUTED_VALUE"""),46094.0)</f>
        <v>46094</v>
      </c>
      <c r="AH736" s="4"/>
      <c r="AI736" s="4"/>
    </row>
    <row r="737" ht="15.75" customHeight="1">
      <c r="A737" s="4" t="str">
        <f>IFERROR(__xludf.DUMMYFUNCTION("""COMPUTED_VALUE"""),"2b1f29e8")</f>
        <v>2b1f29e8</v>
      </c>
      <c r="B737" s="5">
        <f>IFERROR(__xludf.DUMMYFUNCTION("""COMPUTED_VALUE"""),46094.87315972222)</f>
        <v>46094.87316</v>
      </c>
      <c r="C737" s="4" t="str">
        <f>IFERROR(__xludf.DUMMYFUNCTION("""COMPUTED_VALUE"""),"-6.930242, 107.665009")</f>
        <v>-6.930242, 107.665009</v>
      </c>
      <c r="D737" s="4" t="str">
        <f>IFERROR(__xludf.DUMMYFUNCTION("""COMPUTED_VALUE"""),"Angga sandi")</f>
        <v>Angga sandi</v>
      </c>
      <c r="E737" s="4" t="str">
        <f>IFERROR(__xludf.DUMMYFUNCTION("""COMPUTED_VALUE"""),"BANDUNG")</f>
        <v>BANDUNG</v>
      </c>
      <c r="F737" s="4" t="str">
        <f>IFERROR(__xludf.DUMMYFUNCTION("""COMPUTED_VALUE"""),"BANDUNG TIMUR")</f>
        <v>BANDUNG TIMUR</v>
      </c>
      <c r="G737" s="4" t="str">
        <f>IFERROR(__xludf.DUMMYFUNCTION("""COMPUTED_VALUE"""),"KIARACONDONG")</f>
        <v>KIARACONDONG</v>
      </c>
      <c r="H737" s="4" t="str">
        <f>IFERROR(__xludf.DUMMYFUNCTION("""COMPUTED_VALUE"""),"KKH")</f>
        <v>KKH</v>
      </c>
      <c r="I737" s="4" t="str">
        <f>IFERROR(__xludf.DUMMYFUNCTION("""COMPUTED_VALUE"""),"ATPY-RDW")</f>
        <v>ATPY-RDW</v>
      </c>
      <c r="J737" s="4" t="str">
        <f>IFERROR(__xludf.DUMMYFUNCTION("""COMPUTED_VALUE"""),"ZONA 2")</f>
        <v>ZONA 2</v>
      </c>
      <c r="K737" s="4" t="str">
        <f>IFERROR(__xludf.DUMMYFUNCTION("""COMPUTED_VALUE"""),"087R11")</f>
        <v>087R11</v>
      </c>
      <c r="L737" s="4" t="str">
        <f>IFERROR(__xludf.DUMMYFUNCTION("""COMPUTED_VALUE"""),"TM - 7B/H (Afspan 90 Derajat)")</f>
        <v>TM - 7B/H (Afspan 90 Derajat)</v>
      </c>
      <c r="M737" s="4" t="str">
        <f>IFERROR(__xludf.DUMMYFUNCTION("""COMPUTED_VALUE"""),"Tidak Ada")</f>
        <v>Tidak Ada</v>
      </c>
      <c r="N737" s="4"/>
      <c r="O737" s="4" t="str">
        <f>IFERROR(__xludf.DUMMYFUNCTION("""COMPUTED_VALUE"""),"PEMBANDING SEJENIS")</f>
        <v>PEMBANDING SEJENIS</v>
      </c>
      <c r="P737" s="4" t="str">
        <f>IFERROR(__xludf.DUMMYFUNCTION("""COMPUTED_VALUE"""),"KONEKTOR/JUMPER")</f>
        <v>KONEKTOR/JUMPER</v>
      </c>
      <c r="Q737" s="4">
        <f>IFERROR(__xludf.DUMMYFUNCTION("""COMPUTED_VALUE"""),21.8)</f>
        <v>21.8</v>
      </c>
      <c r="R737" s="4">
        <f>IFERROR(__xludf.DUMMYFUNCTION("""COMPUTED_VALUE"""),21.7)</f>
        <v>21.7</v>
      </c>
      <c r="S737" s="4">
        <f>IFERROR(__xludf.DUMMYFUNCTION("""COMPUTED_VALUE"""),21.0)</f>
        <v>21</v>
      </c>
      <c r="T737" s="4"/>
      <c r="U737" s="4" t="str">
        <f>IFERROR(__xludf.DUMMYFUNCTION("""COMPUTED_VALUE"""),"BAIK")</f>
        <v>BAIK</v>
      </c>
      <c r="V737" s="4" t="str">
        <f>IFERROR(__xludf.DUMMYFUNCTION("""COMPUTED_VALUE"""),"Tidak Ada")</f>
        <v>Tidak Ada</v>
      </c>
      <c r="W737" s="4"/>
      <c r="X737" s="4"/>
      <c r="Y737" s="4"/>
      <c r="Z737" s="4"/>
      <c r="AA737" s="4"/>
      <c r="AB737" s="4"/>
      <c r="AC737" s="4" t="str">
        <f>IFERROR(__xludf.DUMMYFUNCTION("""COMPUTED_VALUE"""),"INSPEKSI SUTM - T2_Images/2b1f29e8.FOTO.135903.jpg")</f>
        <v>INSPEKSI SUTM - T2_Images/2b1f29e8.FOTO.135903.jpg</v>
      </c>
      <c r="AD737" s="4"/>
      <c r="AE737" s="4"/>
      <c r="AF737" s="4" t="str">
        <f>IFERROR(__xludf.DUMMYFUNCTION("""COMPUTED_VALUE"""),"BELUM")</f>
        <v>BELUM</v>
      </c>
      <c r="AG737" s="6">
        <f>IFERROR(__xludf.DUMMYFUNCTION("""COMPUTED_VALUE"""),46094.0)</f>
        <v>46094</v>
      </c>
      <c r="AH737" s="4"/>
      <c r="AI737" s="4"/>
    </row>
    <row r="738" ht="15.75" customHeight="1">
      <c r="A738" s="4" t="str">
        <f>IFERROR(__xludf.DUMMYFUNCTION("""COMPUTED_VALUE"""),"f94e0c15")</f>
        <v>f94e0c15</v>
      </c>
      <c r="B738" s="5">
        <f>IFERROR(__xludf.DUMMYFUNCTION("""COMPUTED_VALUE"""),46094.86398148148)</f>
        <v>46094.86398</v>
      </c>
      <c r="C738" s="4" t="str">
        <f>IFERROR(__xludf.DUMMYFUNCTION("""COMPUTED_VALUE"""),"-6.948997, 107.611744")</f>
        <v>-6.948997, 107.611744</v>
      </c>
      <c r="D738" s="4" t="str">
        <f>IFERROR(__xludf.DUMMYFUNCTION("""COMPUTED_VALUE"""),"Nugi Firman")</f>
        <v>Nugi Firman</v>
      </c>
      <c r="E738" s="4" t="str">
        <f>IFERROR(__xludf.DUMMYFUNCTION("""COMPUTED_VALUE"""),"BANDUNG")</f>
        <v>BANDUNG</v>
      </c>
      <c r="F738" s="4" t="str">
        <f>IFERROR(__xludf.DUMMYFUNCTION("""COMPUTED_VALUE"""),"BANDUNG SELATAN")</f>
        <v>BANDUNG SELATAN</v>
      </c>
      <c r="G738" s="4" t="str">
        <f>IFERROR(__xludf.DUMMYFUNCTION("""COMPUTED_VALUE"""),"GI DAYEUHKOLOT")</f>
        <v>GI DAYEUHKOLOT</v>
      </c>
      <c r="H738" s="4" t="str">
        <f>IFERROR(__xludf.DUMMYFUNCTION("""COMPUTED_VALUE"""),"DYPI")</f>
        <v>DYPI</v>
      </c>
      <c r="I738" s="4" t="str">
        <f>IFERROR(__xludf.DUMMYFUNCTION("""COMPUTED_VALUE"""),"KP.PLI - LBS BJSF")</f>
        <v>KP.PLI - LBS BJSF</v>
      </c>
      <c r="J738" s="4" t="str">
        <f>IFERROR(__xludf.DUMMYFUNCTION("""COMPUTED_VALUE"""),"ZONA 2")</f>
        <v>ZONA 2</v>
      </c>
      <c r="K738" s="4" t="str">
        <f>IFERROR(__xludf.DUMMYFUNCTION("""COMPUTED_VALUE"""),"044")</f>
        <v>044</v>
      </c>
      <c r="L738" s="4" t="str">
        <f>IFERROR(__xludf.DUMMYFUNCTION("""COMPUTED_VALUE"""),"TM - 11B/H (Kabel Naik)")</f>
        <v>TM - 11B/H (Kabel Naik)</v>
      </c>
      <c r="M738" s="4" t="str">
        <f>IFERROR(__xludf.DUMMYFUNCTION("""COMPUTED_VALUE"""),"Tidak Ada")</f>
        <v>Tidak Ada</v>
      </c>
      <c r="N738" s="4"/>
      <c r="O738" s="4" t="str">
        <f>IFERROR(__xludf.DUMMYFUNCTION("""COMPUTED_VALUE"""),"PEMBANDING SEJENIS")</f>
        <v>PEMBANDING SEJENIS</v>
      </c>
      <c r="P738" s="4" t="str">
        <f>IFERROR(__xludf.DUMMYFUNCTION("""COMPUTED_VALUE"""),"TERMINASI")</f>
        <v>TERMINASI</v>
      </c>
      <c r="Q738" s="4">
        <f>IFERROR(__xludf.DUMMYFUNCTION("""COMPUTED_VALUE"""),22.0)</f>
        <v>22</v>
      </c>
      <c r="R738" s="4">
        <f>IFERROR(__xludf.DUMMYFUNCTION("""COMPUTED_VALUE"""),37.0)</f>
        <v>37</v>
      </c>
      <c r="S738" s="4">
        <f>IFERROR(__xludf.DUMMYFUNCTION("""COMPUTED_VALUE"""),24.0)</f>
        <v>24</v>
      </c>
      <c r="T738" s="4"/>
      <c r="U738" s="4" t="str">
        <f>IFERROR(__xludf.DUMMYFUNCTION("""COMPUTED_VALUE"""),"BURUK")</f>
        <v>BURUK</v>
      </c>
      <c r="V738" s="4" t="str">
        <f>IFERROR(__xludf.DUMMYFUNCTION("""COMPUTED_VALUE"""),"Tidak Ada")</f>
        <v>Tidak Ada</v>
      </c>
      <c r="W738" s="4"/>
      <c r="X738" s="4"/>
      <c r="Y738" s="4"/>
      <c r="Z738" s="4"/>
      <c r="AA738" s="4"/>
      <c r="AB738" s="4"/>
      <c r="AC738" s="4" t="str">
        <f>IFERROR(__xludf.DUMMYFUNCTION("""COMPUTED_VALUE"""),"INSPEKSI SUTM - T2_Images/f94e0c15.FOTO.135958.jpg")</f>
        <v>INSPEKSI SUTM - T2_Images/f94e0c15.FOTO.135958.jpg</v>
      </c>
      <c r="AD738" s="4"/>
      <c r="AE738" s="4"/>
      <c r="AF738" s="4" t="str">
        <f>IFERROR(__xludf.DUMMYFUNCTION("""COMPUTED_VALUE"""),"BELUM")</f>
        <v>BELUM</v>
      </c>
      <c r="AG738" s="6">
        <f>IFERROR(__xludf.DUMMYFUNCTION("""COMPUTED_VALUE"""),46094.0)</f>
        <v>46094</v>
      </c>
      <c r="AH738" s="4"/>
      <c r="AI738" s="4"/>
    </row>
    <row r="739" ht="15.75" customHeight="1">
      <c r="A739" s="4" t="str">
        <f>IFERROR(__xludf.DUMMYFUNCTION("""COMPUTED_VALUE"""),"91ea60c0")</f>
        <v>91ea60c0</v>
      </c>
      <c r="B739" s="5">
        <f>IFERROR(__xludf.DUMMYFUNCTION("""COMPUTED_VALUE"""),46094.86447916667)</f>
        <v>46094.86448</v>
      </c>
      <c r="C739" s="4" t="str">
        <f>IFERROR(__xludf.DUMMYFUNCTION("""COMPUTED_VALUE"""),"-6.949040, 107.611675")</f>
        <v>-6.949040, 107.611675</v>
      </c>
      <c r="D739" s="4" t="str">
        <f>IFERROR(__xludf.DUMMYFUNCTION("""COMPUTED_VALUE"""),"Nugi Firman")</f>
        <v>Nugi Firman</v>
      </c>
      <c r="E739" s="4" t="str">
        <f>IFERROR(__xludf.DUMMYFUNCTION("""COMPUTED_VALUE"""),"BANDUNG")</f>
        <v>BANDUNG</v>
      </c>
      <c r="F739" s="4" t="str">
        <f>IFERROR(__xludf.DUMMYFUNCTION("""COMPUTED_VALUE"""),"BANDUNG SELATAN")</f>
        <v>BANDUNG SELATAN</v>
      </c>
      <c r="G739" s="4" t="str">
        <f>IFERROR(__xludf.DUMMYFUNCTION("""COMPUTED_VALUE"""),"GI DAYEUHKOLOT")</f>
        <v>GI DAYEUHKOLOT</v>
      </c>
      <c r="H739" s="4" t="str">
        <f>IFERROR(__xludf.DUMMYFUNCTION("""COMPUTED_VALUE"""),"DYPI")</f>
        <v>DYPI</v>
      </c>
      <c r="I739" s="4" t="str">
        <f>IFERROR(__xludf.DUMMYFUNCTION("""COMPUTED_VALUE"""),"KP.PLI - LBS BJSF")</f>
        <v>KP.PLI - LBS BJSF</v>
      </c>
      <c r="J739" s="4" t="str">
        <f>IFERROR(__xludf.DUMMYFUNCTION("""COMPUTED_VALUE"""),"ZONA 2")</f>
        <v>ZONA 2</v>
      </c>
      <c r="K739" s="4" t="str">
        <f>IFERROR(__xludf.DUMMYFUNCTION("""COMPUTED_VALUE"""),"042R07")</f>
        <v>042R07</v>
      </c>
      <c r="L739" s="4" t="str">
        <f>IFERROR(__xludf.DUMMYFUNCTION("""COMPUTED_VALUE"""),"TM - 7B/H (Afspan 90 Derajat)")</f>
        <v>TM - 7B/H (Afspan 90 Derajat)</v>
      </c>
      <c r="M739" s="4" t="str">
        <f>IFERROR(__xludf.DUMMYFUNCTION("""COMPUTED_VALUE"""),"Tidak Ada")</f>
        <v>Tidak Ada</v>
      </c>
      <c r="N739" s="4"/>
      <c r="O739" s="4" t="str">
        <f>IFERROR(__xludf.DUMMYFUNCTION("""COMPUTED_VALUE"""),"PEMBANDING SEJENIS")</f>
        <v>PEMBANDING SEJENIS</v>
      </c>
      <c r="P739" s="4" t="str">
        <f>IFERROR(__xludf.DUMMYFUNCTION("""COMPUTED_VALUE"""),"KONEKTOR/JUMPER")</f>
        <v>KONEKTOR/JUMPER</v>
      </c>
      <c r="Q739" s="4">
        <f>IFERROR(__xludf.DUMMYFUNCTION("""COMPUTED_VALUE"""),20.0)</f>
        <v>20</v>
      </c>
      <c r="R739" s="4">
        <f>IFERROR(__xludf.DUMMYFUNCTION("""COMPUTED_VALUE"""),20.0)</f>
        <v>20</v>
      </c>
      <c r="S739" s="4">
        <f>IFERROR(__xludf.DUMMYFUNCTION("""COMPUTED_VALUE"""),20.0)</f>
        <v>20</v>
      </c>
      <c r="T739" s="4"/>
      <c r="U739" s="4" t="str">
        <f>IFERROR(__xludf.DUMMYFUNCTION("""COMPUTED_VALUE"""),"BAIK")</f>
        <v>BAIK</v>
      </c>
      <c r="V739" s="4" t="str">
        <f>IFERROR(__xludf.DUMMYFUNCTION("""COMPUTED_VALUE"""),"Tidak Ada")</f>
        <v>Tidak Ada</v>
      </c>
      <c r="W739" s="4"/>
      <c r="X739" s="4"/>
      <c r="Y739" s="4"/>
      <c r="Z739" s="4"/>
      <c r="AA739" s="4"/>
      <c r="AB739" s="4"/>
      <c r="AC739" s="4" t="str">
        <f>IFERROR(__xludf.DUMMYFUNCTION("""COMPUTED_VALUE"""),"INSPEKSI SUTM - T2_Images/91ea60c0.FOTO.140008.jpg")</f>
        <v>INSPEKSI SUTM - T2_Images/91ea60c0.FOTO.140008.jpg</v>
      </c>
      <c r="AD739" s="4"/>
      <c r="AE739" s="4"/>
      <c r="AF739" s="4" t="str">
        <f>IFERROR(__xludf.DUMMYFUNCTION("""COMPUTED_VALUE"""),"BELUM")</f>
        <v>BELUM</v>
      </c>
      <c r="AG739" s="6">
        <f>IFERROR(__xludf.DUMMYFUNCTION("""COMPUTED_VALUE"""),46094.0)</f>
        <v>46094</v>
      </c>
      <c r="AH739" s="4"/>
      <c r="AI739" s="4"/>
    </row>
    <row r="740" ht="15.75" customHeight="1">
      <c r="A740" s="4" t="str">
        <f>IFERROR(__xludf.DUMMYFUNCTION("""COMPUTED_VALUE"""),"739c7f39")</f>
        <v>739c7f39</v>
      </c>
      <c r="B740" s="5">
        <f>IFERROR(__xludf.DUMMYFUNCTION("""COMPUTED_VALUE"""),46094.8665625)</f>
        <v>46094.86656</v>
      </c>
      <c r="C740" s="4" t="str">
        <f>IFERROR(__xludf.DUMMYFUNCTION("""COMPUTED_VALUE"""),"-6.949132, 107.611704")</f>
        <v>-6.949132, 107.611704</v>
      </c>
      <c r="D740" s="4" t="str">
        <f>IFERROR(__xludf.DUMMYFUNCTION("""COMPUTED_VALUE"""),"Nugi Firman")</f>
        <v>Nugi Firman</v>
      </c>
      <c r="E740" s="4" t="str">
        <f>IFERROR(__xludf.DUMMYFUNCTION("""COMPUTED_VALUE"""),"BANDUNG")</f>
        <v>BANDUNG</v>
      </c>
      <c r="F740" s="4" t="str">
        <f>IFERROR(__xludf.DUMMYFUNCTION("""COMPUTED_VALUE"""),"BANDUNG SELATAN")</f>
        <v>BANDUNG SELATAN</v>
      </c>
      <c r="G740" s="4" t="str">
        <f>IFERROR(__xludf.DUMMYFUNCTION("""COMPUTED_VALUE"""),"GI DAYEUHKOLOT")</f>
        <v>GI DAYEUHKOLOT</v>
      </c>
      <c r="H740" s="4" t="str">
        <f>IFERROR(__xludf.DUMMYFUNCTION("""COMPUTED_VALUE"""),"DYPI")</f>
        <v>DYPI</v>
      </c>
      <c r="I740" s="4" t="str">
        <f>IFERROR(__xludf.DUMMYFUNCTION("""COMPUTED_VALUE"""),"KP.PLI - LBS BJSF")</f>
        <v>KP.PLI - LBS BJSF</v>
      </c>
      <c r="J740" s="4" t="str">
        <f>IFERROR(__xludf.DUMMYFUNCTION("""COMPUTED_VALUE"""),"ZONA 2")</f>
        <v>ZONA 2</v>
      </c>
      <c r="K740" s="4" t="str">
        <f>IFERROR(__xludf.DUMMYFUNCTION("""COMPUTED_VALUE"""),"042R06")</f>
        <v>042R06</v>
      </c>
      <c r="L740" s="4" t="str">
        <f>IFERROR(__xludf.DUMMYFUNCTION("""COMPUTED_VALUE"""),"TM - 1B/H (Tumpu)")</f>
        <v>TM - 1B/H (Tumpu)</v>
      </c>
      <c r="M740" s="4" t="str">
        <f>IFERROR(__xludf.DUMMYFUNCTION("""COMPUTED_VALUE"""),"Tidak Ada")</f>
        <v>Tidak Ada</v>
      </c>
      <c r="N740" s="4"/>
      <c r="O740" s="4" t="str">
        <f>IFERROR(__xludf.DUMMYFUNCTION("""COMPUTED_VALUE"""),"PEMBANDING SEJENIS")</f>
        <v>PEMBANDING SEJENIS</v>
      </c>
      <c r="P740" s="4" t="str">
        <f>IFERROR(__xludf.DUMMYFUNCTION("""COMPUTED_VALUE"""),"ARRESTER")</f>
        <v>ARRESTER</v>
      </c>
      <c r="Q740" s="4">
        <f>IFERROR(__xludf.DUMMYFUNCTION("""COMPUTED_VALUE"""),22.0)</f>
        <v>22</v>
      </c>
      <c r="R740" s="4">
        <f>IFERROR(__xludf.DUMMYFUNCTION("""COMPUTED_VALUE"""),21.0)</f>
        <v>21</v>
      </c>
      <c r="S740" s="4">
        <f>IFERROR(__xludf.DUMMYFUNCTION("""COMPUTED_VALUE"""),21.0)</f>
        <v>21</v>
      </c>
      <c r="T740" s="4"/>
      <c r="U740" s="4" t="str">
        <f>IFERROR(__xludf.DUMMYFUNCTION("""COMPUTED_VALUE"""),"BAIK")</f>
        <v>BAIK</v>
      </c>
      <c r="V740" s="4" t="str">
        <f>IFERROR(__xludf.DUMMYFUNCTION("""COMPUTED_VALUE"""),"Tidak Ada")</f>
        <v>Tidak Ada</v>
      </c>
      <c r="W740" s="4"/>
      <c r="X740" s="4"/>
      <c r="Y740" s="4"/>
      <c r="Z740" s="4"/>
      <c r="AA740" s="4"/>
      <c r="AB740" s="4"/>
      <c r="AC740" s="4" t="str">
        <f>IFERROR(__xludf.DUMMYFUNCTION("""COMPUTED_VALUE"""),"INSPEKSI SUTM - T2_Images/739c7f39.FOTO.140015.jpg")</f>
        <v>INSPEKSI SUTM - T2_Images/739c7f39.FOTO.140015.jpg</v>
      </c>
      <c r="AD740" s="4"/>
      <c r="AE740" s="4"/>
      <c r="AF740" s="4" t="str">
        <f>IFERROR(__xludf.DUMMYFUNCTION("""COMPUTED_VALUE"""),"BELUM")</f>
        <v>BELUM</v>
      </c>
      <c r="AG740" s="6">
        <f>IFERROR(__xludf.DUMMYFUNCTION("""COMPUTED_VALUE"""),46094.0)</f>
        <v>46094</v>
      </c>
      <c r="AH740" s="4"/>
      <c r="AI740" s="4"/>
    </row>
    <row r="741" ht="15.75" customHeight="1">
      <c r="A741" s="4" t="str">
        <f>IFERROR(__xludf.DUMMYFUNCTION("""COMPUTED_VALUE"""),"9bec3b9c")</f>
        <v>9bec3b9c</v>
      </c>
      <c r="B741" s="5">
        <f>IFERROR(__xludf.DUMMYFUNCTION("""COMPUTED_VALUE"""),46094.867106481484)</f>
        <v>46094.86711</v>
      </c>
      <c r="C741" s="4" t="str">
        <f>IFERROR(__xludf.DUMMYFUNCTION("""COMPUTED_VALUE"""),"-6.949024, 107.611761")</f>
        <v>-6.949024, 107.611761</v>
      </c>
      <c r="D741" s="4" t="str">
        <f>IFERROR(__xludf.DUMMYFUNCTION("""COMPUTED_VALUE"""),"Nugi Firman")</f>
        <v>Nugi Firman</v>
      </c>
      <c r="E741" s="4" t="str">
        <f>IFERROR(__xludf.DUMMYFUNCTION("""COMPUTED_VALUE"""),"BANDUNG")</f>
        <v>BANDUNG</v>
      </c>
      <c r="F741" s="4" t="str">
        <f>IFERROR(__xludf.DUMMYFUNCTION("""COMPUTED_VALUE"""),"BANDUNG SELATAN")</f>
        <v>BANDUNG SELATAN</v>
      </c>
      <c r="G741" s="4" t="str">
        <f>IFERROR(__xludf.DUMMYFUNCTION("""COMPUTED_VALUE"""),"GI DAYEUHKOLOT")</f>
        <v>GI DAYEUHKOLOT</v>
      </c>
      <c r="H741" s="4" t="str">
        <f>IFERROR(__xludf.DUMMYFUNCTION("""COMPUTED_VALUE"""),"DYPI")</f>
        <v>DYPI</v>
      </c>
      <c r="I741" s="4" t="str">
        <f>IFERROR(__xludf.DUMMYFUNCTION("""COMPUTED_VALUE"""),"KP.PLI - LBS BJSF")</f>
        <v>KP.PLI - LBS BJSF</v>
      </c>
      <c r="J741" s="4" t="str">
        <f>IFERROR(__xludf.DUMMYFUNCTION("""COMPUTED_VALUE"""),"ZONA 2")</f>
        <v>ZONA 2</v>
      </c>
      <c r="K741" s="4" t="str">
        <f>IFERROR(__xludf.DUMMYFUNCTION("""COMPUTED_VALUE"""),"042R02")</f>
        <v>042R02</v>
      </c>
      <c r="L741" s="4" t="str">
        <f>IFERROR(__xludf.DUMMYFUNCTION("""COMPUTED_VALUE"""),"TM - 2B/H (Double Tumpu)")</f>
        <v>TM - 2B/H (Double Tumpu)</v>
      </c>
      <c r="M741" s="4" t="str">
        <f>IFERROR(__xludf.DUMMYFUNCTION("""COMPUTED_VALUE"""),"Tidak Ada")</f>
        <v>Tidak Ada</v>
      </c>
      <c r="N741" s="4"/>
      <c r="O741" s="4" t="str">
        <f>IFERROR(__xludf.DUMMYFUNCTION("""COMPUTED_VALUE"""),"PEMBANDING SEJENIS")</f>
        <v>PEMBANDING SEJENIS</v>
      </c>
      <c r="P741" s="4" t="str">
        <f>IFERROR(__xludf.DUMMYFUNCTION("""COMPUTED_VALUE"""),"ARRESTER")</f>
        <v>ARRESTER</v>
      </c>
      <c r="Q741" s="4">
        <f>IFERROR(__xludf.DUMMYFUNCTION("""COMPUTED_VALUE"""),20.0)</f>
        <v>20</v>
      </c>
      <c r="R741" s="4">
        <f>IFERROR(__xludf.DUMMYFUNCTION("""COMPUTED_VALUE"""),21.0)</f>
        <v>21</v>
      </c>
      <c r="S741" s="4">
        <f>IFERROR(__xludf.DUMMYFUNCTION("""COMPUTED_VALUE"""),20.0)</f>
        <v>20</v>
      </c>
      <c r="T741" s="4"/>
      <c r="U741" s="4" t="str">
        <f>IFERROR(__xludf.DUMMYFUNCTION("""COMPUTED_VALUE"""),"BAIK")</f>
        <v>BAIK</v>
      </c>
      <c r="V741" s="4" t="str">
        <f>IFERROR(__xludf.DUMMYFUNCTION("""COMPUTED_VALUE"""),"Tidak Ada")</f>
        <v>Tidak Ada</v>
      </c>
      <c r="W741" s="4"/>
      <c r="X741" s="4"/>
      <c r="Y741" s="4"/>
      <c r="Z741" s="4"/>
      <c r="AA741" s="4"/>
      <c r="AB741" s="4"/>
      <c r="AC741" s="4" t="str">
        <f>IFERROR(__xludf.DUMMYFUNCTION("""COMPUTED_VALUE"""),"INSPEKSI SUTM - T2_Images/9bec3b9c.FOTO.140020.jpg")</f>
        <v>INSPEKSI SUTM - T2_Images/9bec3b9c.FOTO.140020.jpg</v>
      </c>
      <c r="AD741" s="4"/>
      <c r="AE741" s="4"/>
      <c r="AF741" s="4" t="str">
        <f>IFERROR(__xludf.DUMMYFUNCTION("""COMPUTED_VALUE"""),"BELUM")</f>
        <v>BELUM</v>
      </c>
      <c r="AG741" s="6">
        <f>IFERROR(__xludf.DUMMYFUNCTION("""COMPUTED_VALUE"""),46094.0)</f>
        <v>46094</v>
      </c>
      <c r="AH741" s="4"/>
      <c r="AI741" s="4"/>
    </row>
    <row r="742" ht="15.75" customHeight="1">
      <c r="A742" s="4" t="str">
        <f>IFERROR(__xludf.DUMMYFUNCTION("""COMPUTED_VALUE"""),"44b5ebaa")</f>
        <v>44b5ebaa</v>
      </c>
      <c r="B742" s="5">
        <f>IFERROR(__xludf.DUMMYFUNCTION("""COMPUTED_VALUE"""),46094.86918981482)</f>
        <v>46094.86919</v>
      </c>
      <c r="C742" s="4" t="str">
        <f>IFERROR(__xludf.DUMMYFUNCTION("""COMPUTED_VALUE"""),"-6.949021, 107.611731")</f>
        <v>-6.949021, 107.611731</v>
      </c>
      <c r="D742" s="4" t="str">
        <f>IFERROR(__xludf.DUMMYFUNCTION("""COMPUTED_VALUE"""),"Nugi Firman")</f>
        <v>Nugi Firman</v>
      </c>
      <c r="E742" s="4" t="str">
        <f>IFERROR(__xludf.DUMMYFUNCTION("""COMPUTED_VALUE"""),"BANDUNG")</f>
        <v>BANDUNG</v>
      </c>
      <c r="F742" s="4" t="str">
        <f>IFERROR(__xludf.DUMMYFUNCTION("""COMPUTED_VALUE"""),"BANDUNG SELATAN")</f>
        <v>BANDUNG SELATAN</v>
      </c>
      <c r="G742" s="4" t="str">
        <f>IFERROR(__xludf.DUMMYFUNCTION("""COMPUTED_VALUE"""),"GI DAYEUHKOLOT")</f>
        <v>GI DAYEUHKOLOT</v>
      </c>
      <c r="H742" s="4" t="str">
        <f>IFERROR(__xludf.DUMMYFUNCTION("""COMPUTED_VALUE"""),"DYPI")</f>
        <v>DYPI</v>
      </c>
      <c r="I742" s="4" t="str">
        <f>IFERROR(__xludf.DUMMYFUNCTION("""COMPUTED_VALUE"""),"KP.PLI - LBS BJSF")</f>
        <v>KP.PLI - LBS BJSF</v>
      </c>
      <c r="J742" s="4" t="str">
        <f>IFERROR(__xludf.DUMMYFUNCTION("""COMPUTED_VALUE"""),"ZONA 2")</f>
        <v>ZONA 2</v>
      </c>
      <c r="K742" s="4" t="str">
        <f>IFERROR(__xludf.DUMMYFUNCTION("""COMPUTED_VALUE"""),"042R01")</f>
        <v>042R01</v>
      </c>
      <c r="L742" s="4" t="str">
        <f>IFERROR(__xludf.DUMMYFUNCTION("""COMPUTED_VALUE"""),"TM - 7B/H (Afspan 90 Derajat)")</f>
        <v>TM - 7B/H (Afspan 90 Derajat)</v>
      </c>
      <c r="M742" s="4" t="str">
        <f>IFERROR(__xludf.DUMMYFUNCTION("""COMPUTED_VALUE"""),"Tidak Ada")</f>
        <v>Tidak Ada</v>
      </c>
      <c r="N742" s="4"/>
      <c r="O742" s="4" t="str">
        <f>IFERROR(__xludf.DUMMYFUNCTION("""COMPUTED_VALUE"""),"PEMBANDING SEJENIS")</f>
        <v>PEMBANDING SEJENIS</v>
      </c>
      <c r="P742" s="4" t="str">
        <f>IFERROR(__xludf.DUMMYFUNCTION("""COMPUTED_VALUE"""),"KONEKTOR/JUMPER")</f>
        <v>KONEKTOR/JUMPER</v>
      </c>
      <c r="Q742" s="4">
        <f>IFERROR(__xludf.DUMMYFUNCTION("""COMPUTED_VALUE"""),19.0)</f>
        <v>19</v>
      </c>
      <c r="R742" s="4">
        <f>IFERROR(__xludf.DUMMYFUNCTION("""COMPUTED_VALUE"""),19.0)</f>
        <v>19</v>
      </c>
      <c r="S742" s="4">
        <f>IFERROR(__xludf.DUMMYFUNCTION("""COMPUTED_VALUE"""),19.0)</f>
        <v>19</v>
      </c>
      <c r="T742" s="4"/>
      <c r="U742" s="4" t="str">
        <f>IFERROR(__xludf.DUMMYFUNCTION("""COMPUTED_VALUE"""),"BAIK")</f>
        <v>BAIK</v>
      </c>
      <c r="V742" s="4" t="str">
        <f>IFERROR(__xludf.DUMMYFUNCTION("""COMPUTED_VALUE"""),"Tidak Ada")</f>
        <v>Tidak Ada</v>
      </c>
      <c r="W742" s="4"/>
      <c r="X742" s="4"/>
      <c r="Y742" s="4"/>
      <c r="Z742" s="4"/>
      <c r="AA742" s="4"/>
      <c r="AB742" s="4"/>
      <c r="AC742" s="4" t="str">
        <f>IFERROR(__xludf.DUMMYFUNCTION("""COMPUTED_VALUE"""),"INSPEKSI SUTM - T2_Images/44b5ebaa.FOTO.140025.jpg")</f>
        <v>INSPEKSI SUTM - T2_Images/44b5ebaa.FOTO.140025.jpg</v>
      </c>
      <c r="AD742" s="4"/>
      <c r="AE742" s="4"/>
      <c r="AF742" s="4" t="str">
        <f>IFERROR(__xludf.DUMMYFUNCTION("""COMPUTED_VALUE"""),"BELUM")</f>
        <v>BELUM</v>
      </c>
      <c r="AG742" s="6">
        <f>IFERROR(__xludf.DUMMYFUNCTION("""COMPUTED_VALUE"""),46094.0)</f>
        <v>46094</v>
      </c>
      <c r="AH742" s="4"/>
      <c r="AI742" s="4"/>
    </row>
    <row r="743" ht="15.75" customHeight="1">
      <c r="A743" s="4" t="str">
        <f>IFERROR(__xludf.DUMMYFUNCTION("""COMPUTED_VALUE"""),"5cd328db")</f>
        <v>5cd328db</v>
      </c>
      <c r="B743" s="5">
        <f>IFERROR(__xludf.DUMMYFUNCTION("""COMPUTED_VALUE"""),46094.870034722226)</f>
        <v>46094.87003</v>
      </c>
      <c r="C743" s="4" t="str">
        <f>IFERROR(__xludf.DUMMYFUNCTION("""COMPUTED_VALUE"""),"-6.949104, 107.611766")</f>
        <v>-6.949104, 107.611766</v>
      </c>
      <c r="D743" s="4" t="str">
        <f>IFERROR(__xludf.DUMMYFUNCTION("""COMPUTED_VALUE"""),"Nugi Firman")</f>
        <v>Nugi Firman</v>
      </c>
      <c r="E743" s="4" t="str">
        <f>IFERROR(__xludf.DUMMYFUNCTION("""COMPUTED_VALUE"""),"BANDUNG")</f>
        <v>BANDUNG</v>
      </c>
      <c r="F743" s="4" t="str">
        <f>IFERROR(__xludf.DUMMYFUNCTION("""COMPUTED_VALUE"""),"BANDUNG SELATAN")</f>
        <v>BANDUNG SELATAN</v>
      </c>
      <c r="G743" s="4" t="str">
        <f>IFERROR(__xludf.DUMMYFUNCTION("""COMPUTED_VALUE"""),"GI DAYEUHKOLOT")</f>
        <v>GI DAYEUHKOLOT</v>
      </c>
      <c r="H743" s="4" t="str">
        <f>IFERROR(__xludf.DUMMYFUNCTION("""COMPUTED_VALUE"""),"DYPI")</f>
        <v>DYPI</v>
      </c>
      <c r="I743" s="4" t="str">
        <f>IFERROR(__xludf.DUMMYFUNCTION("""COMPUTED_VALUE"""),"KP.PLI - LBS BJSF")</f>
        <v>KP.PLI - LBS BJSF</v>
      </c>
      <c r="J743" s="4" t="str">
        <f>IFERROR(__xludf.DUMMYFUNCTION("""COMPUTED_VALUE"""),"ZONA 2")</f>
        <v>ZONA 2</v>
      </c>
      <c r="K743" s="4" t="str">
        <f>IFERROR(__xludf.DUMMYFUNCTION("""COMPUTED_VALUE"""),"042")</f>
        <v>042</v>
      </c>
      <c r="L743" s="4" t="str">
        <f>IFERROR(__xludf.DUMMYFUNCTION("""COMPUTED_VALUE"""),"TM - 8B/H (Percabangan)")</f>
        <v>TM - 8B/H (Percabangan)</v>
      </c>
      <c r="M743" s="4" t="str">
        <f>IFERROR(__xludf.DUMMYFUNCTION("""COMPUTED_VALUE"""),"Tidak Ada")</f>
        <v>Tidak Ada</v>
      </c>
      <c r="N743" s="4"/>
      <c r="O743" s="4" t="str">
        <f>IFERROR(__xludf.DUMMYFUNCTION("""COMPUTED_VALUE"""),"PEMBANDING SEJENIS")</f>
        <v>PEMBANDING SEJENIS</v>
      </c>
      <c r="P743" s="4" t="str">
        <f>IFERROR(__xludf.DUMMYFUNCTION("""COMPUTED_VALUE"""),"KONEKTOR/JUMPER")</f>
        <v>KONEKTOR/JUMPER</v>
      </c>
      <c r="Q743" s="4">
        <f>IFERROR(__xludf.DUMMYFUNCTION("""COMPUTED_VALUE"""),21.0)</f>
        <v>21</v>
      </c>
      <c r="R743" s="4">
        <f>IFERROR(__xludf.DUMMYFUNCTION("""COMPUTED_VALUE"""),20.0)</f>
        <v>20</v>
      </c>
      <c r="S743" s="4">
        <f>IFERROR(__xludf.DUMMYFUNCTION("""COMPUTED_VALUE"""),19.0)</f>
        <v>19</v>
      </c>
      <c r="T743" s="4"/>
      <c r="U743" s="4" t="str">
        <f>IFERROR(__xludf.DUMMYFUNCTION("""COMPUTED_VALUE"""),"BAIK")</f>
        <v>BAIK</v>
      </c>
      <c r="V743" s="4" t="str">
        <f>IFERROR(__xludf.DUMMYFUNCTION("""COMPUTED_VALUE"""),"Tidak Ada")</f>
        <v>Tidak Ada</v>
      </c>
      <c r="W743" s="4"/>
      <c r="X743" s="4"/>
      <c r="Y743" s="4"/>
      <c r="Z743" s="4"/>
      <c r="AA743" s="4"/>
      <c r="AB743" s="4"/>
      <c r="AC743" s="4" t="str">
        <f>IFERROR(__xludf.DUMMYFUNCTION("""COMPUTED_VALUE"""),"INSPEKSI SUTM - T2_Images/5cd328db.FOTO.140034.jpg")</f>
        <v>INSPEKSI SUTM - T2_Images/5cd328db.FOTO.140034.jpg</v>
      </c>
      <c r="AD743" s="4"/>
      <c r="AE743" s="4"/>
      <c r="AF743" s="4" t="str">
        <f>IFERROR(__xludf.DUMMYFUNCTION("""COMPUTED_VALUE"""),"BELUM")</f>
        <v>BELUM</v>
      </c>
      <c r="AG743" s="6">
        <f>IFERROR(__xludf.DUMMYFUNCTION("""COMPUTED_VALUE"""),46094.0)</f>
        <v>46094</v>
      </c>
      <c r="AH743" s="4"/>
      <c r="AI743" s="4"/>
    </row>
    <row r="744" ht="15.75" customHeight="1">
      <c r="A744" s="4" t="str">
        <f>IFERROR(__xludf.DUMMYFUNCTION("""COMPUTED_VALUE"""),"4683f41e")</f>
        <v>4683f41e</v>
      </c>
      <c r="B744" s="5">
        <f>IFERROR(__xludf.DUMMYFUNCTION("""COMPUTED_VALUE"""),46094.87060185185)</f>
        <v>46094.8706</v>
      </c>
      <c r="C744" s="4" t="str">
        <f>IFERROR(__xludf.DUMMYFUNCTION("""COMPUTED_VALUE"""),"-6.949098, 107.611694")</f>
        <v>-6.949098, 107.611694</v>
      </c>
      <c r="D744" s="4" t="str">
        <f>IFERROR(__xludf.DUMMYFUNCTION("""COMPUTED_VALUE"""),"Nugi Firman")</f>
        <v>Nugi Firman</v>
      </c>
      <c r="E744" s="4" t="str">
        <f>IFERROR(__xludf.DUMMYFUNCTION("""COMPUTED_VALUE"""),"BANDUNG")</f>
        <v>BANDUNG</v>
      </c>
      <c r="F744" s="4" t="str">
        <f>IFERROR(__xludf.DUMMYFUNCTION("""COMPUTED_VALUE"""),"BANDUNG SELATAN")</f>
        <v>BANDUNG SELATAN</v>
      </c>
      <c r="G744" s="4" t="str">
        <f>IFERROR(__xludf.DUMMYFUNCTION("""COMPUTED_VALUE"""),"GI DAYEUHKOLOT")</f>
        <v>GI DAYEUHKOLOT</v>
      </c>
      <c r="H744" s="4" t="str">
        <f>IFERROR(__xludf.DUMMYFUNCTION("""COMPUTED_VALUE"""),"DYPI")</f>
        <v>DYPI</v>
      </c>
      <c r="I744" s="4" t="str">
        <f>IFERROR(__xludf.DUMMYFUNCTION("""COMPUTED_VALUE"""),"KP.PLI - LBS BJSF")</f>
        <v>KP.PLI - LBS BJSF</v>
      </c>
      <c r="J744" s="4" t="str">
        <f>IFERROR(__xludf.DUMMYFUNCTION("""COMPUTED_VALUE"""),"ZONA 2")</f>
        <v>ZONA 2</v>
      </c>
      <c r="K744" s="4" t="str">
        <f>IFERROR(__xludf.DUMMYFUNCTION("""COMPUTED_VALUE"""),"039")</f>
        <v>039</v>
      </c>
      <c r="L744" s="4" t="str">
        <f>IFERROR(__xludf.DUMMYFUNCTION("""COMPUTED_VALUE"""),"TM - 4B/H (Afspan)")</f>
        <v>TM - 4B/H (Afspan)</v>
      </c>
      <c r="M744" s="4" t="str">
        <f>IFERROR(__xludf.DUMMYFUNCTION("""COMPUTED_VALUE"""),"Tidak Ada")</f>
        <v>Tidak Ada</v>
      </c>
      <c r="N744" s="4"/>
      <c r="O744" s="4" t="str">
        <f>IFERROR(__xludf.DUMMYFUNCTION("""COMPUTED_VALUE"""),"PEMBANDING SEJENIS")</f>
        <v>PEMBANDING SEJENIS</v>
      </c>
      <c r="P744" s="4" t="str">
        <f>IFERROR(__xludf.DUMMYFUNCTION("""COMPUTED_VALUE"""),"KONEKTOR/JUMPER")</f>
        <v>KONEKTOR/JUMPER</v>
      </c>
      <c r="Q744" s="4">
        <f>IFERROR(__xludf.DUMMYFUNCTION("""COMPUTED_VALUE"""),21.0)</f>
        <v>21</v>
      </c>
      <c r="R744" s="4">
        <f>IFERROR(__xludf.DUMMYFUNCTION("""COMPUTED_VALUE"""),20.0)</f>
        <v>20</v>
      </c>
      <c r="S744" s="4">
        <f>IFERROR(__xludf.DUMMYFUNCTION("""COMPUTED_VALUE"""),22.0)</f>
        <v>22</v>
      </c>
      <c r="T744" s="4"/>
      <c r="U744" s="4" t="str">
        <f>IFERROR(__xludf.DUMMYFUNCTION("""COMPUTED_VALUE"""),"BAIK")</f>
        <v>BAIK</v>
      </c>
      <c r="V744" s="4" t="str">
        <f>IFERROR(__xludf.DUMMYFUNCTION("""COMPUTED_VALUE"""),"Tidak Ada")</f>
        <v>Tidak Ada</v>
      </c>
      <c r="W744" s="4"/>
      <c r="X744" s="4"/>
      <c r="Y744" s="4"/>
      <c r="Z744" s="4"/>
      <c r="AA744" s="4"/>
      <c r="AB744" s="4"/>
      <c r="AC744" s="4" t="str">
        <f>IFERROR(__xludf.DUMMYFUNCTION("""COMPUTED_VALUE"""),"INSPEKSI SUTM - T2_Images/4683f41e.FOTO.140039.jpg")</f>
        <v>INSPEKSI SUTM - T2_Images/4683f41e.FOTO.140039.jpg</v>
      </c>
      <c r="AD744" s="4"/>
      <c r="AE744" s="4"/>
      <c r="AF744" s="4" t="str">
        <f>IFERROR(__xludf.DUMMYFUNCTION("""COMPUTED_VALUE"""),"BELUM")</f>
        <v>BELUM</v>
      </c>
      <c r="AG744" s="6">
        <f>IFERROR(__xludf.DUMMYFUNCTION("""COMPUTED_VALUE"""),46094.0)</f>
        <v>46094</v>
      </c>
      <c r="AH744" s="4"/>
      <c r="AI744" s="4"/>
    </row>
    <row r="745" ht="15.75" customHeight="1">
      <c r="A745" s="4" t="str">
        <f>IFERROR(__xludf.DUMMYFUNCTION("""COMPUTED_VALUE"""),"5d088710")</f>
        <v>5d088710</v>
      </c>
      <c r="B745" s="5">
        <f>IFERROR(__xludf.DUMMYFUNCTION("""COMPUTED_VALUE"""),46094.871516203704)</f>
        <v>46094.87152</v>
      </c>
      <c r="C745" s="4" t="str">
        <f>IFERROR(__xludf.DUMMYFUNCTION("""COMPUTED_VALUE"""),"-6.949080, 107.611685")</f>
        <v>-6.949080, 107.611685</v>
      </c>
      <c r="D745" s="4" t="str">
        <f>IFERROR(__xludf.DUMMYFUNCTION("""COMPUTED_VALUE"""),"Nugi Firman")</f>
        <v>Nugi Firman</v>
      </c>
      <c r="E745" s="4" t="str">
        <f>IFERROR(__xludf.DUMMYFUNCTION("""COMPUTED_VALUE"""),"BANDUNG")</f>
        <v>BANDUNG</v>
      </c>
      <c r="F745" s="4" t="str">
        <f>IFERROR(__xludf.DUMMYFUNCTION("""COMPUTED_VALUE"""),"BANDUNG SELATAN")</f>
        <v>BANDUNG SELATAN</v>
      </c>
      <c r="G745" s="4" t="str">
        <f>IFERROR(__xludf.DUMMYFUNCTION("""COMPUTED_VALUE"""),"GI DAYEUHKOLOT")</f>
        <v>GI DAYEUHKOLOT</v>
      </c>
      <c r="H745" s="4" t="str">
        <f>IFERROR(__xludf.DUMMYFUNCTION("""COMPUTED_VALUE"""),"DYPI")</f>
        <v>DYPI</v>
      </c>
      <c r="I745" s="4" t="str">
        <f>IFERROR(__xludf.DUMMYFUNCTION("""COMPUTED_VALUE"""),"KP.PLI - LBS BJSF")</f>
        <v>KP.PLI - LBS BJSF</v>
      </c>
      <c r="J745" s="4" t="str">
        <f>IFERROR(__xludf.DUMMYFUNCTION("""COMPUTED_VALUE"""),"ZONA 2")</f>
        <v>ZONA 2</v>
      </c>
      <c r="K745" s="4" t="str">
        <f>IFERROR(__xludf.DUMMYFUNCTION("""COMPUTED_VALUE"""),"040")</f>
        <v>040</v>
      </c>
      <c r="L745" s="4" t="str">
        <f>IFERROR(__xludf.DUMMYFUNCTION("""COMPUTED_VALUE"""),"TM - 8B/H (Percabangan)")</f>
        <v>TM - 8B/H (Percabangan)</v>
      </c>
      <c r="M745" s="4" t="str">
        <f>IFERROR(__xludf.DUMMYFUNCTION("""COMPUTED_VALUE"""),"Tidak Ada")</f>
        <v>Tidak Ada</v>
      </c>
      <c r="N745" s="4"/>
      <c r="O745" s="4" t="str">
        <f>IFERROR(__xludf.DUMMYFUNCTION("""COMPUTED_VALUE"""),"PEMBANDING SEJENIS")</f>
        <v>PEMBANDING SEJENIS</v>
      </c>
      <c r="P745" s="4" t="str">
        <f>IFERROR(__xludf.DUMMYFUNCTION("""COMPUTED_VALUE"""),"KONEKTOR/JUMPER")</f>
        <v>KONEKTOR/JUMPER</v>
      </c>
      <c r="Q745" s="4">
        <f>IFERROR(__xludf.DUMMYFUNCTION("""COMPUTED_VALUE"""),19.0)</f>
        <v>19</v>
      </c>
      <c r="R745" s="4">
        <f>IFERROR(__xludf.DUMMYFUNCTION("""COMPUTED_VALUE"""),20.0)</f>
        <v>20</v>
      </c>
      <c r="S745" s="4">
        <f>IFERROR(__xludf.DUMMYFUNCTION("""COMPUTED_VALUE"""),19.0)</f>
        <v>19</v>
      </c>
      <c r="T745" s="4"/>
      <c r="U745" s="4" t="str">
        <f>IFERROR(__xludf.DUMMYFUNCTION("""COMPUTED_VALUE"""),"BAIK")</f>
        <v>BAIK</v>
      </c>
      <c r="V745" s="4" t="str">
        <f>IFERROR(__xludf.DUMMYFUNCTION("""COMPUTED_VALUE"""),"Tidak Ada")</f>
        <v>Tidak Ada</v>
      </c>
      <c r="W745" s="4"/>
      <c r="X745" s="4"/>
      <c r="Y745" s="4"/>
      <c r="Z745" s="4"/>
      <c r="AA745" s="4"/>
      <c r="AB745" s="4"/>
      <c r="AC745" s="4" t="str">
        <f>IFERROR(__xludf.DUMMYFUNCTION("""COMPUTED_VALUE"""),"INSPEKSI SUTM - T2_Images/5d088710.FOTO.140046.jpg")</f>
        <v>INSPEKSI SUTM - T2_Images/5d088710.FOTO.140046.jpg</v>
      </c>
      <c r="AD745" s="4"/>
      <c r="AE745" s="4"/>
      <c r="AF745" s="4" t="str">
        <f>IFERROR(__xludf.DUMMYFUNCTION("""COMPUTED_VALUE"""),"BELUM")</f>
        <v>BELUM</v>
      </c>
      <c r="AG745" s="6">
        <f>IFERROR(__xludf.DUMMYFUNCTION("""COMPUTED_VALUE"""),46094.0)</f>
        <v>46094</v>
      </c>
      <c r="AH745" s="4"/>
      <c r="AI745" s="4"/>
    </row>
    <row r="746" ht="15.75" customHeight="1">
      <c r="A746" s="4" t="str">
        <f>IFERROR(__xludf.DUMMYFUNCTION("""COMPUTED_VALUE"""),"3912c345")</f>
        <v>3912c345</v>
      </c>
      <c r="B746" s="5">
        <f>IFERROR(__xludf.DUMMYFUNCTION("""COMPUTED_VALUE"""),46094.872719907406)</f>
        <v>46094.87272</v>
      </c>
      <c r="C746" s="4" t="str">
        <f>IFERROR(__xludf.DUMMYFUNCTION("""COMPUTED_VALUE"""),"-6.949040, 107.611744")</f>
        <v>-6.949040, 107.611744</v>
      </c>
      <c r="D746" s="4" t="str">
        <f>IFERROR(__xludf.DUMMYFUNCTION("""COMPUTED_VALUE"""),"Nugi Firman")</f>
        <v>Nugi Firman</v>
      </c>
      <c r="E746" s="4" t="str">
        <f>IFERROR(__xludf.DUMMYFUNCTION("""COMPUTED_VALUE"""),"BANDUNG")</f>
        <v>BANDUNG</v>
      </c>
      <c r="F746" s="4" t="str">
        <f>IFERROR(__xludf.DUMMYFUNCTION("""COMPUTED_VALUE"""),"BANDUNG SELATAN")</f>
        <v>BANDUNG SELATAN</v>
      </c>
      <c r="G746" s="4" t="str">
        <f>IFERROR(__xludf.DUMMYFUNCTION("""COMPUTED_VALUE"""),"GI DAYEUHKOLOT")</f>
        <v>GI DAYEUHKOLOT</v>
      </c>
      <c r="H746" s="4" t="str">
        <f>IFERROR(__xludf.DUMMYFUNCTION("""COMPUTED_VALUE"""),"DYPI")</f>
        <v>DYPI</v>
      </c>
      <c r="I746" s="4" t="str">
        <f>IFERROR(__xludf.DUMMYFUNCTION("""COMPUTED_VALUE"""),"KP.PLI - LBS BJSF")</f>
        <v>KP.PLI - LBS BJSF</v>
      </c>
      <c r="J746" s="4" t="str">
        <f>IFERROR(__xludf.DUMMYFUNCTION("""COMPUTED_VALUE"""),"ZONA 2")</f>
        <v>ZONA 2</v>
      </c>
      <c r="K746" s="4" t="str">
        <f>IFERROR(__xludf.DUMMYFUNCTION("""COMPUTED_VALUE"""),"036")</f>
        <v>036</v>
      </c>
      <c r="L746" s="4" t="str">
        <f>IFERROR(__xludf.DUMMYFUNCTION("""COMPUTED_VALUE"""),"TM - 4B/H (Afspan)")</f>
        <v>TM - 4B/H (Afspan)</v>
      </c>
      <c r="M746" s="4" t="str">
        <f>IFERROR(__xludf.DUMMYFUNCTION("""COMPUTED_VALUE"""),"Tidak Ada")</f>
        <v>Tidak Ada</v>
      </c>
      <c r="N746" s="4"/>
      <c r="O746" s="4" t="str">
        <f>IFERROR(__xludf.DUMMYFUNCTION("""COMPUTED_VALUE"""),"PEMBANDING SEJENIS")</f>
        <v>PEMBANDING SEJENIS</v>
      </c>
      <c r="P746" s="4" t="str">
        <f>IFERROR(__xludf.DUMMYFUNCTION("""COMPUTED_VALUE"""),"KONEKTOR/JUMPER")</f>
        <v>KONEKTOR/JUMPER</v>
      </c>
      <c r="Q746" s="4">
        <f>IFERROR(__xludf.DUMMYFUNCTION("""COMPUTED_VALUE"""),20.0)</f>
        <v>20</v>
      </c>
      <c r="R746" s="4">
        <f>IFERROR(__xludf.DUMMYFUNCTION("""COMPUTED_VALUE"""),20.0)</f>
        <v>20</v>
      </c>
      <c r="S746" s="4">
        <f>IFERROR(__xludf.DUMMYFUNCTION("""COMPUTED_VALUE"""),20.0)</f>
        <v>20</v>
      </c>
      <c r="T746" s="4"/>
      <c r="U746" s="4" t="str">
        <f>IFERROR(__xludf.DUMMYFUNCTION("""COMPUTED_VALUE"""),"BAIK")</f>
        <v>BAIK</v>
      </c>
      <c r="V746" s="4" t="str">
        <f>IFERROR(__xludf.DUMMYFUNCTION("""COMPUTED_VALUE"""),"Tidak Ada")</f>
        <v>Tidak Ada</v>
      </c>
      <c r="W746" s="4"/>
      <c r="X746" s="4"/>
      <c r="Y746" s="4"/>
      <c r="Z746" s="4"/>
      <c r="AA746" s="4"/>
      <c r="AB746" s="4"/>
      <c r="AC746" s="4" t="str">
        <f>IFERROR(__xludf.DUMMYFUNCTION("""COMPUTED_VALUE"""),"INSPEKSI SUTM - T2_Images/3912c345.FOTO.140052.jpg")</f>
        <v>INSPEKSI SUTM - T2_Images/3912c345.FOTO.140052.jpg</v>
      </c>
      <c r="AD746" s="4"/>
      <c r="AE746" s="4"/>
      <c r="AF746" s="4" t="str">
        <f>IFERROR(__xludf.DUMMYFUNCTION("""COMPUTED_VALUE"""),"BELUM")</f>
        <v>BELUM</v>
      </c>
      <c r="AG746" s="6">
        <f>IFERROR(__xludf.DUMMYFUNCTION("""COMPUTED_VALUE"""),46094.0)</f>
        <v>46094</v>
      </c>
      <c r="AH746" s="4"/>
      <c r="AI746" s="4"/>
    </row>
    <row r="747" ht="15.75" customHeight="1">
      <c r="A747" s="4" t="str">
        <f>IFERROR(__xludf.DUMMYFUNCTION("""COMPUTED_VALUE"""),"3938aaa5")</f>
        <v>3938aaa5</v>
      </c>
      <c r="B747" s="5">
        <f>IFERROR(__xludf.DUMMYFUNCTION("""COMPUTED_VALUE"""),46094.876550925925)</f>
        <v>46094.87655</v>
      </c>
      <c r="C747" s="4" t="str">
        <f>IFERROR(__xludf.DUMMYFUNCTION("""COMPUTED_VALUE"""),"-6.930311, 107.665218")</f>
        <v>-6.930311, 107.665218</v>
      </c>
      <c r="D747" s="4" t="str">
        <f>IFERROR(__xludf.DUMMYFUNCTION("""COMPUTED_VALUE"""),"Angga sandi")</f>
        <v>Angga sandi</v>
      </c>
      <c r="E747" s="4" t="str">
        <f>IFERROR(__xludf.DUMMYFUNCTION("""COMPUTED_VALUE"""),"BANDUNG")</f>
        <v>BANDUNG</v>
      </c>
      <c r="F747" s="4" t="str">
        <f>IFERROR(__xludf.DUMMYFUNCTION("""COMPUTED_VALUE"""),"BANDUNG TIMUR")</f>
        <v>BANDUNG TIMUR</v>
      </c>
      <c r="G747" s="4" t="str">
        <f>IFERROR(__xludf.DUMMYFUNCTION("""COMPUTED_VALUE"""),"KIARACONDONG")</f>
        <v>KIARACONDONG</v>
      </c>
      <c r="H747" s="4" t="str">
        <f>IFERROR(__xludf.DUMMYFUNCTION("""COMPUTED_VALUE"""),"KKH")</f>
        <v>KKH</v>
      </c>
      <c r="I747" s="4" t="str">
        <f>IFERROR(__xludf.DUMMYFUNCTION("""COMPUTED_VALUE"""),"ATPY-RDW")</f>
        <v>ATPY-RDW</v>
      </c>
      <c r="J747" s="4" t="str">
        <f>IFERROR(__xludf.DUMMYFUNCTION("""COMPUTED_VALUE"""),"ZONA 2")</f>
        <v>ZONA 2</v>
      </c>
      <c r="K747" s="4" t="str">
        <f>IFERROR(__xludf.DUMMYFUNCTION("""COMPUTED_VALUE"""),"087R12")</f>
        <v>087R12</v>
      </c>
      <c r="L747" s="4" t="str">
        <f>IFERROR(__xludf.DUMMYFUNCTION("""COMPUTED_VALUE"""),"TM - 1B/H (Tumpu)")</f>
        <v>TM - 1B/H (Tumpu)</v>
      </c>
      <c r="M747" s="4" t="str">
        <f>IFERROR(__xludf.DUMMYFUNCTION("""COMPUTED_VALUE"""),"Tidak Ada")</f>
        <v>Tidak Ada</v>
      </c>
      <c r="N747" s="4"/>
      <c r="O747" s="4" t="str">
        <f>IFERROR(__xludf.DUMMYFUNCTION("""COMPUTED_VALUE"""),"PEMBANDING SEJENIS")</f>
        <v>PEMBANDING SEJENIS</v>
      </c>
      <c r="P747" s="4" t="str">
        <f>IFERROR(__xludf.DUMMYFUNCTION("""COMPUTED_VALUE"""),"ARRESTER")</f>
        <v>ARRESTER</v>
      </c>
      <c r="Q747" s="4">
        <f>IFERROR(__xludf.DUMMYFUNCTION("""COMPUTED_VALUE"""),22.2)</f>
        <v>22.2</v>
      </c>
      <c r="R747" s="4">
        <f>IFERROR(__xludf.DUMMYFUNCTION("""COMPUTED_VALUE"""),22.1)</f>
        <v>22.1</v>
      </c>
      <c r="S747" s="4">
        <f>IFERROR(__xludf.DUMMYFUNCTION("""COMPUTED_VALUE"""),21.4)</f>
        <v>21.4</v>
      </c>
      <c r="T747" s="4"/>
      <c r="U747" s="4" t="str">
        <f>IFERROR(__xludf.DUMMYFUNCTION("""COMPUTED_VALUE"""),"BAIK")</f>
        <v>BAIK</v>
      </c>
      <c r="V747" s="4" t="str">
        <f>IFERROR(__xludf.DUMMYFUNCTION("""COMPUTED_VALUE"""),"Tidak Ada")</f>
        <v>Tidak Ada</v>
      </c>
      <c r="W747" s="4"/>
      <c r="X747" s="4"/>
      <c r="Y747" s="4"/>
      <c r="Z747" s="4"/>
      <c r="AA747" s="4"/>
      <c r="AB747" s="4"/>
      <c r="AC747" s="4" t="str">
        <f>IFERROR(__xludf.DUMMYFUNCTION("""COMPUTED_VALUE"""),"INSPEKSI SUTM - T2_Images/3938aaa5.FOTO.140309.jpg")</f>
        <v>INSPEKSI SUTM - T2_Images/3938aaa5.FOTO.140309.jpg</v>
      </c>
      <c r="AD747" s="4"/>
      <c r="AE747" s="4"/>
      <c r="AF747" s="4" t="str">
        <f>IFERROR(__xludf.DUMMYFUNCTION("""COMPUTED_VALUE"""),"BELUM")</f>
        <v>BELUM</v>
      </c>
      <c r="AG747" s="6">
        <f>IFERROR(__xludf.DUMMYFUNCTION("""COMPUTED_VALUE"""),46094.0)</f>
        <v>46094</v>
      </c>
      <c r="AH747" s="4"/>
      <c r="AI747" s="4"/>
    </row>
    <row r="748" ht="15.75" customHeight="1">
      <c r="A748" s="4" t="str">
        <f>IFERROR(__xludf.DUMMYFUNCTION("""COMPUTED_VALUE"""),"c320d30d")</f>
        <v>c320d30d</v>
      </c>
      <c r="B748" s="5">
        <f>IFERROR(__xludf.DUMMYFUNCTION("""COMPUTED_VALUE"""),46094.87787037037)</f>
        <v>46094.87787</v>
      </c>
      <c r="C748" s="4" t="str">
        <f>IFERROR(__xludf.DUMMYFUNCTION("""COMPUTED_VALUE"""),"-6.930966, 107.666361")</f>
        <v>-6.930966, 107.666361</v>
      </c>
      <c r="D748" s="4" t="str">
        <f>IFERROR(__xludf.DUMMYFUNCTION("""COMPUTED_VALUE"""),"Angga sandi")</f>
        <v>Angga sandi</v>
      </c>
      <c r="E748" s="4" t="str">
        <f>IFERROR(__xludf.DUMMYFUNCTION("""COMPUTED_VALUE"""),"BANDUNG")</f>
        <v>BANDUNG</v>
      </c>
      <c r="F748" s="4" t="str">
        <f>IFERROR(__xludf.DUMMYFUNCTION("""COMPUTED_VALUE"""),"BANDUNG TIMUR")</f>
        <v>BANDUNG TIMUR</v>
      </c>
      <c r="G748" s="4" t="str">
        <f>IFERROR(__xludf.DUMMYFUNCTION("""COMPUTED_VALUE"""),"KIARACONDONG")</f>
        <v>KIARACONDONG</v>
      </c>
      <c r="H748" s="4" t="str">
        <f>IFERROR(__xludf.DUMMYFUNCTION("""COMPUTED_VALUE"""),"KKH")</f>
        <v>KKH</v>
      </c>
      <c r="I748" s="4" t="str">
        <f>IFERROR(__xludf.DUMMYFUNCTION("""COMPUTED_VALUE"""),"ATPY-RDW")</f>
        <v>ATPY-RDW</v>
      </c>
      <c r="J748" s="4" t="str">
        <f>IFERROR(__xludf.DUMMYFUNCTION("""COMPUTED_VALUE"""),"ZONA 2")</f>
        <v>ZONA 2</v>
      </c>
      <c r="K748" s="4" t="str">
        <f>IFERROR(__xludf.DUMMYFUNCTION("""COMPUTED_VALUE"""),"087R17")</f>
        <v>087R17</v>
      </c>
      <c r="L748" s="4" t="str">
        <f>IFERROR(__xludf.DUMMYFUNCTION("""COMPUTED_VALUE"""),"TM - 14B/H (Akhir)")</f>
        <v>TM - 14B/H (Akhir)</v>
      </c>
      <c r="M748" s="4" t="str">
        <f>IFERROR(__xludf.DUMMYFUNCTION("""COMPUTED_VALUE"""),"Tidak Ada")</f>
        <v>Tidak Ada</v>
      </c>
      <c r="N748" s="4"/>
      <c r="O748" s="4" t="str">
        <f>IFERROR(__xludf.DUMMYFUNCTION("""COMPUTED_VALUE"""),"PEMBANDING SEJENIS")</f>
        <v>PEMBANDING SEJENIS</v>
      </c>
      <c r="P748" s="4" t="str">
        <f>IFERROR(__xludf.DUMMYFUNCTION("""COMPUTED_VALUE"""),"TERMINASI")</f>
        <v>TERMINASI</v>
      </c>
      <c r="Q748" s="4">
        <f>IFERROR(__xludf.DUMMYFUNCTION("""COMPUTED_VALUE"""),22.0)</f>
        <v>22</v>
      </c>
      <c r="R748" s="4">
        <f>IFERROR(__xludf.DUMMYFUNCTION("""COMPUTED_VALUE"""),20.7)</f>
        <v>20.7</v>
      </c>
      <c r="S748" s="4">
        <f>IFERROR(__xludf.DUMMYFUNCTION("""COMPUTED_VALUE"""),22.6)</f>
        <v>22.6</v>
      </c>
      <c r="T748" s="4"/>
      <c r="U748" s="4" t="str">
        <f>IFERROR(__xludf.DUMMYFUNCTION("""COMPUTED_VALUE"""),"BAIK")</f>
        <v>BAIK</v>
      </c>
      <c r="V748" s="4" t="str">
        <f>IFERROR(__xludf.DUMMYFUNCTION("""COMPUTED_VALUE"""),"Tidak Ada")</f>
        <v>Tidak Ada</v>
      </c>
      <c r="W748" s="4"/>
      <c r="X748" s="4"/>
      <c r="Y748" s="4"/>
      <c r="Z748" s="4"/>
      <c r="AA748" s="4"/>
      <c r="AB748" s="4"/>
      <c r="AC748" s="4" t="str">
        <f>IFERROR(__xludf.DUMMYFUNCTION("""COMPUTED_VALUE"""),"INSPEKSI SUTM - T2_Images/c320d30d.FOTO.140511.jpg")</f>
        <v>INSPEKSI SUTM - T2_Images/c320d30d.FOTO.140511.jpg</v>
      </c>
      <c r="AD748" s="4"/>
      <c r="AE748" s="4"/>
      <c r="AF748" s="4" t="str">
        <f>IFERROR(__xludf.DUMMYFUNCTION("""COMPUTED_VALUE"""),"BELUM")</f>
        <v>BELUM</v>
      </c>
      <c r="AG748" s="6">
        <f>IFERROR(__xludf.DUMMYFUNCTION("""COMPUTED_VALUE"""),46094.0)</f>
        <v>46094</v>
      </c>
      <c r="AH748" s="4"/>
      <c r="AI748" s="4"/>
    </row>
    <row r="749" ht="15.75" customHeight="1">
      <c r="A749" s="4" t="str">
        <f>IFERROR(__xludf.DUMMYFUNCTION("""COMPUTED_VALUE"""),"4025eec6")</f>
        <v>4025eec6</v>
      </c>
      <c r="B749" s="5">
        <f>IFERROR(__xludf.DUMMYFUNCTION("""COMPUTED_VALUE"""),46094.879166666666)</f>
        <v>46094.87917</v>
      </c>
      <c r="C749" s="4" t="str">
        <f>IFERROR(__xludf.DUMMYFUNCTION("""COMPUTED_VALUE"""),"-6.927434, 107.667169")</f>
        <v>-6.927434, 107.667169</v>
      </c>
      <c r="D749" s="4" t="str">
        <f>IFERROR(__xludf.DUMMYFUNCTION("""COMPUTED_VALUE"""),"Annga sandi")</f>
        <v>Annga sandi</v>
      </c>
      <c r="E749" s="4" t="str">
        <f>IFERROR(__xludf.DUMMYFUNCTION("""COMPUTED_VALUE"""),"BANDUNG")</f>
        <v>BANDUNG</v>
      </c>
      <c r="F749" s="4" t="str">
        <f>IFERROR(__xludf.DUMMYFUNCTION("""COMPUTED_VALUE"""),"BANDUNG TIMUR")</f>
        <v>BANDUNG TIMUR</v>
      </c>
      <c r="G749" s="4" t="str">
        <f>IFERROR(__xludf.DUMMYFUNCTION("""COMPUTED_VALUE"""),"KIARACONDONG")</f>
        <v>KIARACONDONG</v>
      </c>
      <c r="H749" s="4" t="str">
        <f>IFERROR(__xludf.DUMMYFUNCTION("""COMPUTED_VALUE"""),"KKH")</f>
        <v>KKH</v>
      </c>
      <c r="I749" s="4" t="str">
        <f>IFERROR(__xludf.DUMMYFUNCTION("""COMPUTED_VALUE"""),"RDW-KMY")</f>
        <v>RDW-KMY</v>
      </c>
      <c r="J749" s="4" t="str">
        <f>IFERROR(__xludf.DUMMYFUNCTION("""COMPUTED_VALUE"""),"ZONA 2")</f>
        <v>ZONA 2</v>
      </c>
      <c r="K749" s="4" t="str">
        <f>IFERROR(__xludf.DUMMYFUNCTION("""COMPUTED_VALUE"""),"092")</f>
        <v>092</v>
      </c>
      <c r="L749" s="4" t="str">
        <f>IFERROR(__xludf.DUMMYFUNCTION("""COMPUTED_VALUE"""),"TM - 16B/H (REC/SSO/LBS)")</f>
        <v>TM - 16B/H (REC/SSO/LBS)</v>
      </c>
      <c r="M749" s="4" t="str">
        <f>IFERROR(__xludf.DUMMYFUNCTION("""COMPUTED_VALUE"""),"LBS")</f>
        <v>LBS</v>
      </c>
      <c r="N749" s="4" t="str">
        <f>IFERROR(__xludf.DUMMYFUNCTION("""COMPUTED_VALUE"""),"PPRY")</f>
        <v>PPRY</v>
      </c>
      <c r="O749" s="4" t="str">
        <f>IFERROR(__xludf.DUMMYFUNCTION("""COMPUTED_VALUE"""),"PEMBANDING SEJENIS")</f>
        <v>PEMBANDING SEJENIS</v>
      </c>
      <c r="P749" s="4" t="str">
        <f>IFERROR(__xludf.DUMMYFUNCTION("""COMPUTED_VALUE"""),"KONEKTOR/JUMPER")</f>
        <v>KONEKTOR/JUMPER</v>
      </c>
      <c r="Q749" s="4">
        <f>IFERROR(__xludf.DUMMYFUNCTION("""COMPUTED_VALUE"""),18.6)</f>
        <v>18.6</v>
      </c>
      <c r="R749" s="4">
        <f>IFERROR(__xludf.DUMMYFUNCTION("""COMPUTED_VALUE"""),20.6)</f>
        <v>20.6</v>
      </c>
      <c r="S749" s="4">
        <f>IFERROR(__xludf.DUMMYFUNCTION("""COMPUTED_VALUE"""),20.2)</f>
        <v>20.2</v>
      </c>
      <c r="T749" s="4"/>
      <c r="U749" s="4" t="str">
        <f>IFERROR(__xludf.DUMMYFUNCTION("""COMPUTED_VALUE"""),"BAIK")</f>
        <v>BAIK</v>
      </c>
      <c r="V749" s="4" t="str">
        <f>IFERROR(__xludf.DUMMYFUNCTION("""COMPUTED_VALUE"""),"Tidak Ada")</f>
        <v>Tidak Ada</v>
      </c>
      <c r="W749" s="4"/>
      <c r="X749" s="4"/>
      <c r="Y749" s="4"/>
      <c r="Z749" s="4"/>
      <c r="AA749" s="4"/>
      <c r="AB749" s="4"/>
      <c r="AC749" s="4" t="str">
        <f>IFERROR(__xludf.DUMMYFUNCTION("""COMPUTED_VALUE"""),"INSPEKSI SUTM - T2_Images/4025eec6.FOTO.140706.jpg")</f>
        <v>INSPEKSI SUTM - T2_Images/4025eec6.FOTO.140706.jpg</v>
      </c>
      <c r="AD749" s="4"/>
      <c r="AE749" s="4"/>
      <c r="AF749" s="4" t="str">
        <f>IFERROR(__xludf.DUMMYFUNCTION("""COMPUTED_VALUE"""),"BELUM")</f>
        <v>BELUM</v>
      </c>
      <c r="AG749" s="6">
        <f>IFERROR(__xludf.DUMMYFUNCTION("""COMPUTED_VALUE"""),46094.0)</f>
        <v>46094</v>
      </c>
      <c r="AH749" s="4"/>
      <c r="AI749" s="4"/>
    </row>
    <row r="750" ht="15.75" customHeight="1">
      <c r="A750" s="4" t="str">
        <f>IFERROR(__xludf.DUMMYFUNCTION("""COMPUTED_VALUE"""),"1eadc7c1")</f>
        <v>1eadc7c1</v>
      </c>
      <c r="B750" s="5">
        <f>IFERROR(__xludf.DUMMYFUNCTION("""COMPUTED_VALUE"""),46094.87987268518)</f>
        <v>46094.87987</v>
      </c>
      <c r="C750" s="4" t="str">
        <f>IFERROR(__xludf.DUMMYFUNCTION("""COMPUTED_VALUE"""),"-6.899119, 107.641179")</f>
        <v>-6.899119, 107.641179</v>
      </c>
      <c r="D750" s="4" t="str">
        <f>IFERROR(__xludf.DUMMYFUNCTION("""COMPUTED_VALUE"""),"Sandi angga")</f>
        <v>Sandi angga</v>
      </c>
      <c r="E750" s="4" t="str">
        <f>IFERROR(__xludf.DUMMYFUNCTION("""COMPUTED_VALUE"""),"BANDUNG")</f>
        <v>BANDUNG</v>
      </c>
      <c r="F750" s="4" t="str">
        <f>IFERROR(__xludf.DUMMYFUNCTION("""COMPUTED_VALUE"""),"BANDUNG TIMUR")</f>
        <v>BANDUNG TIMUR</v>
      </c>
      <c r="G750" s="4" t="str">
        <f>IFERROR(__xludf.DUMMYFUNCTION("""COMPUTED_VALUE"""),"KIARACONDONG")</f>
        <v>KIARACONDONG</v>
      </c>
      <c r="H750" s="4" t="str">
        <f>IFERROR(__xludf.DUMMYFUNCTION("""COMPUTED_VALUE"""),"KKH")</f>
        <v>KKH</v>
      </c>
      <c r="I750" s="4" t="str">
        <f>IFERROR(__xludf.DUMMYFUNCTION("""COMPUTED_VALUE"""),"RDW-BSIA")</f>
        <v>RDW-BSIA</v>
      </c>
      <c r="J750" s="4" t="str">
        <f>IFERROR(__xludf.DUMMYFUNCTION("""COMPUTED_VALUE"""),"ZONA 2")</f>
        <v>ZONA 2</v>
      </c>
      <c r="K750" s="4" t="str">
        <f>IFERROR(__xludf.DUMMYFUNCTION("""COMPUTED_VALUE"""),"087R01R01")</f>
        <v>087R01R01</v>
      </c>
      <c r="L750" s="4" t="str">
        <f>IFERROR(__xludf.DUMMYFUNCTION("""COMPUTED_VALUE"""),"TM - 11B/H (Kabel Naik)")</f>
        <v>TM - 11B/H (Kabel Naik)</v>
      </c>
      <c r="M750" s="4" t="str">
        <f>IFERROR(__xludf.DUMMYFUNCTION("""COMPUTED_VALUE"""),"Tidak Ada")</f>
        <v>Tidak Ada</v>
      </c>
      <c r="N750" s="4"/>
      <c r="O750" s="4" t="str">
        <f>IFERROR(__xludf.DUMMYFUNCTION("""COMPUTED_VALUE"""),"PEMBANDING SEJENIS")</f>
        <v>PEMBANDING SEJENIS</v>
      </c>
      <c r="P750" s="4" t="str">
        <f>IFERROR(__xludf.DUMMYFUNCTION("""COMPUTED_VALUE"""),"TERMINASI")</f>
        <v>TERMINASI</v>
      </c>
      <c r="Q750" s="4">
        <f>IFERROR(__xludf.DUMMYFUNCTION("""COMPUTED_VALUE"""),27.0)</f>
        <v>27</v>
      </c>
      <c r="R750" s="4">
        <f>IFERROR(__xludf.DUMMYFUNCTION("""COMPUTED_VALUE"""),24.0)</f>
        <v>24</v>
      </c>
      <c r="S750" s="4">
        <f>IFERROR(__xludf.DUMMYFUNCTION("""COMPUTED_VALUE"""),62.0)</f>
        <v>62</v>
      </c>
      <c r="T750" s="4"/>
      <c r="U750" s="4" t="str">
        <f>IFERROR(__xludf.DUMMYFUNCTION("""COMPUTED_VALUE"""),"BURUK")</f>
        <v>BURUK</v>
      </c>
      <c r="V750" s="4" t="str">
        <f>IFERROR(__xludf.DUMMYFUNCTION("""COMPUTED_VALUE"""),"Tidak Ada")</f>
        <v>Tidak Ada</v>
      </c>
      <c r="W750" s="4"/>
      <c r="X750" s="4"/>
      <c r="Y750" s="4"/>
      <c r="Z750" s="4"/>
      <c r="AA750" s="4"/>
      <c r="AB750" s="4"/>
      <c r="AC750" s="4" t="str">
        <f>IFERROR(__xludf.DUMMYFUNCTION("""COMPUTED_VALUE"""),"INSPEKSI SUTM - T2_Images/1eadc7c1.FOTO.140946.jpg")</f>
        <v>INSPEKSI SUTM - T2_Images/1eadc7c1.FOTO.140946.jpg</v>
      </c>
      <c r="AD750" s="4"/>
      <c r="AE750" s="4"/>
      <c r="AF750" s="4" t="str">
        <f>IFERROR(__xludf.DUMMYFUNCTION("""COMPUTED_VALUE"""),"BELUM")</f>
        <v>BELUM</v>
      </c>
      <c r="AG750" s="6">
        <f>IFERROR(__xludf.DUMMYFUNCTION("""COMPUTED_VALUE"""),46094.0)</f>
        <v>46094</v>
      </c>
      <c r="AH750" s="4"/>
      <c r="AI750" s="4"/>
    </row>
    <row r="751" ht="15.75" customHeight="1">
      <c r="A751" s="4" t="str">
        <f>IFERROR(__xludf.DUMMYFUNCTION("""COMPUTED_VALUE"""),"8d92803d")</f>
        <v>8d92803d</v>
      </c>
      <c r="B751" s="5">
        <f>IFERROR(__xludf.DUMMYFUNCTION("""COMPUTED_VALUE"""),46094.881875)</f>
        <v>46094.88188</v>
      </c>
      <c r="C751" s="4" t="str">
        <f>IFERROR(__xludf.DUMMYFUNCTION("""COMPUTED_VALUE"""),"-6.899068, 107.641196")</f>
        <v>-6.899068, 107.641196</v>
      </c>
      <c r="D751" s="4" t="str">
        <f>IFERROR(__xludf.DUMMYFUNCTION("""COMPUTED_VALUE"""),"Sandi angga")</f>
        <v>Sandi angga</v>
      </c>
      <c r="E751" s="4" t="str">
        <f>IFERROR(__xludf.DUMMYFUNCTION("""COMPUTED_VALUE"""),"BANDUNG")</f>
        <v>BANDUNG</v>
      </c>
      <c r="F751" s="4" t="str">
        <f>IFERROR(__xludf.DUMMYFUNCTION("""COMPUTED_VALUE"""),"BANDUNG TIMUR")</f>
        <v>BANDUNG TIMUR</v>
      </c>
      <c r="G751" s="4" t="str">
        <f>IFERROR(__xludf.DUMMYFUNCTION("""COMPUTED_VALUE"""),"KIARACONDONG")</f>
        <v>KIARACONDONG</v>
      </c>
      <c r="H751" s="4" t="str">
        <f>IFERROR(__xludf.DUMMYFUNCTION("""COMPUTED_VALUE"""),"KKH")</f>
        <v>KKH</v>
      </c>
      <c r="I751" s="4" t="str">
        <f>IFERROR(__xludf.DUMMYFUNCTION("""COMPUTED_VALUE"""),"RDW-BSIA")</f>
        <v>RDW-BSIA</v>
      </c>
      <c r="J751" s="4" t="str">
        <f>IFERROR(__xludf.DUMMYFUNCTION("""COMPUTED_VALUE"""),"ZONA 2")</f>
        <v>ZONA 2</v>
      </c>
      <c r="K751" s="4" t="str">
        <f>IFERROR(__xludf.DUMMYFUNCTION("""COMPUTED_VALUE"""),"087R01R07")</f>
        <v>087R01R07</v>
      </c>
      <c r="L751" s="4" t="str">
        <f>IFERROR(__xludf.DUMMYFUNCTION("""COMPUTED_VALUE"""),"TM - 8B/H (Percabangan)")</f>
        <v>TM - 8B/H (Percabangan)</v>
      </c>
      <c r="M751" s="4" t="str">
        <f>IFERROR(__xludf.DUMMYFUNCTION("""COMPUTED_VALUE"""),"FCO")</f>
        <v>FCO</v>
      </c>
      <c r="N751" s="4" t="str">
        <f>IFERROR(__xludf.DUMMYFUNCTION("""COMPUTED_VALUE"""),"FCO")</f>
        <v>FCO</v>
      </c>
      <c r="O751" s="4" t="str">
        <f>IFERROR(__xludf.DUMMYFUNCTION("""COMPUTED_VALUE"""),"PEMBANDING SEJENIS")</f>
        <v>PEMBANDING SEJENIS</v>
      </c>
      <c r="P751" s="4" t="str">
        <f>IFERROR(__xludf.DUMMYFUNCTION("""COMPUTED_VALUE"""),"FCO")</f>
        <v>FCO</v>
      </c>
      <c r="Q751" s="4">
        <f>IFERROR(__xludf.DUMMYFUNCTION("""COMPUTED_VALUE"""),24.0)</f>
        <v>24</v>
      </c>
      <c r="R751" s="4">
        <f>IFERROR(__xludf.DUMMYFUNCTION("""COMPUTED_VALUE"""),23.0)</f>
        <v>23</v>
      </c>
      <c r="S751" s="4">
        <f>IFERROR(__xludf.DUMMYFUNCTION("""COMPUTED_VALUE"""),23.0)</f>
        <v>23</v>
      </c>
      <c r="T751" s="4"/>
      <c r="U751" s="4" t="str">
        <f>IFERROR(__xludf.DUMMYFUNCTION("""COMPUTED_VALUE"""),"BAIK")</f>
        <v>BAIK</v>
      </c>
      <c r="V751" s="4" t="str">
        <f>IFERROR(__xludf.DUMMYFUNCTION("""COMPUTED_VALUE"""),"Tidak Ada")</f>
        <v>Tidak Ada</v>
      </c>
      <c r="W751" s="4"/>
      <c r="X751" s="4"/>
      <c r="Y751" s="4"/>
      <c r="Z751" s="4"/>
      <c r="AA751" s="4"/>
      <c r="AB751" s="4"/>
      <c r="AC751" s="4" t="str">
        <f>IFERROR(__xludf.DUMMYFUNCTION("""COMPUTED_VALUE"""),"INSPEKSI SUTM - T2_Images/8d92803d.FOTO.141122.jpg")</f>
        <v>INSPEKSI SUTM - T2_Images/8d92803d.FOTO.141122.jpg</v>
      </c>
      <c r="AD751" s="4"/>
      <c r="AE751" s="4"/>
      <c r="AF751" s="4" t="str">
        <f>IFERROR(__xludf.DUMMYFUNCTION("""COMPUTED_VALUE"""),"BELUM")</f>
        <v>BELUM</v>
      </c>
      <c r="AG751" s="6">
        <f>IFERROR(__xludf.DUMMYFUNCTION("""COMPUTED_VALUE"""),46094.0)</f>
        <v>46094</v>
      </c>
      <c r="AH751" s="4"/>
      <c r="AI751" s="4"/>
    </row>
    <row r="752" ht="15.75" customHeight="1">
      <c r="A752" s="4" t="str">
        <f>IFERROR(__xludf.DUMMYFUNCTION("""COMPUTED_VALUE"""),"6babad7e")</f>
        <v>6babad7e</v>
      </c>
      <c r="B752" s="5">
        <f>IFERROR(__xludf.DUMMYFUNCTION("""COMPUTED_VALUE"""),46094.88295138889)</f>
        <v>46094.88295</v>
      </c>
      <c r="C752" s="4" t="str">
        <f>IFERROR(__xludf.DUMMYFUNCTION("""COMPUTED_VALUE"""),"-6.899114, 107.641170")</f>
        <v>-6.899114, 107.641170</v>
      </c>
      <c r="D752" s="4" t="str">
        <f>IFERROR(__xludf.DUMMYFUNCTION("""COMPUTED_VALUE"""),"Sandi angga")</f>
        <v>Sandi angga</v>
      </c>
      <c r="E752" s="4" t="str">
        <f>IFERROR(__xludf.DUMMYFUNCTION("""COMPUTED_VALUE"""),"BANDUNG")</f>
        <v>BANDUNG</v>
      </c>
      <c r="F752" s="4" t="str">
        <f>IFERROR(__xludf.DUMMYFUNCTION("""COMPUTED_VALUE"""),"BANDUNG TIMUR")</f>
        <v>BANDUNG TIMUR</v>
      </c>
      <c r="G752" s="4" t="str">
        <f>IFERROR(__xludf.DUMMYFUNCTION("""COMPUTED_VALUE"""),"KIARACONDONG")</f>
        <v>KIARACONDONG</v>
      </c>
      <c r="H752" s="4" t="str">
        <f>IFERROR(__xludf.DUMMYFUNCTION("""COMPUTED_VALUE"""),"KKH")</f>
        <v>KKH</v>
      </c>
      <c r="I752" s="4" t="str">
        <f>IFERROR(__xludf.DUMMYFUNCTION("""COMPUTED_VALUE"""),"RDW-BSIA")</f>
        <v>RDW-BSIA</v>
      </c>
      <c r="J752" s="4" t="str">
        <f>IFERROR(__xludf.DUMMYFUNCTION("""COMPUTED_VALUE"""),"ZONA 2")</f>
        <v>ZONA 2</v>
      </c>
      <c r="K752" s="4" t="str">
        <f>IFERROR(__xludf.DUMMYFUNCTION("""COMPUTED_VALUE"""),"087R01R07R04")</f>
        <v>087R01R07R04</v>
      </c>
      <c r="L752" s="4" t="str">
        <f>IFERROR(__xludf.DUMMYFUNCTION("""COMPUTED_VALUE"""),"TM - 7B/H (Afspan 90 Derajat)")</f>
        <v>TM - 7B/H (Afspan 90 Derajat)</v>
      </c>
      <c r="M752" s="4" t="str">
        <f>IFERROR(__xludf.DUMMYFUNCTION("""COMPUTED_VALUE"""),"Tidak Ada")</f>
        <v>Tidak Ada</v>
      </c>
      <c r="N752" s="4"/>
      <c r="O752" s="4" t="str">
        <f>IFERROR(__xludf.DUMMYFUNCTION("""COMPUTED_VALUE"""),"PEMBANDING SEJENIS")</f>
        <v>PEMBANDING SEJENIS</v>
      </c>
      <c r="P752" s="4" t="str">
        <f>IFERROR(__xludf.DUMMYFUNCTION("""COMPUTED_VALUE"""),"KONEKTOR/JUMPER")</f>
        <v>KONEKTOR/JUMPER</v>
      </c>
      <c r="Q752" s="4">
        <f>IFERROR(__xludf.DUMMYFUNCTION("""COMPUTED_VALUE"""),22.0)</f>
        <v>22</v>
      </c>
      <c r="R752" s="4">
        <f>IFERROR(__xludf.DUMMYFUNCTION("""COMPUTED_VALUE"""),22.0)</f>
        <v>22</v>
      </c>
      <c r="S752" s="4">
        <f>IFERROR(__xludf.DUMMYFUNCTION("""COMPUTED_VALUE"""),22.0)</f>
        <v>22</v>
      </c>
      <c r="T752" s="4"/>
      <c r="U752" s="4" t="str">
        <f>IFERROR(__xludf.DUMMYFUNCTION("""COMPUTED_VALUE"""),"BAIK")</f>
        <v>BAIK</v>
      </c>
      <c r="V752" s="4" t="str">
        <f>IFERROR(__xludf.DUMMYFUNCTION("""COMPUTED_VALUE"""),"Tidak Ada")</f>
        <v>Tidak Ada</v>
      </c>
      <c r="W752" s="4"/>
      <c r="X752" s="4"/>
      <c r="Y752" s="4"/>
      <c r="Z752" s="4"/>
      <c r="AA752" s="4"/>
      <c r="AB752" s="4"/>
      <c r="AC752" s="4" t="str">
        <f>IFERROR(__xludf.DUMMYFUNCTION("""COMPUTED_VALUE"""),"INSPEKSI SUTM - T2_Images/6babad7e.FOTO.141224.jpg")</f>
        <v>INSPEKSI SUTM - T2_Images/6babad7e.FOTO.141224.jpg</v>
      </c>
      <c r="AD752" s="4"/>
      <c r="AE752" s="4"/>
      <c r="AF752" s="4" t="str">
        <f>IFERROR(__xludf.DUMMYFUNCTION("""COMPUTED_VALUE"""),"BELUM")</f>
        <v>BELUM</v>
      </c>
      <c r="AG752" s="6">
        <f>IFERROR(__xludf.DUMMYFUNCTION("""COMPUTED_VALUE"""),46094.0)</f>
        <v>46094</v>
      </c>
      <c r="AH752" s="4"/>
      <c r="AI752" s="4"/>
    </row>
    <row r="753" ht="15.75" customHeight="1">
      <c r="A753" s="4" t="str">
        <f>IFERROR(__xludf.DUMMYFUNCTION("""COMPUTED_VALUE"""),"bd0084d6")</f>
        <v>bd0084d6</v>
      </c>
      <c r="B753" s="5">
        <f>IFERROR(__xludf.DUMMYFUNCTION("""COMPUTED_VALUE"""),46094.884247685186)</f>
        <v>46094.88425</v>
      </c>
      <c r="C753" s="4" t="str">
        <f>IFERROR(__xludf.DUMMYFUNCTION("""COMPUTED_VALUE"""),"-6.899230, 107.641281")</f>
        <v>-6.899230, 107.641281</v>
      </c>
      <c r="D753" s="4" t="str">
        <f>IFERROR(__xludf.DUMMYFUNCTION("""COMPUTED_VALUE"""),"Sandi angga")</f>
        <v>Sandi angga</v>
      </c>
      <c r="E753" s="4" t="str">
        <f>IFERROR(__xludf.DUMMYFUNCTION("""COMPUTED_VALUE"""),"BANDUNG")</f>
        <v>BANDUNG</v>
      </c>
      <c r="F753" s="4" t="str">
        <f>IFERROR(__xludf.DUMMYFUNCTION("""COMPUTED_VALUE"""),"BANDUNG TIMUR")</f>
        <v>BANDUNG TIMUR</v>
      </c>
      <c r="G753" s="4" t="str">
        <f>IFERROR(__xludf.DUMMYFUNCTION("""COMPUTED_VALUE"""),"KIARACONDONG")</f>
        <v>KIARACONDONG</v>
      </c>
      <c r="H753" s="4" t="str">
        <f>IFERROR(__xludf.DUMMYFUNCTION("""COMPUTED_VALUE"""),"KKH")</f>
        <v>KKH</v>
      </c>
      <c r="I753" s="4" t="str">
        <f>IFERROR(__xludf.DUMMYFUNCTION("""COMPUTED_VALUE"""),"RDW-BSIA")</f>
        <v>RDW-BSIA</v>
      </c>
      <c r="J753" s="4" t="str">
        <f>IFERROR(__xludf.DUMMYFUNCTION("""COMPUTED_VALUE"""),"ZONA 2")</f>
        <v>ZONA 2</v>
      </c>
      <c r="K753" s="4" t="str">
        <f>IFERROR(__xludf.DUMMYFUNCTION("""COMPUTED_VALUE"""),"087R01R07R05")</f>
        <v>087R01R07R05</v>
      </c>
      <c r="L753" s="4" t="str">
        <f>IFERROR(__xludf.DUMMYFUNCTION("""COMPUTED_VALUE"""),"TM - 7B/H (Afspan 90 Derajat)")</f>
        <v>TM - 7B/H (Afspan 90 Derajat)</v>
      </c>
      <c r="M753" s="4" t="str">
        <f>IFERROR(__xludf.DUMMYFUNCTION("""COMPUTED_VALUE"""),"Tidak Ada")</f>
        <v>Tidak Ada</v>
      </c>
      <c r="N753" s="4"/>
      <c r="O753" s="4" t="str">
        <f>IFERROR(__xludf.DUMMYFUNCTION("""COMPUTED_VALUE"""),"PEMBANDING SEJENIS")</f>
        <v>PEMBANDING SEJENIS</v>
      </c>
      <c r="P753" s="4" t="str">
        <f>IFERROR(__xludf.DUMMYFUNCTION("""COMPUTED_VALUE"""),"KONEKTOR/JUMPER")</f>
        <v>KONEKTOR/JUMPER</v>
      </c>
      <c r="Q753" s="4">
        <f>IFERROR(__xludf.DUMMYFUNCTION("""COMPUTED_VALUE"""),21.0)</f>
        <v>21</v>
      </c>
      <c r="R753" s="4">
        <f>IFERROR(__xludf.DUMMYFUNCTION("""COMPUTED_VALUE"""),21.0)</f>
        <v>21</v>
      </c>
      <c r="S753" s="4">
        <f>IFERROR(__xludf.DUMMYFUNCTION("""COMPUTED_VALUE"""),21.0)</f>
        <v>21</v>
      </c>
      <c r="T753" s="4"/>
      <c r="U753" s="4" t="str">
        <f>IFERROR(__xludf.DUMMYFUNCTION("""COMPUTED_VALUE"""),"BAIK")</f>
        <v>BAIK</v>
      </c>
      <c r="V753" s="4" t="str">
        <f>IFERROR(__xludf.DUMMYFUNCTION("""COMPUTED_VALUE"""),"Tidak Ada")</f>
        <v>Tidak Ada</v>
      </c>
      <c r="W753" s="4"/>
      <c r="X753" s="4"/>
      <c r="Y753" s="4"/>
      <c r="Z753" s="4"/>
      <c r="AA753" s="4"/>
      <c r="AB753" s="4"/>
      <c r="AC753" s="4" t="str">
        <f>IFERROR(__xludf.DUMMYFUNCTION("""COMPUTED_VALUE"""),"INSPEKSI SUTM - T2_Images/bd0084d6.FOTO.141625.jpg")</f>
        <v>INSPEKSI SUTM - T2_Images/bd0084d6.FOTO.141625.jpg</v>
      </c>
      <c r="AD753" s="4"/>
      <c r="AE753" s="4"/>
      <c r="AF753" s="4" t="str">
        <f>IFERROR(__xludf.DUMMYFUNCTION("""COMPUTED_VALUE"""),"BELUM")</f>
        <v>BELUM</v>
      </c>
      <c r="AG753" s="6">
        <f>IFERROR(__xludf.DUMMYFUNCTION("""COMPUTED_VALUE"""),46094.0)</f>
        <v>46094</v>
      </c>
      <c r="AH753" s="4"/>
      <c r="AI753" s="4"/>
    </row>
    <row r="754" ht="15.75" customHeight="1">
      <c r="A754" s="4" t="str">
        <f>IFERROR(__xludf.DUMMYFUNCTION("""COMPUTED_VALUE"""),"356d7b10")</f>
        <v>356d7b10</v>
      </c>
      <c r="B754" s="5">
        <f>IFERROR(__xludf.DUMMYFUNCTION("""COMPUTED_VALUE"""),46094.88689814815)</f>
        <v>46094.8869</v>
      </c>
      <c r="C754" s="4" t="str">
        <f>IFERROR(__xludf.DUMMYFUNCTION("""COMPUTED_VALUE"""),"-6.899097, 107.641230")</f>
        <v>-6.899097, 107.641230</v>
      </c>
      <c r="D754" s="4" t="str">
        <f>IFERROR(__xludf.DUMMYFUNCTION("""COMPUTED_VALUE"""),"Sandi angga")</f>
        <v>Sandi angga</v>
      </c>
      <c r="E754" s="4" t="str">
        <f>IFERROR(__xludf.DUMMYFUNCTION("""COMPUTED_VALUE"""),"BANDUNG")</f>
        <v>BANDUNG</v>
      </c>
      <c r="F754" s="4" t="str">
        <f>IFERROR(__xludf.DUMMYFUNCTION("""COMPUTED_VALUE"""),"BANDUNG TIMUR")</f>
        <v>BANDUNG TIMUR</v>
      </c>
      <c r="G754" s="4" t="str">
        <f>IFERROR(__xludf.DUMMYFUNCTION("""COMPUTED_VALUE"""),"KIARACONDONG")</f>
        <v>KIARACONDONG</v>
      </c>
      <c r="H754" s="4" t="str">
        <f>IFERROR(__xludf.DUMMYFUNCTION("""COMPUTED_VALUE"""),"KKH")</f>
        <v>KKH</v>
      </c>
      <c r="I754" s="4" t="str">
        <f>IFERROR(__xludf.DUMMYFUNCTION("""COMPUTED_VALUE"""),"RDW-BSIA")</f>
        <v>RDW-BSIA</v>
      </c>
      <c r="J754" s="4" t="str">
        <f>IFERROR(__xludf.DUMMYFUNCTION("""COMPUTED_VALUE"""),"ZONA 2")</f>
        <v>ZONA 2</v>
      </c>
      <c r="K754" s="4" t="str">
        <f>IFERROR(__xludf.DUMMYFUNCTION("""COMPUTED_VALUE"""),"087R01R07R07")</f>
        <v>087R01R07R07</v>
      </c>
      <c r="L754" s="4" t="str">
        <f>IFERROR(__xludf.DUMMYFUNCTION("""COMPUTED_VALUE"""),"TM - 7B/H (Afspan 90 Derajat)")</f>
        <v>TM - 7B/H (Afspan 90 Derajat)</v>
      </c>
      <c r="M754" s="4" t="str">
        <f>IFERROR(__xludf.DUMMYFUNCTION("""COMPUTED_VALUE"""),"Tidak Ada")</f>
        <v>Tidak Ada</v>
      </c>
      <c r="N754" s="4"/>
      <c r="O754" s="4" t="str">
        <f>IFERROR(__xludf.DUMMYFUNCTION("""COMPUTED_VALUE"""),"PEMBANDING SEJENIS")</f>
        <v>PEMBANDING SEJENIS</v>
      </c>
      <c r="P754" s="4" t="str">
        <f>IFERROR(__xludf.DUMMYFUNCTION("""COMPUTED_VALUE"""),"KONEKTOR/JUMPER")</f>
        <v>KONEKTOR/JUMPER</v>
      </c>
      <c r="Q754" s="4">
        <f>IFERROR(__xludf.DUMMYFUNCTION("""COMPUTED_VALUE"""),20.0)</f>
        <v>20</v>
      </c>
      <c r="R754" s="4">
        <f>IFERROR(__xludf.DUMMYFUNCTION("""COMPUTED_VALUE"""),23.0)</f>
        <v>23</v>
      </c>
      <c r="S754" s="4">
        <f>IFERROR(__xludf.DUMMYFUNCTION("""COMPUTED_VALUE"""),21.0)</f>
        <v>21</v>
      </c>
      <c r="T754" s="4"/>
      <c r="U754" s="4" t="str">
        <f>IFERROR(__xludf.DUMMYFUNCTION("""COMPUTED_VALUE"""),"CUKUP")</f>
        <v>CUKUP</v>
      </c>
      <c r="V754" s="4" t="str">
        <f>IFERROR(__xludf.DUMMYFUNCTION("""COMPUTED_VALUE"""),"Tidak Ada")</f>
        <v>Tidak Ada</v>
      </c>
      <c r="W754" s="4"/>
      <c r="X754" s="4"/>
      <c r="Y754" s="4"/>
      <c r="Z754" s="4"/>
      <c r="AA754" s="4"/>
      <c r="AB754" s="4"/>
      <c r="AC754" s="4" t="str">
        <f>IFERROR(__xludf.DUMMYFUNCTION("""COMPUTED_VALUE"""),"INSPEKSI SUTM - T2_Images/356d7b10.FOTO.141831.jpg")</f>
        <v>INSPEKSI SUTM - T2_Images/356d7b10.FOTO.141831.jpg</v>
      </c>
      <c r="AD754" s="4"/>
      <c r="AE754" s="4"/>
      <c r="AF754" s="4" t="str">
        <f>IFERROR(__xludf.DUMMYFUNCTION("""COMPUTED_VALUE"""),"BELUM")</f>
        <v>BELUM</v>
      </c>
      <c r="AG754" s="6">
        <f>IFERROR(__xludf.DUMMYFUNCTION("""COMPUTED_VALUE"""),46094.0)</f>
        <v>46094</v>
      </c>
      <c r="AH754" s="4"/>
      <c r="AI754" s="4"/>
    </row>
    <row r="755" ht="15.75" customHeight="1">
      <c r="A755" s="4" t="str">
        <f>IFERROR(__xludf.DUMMYFUNCTION("""COMPUTED_VALUE"""),"5eb8e1e9")</f>
        <v>5eb8e1e9</v>
      </c>
      <c r="B755" s="5">
        <f>IFERROR(__xludf.DUMMYFUNCTION("""COMPUTED_VALUE"""),46094.88810185185)</f>
        <v>46094.8881</v>
      </c>
      <c r="C755" s="4" t="str">
        <f>IFERROR(__xludf.DUMMYFUNCTION("""COMPUTED_VALUE"""),"-6.899114, 107.641229")</f>
        <v>-6.899114, 107.641229</v>
      </c>
      <c r="D755" s="4" t="str">
        <f>IFERROR(__xludf.DUMMYFUNCTION("""COMPUTED_VALUE"""),"Sandi angga")</f>
        <v>Sandi angga</v>
      </c>
      <c r="E755" s="4" t="str">
        <f>IFERROR(__xludf.DUMMYFUNCTION("""COMPUTED_VALUE"""),"BANDUNG")</f>
        <v>BANDUNG</v>
      </c>
      <c r="F755" s="4" t="str">
        <f>IFERROR(__xludf.DUMMYFUNCTION("""COMPUTED_VALUE"""),"BANDUNG TIMUR")</f>
        <v>BANDUNG TIMUR</v>
      </c>
      <c r="G755" s="4" t="str">
        <f>IFERROR(__xludf.DUMMYFUNCTION("""COMPUTED_VALUE"""),"KIARACONDONG")</f>
        <v>KIARACONDONG</v>
      </c>
      <c r="H755" s="4" t="str">
        <f>IFERROR(__xludf.DUMMYFUNCTION("""COMPUTED_VALUE"""),"KKH")</f>
        <v>KKH</v>
      </c>
      <c r="I755" s="4" t="str">
        <f>IFERROR(__xludf.DUMMYFUNCTION("""COMPUTED_VALUE"""),"RDW-BSIA")</f>
        <v>RDW-BSIA</v>
      </c>
      <c r="J755" s="4" t="str">
        <f>IFERROR(__xludf.DUMMYFUNCTION("""COMPUTED_VALUE"""),"ZONA 2")</f>
        <v>ZONA 2</v>
      </c>
      <c r="K755" s="4" t="str">
        <f>IFERROR(__xludf.DUMMYFUNCTION("""COMPUTED_VALUE"""),"087R01R07R09")</f>
        <v>087R01R07R09</v>
      </c>
      <c r="L755" s="4" t="str">
        <f>IFERROR(__xludf.DUMMYFUNCTION("""COMPUTED_VALUE"""),"TM - 7B/H (Afspan 90 Derajat)")</f>
        <v>TM - 7B/H (Afspan 90 Derajat)</v>
      </c>
      <c r="M755" s="4" t="str">
        <f>IFERROR(__xludf.DUMMYFUNCTION("""COMPUTED_VALUE"""),"Tidak Ada")</f>
        <v>Tidak Ada</v>
      </c>
      <c r="N755" s="4"/>
      <c r="O755" s="4" t="str">
        <f>IFERROR(__xludf.DUMMYFUNCTION("""COMPUTED_VALUE"""),"PEMBANDING SEJENIS")</f>
        <v>PEMBANDING SEJENIS</v>
      </c>
      <c r="P755" s="4" t="str">
        <f>IFERROR(__xludf.DUMMYFUNCTION("""COMPUTED_VALUE"""),"KONEKTOR/JUMPER")</f>
        <v>KONEKTOR/JUMPER</v>
      </c>
      <c r="Q755" s="4">
        <f>IFERROR(__xludf.DUMMYFUNCTION("""COMPUTED_VALUE"""),19.0)</f>
        <v>19</v>
      </c>
      <c r="R755" s="4">
        <f>IFERROR(__xludf.DUMMYFUNCTION("""COMPUTED_VALUE"""),19.0)</f>
        <v>19</v>
      </c>
      <c r="S755" s="4">
        <f>IFERROR(__xludf.DUMMYFUNCTION("""COMPUTED_VALUE"""),19.0)</f>
        <v>19</v>
      </c>
      <c r="T755" s="4"/>
      <c r="U755" s="4" t="str">
        <f>IFERROR(__xludf.DUMMYFUNCTION("""COMPUTED_VALUE"""),"BAIK")</f>
        <v>BAIK</v>
      </c>
      <c r="V755" s="4" t="str">
        <f>IFERROR(__xludf.DUMMYFUNCTION("""COMPUTED_VALUE"""),"Tidak Ada")</f>
        <v>Tidak Ada</v>
      </c>
      <c r="W755" s="4"/>
      <c r="X755" s="4"/>
      <c r="Y755" s="4"/>
      <c r="Z755" s="4"/>
      <c r="AA755" s="4"/>
      <c r="AB755" s="4"/>
      <c r="AC755" s="4" t="str">
        <f>IFERROR(__xludf.DUMMYFUNCTION("""COMPUTED_VALUE"""),"INSPEKSI SUTM - T2_Images/5eb8e1e9.FOTO.141947.jpg")</f>
        <v>INSPEKSI SUTM - T2_Images/5eb8e1e9.FOTO.141947.jpg</v>
      </c>
      <c r="AD755" s="4"/>
      <c r="AE755" s="4"/>
      <c r="AF755" s="4" t="str">
        <f>IFERROR(__xludf.DUMMYFUNCTION("""COMPUTED_VALUE"""),"BELUM")</f>
        <v>BELUM</v>
      </c>
      <c r="AG755" s="6">
        <f>IFERROR(__xludf.DUMMYFUNCTION("""COMPUTED_VALUE"""),46094.0)</f>
        <v>46094</v>
      </c>
      <c r="AH755" s="4"/>
      <c r="AI755" s="4"/>
    </row>
    <row r="756" ht="15.75" customHeight="1">
      <c r="A756" s="4" t="str">
        <f>IFERROR(__xludf.DUMMYFUNCTION("""COMPUTED_VALUE"""),"7acb1a81")</f>
        <v>7acb1a81</v>
      </c>
      <c r="B756" s="5">
        <f>IFERROR(__xludf.DUMMYFUNCTION("""COMPUTED_VALUE"""),46094.88885416667)</f>
        <v>46094.88885</v>
      </c>
      <c r="C756" s="4" t="str">
        <f>IFERROR(__xludf.DUMMYFUNCTION("""COMPUTED_VALUE"""),"-6.899154, 107.641270")</f>
        <v>-6.899154, 107.641270</v>
      </c>
      <c r="D756" s="4" t="str">
        <f>IFERROR(__xludf.DUMMYFUNCTION("""COMPUTED_VALUE"""),"Sandi angga")</f>
        <v>Sandi angga</v>
      </c>
      <c r="E756" s="4" t="str">
        <f>IFERROR(__xludf.DUMMYFUNCTION("""COMPUTED_VALUE"""),"BANDUNG")</f>
        <v>BANDUNG</v>
      </c>
      <c r="F756" s="4" t="str">
        <f>IFERROR(__xludf.DUMMYFUNCTION("""COMPUTED_VALUE"""),"BANDUNG TIMUR")</f>
        <v>BANDUNG TIMUR</v>
      </c>
      <c r="G756" s="4" t="str">
        <f>IFERROR(__xludf.DUMMYFUNCTION("""COMPUTED_VALUE"""),"KIARACONDONG")</f>
        <v>KIARACONDONG</v>
      </c>
      <c r="H756" s="4" t="str">
        <f>IFERROR(__xludf.DUMMYFUNCTION("""COMPUTED_VALUE"""),"KKH")</f>
        <v>KKH</v>
      </c>
      <c r="I756" s="4" t="str">
        <f>IFERROR(__xludf.DUMMYFUNCTION("""COMPUTED_VALUE"""),"RDW-BSIA")</f>
        <v>RDW-BSIA</v>
      </c>
      <c r="J756" s="4" t="str">
        <f>IFERROR(__xludf.DUMMYFUNCTION("""COMPUTED_VALUE"""),"ZONA 2")</f>
        <v>ZONA 2</v>
      </c>
      <c r="K756" s="4" t="str">
        <f>IFERROR(__xludf.DUMMYFUNCTION("""COMPUTED_VALUE"""),"087R01R013")</f>
        <v>087R01R013</v>
      </c>
      <c r="L756" s="4" t="str">
        <f>IFERROR(__xludf.DUMMYFUNCTION("""COMPUTED_VALUE"""),"TM - 8B/H (Percabangan)")</f>
        <v>TM - 8B/H (Percabangan)</v>
      </c>
      <c r="M756" s="4" t="str">
        <f>IFERROR(__xludf.DUMMYFUNCTION("""COMPUTED_VALUE"""),"Tidak Ada")</f>
        <v>Tidak Ada</v>
      </c>
      <c r="N756" s="4"/>
      <c r="O756" s="4" t="str">
        <f>IFERROR(__xludf.DUMMYFUNCTION("""COMPUTED_VALUE"""),"PEMBANDING SEJENIS")</f>
        <v>PEMBANDING SEJENIS</v>
      </c>
      <c r="P756" s="4" t="str">
        <f>IFERROR(__xludf.DUMMYFUNCTION("""COMPUTED_VALUE"""),"KONEKTOR/JUMPER")</f>
        <v>KONEKTOR/JUMPER</v>
      </c>
      <c r="Q756" s="4">
        <f>IFERROR(__xludf.DUMMYFUNCTION("""COMPUTED_VALUE"""),20.0)</f>
        <v>20</v>
      </c>
      <c r="R756" s="4">
        <f>IFERROR(__xludf.DUMMYFUNCTION("""COMPUTED_VALUE"""),20.0)</f>
        <v>20</v>
      </c>
      <c r="S756" s="4">
        <f>IFERROR(__xludf.DUMMYFUNCTION("""COMPUTED_VALUE"""),23.0)</f>
        <v>23</v>
      </c>
      <c r="T756" s="4"/>
      <c r="U756" s="4" t="str">
        <f>IFERROR(__xludf.DUMMYFUNCTION("""COMPUTED_VALUE"""),"CUKUP")</f>
        <v>CUKUP</v>
      </c>
      <c r="V756" s="4" t="str">
        <f>IFERROR(__xludf.DUMMYFUNCTION("""COMPUTED_VALUE"""),"Tidak Ada")</f>
        <v>Tidak Ada</v>
      </c>
      <c r="W756" s="4"/>
      <c r="X756" s="4"/>
      <c r="Y756" s="4"/>
      <c r="Z756" s="4"/>
      <c r="AA756" s="4"/>
      <c r="AB756" s="4"/>
      <c r="AC756" s="4" t="str">
        <f>IFERROR(__xludf.DUMMYFUNCTION("""COMPUTED_VALUE"""),"INSPEKSI SUTM - T2_Images/7acb1a81.FOTO.142115.jpg")</f>
        <v>INSPEKSI SUTM - T2_Images/7acb1a81.FOTO.142115.jpg</v>
      </c>
      <c r="AD756" s="4"/>
      <c r="AE756" s="4"/>
      <c r="AF756" s="4" t="str">
        <f>IFERROR(__xludf.DUMMYFUNCTION("""COMPUTED_VALUE"""),"BELUM")</f>
        <v>BELUM</v>
      </c>
      <c r="AG756" s="6">
        <f>IFERROR(__xludf.DUMMYFUNCTION("""COMPUTED_VALUE"""),46094.0)</f>
        <v>46094</v>
      </c>
      <c r="AH756" s="4"/>
      <c r="AI756" s="4"/>
    </row>
    <row r="757" ht="15.75" customHeight="1">
      <c r="A757" s="4" t="str">
        <f>IFERROR(__xludf.DUMMYFUNCTION("""COMPUTED_VALUE"""),"f18c4a06")</f>
        <v>f18c4a06</v>
      </c>
      <c r="B757" s="5">
        <f>IFERROR(__xludf.DUMMYFUNCTION("""COMPUTED_VALUE"""),46094.88984953704)</f>
        <v>46094.88985</v>
      </c>
      <c r="C757" s="4" t="str">
        <f>IFERROR(__xludf.DUMMYFUNCTION("""COMPUTED_VALUE"""),"-6.899074, 107.641224")</f>
        <v>-6.899074, 107.641224</v>
      </c>
      <c r="D757" s="4" t="str">
        <f>IFERROR(__xludf.DUMMYFUNCTION("""COMPUTED_VALUE"""),"Sandi angga")</f>
        <v>Sandi angga</v>
      </c>
      <c r="E757" s="4" t="str">
        <f>IFERROR(__xludf.DUMMYFUNCTION("""COMPUTED_VALUE"""),"BANDUNG")</f>
        <v>BANDUNG</v>
      </c>
      <c r="F757" s="4" t="str">
        <f>IFERROR(__xludf.DUMMYFUNCTION("""COMPUTED_VALUE"""),"BANDUNG TIMUR")</f>
        <v>BANDUNG TIMUR</v>
      </c>
      <c r="G757" s="4" t="str">
        <f>IFERROR(__xludf.DUMMYFUNCTION("""COMPUTED_VALUE"""),"KIARACONDONG")</f>
        <v>KIARACONDONG</v>
      </c>
      <c r="H757" s="4" t="str">
        <f>IFERROR(__xludf.DUMMYFUNCTION("""COMPUTED_VALUE"""),"KKH")</f>
        <v>KKH</v>
      </c>
      <c r="I757" s="4" t="str">
        <f>IFERROR(__xludf.DUMMYFUNCTION("""COMPUTED_VALUE"""),"RDW-BSIA")</f>
        <v>RDW-BSIA</v>
      </c>
      <c r="J757" s="4" t="str">
        <f>IFERROR(__xludf.DUMMYFUNCTION("""COMPUTED_VALUE"""),"ZONA 2")</f>
        <v>ZONA 2</v>
      </c>
      <c r="K757" s="4" t="str">
        <f>IFERROR(__xludf.DUMMYFUNCTION("""COMPUTED_VALUE"""),"087R01R013L03")</f>
        <v>087R01R013L03</v>
      </c>
      <c r="L757" s="4" t="str">
        <f>IFERROR(__xludf.DUMMYFUNCTION("""COMPUTED_VALUE"""),"TM - 8BC/HC (Percabangan dengan CO)")</f>
        <v>TM - 8BC/HC (Percabangan dengan CO)</v>
      </c>
      <c r="M757" s="4" t="str">
        <f>IFERROR(__xludf.DUMMYFUNCTION("""COMPUTED_VALUE"""),"FCO")</f>
        <v>FCO</v>
      </c>
      <c r="N757" s="4" t="str">
        <f>IFERROR(__xludf.DUMMYFUNCTION("""COMPUTED_VALUE"""),"Fco")</f>
        <v>Fco</v>
      </c>
      <c r="O757" s="4" t="str">
        <f>IFERROR(__xludf.DUMMYFUNCTION("""COMPUTED_VALUE"""),"PEMBANDING SEJENIS")</f>
        <v>PEMBANDING SEJENIS</v>
      </c>
      <c r="P757" s="4" t="str">
        <f>IFERROR(__xludf.DUMMYFUNCTION("""COMPUTED_VALUE"""),"FCO")</f>
        <v>FCO</v>
      </c>
      <c r="Q757" s="4">
        <f>IFERROR(__xludf.DUMMYFUNCTION("""COMPUTED_VALUE"""),25.0)</f>
        <v>25</v>
      </c>
      <c r="R757" s="4">
        <f>IFERROR(__xludf.DUMMYFUNCTION("""COMPUTED_VALUE"""),25.0)</f>
        <v>25</v>
      </c>
      <c r="S757" s="4">
        <f>IFERROR(__xludf.DUMMYFUNCTION("""COMPUTED_VALUE"""),25.0)</f>
        <v>25</v>
      </c>
      <c r="T757" s="4"/>
      <c r="U757" s="4" t="str">
        <f>IFERROR(__xludf.DUMMYFUNCTION("""COMPUTED_VALUE"""),"BAIK")</f>
        <v>BAIK</v>
      </c>
      <c r="V757" s="4" t="str">
        <f>IFERROR(__xludf.DUMMYFUNCTION("""COMPUTED_VALUE"""),"Tidak Ada")</f>
        <v>Tidak Ada</v>
      </c>
      <c r="W757" s="4"/>
      <c r="X757" s="4"/>
      <c r="Y757" s="4"/>
      <c r="Z757" s="4"/>
      <c r="AA757" s="4"/>
      <c r="AB757" s="4"/>
      <c r="AC757" s="4" t="str">
        <f>IFERROR(__xludf.DUMMYFUNCTION("""COMPUTED_VALUE"""),"INSPEKSI SUTM - T2_Images/f18c4a06.FOTO.142307.jpg")</f>
        <v>INSPEKSI SUTM - T2_Images/f18c4a06.FOTO.142307.jpg</v>
      </c>
      <c r="AD757" s="4"/>
      <c r="AE757" s="4"/>
      <c r="AF757" s="4" t="str">
        <f>IFERROR(__xludf.DUMMYFUNCTION("""COMPUTED_VALUE"""),"BELUM")</f>
        <v>BELUM</v>
      </c>
      <c r="AG757" s="6">
        <f>IFERROR(__xludf.DUMMYFUNCTION("""COMPUTED_VALUE"""),46094.0)</f>
        <v>46094</v>
      </c>
      <c r="AH757" s="4"/>
      <c r="AI757" s="4"/>
    </row>
    <row r="758" ht="15.75" customHeight="1">
      <c r="A758" s="4" t="str">
        <f>IFERROR(__xludf.DUMMYFUNCTION("""COMPUTED_VALUE"""),"541b7b83")</f>
        <v>541b7b83</v>
      </c>
      <c r="B758" s="5">
        <f>IFERROR(__xludf.DUMMYFUNCTION("""COMPUTED_VALUE"""),46094.89113425926)</f>
        <v>46094.89113</v>
      </c>
      <c r="C758" s="4" t="str">
        <f>IFERROR(__xludf.DUMMYFUNCTION("""COMPUTED_VALUE"""),"-6.899074, 107.641224")</f>
        <v>-6.899074, 107.641224</v>
      </c>
      <c r="D758" s="4" t="str">
        <f>IFERROR(__xludf.DUMMYFUNCTION("""COMPUTED_VALUE"""),"Sandi angga")</f>
        <v>Sandi angga</v>
      </c>
      <c r="E758" s="4" t="str">
        <f>IFERROR(__xludf.DUMMYFUNCTION("""COMPUTED_VALUE"""),"BANDUNG")</f>
        <v>BANDUNG</v>
      </c>
      <c r="F758" s="4" t="str">
        <f>IFERROR(__xludf.DUMMYFUNCTION("""COMPUTED_VALUE"""),"BANDUNG TIMUR")</f>
        <v>BANDUNG TIMUR</v>
      </c>
      <c r="G758" s="4" t="str">
        <f>IFERROR(__xludf.DUMMYFUNCTION("""COMPUTED_VALUE"""),"KIARACONDONG")</f>
        <v>KIARACONDONG</v>
      </c>
      <c r="H758" s="4" t="str">
        <f>IFERROR(__xludf.DUMMYFUNCTION("""COMPUTED_VALUE"""),"KKH")</f>
        <v>KKH</v>
      </c>
      <c r="I758" s="4" t="str">
        <f>IFERROR(__xludf.DUMMYFUNCTION("""COMPUTED_VALUE"""),"RDW-BSIA")</f>
        <v>RDW-BSIA</v>
      </c>
      <c r="J758" s="4" t="str">
        <f>IFERROR(__xludf.DUMMYFUNCTION("""COMPUTED_VALUE"""),"ZONA 2")</f>
        <v>ZONA 2</v>
      </c>
      <c r="K758" s="4" t="str">
        <f>IFERROR(__xludf.DUMMYFUNCTION("""COMPUTED_VALUE"""),"087R01R013L09")</f>
        <v>087R01R013L09</v>
      </c>
      <c r="L758" s="4" t="str">
        <f>IFERROR(__xludf.DUMMYFUNCTION("""COMPUTED_VALUE"""),"TM - 14B/H (Akhir)")</f>
        <v>TM - 14B/H (Akhir)</v>
      </c>
      <c r="M758" s="4" t="str">
        <f>IFERROR(__xludf.DUMMYFUNCTION("""COMPUTED_VALUE"""),"Tidak Ada")</f>
        <v>Tidak Ada</v>
      </c>
      <c r="N758" s="4"/>
      <c r="O758" s="4" t="str">
        <f>IFERROR(__xludf.DUMMYFUNCTION("""COMPUTED_VALUE"""),"PEMBANDING SEJENIS")</f>
        <v>PEMBANDING SEJENIS</v>
      </c>
      <c r="P758" s="4" t="str">
        <f>IFERROR(__xludf.DUMMYFUNCTION("""COMPUTED_VALUE"""),"TERMINASI")</f>
        <v>TERMINASI</v>
      </c>
      <c r="Q758" s="4">
        <f>IFERROR(__xludf.DUMMYFUNCTION("""COMPUTED_VALUE"""),23.0)</f>
        <v>23</v>
      </c>
      <c r="R758" s="4">
        <f>IFERROR(__xludf.DUMMYFUNCTION("""COMPUTED_VALUE"""),22.0)</f>
        <v>22</v>
      </c>
      <c r="S758" s="4">
        <f>IFERROR(__xludf.DUMMYFUNCTION("""COMPUTED_VALUE"""),22.0)</f>
        <v>22</v>
      </c>
      <c r="T758" s="4"/>
      <c r="U758" s="4" t="str">
        <f>IFERROR(__xludf.DUMMYFUNCTION("""COMPUTED_VALUE"""),"BAIK")</f>
        <v>BAIK</v>
      </c>
      <c r="V758" s="4" t="str">
        <f>IFERROR(__xludf.DUMMYFUNCTION("""COMPUTED_VALUE"""),"Tidak Ada")</f>
        <v>Tidak Ada</v>
      </c>
      <c r="W758" s="4"/>
      <c r="X758" s="4"/>
      <c r="Y758" s="4"/>
      <c r="Z758" s="4"/>
      <c r="AA758" s="4"/>
      <c r="AB758" s="4"/>
      <c r="AC758" s="4" t="str">
        <f>IFERROR(__xludf.DUMMYFUNCTION("""COMPUTED_VALUE"""),"INSPEKSI SUTM - T2_Images/541b7b83.FOTO.142527.jpg")</f>
        <v>INSPEKSI SUTM - T2_Images/541b7b83.FOTO.142527.jpg</v>
      </c>
      <c r="AD758" s="4"/>
      <c r="AE758" s="4"/>
      <c r="AF758" s="4" t="str">
        <f>IFERROR(__xludf.DUMMYFUNCTION("""COMPUTED_VALUE"""),"BELUM")</f>
        <v>BELUM</v>
      </c>
      <c r="AG758" s="6">
        <f>IFERROR(__xludf.DUMMYFUNCTION("""COMPUTED_VALUE"""),46094.0)</f>
        <v>46094</v>
      </c>
      <c r="AH758" s="4"/>
      <c r="AI758" s="4"/>
    </row>
    <row r="759" ht="15.75" customHeight="1">
      <c r="A759" s="4" t="str">
        <f>IFERROR(__xludf.DUMMYFUNCTION("""COMPUTED_VALUE"""),"c3bf0525")</f>
        <v>c3bf0525</v>
      </c>
      <c r="B759" s="5">
        <f>IFERROR(__xludf.DUMMYFUNCTION("""COMPUTED_VALUE"""),46094.89309027778)</f>
        <v>46094.89309</v>
      </c>
      <c r="C759" s="4" t="str">
        <f>IFERROR(__xludf.DUMMYFUNCTION("""COMPUTED_VALUE"""),"-6.899065, 107.641218")</f>
        <v>-6.899065, 107.641218</v>
      </c>
      <c r="D759" s="4" t="str">
        <f>IFERROR(__xludf.DUMMYFUNCTION("""COMPUTED_VALUE"""),"Sandi angga")</f>
        <v>Sandi angga</v>
      </c>
      <c r="E759" s="4" t="str">
        <f>IFERROR(__xludf.DUMMYFUNCTION("""COMPUTED_VALUE"""),"BANDUNG")</f>
        <v>BANDUNG</v>
      </c>
      <c r="F759" s="4" t="str">
        <f>IFERROR(__xludf.DUMMYFUNCTION("""COMPUTED_VALUE"""),"BANDUNG TIMUR")</f>
        <v>BANDUNG TIMUR</v>
      </c>
      <c r="G759" s="4" t="str">
        <f>IFERROR(__xludf.DUMMYFUNCTION("""COMPUTED_VALUE"""),"KIARACONDONG")</f>
        <v>KIARACONDONG</v>
      </c>
      <c r="H759" s="4" t="str">
        <f>IFERROR(__xludf.DUMMYFUNCTION("""COMPUTED_VALUE"""),"KKH")</f>
        <v>KKH</v>
      </c>
      <c r="I759" s="4" t="str">
        <f>IFERROR(__xludf.DUMMYFUNCTION("""COMPUTED_VALUE"""),"RDW-BSIA")</f>
        <v>RDW-BSIA</v>
      </c>
      <c r="J759" s="4" t="str">
        <f>IFERROR(__xludf.DUMMYFUNCTION("""COMPUTED_VALUE"""),"ZONA 2")</f>
        <v>ZONA 2</v>
      </c>
      <c r="K759" s="4" t="str">
        <f>IFERROR(__xludf.DUMMYFUNCTION("""COMPUTED_VALUE"""),"087R01R019")</f>
        <v>087R01R019</v>
      </c>
      <c r="L759" s="4" t="str">
        <f>IFERROR(__xludf.DUMMYFUNCTION("""COMPUTED_VALUE"""),"TM - 7B/H (Afspan 90 Derajat)")</f>
        <v>TM - 7B/H (Afspan 90 Derajat)</v>
      </c>
      <c r="M759" s="4" t="str">
        <f>IFERROR(__xludf.DUMMYFUNCTION("""COMPUTED_VALUE"""),"Tidak Ada")</f>
        <v>Tidak Ada</v>
      </c>
      <c r="N759" s="4"/>
      <c r="O759" s="4" t="str">
        <f>IFERROR(__xludf.DUMMYFUNCTION("""COMPUTED_VALUE"""),"PEMBANDING SEJENIS")</f>
        <v>PEMBANDING SEJENIS</v>
      </c>
      <c r="P759" s="4" t="str">
        <f>IFERROR(__xludf.DUMMYFUNCTION("""COMPUTED_VALUE"""),"KONEKTOR/JUMPER")</f>
        <v>KONEKTOR/JUMPER</v>
      </c>
      <c r="Q759" s="4">
        <f>IFERROR(__xludf.DUMMYFUNCTION("""COMPUTED_VALUE"""),22.0)</f>
        <v>22</v>
      </c>
      <c r="R759" s="4">
        <f>IFERROR(__xludf.DUMMYFUNCTION("""COMPUTED_VALUE"""),20.0)</f>
        <v>20</v>
      </c>
      <c r="S759" s="4">
        <f>IFERROR(__xludf.DUMMYFUNCTION("""COMPUTED_VALUE"""),23.0)</f>
        <v>23</v>
      </c>
      <c r="T759" s="4"/>
      <c r="U759" s="4" t="str">
        <f>IFERROR(__xludf.DUMMYFUNCTION("""COMPUTED_VALUE"""),"CUKUP")</f>
        <v>CUKUP</v>
      </c>
      <c r="V759" s="4" t="str">
        <f>IFERROR(__xludf.DUMMYFUNCTION("""COMPUTED_VALUE"""),"Tidak Ada")</f>
        <v>Tidak Ada</v>
      </c>
      <c r="W759" s="4"/>
      <c r="X759" s="4"/>
      <c r="Y759" s="4"/>
      <c r="Z759" s="4"/>
      <c r="AA759" s="4"/>
      <c r="AB759" s="4"/>
      <c r="AC759" s="4" t="str">
        <f>IFERROR(__xludf.DUMMYFUNCTION("""COMPUTED_VALUE"""),"INSPEKSI SUTM - T2_Images/c3bf0525.FOTO.142711.jpg")</f>
        <v>INSPEKSI SUTM - T2_Images/c3bf0525.FOTO.142711.jpg</v>
      </c>
      <c r="AD759" s="4"/>
      <c r="AE759" s="4"/>
      <c r="AF759" s="4" t="str">
        <f>IFERROR(__xludf.DUMMYFUNCTION("""COMPUTED_VALUE"""),"BELUM")</f>
        <v>BELUM</v>
      </c>
      <c r="AG759" s="6">
        <f>IFERROR(__xludf.DUMMYFUNCTION("""COMPUTED_VALUE"""),46094.0)</f>
        <v>46094</v>
      </c>
      <c r="AH759" s="4"/>
      <c r="AI759" s="4"/>
    </row>
    <row r="760" ht="15.75" customHeight="1">
      <c r="A760" s="4" t="str">
        <f>IFERROR(__xludf.DUMMYFUNCTION("""COMPUTED_VALUE"""),"20dfd0a1")</f>
        <v>20dfd0a1</v>
      </c>
      <c r="B760" s="5">
        <f>IFERROR(__xludf.DUMMYFUNCTION("""COMPUTED_VALUE"""),46094.89405092593)</f>
        <v>46094.89405</v>
      </c>
      <c r="C760" s="4" t="str">
        <f>IFERROR(__xludf.DUMMYFUNCTION("""COMPUTED_VALUE"""),"-6.899098, 107.641217")</f>
        <v>-6.899098, 107.641217</v>
      </c>
      <c r="D760" s="4" t="str">
        <f>IFERROR(__xludf.DUMMYFUNCTION("""COMPUTED_VALUE"""),"Sandi angga")</f>
        <v>Sandi angga</v>
      </c>
      <c r="E760" s="4" t="str">
        <f>IFERROR(__xludf.DUMMYFUNCTION("""COMPUTED_VALUE"""),"BANDUNG")</f>
        <v>BANDUNG</v>
      </c>
      <c r="F760" s="4" t="str">
        <f>IFERROR(__xludf.DUMMYFUNCTION("""COMPUTED_VALUE"""),"BANDUNG TIMUR")</f>
        <v>BANDUNG TIMUR</v>
      </c>
      <c r="G760" s="4" t="str">
        <f>IFERROR(__xludf.DUMMYFUNCTION("""COMPUTED_VALUE"""),"KIARACONDONG")</f>
        <v>KIARACONDONG</v>
      </c>
      <c r="H760" s="4" t="str">
        <f>IFERROR(__xludf.DUMMYFUNCTION("""COMPUTED_VALUE"""),"KKH")</f>
        <v>KKH</v>
      </c>
      <c r="I760" s="4" t="str">
        <f>IFERROR(__xludf.DUMMYFUNCTION("""COMPUTED_VALUE"""),"RDW-BSIA")</f>
        <v>RDW-BSIA</v>
      </c>
      <c r="J760" s="4" t="str">
        <f>IFERROR(__xludf.DUMMYFUNCTION("""COMPUTED_VALUE"""),"ZONA 2")</f>
        <v>ZONA 2</v>
      </c>
      <c r="K760" s="4" t="str">
        <f>IFERROR(__xludf.DUMMYFUNCTION("""COMPUTED_VALUE"""),"087R01R023")</f>
        <v>087R01R023</v>
      </c>
      <c r="L760" s="4" t="str">
        <f>IFERROR(__xludf.DUMMYFUNCTION("""COMPUTED_VALUE"""),"TM - 14B/H (Akhir)")</f>
        <v>TM - 14B/H (Akhir)</v>
      </c>
      <c r="M760" s="4" t="str">
        <f>IFERROR(__xludf.DUMMYFUNCTION("""COMPUTED_VALUE"""),"Tidak Ada")</f>
        <v>Tidak Ada</v>
      </c>
      <c r="N760" s="4"/>
      <c r="O760" s="4" t="str">
        <f>IFERROR(__xludf.DUMMYFUNCTION("""COMPUTED_VALUE"""),"PEMBANDING SEJENIS")</f>
        <v>PEMBANDING SEJENIS</v>
      </c>
      <c r="P760" s="4" t="str">
        <f>IFERROR(__xludf.DUMMYFUNCTION("""COMPUTED_VALUE"""),"TERMINASI")</f>
        <v>TERMINASI</v>
      </c>
      <c r="Q760" s="4">
        <f>IFERROR(__xludf.DUMMYFUNCTION("""COMPUTED_VALUE"""),22.0)</f>
        <v>22</v>
      </c>
      <c r="R760" s="4">
        <f>IFERROR(__xludf.DUMMYFUNCTION("""COMPUTED_VALUE"""),23.0)</f>
        <v>23</v>
      </c>
      <c r="S760" s="4">
        <f>IFERROR(__xludf.DUMMYFUNCTION("""COMPUTED_VALUE"""),24.0)</f>
        <v>24</v>
      </c>
      <c r="T760" s="4"/>
      <c r="U760" s="4" t="str">
        <f>IFERROR(__xludf.DUMMYFUNCTION("""COMPUTED_VALUE"""),"BAIK")</f>
        <v>BAIK</v>
      </c>
      <c r="V760" s="4" t="str">
        <f>IFERROR(__xludf.DUMMYFUNCTION("""COMPUTED_VALUE"""),"Tidak Ada")</f>
        <v>Tidak Ada</v>
      </c>
      <c r="W760" s="4"/>
      <c r="X760" s="4"/>
      <c r="Y760" s="4"/>
      <c r="Z760" s="4"/>
      <c r="AA760" s="4"/>
      <c r="AB760" s="4"/>
      <c r="AC760" s="4" t="str">
        <f>IFERROR(__xludf.DUMMYFUNCTION("""COMPUTED_VALUE"""),"INSPEKSI SUTM - T2_Images/20dfd0a1.FOTO.142838.jpg")</f>
        <v>INSPEKSI SUTM - T2_Images/20dfd0a1.FOTO.142838.jpg</v>
      </c>
      <c r="AD760" s="4"/>
      <c r="AE760" s="4"/>
      <c r="AF760" s="4" t="str">
        <f>IFERROR(__xludf.DUMMYFUNCTION("""COMPUTED_VALUE"""),"BELUM")</f>
        <v>BELUM</v>
      </c>
      <c r="AG760" s="6">
        <f>IFERROR(__xludf.DUMMYFUNCTION("""COMPUTED_VALUE"""),46094.0)</f>
        <v>46094</v>
      </c>
      <c r="AH760" s="4"/>
      <c r="AI760" s="4"/>
    </row>
    <row r="761" ht="15.75" customHeight="1">
      <c r="A761" s="4" t="str">
        <f>IFERROR(__xludf.DUMMYFUNCTION("""COMPUTED_VALUE"""),"0da51e47")</f>
        <v>0da51e47</v>
      </c>
      <c r="B761" s="5">
        <f>IFERROR(__xludf.DUMMYFUNCTION("""COMPUTED_VALUE"""),46094.88689814815)</f>
        <v>46094.8869</v>
      </c>
      <c r="C761" s="4" t="str">
        <f>IFERROR(__xludf.DUMMYFUNCTION("""COMPUTED_VALUE"""),"-6.949076, 107.611727")</f>
        <v>-6.949076, 107.611727</v>
      </c>
      <c r="D761" s="4" t="str">
        <f>IFERROR(__xludf.DUMMYFUNCTION("""COMPUTED_VALUE"""),"Nugi Firman")</f>
        <v>Nugi Firman</v>
      </c>
      <c r="E761" s="4" t="str">
        <f>IFERROR(__xludf.DUMMYFUNCTION("""COMPUTED_VALUE"""),"BANDUNG")</f>
        <v>BANDUNG</v>
      </c>
      <c r="F761" s="4" t="str">
        <f>IFERROR(__xludf.DUMMYFUNCTION("""COMPUTED_VALUE"""),"BANDUNG SELATAN")</f>
        <v>BANDUNG SELATAN</v>
      </c>
      <c r="G761" s="4" t="str">
        <f>IFERROR(__xludf.DUMMYFUNCTION("""COMPUTED_VALUE"""),"CIGERELENG")</f>
        <v>CIGERELENG</v>
      </c>
      <c r="H761" s="4" t="str">
        <f>IFERROR(__xludf.DUMMYFUNCTION("""COMPUTED_VALUE"""),"PLSI")</f>
        <v>PLSI</v>
      </c>
      <c r="I761" s="4" t="str">
        <f>IFERROR(__xludf.DUMMYFUNCTION("""COMPUTED_VALUE"""),"PGDB MGHU- REC. CKU")</f>
        <v>PGDB MGHU- REC. CKU</v>
      </c>
      <c r="J761" s="4" t="str">
        <f>IFERROR(__xludf.DUMMYFUNCTION("""COMPUTED_VALUE"""),"ZONA 2")</f>
        <v>ZONA 2</v>
      </c>
      <c r="K761" s="4" t="str">
        <f>IFERROR(__xludf.DUMMYFUNCTION("""COMPUTED_VALUE"""),"053L05")</f>
        <v>053L05</v>
      </c>
      <c r="L761" s="4" t="str">
        <f>IFERROR(__xludf.DUMMYFUNCTION("""COMPUTED_VALUE"""),"TM - 4B/H (Afspan)")</f>
        <v>TM - 4B/H (Afspan)</v>
      </c>
      <c r="M761" s="4" t="str">
        <f>IFERROR(__xludf.DUMMYFUNCTION("""COMPUTED_VALUE"""),"Tidak Ada")</f>
        <v>Tidak Ada</v>
      </c>
      <c r="N761" s="4"/>
      <c r="O761" s="4" t="str">
        <f>IFERROR(__xludf.DUMMYFUNCTION("""COMPUTED_VALUE"""),"PEMBANDING SEJENIS")</f>
        <v>PEMBANDING SEJENIS</v>
      </c>
      <c r="P761" s="4" t="str">
        <f>IFERROR(__xludf.DUMMYFUNCTION("""COMPUTED_VALUE"""),"KONEKTOR/JUMPER")</f>
        <v>KONEKTOR/JUMPER</v>
      </c>
      <c r="Q761" s="4">
        <f>IFERROR(__xludf.DUMMYFUNCTION("""COMPUTED_VALUE"""),20.0)</f>
        <v>20</v>
      </c>
      <c r="R761" s="4">
        <f>IFERROR(__xludf.DUMMYFUNCTION("""COMPUTED_VALUE"""),19.0)</f>
        <v>19</v>
      </c>
      <c r="S761" s="4">
        <f>IFERROR(__xludf.DUMMYFUNCTION("""COMPUTED_VALUE"""),19.0)</f>
        <v>19</v>
      </c>
      <c r="T761" s="4"/>
      <c r="U761" s="4" t="str">
        <f>IFERROR(__xludf.DUMMYFUNCTION("""COMPUTED_VALUE"""),"BAIK")</f>
        <v>BAIK</v>
      </c>
      <c r="V761" s="4" t="str">
        <f>IFERROR(__xludf.DUMMYFUNCTION("""COMPUTED_VALUE"""),"Tidak Ada")</f>
        <v>Tidak Ada</v>
      </c>
      <c r="W761" s="4"/>
      <c r="X761" s="4"/>
      <c r="Y761" s="4"/>
      <c r="Z761" s="4"/>
      <c r="AA761" s="4"/>
      <c r="AB761" s="4"/>
      <c r="AC761" s="4" t="str">
        <f>IFERROR(__xludf.DUMMYFUNCTION("""COMPUTED_VALUE"""),"INSPEKSI SUTM - T2_Images/0da51e47.FOTO.142859.jpg")</f>
        <v>INSPEKSI SUTM - T2_Images/0da51e47.FOTO.142859.jpg</v>
      </c>
      <c r="AD761" s="4"/>
      <c r="AE761" s="4"/>
      <c r="AF761" s="4" t="str">
        <f>IFERROR(__xludf.DUMMYFUNCTION("""COMPUTED_VALUE"""),"BELUM")</f>
        <v>BELUM</v>
      </c>
      <c r="AG761" s="6">
        <f>IFERROR(__xludf.DUMMYFUNCTION("""COMPUTED_VALUE"""),46094.0)</f>
        <v>46094</v>
      </c>
      <c r="AH761" s="4"/>
      <c r="AI761" s="4"/>
    </row>
    <row r="762" ht="15.75" customHeight="1">
      <c r="A762" s="4" t="str">
        <f>IFERROR(__xludf.DUMMYFUNCTION("""COMPUTED_VALUE"""),"4444999f")</f>
        <v>4444999f</v>
      </c>
      <c r="B762" s="5">
        <f>IFERROR(__xludf.DUMMYFUNCTION("""COMPUTED_VALUE"""),46094.88747685185)</f>
        <v>46094.88748</v>
      </c>
      <c r="C762" s="4" t="str">
        <f>IFERROR(__xludf.DUMMYFUNCTION("""COMPUTED_VALUE"""),"-6.949030, 107.611688")</f>
        <v>-6.949030, 107.611688</v>
      </c>
      <c r="D762" s="4" t="str">
        <f>IFERROR(__xludf.DUMMYFUNCTION("""COMPUTED_VALUE"""),"Nugi Firman")</f>
        <v>Nugi Firman</v>
      </c>
      <c r="E762" s="4" t="str">
        <f>IFERROR(__xludf.DUMMYFUNCTION("""COMPUTED_VALUE"""),"BANDUNG")</f>
        <v>BANDUNG</v>
      </c>
      <c r="F762" s="4" t="str">
        <f>IFERROR(__xludf.DUMMYFUNCTION("""COMPUTED_VALUE"""),"BANDUNG SELATAN")</f>
        <v>BANDUNG SELATAN</v>
      </c>
      <c r="G762" s="4" t="str">
        <f>IFERROR(__xludf.DUMMYFUNCTION("""COMPUTED_VALUE"""),"CIGERELENG")</f>
        <v>CIGERELENG</v>
      </c>
      <c r="H762" s="4" t="str">
        <f>IFERROR(__xludf.DUMMYFUNCTION("""COMPUTED_VALUE"""),"PLSI")</f>
        <v>PLSI</v>
      </c>
      <c r="I762" s="4" t="str">
        <f>IFERROR(__xludf.DUMMYFUNCTION("""COMPUTED_VALUE"""),"PGDB MGHU- REC. CKU")</f>
        <v>PGDB MGHU- REC. CKU</v>
      </c>
      <c r="J762" s="4" t="str">
        <f>IFERROR(__xludf.DUMMYFUNCTION("""COMPUTED_VALUE"""),"ZONA 2")</f>
        <v>ZONA 2</v>
      </c>
      <c r="K762" s="4" t="str">
        <f>IFERROR(__xludf.DUMMYFUNCTION("""COMPUTED_VALUE"""),"053L09")</f>
        <v>053L09</v>
      </c>
      <c r="L762" s="4" t="str">
        <f>IFERROR(__xludf.DUMMYFUNCTION("""COMPUTED_VALUE"""),"TM - 8B/H (Percabangan)")</f>
        <v>TM - 8B/H (Percabangan)</v>
      </c>
      <c r="M762" s="4" t="str">
        <f>IFERROR(__xludf.DUMMYFUNCTION("""COMPUTED_VALUE"""),"Tidak Ada")</f>
        <v>Tidak Ada</v>
      </c>
      <c r="N762" s="4"/>
      <c r="O762" s="4" t="str">
        <f>IFERROR(__xludf.DUMMYFUNCTION("""COMPUTED_VALUE"""),"PEMBANDING SEJENIS")</f>
        <v>PEMBANDING SEJENIS</v>
      </c>
      <c r="P762" s="4" t="str">
        <f>IFERROR(__xludf.DUMMYFUNCTION("""COMPUTED_VALUE"""),"KONEKTOR/JUMPER")</f>
        <v>KONEKTOR/JUMPER</v>
      </c>
      <c r="Q762" s="4">
        <f>IFERROR(__xludf.DUMMYFUNCTION("""COMPUTED_VALUE"""),17.0)</f>
        <v>17</v>
      </c>
      <c r="R762" s="4">
        <f>IFERROR(__xludf.DUMMYFUNCTION("""COMPUTED_VALUE"""),18.0)</f>
        <v>18</v>
      </c>
      <c r="S762" s="4">
        <f>IFERROR(__xludf.DUMMYFUNCTION("""COMPUTED_VALUE"""),17.0)</f>
        <v>17</v>
      </c>
      <c r="T762" s="4"/>
      <c r="U762" s="4" t="str">
        <f>IFERROR(__xludf.DUMMYFUNCTION("""COMPUTED_VALUE"""),"BAIK")</f>
        <v>BAIK</v>
      </c>
      <c r="V762" s="4" t="str">
        <f>IFERROR(__xludf.DUMMYFUNCTION("""COMPUTED_VALUE"""),"Tidak Ada")</f>
        <v>Tidak Ada</v>
      </c>
      <c r="W762" s="4"/>
      <c r="X762" s="4"/>
      <c r="Y762" s="4"/>
      <c r="Z762" s="4"/>
      <c r="AA762" s="4"/>
      <c r="AB762" s="4"/>
      <c r="AC762" s="4" t="str">
        <f>IFERROR(__xludf.DUMMYFUNCTION("""COMPUTED_VALUE"""),"INSPEKSI SUTM - T2_Images/4444999f.FOTO.142903.jpg")</f>
        <v>INSPEKSI SUTM - T2_Images/4444999f.FOTO.142903.jpg</v>
      </c>
      <c r="AD762" s="4"/>
      <c r="AE762" s="4"/>
      <c r="AF762" s="4" t="str">
        <f>IFERROR(__xludf.DUMMYFUNCTION("""COMPUTED_VALUE"""),"BELUM")</f>
        <v>BELUM</v>
      </c>
      <c r="AG762" s="6">
        <f>IFERROR(__xludf.DUMMYFUNCTION("""COMPUTED_VALUE"""),46094.0)</f>
        <v>46094</v>
      </c>
      <c r="AH762" s="4"/>
      <c r="AI762" s="4"/>
    </row>
    <row r="763" ht="15.75" customHeight="1">
      <c r="A763" s="4" t="str">
        <f>IFERROR(__xludf.DUMMYFUNCTION("""COMPUTED_VALUE"""),"7a80fa18")</f>
        <v>7a80fa18</v>
      </c>
      <c r="B763" s="5">
        <f>IFERROR(__xludf.DUMMYFUNCTION("""COMPUTED_VALUE"""),46094.888032407405)</f>
        <v>46094.88803</v>
      </c>
      <c r="C763" s="4" t="str">
        <f>IFERROR(__xludf.DUMMYFUNCTION("""COMPUTED_VALUE"""),"-6.948811, 107.612143")</f>
        <v>-6.948811, 107.612143</v>
      </c>
      <c r="D763" s="4" t="str">
        <f>IFERROR(__xludf.DUMMYFUNCTION("""COMPUTED_VALUE"""),"Nugi Firman")</f>
        <v>Nugi Firman</v>
      </c>
      <c r="E763" s="4" t="str">
        <f>IFERROR(__xludf.DUMMYFUNCTION("""COMPUTED_VALUE"""),"BANDUNG")</f>
        <v>BANDUNG</v>
      </c>
      <c r="F763" s="4" t="str">
        <f>IFERROR(__xludf.DUMMYFUNCTION("""COMPUTED_VALUE"""),"BANDUNG SELATAN")</f>
        <v>BANDUNG SELATAN</v>
      </c>
      <c r="G763" s="4" t="str">
        <f>IFERROR(__xludf.DUMMYFUNCTION("""COMPUTED_VALUE"""),"CIGERELENG")</f>
        <v>CIGERELENG</v>
      </c>
      <c r="H763" s="4" t="str">
        <f>IFERROR(__xludf.DUMMYFUNCTION("""COMPUTED_VALUE"""),"PLSI")</f>
        <v>PLSI</v>
      </c>
      <c r="I763" s="4" t="str">
        <f>IFERROR(__xludf.DUMMYFUNCTION("""COMPUTED_VALUE"""),"PGDB MGHU- REC. CKU")</f>
        <v>PGDB MGHU- REC. CKU</v>
      </c>
      <c r="J763" s="4" t="str">
        <f>IFERROR(__xludf.DUMMYFUNCTION("""COMPUTED_VALUE"""),"ZONA 2")</f>
        <v>ZONA 2</v>
      </c>
      <c r="K763" s="4" t="str">
        <f>IFERROR(__xludf.DUMMYFUNCTION("""COMPUTED_VALUE"""),"053L11")</f>
        <v>053L11</v>
      </c>
      <c r="L763" s="4" t="str">
        <f>IFERROR(__xludf.DUMMYFUNCTION("""COMPUTED_VALUE"""),"TM - 4B/H (Afspan)")</f>
        <v>TM - 4B/H (Afspan)</v>
      </c>
      <c r="M763" s="4" t="str">
        <f>IFERROR(__xludf.DUMMYFUNCTION("""COMPUTED_VALUE"""),"Tidak Ada")</f>
        <v>Tidak Ada</v>
      </c>
      <c r="N763" s="4"/>
      <c r="O763" s="4" t="str">
        <f>IFERROR(__xludf.DUMMYFUNCTION("""COMPUTED_VALUE"""),"PEMBANDING SEJENIS")</f>
        <v>PEMBANDING SEJENIS</v>
      </c>
      <c r="P763" s="4" t="str">
        <f>IFERROR(__xludf.DUMMYFUNCTION("""COMPUTED_VALUE"""),"KONEKTOR/JUMPER")</f>
        <v>KONEKTOR/JUMPER</v>
      </c>
      <c r="Q763" s="4">
        <f>IFERROR(__xludf.DUMMYFUNCTION("""COMPUTED_VALUE"""),17.0)</f>
        <v>17</v>
      </c>
      <c r="R763" s="4">
        <f>IFERROR(__xludf.DUMMYFUNCTION("""COMPUTED_VALUE"""),16.0)</f>
        <v>16</v>
      </c>
      <c r="S763" s="4">
        <f>IFERROR(__xludf.DUMMYFUNCTION("""COMPUTED_VALUE"""),16.0)</f>
        <v>16</v>
      </c>
      <c r="T763" s="4"/>
      <c r="U763" s="4" t="str">
        <f>IFERROR(__xludf.DUMMYFUNCTION("""COMPUTED_VALUE"""),"BAIK")</f>
        <v>BAIK</v>
      </c>
      <c r="V763" s="4" t="str">
        <f>IFERROR(__xludf.DUMMYFUNCTION("""COMPUTED_VALUE"""),"Tidak Ada")</f>
        <v>Tidak Ada</v>
      </c>
      <c r="W763" s="4"/>
      <c r="X763" s="4"/>
      <c r="Y763" s="4"/>
      <c r="Z763" s="4"/>
      <c r="AA763" s="4"/>
      <c r="AB763" s="4"/>
      <c r="AC763" s="4" t="str">
        <f>IFERROR(__xludf.DUMMYFUNCTION("""COMPUTED_VALUE"""),"INSPEKSI SUTM - T2_Images/7a80fa18.FOTO.142907.jpg")</f>
        <v>INSPEKSI SUTM - T2_Images/7a80fa18.FOTO.142907.jpg</v>
      </c>
      <c r="AD763" s="4"/>
      <c r="AE763" s="4"/>
      <c r="AF763" s="4" t="str">
        <f>IFERROR(__xludf.DUMMYFUNCTION("""COMPUTED_VALUE"""),"BELUM")</f>
        <v>BELUM</v>
      </c>
      <c r="AG763" s="6">
        <f>IFERROR(__xludf.DUMMYFUNCTION("""COMPUTED_VALUE"""),46094.0)</f>
        <v>46094</v>
      </c>
      <c r="AH763" s="4"/>
      <c r="AI763" s="4"/>
    </row>
    <row r="764" ht="15.75" customHeight="1">
      <c r="A764" s="4" t="str">
        <f>IFERROR(__xludf.DUMMYFUNCTION("""COMPUTED_VALUE"""),"5ed837e9")</f>
        <v>5ed837e9</v>
      </c>
      <c r="B764" s="5">
        <f>IFERROR(__xludf.DUMMYFUNCTION("""COMPUTED_VALUE"""),46094.888715277775)</f>
        <v>46094.88872</v>
      </c>
      <c r="C764" s="4" t="str">
        <f>IFERROR(__xludf.DUMMYFUNCTION("""COMPUTED_VALUE"""),"-6.949089, 107.611721")</f>
        <v>-6.949089, 107.611721</v>
      </c>
      <c r="D764" s="4" t="str">
        <f>IFERROR(__xludf.DUMMYFUNCTION("""COMPUTED_VALUE"""),"Nugi Firmann")</f>
        <v>Nugi Firmann</v>
      </c>
      <c r="E764" s="4" t="str">
        <f>IFERROR(__xludf.DUMMYFUNCTION("""COMPUTED_VALUE"""),"BANDUNG")</f>
        <v>BANDUNG</v>
      </c>
      <c r="F764" s="4" t="str">
        <f>IFERROR(__xludf.DUMMYFUNCTION("""COMPUTED_VALUE"""),"BANDUNG SELATAN")</f>
        <v>BANDUNG SELATAN</v>
      </c>
      <c r="G764" s="4" t="str">
        <f>IFERROR(__xludf.DUMMYFUNCTION("""COMPUTED_VALUE"""),"CIGERELENG")</f>
        <v>CIGERELENG</v>
      </c>
      <c r="H764" s="4" t="str">
        <f>IFERROR(__xludf.DUMMYFUNCTION("""COMPUTED_VALUE"""),"PLSI")</f>
        <v>PLSI</v>
      </c>
      <c r="I764" s="4" t="str">
        <f>IFERROR(__xludf.DUMMYFUNCTION("""COMPUTED_VALUE"""),"PGDB MGHU- REC. CKU")</f>
        <v>PGDB MGHU- REC. CKU</v>
      </c>
      <c r="J764" s="4" t="str">
        <f>IFERROR(__xludf.DUMMYFUNCTION("""COMPUTED_VALUE"""),"ZONA 2")</f>
        <v>ZONA 2</v>
      </c>
      <c r="K764" s="4" t="str">
        <f>IFERROR(__xludf.DUMMYFUNCTION("""COMPUTED_VALUE"""),"053L12")</f>
        <v>053L12</v>
      </c>
      <c r="L764" s="4" t="str">
        <f>IFERROR(__xludf.DUMMYFUNCTION("""COMPUTED_VALUE"""),"TM - 1B/H (Tumpu)")</f>
        <v>TM - 1B/H (Tumpu)</v>
      </c>
      <c r="M764" s="4" t="str">
        <f>IFERROR(__xludf.DUMMYFUNCTION("""COMPUTED_VALUE"""),"Tidak Ada")</f>
        <v>Tidak Ada</v>
      </c>
      <c r="N764" s="4"/>
      <c r="O764" s="4" t="str">
        <f>IFERROR(__xludf.DUMMYFUNCTION("""COMPUTED_VALUE"""),"PEMBANDING SEJENIS")</f>
        <v>PEMBANDING SEJENIS</v>
      </c>
      <c r="P764" s="4" t="str">
        <f>IFERROR(__xludf.DUMMYFUNCTION("""COMPUTED_VALUE"""),"ARRESTER")</f>
        <v>ARRESTER</v>
      </c>
      <c r="Q764" s="4">
        <f>IFERROR(__xludf.DUMMYFUNCTION("""COMPUTED_VALUE"""),18.0)</f>
        <v>18</v>
      </c>
      <c r="R764" s="4">
        <f>IFERROR(__xludf.DUMMYFUNCTION("""COMPUTED_VALUE"""),18.0)</f>
        <v>18</v>
      </c>
      <c r="S764" s="4">
        <f>IFERROR(__xludf.DUMMYFUNCTION("""COMPUTED_VALUE"""),18.0)</f>
        <v>18</v>
      </c>
      <c r="T764" s="4"/>
      <c r="U764" s="4" t="str">
        <f>IFERROR(__xludf.DUMMYFUNCTION("""COMPUTED_VALUE"""),"BAIK")</f>
        <v>BAIK</v>
      </c>
      <c r="V764" s="4" t="str">
        <f>IFERROR(__xludf.DUMMYFUNCTION("""COMPUTED_VALUE"""),"Tidak Ada")</f>
        <v>Tidak Ada</v>
      </c>
      <c r="W764" s="4"/>
      <c r="X764" s="4"/>
      <c r="Y764" s="4"/>
      <c r="Z764" s="4"/>
      <c r="AA764" s="4"/>
      <c r="AB764" s="4"/>
      <c r="AC764" s="4" t="str">
        <f>IFERROR(__xludf.DUMMYFUNCTION("""COMPUTED_VALUE"""),"INSPEKSI SUTM - T2_Images/5ed837e9.FOTO.142912.jpg")</f>
        <v>INSPEKSI SUTM - T2_Images/5ed837e9.FOTO.142912.jpg</v>
      </c>
      <c r="AD764" s="4"/>
      <c r="AE764" s="4"/>
      <c r="AF764" s="4" t="str">
        <f>IFERROR(__xludf.DUMMYFUNCTION("""COMPUTED_VALUE"""),"BELUM")</f>
        <v>BELUM</v>
      </c>
      <c r="AG764" s="6">
        <f>IFERROR(__xludf.DUMMYFUNCTION("""COMPUTED_VALUE"""),46094.0)</f>
        <v>46094</v>
      </c>
      <c r="AH764" s="4"/>
      <c r="AI764" s="4"/>
    </row>
    <row r="765" ht="15.75" customHeight="1">
      <c r="A765" s="4" t="str">
        <f>IFERROR(__xludf.DUMMYFUNCTION("""COMPUTED_VALUE"""),"f1540edc")</f>
        <v>f1540edc</v>
      </c>
      <c r="B765" s="5">
        <f>IFERROR(__xludf.DUMMYFUNCTION("""COMPUTED_VALUE"""),46094.88924768518)</f>
        <v>46094.88925</v>
      </c>
      <c r="C765" s="4" t="str">
        <f>IFERROR(__xludf.DUMMYFUNCTION("""COMPUTED_VALUE"""),"-6.949084, 107.611706")</f>
        <v>-6.949084, 107.611706</v>
      </c>
      <c r="D765" s="4" t="str">
        <f>IFERROR(__xludf.DUMMYFUNCTION("""COMPUTED_VALUE"""),"Nugi Firman")</f>
        <v>Nugi Firman</v>
      </c>
      <c r="E765" s="4" t="str">
        <f>IFERROR(__xludf.DUMMYFUNCTION("""COMPUTED_VALUE"""),"BANDUNG")</f>
        <v>BANDUNG</v>
      </c>
      <c r="F765" s="4" t="str">
        <f>IFERROR(__xludf.DUMMYFUNCTION("""COMPUTED_VALUE"""),"BANDUNG SELATAN")</f>
        <v>BANDUNG SELATAN</v>
      </c>
      <c r="G765" s="4" t="str">
        <f>IFERROR(__xludf.DUMMYFUNCTION("""COMPUTED_VALUE"""),"CIGERELENG")</f>
        <v>CIGERELENG</v>
      </c>
      <c r="H765" s="4" t="str">
        <f>IFERROR(__xludf.DUMMYFUNCTION("""COMPUTED_VALUE"""),"PLSI")</f>
        <v>PLSI</v>
      </c>
      <c r="I765" s="4" t="str">
        <f>IFERROR(__xludf.DUMMYFUNCTION("""COMPUTED_VALUE"""),"PGDB MGHU- REC. CKU")</f>
        <v>PGDB MGHU- REC. CKU</v>
      </c>
      <c r="J765" s="4" t="str">
        <f>IFERROR(__xludf.DUMMYFUNCTION("""COMPUTED_VALUE"""),"ZONA 2")</f>
        <v>ZONA 2</v>
      </c>
      <c r="K765" s="4" t="str">
        <f>IFERROR(__xludf.DUMMYFUNCTION("""COMPUTED_VALUE"""),"053L13")</f>
        <v>053L13</v>
      </c>
      <c r="L765" s="4" t="str">
        <f>IFERROR(__xludf.DUMMYFUNCTION("""COMPUTED_VALUE"""),"TM - 4B/H (Afspan)")</f>
        <v>TM - 4B/H (Afspan)</v>
      </c>
      <c r="M765" s="4" t="str">
        <f>IFERROR(__xludf.DUMMYFUNCTION("""COMPUTED_VALUE"""),"Tidak Ada")</f>
        <v>Tidak Ada</v>
      </c>
      <c r="N765" s="4"/>
      <c r="O765" s="4" t="str">
        <f>IFERROR(__xludf.DUMMYFUNCTION("""COMPUTED_VALUE"""),"PEMBANDING SEJENIS")</f>
        <v>PEMBANDING SEJENIS</v>
      </c>
      <c r="P765" s="4" t="str">
        <f>IFERROR(__xludf.DUMMYFUNCTION("""COMPUTED_VALUE"""),"KONEKTOR/JUMPER")</f>
        <v>KONEKTOR/JUMPER</v>
      </c>
      <c r="Q765" s="4">
        <f>IFERROR(__xludf.DUMMYFUNCTION("""COMPUTED_VALUE"""),17.0)</f>
        <v>17</v>
      </c>
      <c r="R765" s="4">
        <f>IFERROR(__xludf.DUMMYFUNCTION("""COMPUTED_VALUE"""),18.0)</f>
        <v>18</v>
      </c>
      <c r="S765" s="4">
        <f>IFERROR(__xludf.DUMMYFUNCTION("""COMPUTED_VALUE"""),18.0)</f>
        <v>18</v>
      </c>
      <c r="T765" s="4"/>
      <c r="U765" s="4" t="str">
        <f>IFERROR(__xludf.DUMMYFUNCTION("""COMPUTED_VALUE"""),"BAIK")</f>
        <v>BAIK</v>
      </c>
      <c r="V765" s="4" t="str">
        <f>IFERROR(__xludf.DUMMYFUNCTION("""COMPUTED_VALUE"""),"Tidak Ada")</f>
        <v>Tidak Ada</v>
      </c>
      <c r="W765" s="4"/>
      <c r="X765" s="4"/>
      <c r="Y765" s="4"/>
      <c r="Z765" s="4"/>
      <c r="AA765" s="4"/>
      <c r="AB765" s="4"/>
      <c r="AC765" s="4" t="str">
        <f>IFERROR(__xludf.DUMMYFUNCTION("""COMPUTED_VALUE"""),"INSPEKSI SUTM - T2_Images/f1540edc.FOTO.142916.jpg")</f>
        <v>INSPEKSI SUTM - T2_Images/f1540edc.FOTO.142916.jpg</v>
      </c>
      <c r="AD765" s="4"/>
      <c r="AE765" s="4"/>
      <c r="AF765" s="4" t="str">
        <f>IFERROR(__xludf.DUMMYFUNCTION("""COMPUTED_VALUE"""),"BELUM")</f>
        <v>BELUM</v>
      </c>
      <c r="AG765" s="6">
        <f>IFERROR(__xludf.DUMMYFUNCTION("""COMPUTED_VALUE"""),46094.0)</f>
        <v>46094</v>
      </c>
      <c r="AH765" s="4"/>
      <c r="AI765" s="4"/>
    </row>
    <row r="766" ht="15.75" customHeight="1">
      <c r="A766" s="4" t="str">
        <f>IFERROR(__xludf.DUMMYFUNCTION("""COMPUTED_VALUE"""),"c05255c6")</f>
        <v>c05255c6</v>
      </c>
      <c r="B766" s="5">
        <f>IFERROR(__xludf.DUMMYFUNCTION("""COMPUTED_VALUE"""),46094.88979166667)</f>
        <v>46094.88979</v>
      </c>
      <c r="C766" s="4" t="str">
        <f>IFERROR(__xludf.DUMMYFUNCTION("""COMPUTED_VALUE"""),"-6.949062, 107.611668")</f>
        <v>-6.949062, 107.611668</v>
      </c>
      <c r="D766" s="4" t="str">
        <f>IFERROR(__xludf.DUMMYFUNCTION("""COMPUTED_VALUE"""),"Nugi Firman")</f>
        <v>Nugi Firman</v>
      </c>
      <c r="E766" s="4" t="str">
        <f>IFERROR(__xludf.DUMMYFUNCTION("""COMPUTED_VALUE"""),"BANDUNG")</f>
        <v>BANDUNG</v>
      </c>
      <c r="F766" s="4" t="str">
        <f>IFERROR(__xludf.DUMMYFUNCTION("""COMPUTED_VALUE"""),"BANDUNG SELATAN")</f>
        <v>BANDUNG SELATAN</v>
      </c>
      <c r="G766" s="4" t="str">
        <f>IFERROR(__xludf.DUMMYFUNCTION("""COMPUTED_VALUE"""),"CIGERELENG")</f>
        <v>CIGERELENG</v>
      </c>
      <c r="H766" s="4" t="str">
        <f>IFERROR(__xludf.DUMMYFUNCTION("""COMPUTED_VALUE"""),"PLSI")</f>
        <v>PLSI</v>
      </c>
      <c r="I766" s="4" t="str">
        <f>IFERROR(__xludf.DUMMYFUNCTION("""COMPUTED_VALUE"""),"PGDB MGHU- REC. CKU")</f>
        <v>PGDB MGHU- REC. CKU</v>
      </c>
      <c r="J766" s="4" t="str">
        <f>IFERROR(__xludf.DUMMYFUNCTION("""COMPUTED_VALUE"""),"ZONA 2")</f>
        <v>ZONA 2</v>
      </c>
      <c r="K766" s="4" t="str">
        <f>IFERROR(__xludf.DUMMYFUNCTION("""COMPUTED_VALUE"""),"053L16")</f>
        <v>053L16</v>
      </c>
      <c r="L766" s="4" t="str">
        <f>IFERROR(__xludf.DUMMYFUNCTION("""COMPUTED_VALUE"""),"TM - 4B/H (Afspan)")</f>
        <v>TM - 4B/H (Afspan)</v>
      </c>
      <c r="M766" s="4" t="str">
        <f>IFERROR(__xludf.DUMMYFUNCTION("""COMPUTED_VALUE"""),"Tidak Ada")</f>
        <v>Tidak Ada</v>
      </c>
      <c r="N766" s="4"/>
      <c r="O766" s="4" t="str">
        <f>IFERROR(__xludf.DUMMYFUNCTION("""COMPUTED_VALUE"""),"PEMBANDING SEJENIS")</f>
        <v>PEMBANDING SEJENIS</v>
      </c>
      <c r="P766" s="4" t="str">
        <f>IFERROR(__xludf.DUMMYFUNCTION("""COMPUTED_VALUE"""),"KONEKTOR/JUMPER")</f>
        <v>KONEKTOR/JUMPER</v>
      </c>
      <c r="Q766" s="4">
        <f>IFERROR(__xludf.DUMMYFUNCTION("""COMPUTED_VALUE"""),19.0)</f>
        <v>19</v>
      </c>
      <c r="R766" s="4">
        <f>IFERROR(__xludf.DUMMYFUNCTION("""COMPUTED_VALUE"""),19.0)</f>
        <v>19</v>
      </c>
      <c r="S766" s="4">
        <f>IFERROR(__xludf.DUMMYFUNCTION("""COMPUTED_VALUE"""),19.0)</f>
        <v>19</v>
      </c>
      <c r="T766" s="4"/>
      <c r="U766" s="4" t="str">
        <f>IFERROR(__xludf.DUMMYFUNCTION("""COMPUTED_VALUE"""),"BAIK")</f>
        <v>BAIK</v>
      </c>
      <c r="V766" s="4" t="str">
        <f>IFERROR(__xludf.DUMMYFUNCTION("""COMPUTED_VALUE"""),"Tidak Ada")</f>
        <v>Tidak Ada</v>
      </c>
      <c r="W766" s="4"/>
      <c r="X766" s="4"/>
      <c r="Y766" s="4"/>
      <c r="Z766" s="4"/>
      <c r="AA766" s="4"/>
      <c r="AB766" s="4"/>
      <c r="AC766" s="4" t="str">
        <f>IFERROR(__xludf.DUMMYFUNCTION("""COMPUTED_VALUE"""),"INSPEKSI SUTM - T2_Images/c05255c6.FOTO.142921.jpg")</f>
        <v>INSPEKSI SUTM - T2_Images/c05255c6.FOTO.142921.jpg</v>
      </c>
      <c r="AD766" s="4"/>
      <c r="AE766" s="4"/>
      <c r="AF766" s="4" t="str">
        <f>IFERROR(__xludf.DUMMYFUNCTION("""COMPUTED_VALUE"""),"BELUM")</f>
        <v>BELUM</v>
      </c>
      <c r="AG766" s="6">
        <f>IFERROR(__xludf.DUMMYFUNCTION("""COMPUTED_VALUE"""),46094.0)</f>
        <v>46094</v>
      </c>
      <c r="AH766" s="4"/>
      <c r="AI766" s="4"/>
    </row>
    <row r="767" ht="15.75" customHeight="1">
      <c r="A767" s="4" t="str">
        <f>IFERROR(__xludf.DUMMYFUNCTION("""COMPUTED_VALUE"""),"e61e9868")</f>
        <v>e61e9868</v>
      </c>
      <c r="B767" s="5">
        <f>IFERROR(__xludf.DUMMYFUNCTION("""COMPUTED_VALUE"""),46094.89028935185)</f>
        <v>46094.89029</v>
      </c>
      <c r="C767" s="4" t="str">
        <f>IFERROR(__xludf.DUMMYFUNCTION("""COMPUTED_VALUE"""),"-6.949069, 107.611709")</f>
        <v>-6.949069, 107.611709</v>
      </c>
      <c r="D767" s="4" t="str">
        <f>IFERROR(__xludf.DUMMYFUNCTION("""COMPUTED_VALUE"""),"Nugi Firman")</f>
        <v>Nugi Firman</v>
      </c>
      <c r="E767" s="4" t="str">
        <f>IFERROR(__xludf.DUMMYFUNCTION("""COMPUTED_VALUE"""),"BANDUNG")</f>
        <v>BANDUNG</v>
      </c>
      <c r="F767" s="4" t="str">
        <f>IFERROR(__xludf.DUMMYFUNCTION("""COMPUTED_VALUE"""),"BANDUNG SELATAN")</f>
        <v>BANDUNG SELATAN</v>
      </c>
      <c r="G767" s="4" t="str">
        <f>IFERROR(__xludf.DUMMYFUNCTION("""COMPUTED_VALUE"""),"CIGERELENG")</f>
        <v>CIGERELENG</v>
      </c>
      <c r="H767" s="4" t="str">
        <f>IFERROR(__xludf.DUMMYFUNCTION("""COMPUTED_VALUE"""),"PLSI")</f>
        <v>PLSI</v>
      </c>
      <c r="I767" s="4" t="str">
        <f>IFERROR(__xludf.DUMMYFUNCTION("""COMPUTED_VALUE"""),"PGDB MGHU- REC. CKU")</f>
        <v>PGDB MGHU- REC. CKU</v>
      </c>
      <c r="J767" s="4" t="str">
        <f>IFERROR(__xludf.DUMMYFUNCTION("""COMPUTED_VALUE"""),"ZONA 2")</f>
        <v>ZONA 2</v>
      </c>
      <c r="K767" s="4" t="str">
        <f>IFERROR(__xludf.DUMMYFUNCTION("""COMPUTED_VALUE"""),"053L20")</f>
        <v>053L20</v>
      </c>
      <c r="L767" s="4" t="str">
        <f>IFERROR(__xludf.DUMMYFUNCTION("""COMPUTED_VALUE"""),"TM - 14B/H (Akhir)")</f>
        <v>TM - 14B/H (Akhir)</v>
      </c>
      <c r="M767" s="4" t="str">
        <f>IFERROR(__xludf.DUMMYFUNCTION("""COMPUTED_VALUE"""),"Tidak Ada")</f>
        <v>Tidak Ada</v>
      </c>
      <c r="N767" s="4"/>
      <c r="O767" s="4" t="str">
        <f>IFERROR(__xludf.DUMMYFUNCTION("""COMPUTED_VALUE"""),"PEMBANDING SEJENIS")</f>
        <v>PEMBANDING SEJENIS</v>
      </c>
      <c r="P767" s="4" t="str">
        <f>IFERROR(__xludf.DUMMYFUNCTION("""COMPUTED_VALUE"""),"ARRESTER")</f>
        <v>ARRESTER</v>
      </c>
      <c r="Q767" s="4">
        <f>IFERROR(__xludf.DUMMYFUNCTION("""COMPUTED_VALUE"""),19.0)</f>
        <v>19</v>
      </c>
      <c r="R767" s="4">
        <f>IFERROR(__xludf.DUMMYFUNCTION("""COMPUTED_VALUE"""),18.0)</f>
        <v>18</v>
      </c>
      <c r="S767" s="4">
        <f>IFERROR(__xludf.DUMMYFUNCTION("""COMPUTED_VALUE"""),18.0)</f>
        <v>18</v>
      </c>
      <c r="T767" s="4"/>
      <c r="U767" s="4" t="str">
        <f>IFERROR(__xludf.DUMMYFUNCTION("""COMPUTED_VALUE"""),"BAIK")</f>
        <v>BAIK</v>
      </c>
      <c r="V767" s="4" t="str">
        <f>IFERROR(__xludf.DUMMYFUNCTION("""COMPUTED_VALUE"""),"Tidak Ada")</f>
        <v>Tidak Ada</v>
      </c>
      <c r="W767" s="4"/>
      <c r="X767" s="4"/>
      <c r="Y767" s="4"/>
      <c r="Z767" s="4"/>
      <c r="AA767" s="4"/>
      <c r="AB767" s="4"/>
      <c r="AC767" s="4" t="str">
        <f>IFERROR(__xludf.DUMMYFUNCTION("""COMPUTED_VALUE"""),"INSPEKSI SUTM - T2_Images/e61e9868.FOTO.142925.jpg")</f>
        <v>INSPEKSI SUTM - T2_Images/e61e9868.FOTO.142925.jpg</v>
      </c>
      <c r="AD767" s="4"/>
      <c r="AE767" s="4"/>
      <c r="AF767" s="4" t="str">
        <f>IFERROR(__xludf.DUMMYFUNCTION("""COMPUTED_VALUE"""),"BELUM")</f>
        <v>BELUM</v>
      </c>
      <c r="AG767" s="6">
        <f>IFERROR(__xludf.DUMMYFUNCTION("""COMPUTED_VALUE"""),46094.0)</f>
        <v>46094</v>
      </c>
      <c r="AH767" s="4"/>
      <c r="AI767" s="4"/>
    </row>
    <row r="768" ht="15.75" customHeight="1">
      <c r="A768" s="4" t="str">
        <f>IFERROR(__xludf.DUMMYFUNCTION("""COMPUTED_VALUE"""),"1bb37909")</f>
        <v>1bb37909</v>
      </c>
      <c r="B768" s="5">
        <f>IFERROR(__xludf.DUMMYFUNCTION("""COMPUTED_VALUE"""),46094.89082175926)</f>
        <v>46094.89082</v>
      </c>
      <c r="C768" s="4" t="str">
        <f>IFERROR(__xludf.DUMMYFUNCTION("""COMPUTED_VALUE"""),"-6.949068, 107.611709")</f>
        <v>-6.949068, 107.611709</v>
      </c>
      <c r="D768" s="4" t="str">
        <f>IFERROR(__xludf.DUMMYFUNCTION("""COMPUTED_VALUE"""),"Nugi Firma")</f>
        <v>Nugi Firma</v>
      </c>
      <c r="E768" s="4" t="str">
        <f>IFERROR(__xludf.DUMMYFUNCTION("""COMPUTED_VALUE"""),"BANDUNG")</f>
        <v>BANDUNG</v>
      </c>
      <c r="F768" s="4" t="str">
        <f>IFERROR(__xludf.DUMMYFUNCTION("""COMPUTED_VALUE"""),"BANDUNG SELATAN")</f>
        <v>BANDUNG SELATAN</v>
      </c>
      <c r="G768" s="4" t="str">
        <f>IFERROR(__xludf.DUMMYFUNCTION("""COMPUTED_VALUE"""),"CIGERELENG")</f>
        <v>CIGERELENG</v>
      </c>
      <c r="H768" s="4" t="str">
        <f>IFERROR(__xludf.DUMMYFUNCTION("""COMPUTED_VALUE"""),"PLSI")</f>
        <v>PLSI</v>
      </c>
      <c r="I768" s="4" t="str">
        <f>IFERROR(__xludf.DUMMYFUNCTION("""COMPUTED_VALUE"""),"PGDB MGHU- REC. CKU")</f>
        <v>PGDB MGHU- REC. CKU</v>
      </c>
      <c r="J768" s="4" t="str">
        <f>IFERROR(__xludf.DUMMYFUNCTION("""COMPUTED_VALUE"""),"ZONA 2")</f>
        <v>ZONA 2</v>
      </c>
      <c r="K768" s="4" t="str">
        <f>IFERROR(__xludf.DUMMYFUNCTION("""COMPUTED_VALUE"""),"054")</f>
        <v>054</v>
      </c>
      <c r="L768" s="4" t="str">
        <f>IFERROR(__xludf.DUMMYFUNCTION("""COMPUTED_VALUE"""),"TM - 4B/H (Afspan)")</f>
        <v>TM - 4B/H (Afspan)</v>
      </c>
      <c r="M768" s="4" t="str">
        <f>IFERROR(__xludf.DUMMYFUNCTION("""COMPUTED_VALUE"""),"Tidak Ada")</f>
        <v>Tidak Ada</v>
      </c>
      <c r="N768" s="4"/>
      <c r="O768" s="4" t="str">
        <f>IFERROR(__xludf.DUMMYFUNCTION("""COMPUTED_VALUE"""),"PEMBANDING SEJENIS")</f>
        <v>PEMBANDING SEJENIS</v>
      </c>
      <c r="P768" s="4" t="str">
        <f>IFERROR(__xludf.DUMMYFUNCTION("""COMPUTED_VALUE"""),"KONEKTOR/JUMPER")</f>
        <v>KONEKTOR/JUMPER</v>
      </c>
      <c r="Q768" s="4">
        <f>IFERROR(__xludf.DUMMYFUNCTION("""COMPUTED_VALUE"""),21.0)</f>
        <v>21</v>
      </c>
      <c r="R768" s="4">
        <f>IFERROR(__xludf.DUMMYFUNCTION("""COMPUTED_VALUE"""),21.0)</f>
        <v>21</v>
      </c>
      <c r="S768" s="4">
        <f>IFERROR(__xludf.DUMMYFUNCTION("""COMPUTED_VALUE"""),21.0)</f>
        <v>21</v>
      </c>
      <c r="T768" s="4"/>
      <c r="U768" s="4" t="str">
        <f>IFERROR(__xludf.DUMMYFUNCTION("""COMPUTED_VALUE"""),"BAIK")</f>
        <v>BAIK</v>
      </c>
      <c r="V768" s="4" t="str">
        <f>IFERROR(__xludf.DUMMYFUNCTION("""COMPUTED_VALUE"""),"Tidak Ada")</f>
        <v>Tidak Ada</v>
      </c>
      <c r="W768" s="4"/>
      <c r="X768" s="4"/>
      <c r="Y768" s="4"/>
      <c r="Z768" s="4"/>
      <c r="AA768" s="4"/>
      <c r="AB768" s="4"/>
      <c r="AC768" s="4" t="str">
        <f>IFERROR(__xludf.DUMMYFUNCTION("""COMPUTED_VALUE"""),"INSPEKSI SUTM - T2_Images/1bb37909.FOTO.142930.jpg")</f>
        <v>INSPEKSI SUTM - T2_Images/1bb37909.FOTO.142930.jpg</v>
      </c>
      <c r="AD768" s="4"/>
      <c r="AE768" s="4"/>
      <c r="AF768" s="4" t="str">
        <f>IFERROR(__xludf.DUMMYFUNCTION("""COMPUTED_VALUE"""),"BELUM")</f>
        <v>BELUM</v>
      </c>
      <c r="AG768" s="6">
        <f>IFERROR(__xludf.DUMMYFUNCTION("""COMPUTED_VALUE"""),46094.0)</f>
        <v>46094</v>
      </c>
      <c r="AH768" s="4"/>
      <c r="AI768" s="4"/>
    </row>
    <row r="769" ht="15.75" customHeight="1">
      <c r="A769" s="4" t="str">
        <f>IFERROR(__xludf.DUMMYFUNCTION("""COMPUTED_VALUE"""),"6d9f15aa")</f>
        <v>6d9f15aa</v>
      </c>
      <c r="B769" s="5">
        <f>IFERROR(__xludf.DUMMYFUNCTION("""COMPUTED_VALUE"""),46094.89130787037)</f>
        <v>46094.89131</v>
      </c>
      <c r="C769" s="4" t="str">
        <f>IFERROR(__xludf.DUMMYFUNCTION("""COMPUTED_VALUE"""),"-6.949109, 107.611702")</f>
        <v>-6.949109, 107.611702</v>
      </c>
      <c r="D769" s="4" t="str">
        <f>IFERROR(__xludf.DUMMYFUNCTION("""COMPUTED_VALUE"""),"Nugi Firman")</f>
        <v>Nugi Firman</v>
      </c>
      <c r="E769" s="4" t="str">
        <f>IFERROR(__xludf.DUMMYFUNCTION("""COMPUTED_VALUE"""),"BANDUNG")</f>
        <v>BANDUNG</v>
      </c>
      <c r="F769" s="4" t="str">
        <f>IFERROR(__xludf.DUMMYFUNCTION("""COMPUTED_VALUE"""),"BANDUNG SELATAN")</f>
        <v>BANDUNG SELATAN</v>
      </c>
      <c r="G769" s="4" t="str">
        <f>IFERROR(__xludf.DUMMYFUNCTION("""COMPUTED_VALUE"""),"CIGERELENG")</f>
        <v>CIGERELENG</v>
      </c>
      <c r="H769" s="4" t="str">
        <f>IFERROR(__xludf.DUMMYFUNCTION("""COMPUTED_VALUE"""),"PLSI")</f>
        <v>PLSI</v>
      </c>
      <c r="I769" s="4" t="str">
        <f>IFERROR(__xludf.DUMMYFUNCTION("""COMPUTED_VALUE"""),"PGDB MGHU- REC. CKU")</f>
        <v>PGDB MGHU- REC. CKU</v>
      </c>
      <c r="J769" s="4" t="str">
        <f>IFERROR(__xludf.DUMMYFUNCTION("""COMPUTED_VALUE"""),"ZONA 2")</f>
        <v>ZONA 2</v>
      </c>
      <c r="K769" s="4" t="str">
        <f>IFERROR(__xludf.DUMMYFUNCTION("""COMPUTED_VALUE"""),"056")</f>
        <v>056</v>
      </c>
      <c r="L769" s="4" t="str">
        <f>IFERROR(__xludf.DUMMYFUNCTION("""COMPUTED_VALUE"""),"TM - 8B/H (Percabangan)")</f>
        <v>TM - 8B/H (Percabangan)</v>
      </c>
      <c r="M769" s="4" t="str">
        <f>IFERROR(__xludf.DUMMYFUNCTION("""COMPUTED_VALUE"""),"Tidak Ada")</f>
        <v>Tidak Ada</v>
      </c>
      <c r="N769" s="4"/>
      <c r="O769" s="4" t="str">
        <f>IFERROR(__xludf.DUMMYFUNCTION("""COMPUTED_VALUE"""),"PEMBANDING SEJENIS")</f>
        <v>PEMBANDING SEJENIS</v>
      </c>
      <c r="P769" s="4" t="str">
        <f>IFERROR(__xludf.DUMMYFUNCTION("""COMPUTED_VALUE"""),"KONEKTOR/JUMPER")</f>
        <v>KONEKTOR/JUMPER</v>
      </c>
      <c r="Q769" s="4">
        <f>IFERROR(__xludf.DUMMYFUNCTION("""COMPUTED_VALUE"""),13.0)</f>
        <v>13</v>
      </c>
      <c r="R769" s="4">
        <f>IFERROR(__xludf.DUMMYFUNCTION("""COMPUTED_VALUE"""),15.0)</f>
        <v>15</v>
      </c>
      <c r="S769" s="4">
        <f>IFERROR(__xludf.DUMMYFUNCTION("""COMPUTED_VALUE"""),18.0)</f>
        <v>18</v>
      </c>
      <c r="T769" s="4"/>
      <c r="U769" s="4" t="str">
        <f>IFERROR(__xludf.DUMMYFUNCTION("""COMPUTED_VALUE"""),"CUKUP")</f>
        <v>CUKUP</v>
      </c>
      <c r="V769" s="4" t="str">
        <f>IFERROR(__xludf.DUMMYFUNCTION("""COMPUTED_VALUE"""),"Tidak Ada")</f>
        <v>Tidak Ada</v>
      </c>
      <c r="W769" s="4"/>
      <c r="X769" s="4"/>
      <c r="Y769" s="4"/>
      <c r="Z769" s="4"/>
      <c r="AA769" s="4"/>
      <c r="AB769" s="4"/>
      <c r="AC769" s="4" t="str">
        <f>IFERROR(__xludf.DUMMYFUNCTION("""COMPUTED_VALUE"""),"INSPEKSI SUTM - T2_Images/6d9f15aa.FOTO.142933.jpg")</f>
        <v>INSPEKSI SUTM - T2_Images/6d9f15aa.FOTO.142933.jpg</v>
      </c>
      <c r="AD769" s="4"/>
      <c r="AE769" s="4"/>
      <c r="AF769" s="4" t="str">
        <f>IFERROR(__xludf.DUMMYFUNCTION("""COMPUTED_VALUE"""),"BELUM")</f>
        <v>BELUM</v>
      </c>
      <c r="AG769" s="6">
        <f>IFERROR(__xludf.DUMMYFUNCTION("""COMPUTED_VALUE"""),46094.0)</f>
        <v>46094</v>
      </c>
      <c r="AH769" s="4"/>
      <c r="AI769" s="4"/>
    </row>
    <row r="770" ht="15.75" customHeight="1">
      <c r="A770" s="4" t="str">
        <f>IFERROR(__xludf.DUMMYFUNCTION("""COMPUTED_VALUE"""),"63495d98")</f>
        <v>63495d98</v>
      </c>
      <c r="B770" s="5">
        <f>IFERROR(__xludf.DUMMYFUNCTION("""COMPUTED_VALUE"""),46094.891805555555)</f>
        <v>46094.89181</v>
      </c>
      <c r="C770" s="4" t="str">
        <f>IFERROR(__xludf.DUMMYFUNCTION("""COMPUTED_VALUE"""),"-6.949109, 107.611702")</f>
        <v>-6.949109, 107.611702</v>
      </c>
      <c r="D770" s="4" t="str">
        <f>IFERROR(__xludf.DUMMYFUNCTION("""COMPUTED_VALUE"""),"Nugi Firman")</f>
        <v>Nugi Firman</v>
      </c>
      <c r="E770" s="4" t="str">
        <f>IFERROR(__xludf.DUMMYFUNCTION("""COMPUTED_VALUE"""),"BANDUNG")</f>
        <v>BANDUNG</v>
      </c>
      <c r="F770" s="4" t="str">
        <f>IFERROR(__xludf.DUMMYFUNCTION("""COMPUTED_VALUE"""),"BANDUNG SELATAN")</f>
        <v>BANDUNG SELATAN</v>
      </c>
      <c r="G770" s="4" t="str">
        <f>IFERROR(__xludf.DUMMYFUNCTION("""COMPUTED_VALUE"""),"CIGERELENG")</f>
        <v>CIGERELENG</v>
      </c>
      <c r="H770" s="4" t="str">
        <f>IFERROR(__xludf.DUMMYFUNCTION("""COMPUTED_VALUE"""),"PLSI")</f>
        <v>PLSI</v>
      </c>
      <c r="I770" s="4" t="str">
        <f>IFERROR(__xludf.DUMMYFUNCTION("""COMPUTED_VALUE"""),"PGDB MGHU- REC. CKU")</f>
        <v>PGDB MGHU- REC. CKU</v>
      </c>
      <c r="J770" s="4" t="str">
        <f>IFERROR(__xludf.DUMMYFUNCTION("""COMPUTED_VALUE"""),"ZONA 2")</f>
        <v>ZONA 2</v>
      </c>
      <c r="K770" s="4" t="str">
        <f>IFERROR(__xludf.DUMMYFUNCTION("""COMPUTED_VALUE"""),"056R02")</f>
        <v>056R02</v>
      </c>
      <c r="L770" s="4" t="str">
        <f>IFERROR(__xludf.DUMMYFUNCTION("""COMPUTED_VALUE"""),"TM - 4B/H (Afspan)")</f>
        <v>TM - 4B/H (Afspan)</v>
      </c>
      <c r="M770" s="4" t="str">
        <f>IFERROR(__xludf.DUMMYFUNCTION("""COMPUTED_VALUE"""),"Tidak Ada")</f>
        <v>Tidak Ada</v>
      </c>
      <c r="N770" s="4"/>
      <c r="O770" s="4" t="str">
        <f>IFERROR(__xludf.DUMMYFUNCTION("""COMPUTED_VALUE"""),"PEMBANDING SEJENIS")</f>
        <v>PEMBANDING SEJENIS</v>
      </c>
      <c r="P770" s="4" t="str">
        <f>IFERROR(__xludf.DUMMYFUNCTION("""COMPUTED_VALUE"""),"KONEKTOR/JUMPER")</f>
        <v>KONEKTOR/JUMPER</v>
      </c>
      <c r="Q770" s="4">
        <f>IFERROR(__xludf.DUMMYFUNCTION("""COMPUTED_VALUE"""),17.0)</f>
        <v>17</v>
      </c>
      <c r="R770" s="4">
        <f>IFERROR(__xludf.DUMMYFUNCTION("""COMPUTED_VALUE"""),18.0)</f>
        <v>18</v>
      </c>
      <c r="S770" s="4">
        <f>IFERROR(__xludf.DUMMYFUNCTION("""COMPUTED_VALUE"""),18.0)</f>
        <v>18</v>
      </c>
      <c r="T770" s="4"/>
      <c r="U770" s="4" t="str">
        <f>IFERROR(__xludf.DUMMYFUNCTION("""COMPUTED_VALUE"""),"BAIK")</f>
        <v>BAIK</v>
      </c>
      <c r="V770" s="4" t="str">
        <f>IFERROR(__xludf.DUMMYFUNCTION("""COMPUTED_VALUE"""),"Tidak Ada")</f>
        <v>Tidak Ada</v>
      </c>
      <c r="W770" s="4"/>
      <c r="X770" s="4"/>
      <c r="Y770" s="4"/>
      <c r="Z770" s="4"/>
      <c r="AA770" s="4"/>
      <c r="AB770" s="4"/>
      <c r="AC770" s="4" t="str">
        <f>IFERROR(__xludf.DUMMYFUNCTION("""COMPUTED_VALUE"""),"INSPEKSI SUTM - T2_Images/63495d98.FOTO.142937.jpg")</f>
        <v>INSPEKSI SUTM - T2_Images/63495d98.FOTO.142937.jpg</v>
      </c>
      <c r="AD770" s="4"/>
      <c r="AE770" s="4"/>
      <c r="AF770" s="4" t="str">
        <f>IFERROR(__xludf.DUMMYFUNCTION("""COMPUTED_VALUE"""),"BELUM")</f>
        <v>BELUM</v>
      </c>
      <c r="AG770" s="6">
        <f>IFERROR(__xludf.DUMMYFUNCTION("""COMPUTED_VALUE"""),46094.0)</f>
        <v>46094</v>
      </c>
      <c r="AH770" s="4"/>
      <c r="AI770" s="4"/>
    </row>
    <row r="771" ht="15.75" customHeight="1">
      <c r="A771" s="4" t="str">
        <f>IFERROR(__xludf.DUMMYFUNCTION("""COMPUTED_VALUE"""),"85649cc3")</f>
        <v>85649cc3</v>
      </c>
      <c r="B771" s="5">
        <f>IFERROR(__xludf.DUMMYFUNCTION("""COMPUTED_VALUE"""),46094.89241898148)</f>
        <v>46094.89242</v>
      </c>
      <c r="C771" s="4" t="str">
        <f>IFERROR(__xludf.DUMMYFUNCTION("""COMPUTED_VALUE"""),"-6.949109, 107.611702")</f>
        <v>-6.949109, 107.611702</v>
      </c>
      <c r="D771" s="4" t="str">
        <f>IFERROR(__xludf.DUMMYFUNCTION("""COMPUTED_VALUE"""),"Nugi Firman")</f>
        <v>Nugi Firman</v>
      </c>
      <c r="E771" s="4" t="str">
        <f>IFERROR(__xludf.DUMMYFUNCTION("""COMPUTED_VALUE"""),"BANDUNG")</f>
        <v>BANDUNG</v>
      </c>
      <c r="F771" s="4" t="str">
        <f>IFERROR(__xludf.DUMMYFUNCTION("""COMPUTED_VALUE"""),"BANDUNG SELATAN")</f>
        <v>BANDUNG SELATAN</v>
      </c>
      <c r="G771" s="4" t="str">
        <f>IFERROR(__xludf.DUMMYFUNCTION("""COMPUTED_VALUE"""),"CIGERELENG")</f>
        <v>CIGERELENG</v>
      </c>
      <c r="H771" s="4" t="str">
        <f>IFERROR(__xludf.DUMMYFUNCTION("""COMPUTED_VALUE"""),"PLSI")</f>
        <v>PLSI</v>
      </c>
      <c r="I771" s="4" t="str">
        <f>IFERROR(__xludf.DUMMYFUNCTION("""COMPUTED_VALUE"""),"PGDB MGHU- REC. CKU")</f>
        <v>PGDB MGHU- REC. CKU</v>
      </c>
      <c r="J771" s="4" t="str">
        <f>IFERROR(__xludf.DUMMYFUNCTION("""COMPUTED_VALUE"""),"ZONA 2")</f>
        <v>ZONA 2</v>
      </c>
      <c r="K771" s="4" t="str">
        <f>IFERROR(__xludf.DUMMYFUNCTION("""COMPUTED_VALUE"""),"056R03")</f>
        <v>056R03</v>
      </c>
      <c r="L771" s="4" t="str">
        <f>IFERROR(__xludf.DUMMYFUNCTION("""COMPUTED_VALUE"""),"TM - 8B/H (Percabangan)")</f>
        <v>TM - 8B/H (Percabangan)</v>
      </c>
      <c r="M771" s="4" t="str">
        <f>IFERROR(__xludf.DUMMYFUNCTION("""COMPUTED_VALUE"""),"Tidak Ada")</f>
        <v>Tidak Ada</v>
      </c>
      <c r="N771" s="4"/>
      <c r="O771" s="4" t="str">
        <f>IFERROR(__xludf.DUMMYFUNCTION("""COMPUTED_VALUE"""),"PEMBANDING SEJENIS")</f>
        <v>PEMBANDING SEJENIS</v>
      </c>
      <c r="P771" s="4" t="str">
        <f>IFERROR(__xludf.DUMMYFUNCTION("""COMPUTED_VALUE"""),"KONEKTOR/JUMPER")</f>
        <v>KONEKTOR/JUMPER</v>
      </c>
      <c r="Q771" s="4">
        <f>IFERROR(__xludf.DUMMYFUNCTION("""COMPUTED_VALUE"""),18.0)</f>
        <v>18</v>
      </c>
      <c r="R771" s="4">
        <f>IFERROR(__xludf.DUMMYFUNCTION("""COMPUTED_VALUE"""),18.0)</f>
        <v>18</v>
      </c>
      <c r="S771" s="4">
        <f>IFERROR(__xludf.DUMMYFUNCTION("""COMPUTED_VALUE"""),22.0)</f>
        <v>22</v>
      </c>
      <c r="T771" s="4"/>
      <c r="U771" s="4" t="str">
        <f>IFERROR(__xludf.DUMMYFUNCTION("""COMPUTED_VALUE"""),"CUKUP")</f>
        <v>CUKUP</v>
      </c>
      <c r="V771" s="4" t="str">
        <f>IFERROR(__xludf.DUMMYFUNCTION("""COMPUTED_VALUE"""),"Tidak Ada")</f>
        <v>Tidak Ada</v>
      </c>
      <c r="W771" s="4"/>
      <c r="X771" s="4"/>
      <c r="Y771" s="4"/>
      <c r="Z771" s="4"/>
      <c r="AA771" s="4"/>
      <c r="AB771" s="4"/>
      <c r="AC771" s="4" t="str">
        <f>IFERROR(__xludf.DUMMYFUNCTION("""COMPUTED_VALUE"""),"INSPEKSI SUTM - T2_Images/85649cc3.FOTO.142942.jpg")</f>
        <v>INSPEKSI SUTM - T2_Images/85649cc3.FOTO.142942.jpg</v>
      </c>
      <c r="AD771" s="4"/>
      <c r="AE771" s="4"/>
      <c r="AF771" s="4" t="str">
        <f>IFERROR(__xludf.DUMMYFUNCTION("""COMPUTED_VALUE"""),"BELUM")</f>
        <v>BELUM</v>
      </c>
      <c r="AG771" s="6">
        <f>IFERROR(__xludf.DUMMYFUNCTION("""COMPUTED_VALUE"""),46094.0)</f>
        <v>46094</v>
      </c>
      <c r="AH771" s="4"/>
      <c r="AI771" s="4"/>
    </row>
    <row r="772" ht="15.75" customHeight="1">
      <c r="A772" s="4" t="str">
        <f>IFERROR(__xludf.DUMMYFUNCTION("""COMPUTED_VALUE"""),"93427efd")</f>
        <v>93427efd</v>
      </c>
      <c r="B772" s="5">
        <f>IFERROR(__xludf.DUMMYFUNCTION("""COMPUTED_VALUE"""),46094.89324074074)</f>
        <v>46094.89324</v>
      </c>
      <c r="C772" s="4" t="str">
        <f>IFERROR(__xludf.DUMMYFUNCTION("""COMPUTED_VALUE"""),"-6.949142, 107.611735")</f>
        <v>-6.949142, 107.611735</v>
      </c>
      <c r="D772" s="4" t="str">
        <f>IFERROR(__xludf.DUMMYFUNCTION("""COMPUTED_VALUE"""),"Nugi Firman")</f>
        <v>Nugi Firman</v>
      </c>
      <c r="E772" s="4" t="str">
        <f>IFERROR(__xludf.DUMMYFUNCTION("""COMPUTED_VALUE"""),"BANDUNG")</f>
        <v>BANDUNG</v>
      </c>
      <c r="F772" s="4" t="str">
        <f>IFERROR(__xludf.DUMMYFUNCTION("""COMPUTED_VALUE"""),"BANDUNG SELATAN")</f>
        <v>BANDUNG SELATAN</v>
      </c>
      <c r="G772" s="4" t="str">
        <f>IFERROR(__xludf.DUMMYFUNCTION("""COMPUTED_VALUE"""),"CIGERELENG")</f>
        <v>CIGERELENG</v>
      </c>
      <c r="H772" s="4" t="str">
        <f>IFERROR(__xludf.DUMMYFUNCTION("""COMPUTED_VALUE"""),"PLSI")</f>
        <v>PLSI</v>
      </c>
      <c r="I772" s="4" t="str">
        <f>IFERROR(__xludf.DUMMYFUNCTION("""COMPUTED_VALUE"""),"PGDB MGHU- REC. CKU")</f>
        <v>PGDB MGHU- REC. CKU</v>
      </c>
      <c r="J772" s="4" t="str">
        <f>IFERROR(__xludf.DUMMYFUNCTION("""COMPUTED_VALUE"""),"ZONA 2")</f>
        <v>ZONA 2</v>
      </c>
      <c r="K772" s="4" t="str">
        <f>IFERROR(__xludf.DUMMYFUNCTION("""COMPUTED_VALUE"""),"056R03R01")</f>
        <v>056R03R01</v>
      </c>
      <c r="L772" s="4" t="str">
        <f>IFERROR(__xludf.DUMMYFUNCTION("""COMPUTED_VALUE"""),"TM - 1B/H (Tumpu)")</f>
        <v>TM - 1B/H (Tumpu)</v>
      </c>
      <c r="M772" s="4" t="str">
        <f>IFERROR(__xludf.DUMMYFUNCTION("""COMPUTED_VALUE"""),"Tidak Ada")</f>
        <v>Tidak Ada</v>
      </c>
      <c r="N772" s="4"/>
      <c r="O772" s="4" t="str">
        <f>IFERROR(__xludf.DUMMYFUNCTION("""COMPUTED_VALUE"""),"PEMBANDING SEJENIS")</f>
        <v>PEMBANDING SEJENIS</v>
      </c>
      <c r="P772" s="4" t="str">
        <f>IFERROR(__xludf.DUMMYFUNCTION("""COMPUTED_VALUE"""),"KONEKTOR/JUMPER")</f>
        <v>KONEKTOR/JUMPER</v>
      </c>
      <c r="Q772" s="4">
        <f>IFERROR(__xludf.DUMMYFUNCTION("""COMPUTED_VALUE"""),18.0)</f>
        <v>18</v>
      </c>
      <c r="R772" s="4">
        <f>IFERROR(__xludf.DUMMYFUNCTION("""COMPUTED_VALUE"""),18.0)</f>
        <v>18</v>
      </c>
      <c r="S772" s="4">
        <f>IFERROR(__xludf.DUMMYFUNCTION("""COMPUTED_VALUE"""),18.0)</f>
        <v>18</v>
      </c>
      <c r="T772" s="4"/>
      <c r="U772" s="4" t="str">
        <f>IFERROR(__xludf.DUMMYFUNCTION("""COMPUTED_VALUE"""),"BAIK")</f>
        <v>BAIK</v>
      </c>
      <c r="V772" s="4" t="str">
        <f>IFERROR(__xludf.DUMMYFUNCTION("""COMPUTED_VALUE"""),"Tidak Ada")</f>
        <v>Tidak Ada</v>
      </c>
      <c r="W772" s="4"/>
      <c r="X772" s="4"/>
      <c r="Y772" s="4"/>
      <c r="Z772" s="4"/>
      <c r="AA772" s="4"/>
      <c r="AB772" s="4"/>
      <c r="AC772" s="4" t="str">
        <f>IFERROR(__xludf.DUMMYFUNCTION("""COMPUTED_VALUE"""),"INSPEKSI SUTM - T2_Images/93427efd.FOTO.142948.jpg")</f>
        <v>INSPEKSI SUTM - T2_Images/93427efd.FOTO.142948.jpg</v>
      </c>
      <c r="AD772" s="4"/>
      <c r="AE772" s="4"/>
      <c r="AF772" s="4" t="str">
        <f>IFERROR(__xludf.DUMMYFUNCTION("""COMPUTED_VALUE"""),"BELUM")</f>
        <v>BELUM</v>
      </c>
      <c r="AG772" s="6">
        <f>IFERROR(__xludf.DUMMYFUNCTION("""COMPUTED_VALUE"""),46094.0)</f>
        <v>46094</v>
      </c>
      <c r="AH772" s="4"/>
      <c r="AI772" s="4"/>
    </row>
    <row r="773" ht="15.75" customHeight="1">
      <c r="A773" s="4" t="str">
        <f>IFERROR(__xludf.DUMMYFUNCTION("""COMPUTED_VALUE"""),"ce3f28ab")</f>
        <v>ce3f28ab</v>
      </c>
      <c r="B773" s="5">
        <f>IFERROR(__xludf.DUMMYFUNCTION("""COMPUTED_VALUE"""),46094.893900462965)</f>
        <v>46094.8939</v>
      </c>
      <c r="C773" s="4" t="str">
        <f>IFERROR(__xludf.DUMMYFUNCTION("""COMPUTED_VALUE"""),"-6.949095, 107.611707")</f>
        <v>-6.949095, 107.611707</v>
      </c>
      <c r="D773" s="4" t="str">
        <f>IFERROR(__xludf.DUMMYFUNCTION("""COMPUTED_VALUE"""),"Nugi Firman")</f>
        <v>Nugi Firman</v>
      </c>
      <c r="E773" s="4" t="str">
        <f>IFERROR(__xludf.DUMMYFUNCTION("""COMPUTED_VALUE"""),"BANDUNG")</f>
        <v>BANDUNG</v>
      </c>
      <c r="F773" s="4" t="str">
        <f>IFERROR(__xludf.DUMMYFUNCTION("""COMPUTED_VALUE"""),"BANDUNG SELATAN")</f>
        <v>BANDUNG SELATAN</v>
      </c>
      <c r="G773" s="4" t="str">
        <f>IFERROR(__xludf.DUMMYFUNCTION("""COMPUTED_VALUE"""),"CIGERELENG")</f>
        <v>CIGERELENG</v>
      </c>
      <c r="H773" s="4" t="str">
        <f>IFERROR(__xludf.DUMMYFUNCTION("""COMPUTED_VALUE"""),"PLSI")</f>
        <v>PLSI</v>
      </c>
      <c r="I773" s="4" t="str">
        <f>IFERROR(__xludf.DUMMYFUNCTION("""COMPUTED_VALUE"""),"PGDB MGHU- REC. CKU")</f>
        <v>PGDB MGHU- REC. CKU</v>
      </c>
      <c r="J773" s="4" t="str">
        <f>IFERROR(__xludf.DUMMYFUNCTION("""COMPUTED_VALUE"""),"ZONA 2")</f>
        <v>ZONA 2</v>
      </c>
      <c r="K773" s="4" t="str">
        <f>IFERROR(__xludf.DUMMYFUNCTION("""COMPUTED_VALUE"""),"056R07")</f>
        <v>056R07</v>
      </c>
      <c r="L773" s="4" t="str">
        <f>IFERROR(__xludf.DUMMYFUNCTION("""COMPUTED_VALUE"""),"TM - 14B/H (Akhir)")</f>
        <v>TM - 14B/H (Akhir)</v>
      </c>
      <c r="M773" s="4" t="str">
        <f>IFERROR(__xludf.DUMMYFUNCTION("""COMPUTED_VALUE"""),"Tidak Ada")</f>
        <v>Tidak Ada</v>
      </c>
      <c r="N773" s="4"/>
      <c r="O773" s="4" t="str">
        <f>IFERROR(__xludf.DUMMYFUNCTION("""COMPUTED_VALUE"""),"PEMBANDING SEJENIS")</f>
        <v>PEMBANDING SEJENIS</v>
      </c>
      <c r="P773" s="4" t="str">
        <f>IFERROR(__xludf.DUMMYFUNCTION("""COMPUTED_VALUE"""),"KONEKTOR/JUMPER")</f>
        <v>KONEKTOR/JUMPER</v>
      </c>
      <c r="Q773" s="4">
        <f>IFERROR(__xludf.DUMMYFUNCTION("""COMPUTED_VALUE"""),18.0)</f>
        <v>18</v>
      </c>
      <c r="R773" s="4">
        <f>IFERROR(__xludf.DUMMYFUNCTION("""COMPUTED_VALUE"""),18.0)</f>
        <v>18</v>
      </c>
      <c r="S773" s="4">
        <f>IFERROR(__xludf.DUMMYFUNCTION("""COMPUTED_VALUE"""),20.0)</f>
        <v>20</v>
      </c>
      <c r="T773" s="4"/>
      <c r="U773" s="4" t="str">
        <f>IFERROR(__xludf.DUMMYFUNCTION("""COMPUTED_VALUE"""),"BAIK")</f>
        <v>BAIK</v>
      </c>
      <c r="V773" s="4" t="str">
        <f>IFERROR(__xludf.DUMMYFUNCTION("""COMPUTED_VALUE"""),"Tidak Ada")</f>
        <v>Tidak Ada</v>
      </c>
      <c r="W773" s="4"/>
      <c r="X773" s="4"/>
      <c r="Y773" s="4"/>
      <c r="Z773" s="4"/>
      <c r="AA773" s="4"/>
      <c r="AB773" s="4"/>
      <c r="AC773" s="4" t="str">
        <f>IFERROR(__xludf.DUMMYFUNCTION("""COMPUTED_VALUE"""),"INSPEKSI SUTM - T2_Images/ce3f28ab.FOTO.142952.jpg")</f>
        <v>INSPEKSI SUTM - T2_Images/ce3f28ab.FOTO.142952.jpg</v>
      </c>
      <c r="AD773" s="4"/>
      <c r="AE773" s="4"/>
      <c r="AF773" s="4" t="str">
        <f>IFERROR(__xludf.DUMMYFUNCTION("""COMPUTED_VALUE"""),"BELUM")</f>
        <v>BELUM</v>
      </c>
      <c r="AG773" s="6">
        <f>IFERROR(__xludf.DUMMYFUNCTION("""COMPUTED_VALUE"""),46094.0)</f>
        <v>46094</v>
      </c>
      <c r="AH773" s="4"/>
      <c r="AI773" s="4"/>
    </row>
    <row r="774" ht="15.75" customHeight="1">
      <c r="A774" s="4" t="str">
        <f>IFERROR(__xludf.DUMMYFUNCTION("""COMPUTED_VALUE"""),"ce78f910")</f>
        <v>ce78f910</v>
      </c>
      <c r="B774" s="5">
        <f>IFERROR(__xludf.DUMMYFUNCTION("""COMPUTED_VALUE"""),46094.89877314815)</f>
        <v>46094.89877</v>
      </c>
      <c r="C774" s="4" t="str">
        <f>IFERROR(__xludf.DUMMYFUNCTION("""COMPUTED_VALUE"""),"-6.899201, 107.641236")</f>
        <v>-6.899201, 107.641236</v>
      </c>
      <c r="D774" s="4" t="str">
        <f>IFERROR(__xludf.DUMMYFUNCTION("""COMPUTED_VALUE"""),"Sandi angga")</f>
        <v>Sandi angga</v>
      </c>
      <c r="E774" s="4" t="str">
        <f>IFERROR(__xludf.DUMMYFUNCTION("""COMPUTED_VALUE"""),"BANDUNG")</f>
        <v>BANDUNG</v>
      </c>
      <c r="F774" s="4" t="str">
        <f>IFERROR(__xludf.DUMMYFUNCTION("""COMPUTED_VALUE"""),"BANDUNG TIMUR")</f>
        <v>BANDUNG TIMUR</v>
      </c>
      <c r="G774" s="4" t="str">
        <f>IFERROR(__xludf.DUMMYFUNCTION("""COMPUTED_VALUE"""),"KIARACONDONG")</f>
        <v>KIARACONDONG</v>
      </c>
      <c r="H774" s="4" t="str">
        <f>IFERROR(__xludf.DUMMYFUNCTION("""COMPUTED_VALUE"""),"KKH")</f>
        <v>KKH</v>
      </c>
      <c r="I774" s="4" t="str">
        <f>IFERROR(__xludf.DUMMYFUNCTION("""COMPUTED_VALUE"""),"RDW-KMY")</f>
        <v>RDW-KMY</v>
      </c>
      <c r="J774" s="4" t="str">
        <f>IFERROR(__xludf.DUMMYFUNCTION("""COMPUTED_VALUE"""),"ZONA 2")</f>
        <v>ZONA 2</v>
      </c>
      <c r="K774" s="4" t="str">
        <f>IFERROR(__xludf.DUMMYFUNCTION("""COMPUTED_VALUE"""),"093")</f>
        <v>093</v>
      </c>
      <c r="L774" s="4" t="str">
        <f>IFERROR(__xludf.DUMMYFUNCTION("""COMPUTED_VALUE"""),"TM - 8B/H (Percabangan)")</f>
        <v>TM - 8B/H (Percabangan)</v>
      </c>
      <c r="M774" s="4" t="str">
        <f>IFERROR(__xludf.DUMMYFUNCTION("""COMPUTED_VALUE"""),"Tidak Ada")</f>
        <v>Tidak Ada</v>
      </c>
      <c r="N774" s="4"/>
      <c r="O774" s="4" t="str">
        <f>IFERROR(__xludf.DUMMYFUNCTION("""COMPUTED_VALUE"""),"PEMBANDING SEJENIS")</f>
        <v>PEMBANDING SEJENIS</v>
      </c>
      <c r="P774" s="4" t="str">
        <f>IFERROR(__xludf.DUMMYFUNCTION("""COMPUTED_VALUE"""),"KONEKTOR/JUMPER")</f>
        <v>KONEKTOR/JUMPER</v>
      </c>
      <c r="Q774" s="4">
        <f>IFERROR(__xludf.DUMMYFUNCTION("""COMPUTED_VALUE"""),22.0)</f>
        <v>22</v>
      </c>
      <c r="R774" s="4">
        <f>IFERROR(__xludf.DUMMYFUNCTION("""COMPUTED_VALUE"""),22.0)</f>
        <v>22</v>
      </c>
      <c r="S774" s="4">
        <f>IFERROR(__xludf.DUMMYFUNCTION("""COMPUTED_VALUE"""),22.0)</f>
        <v>22</v>
      </c>
      <c r="T774" s="4"/>
      <c r="U774" s="4" t="str">
        <f>IFERROR(__xludf.DUMMYFUNCTION("""COMPUTED_VALUE"""),"BAIK")</f>
        <v>BAIK</v>
      </c>
      <c r="V774" s="4" t="str">
        <f>IFERROR(__xludf.DUMMYFUNCTION("""COMPUTED_VALUE"""),"Tidak Ada")</f>
        <v>Tidak Ada</v>
      </c>
      <c r="W774" s="4"/>
      <c r="X774" s="4"/>
      <c r="Y774" s="4"/>
      <c r="Z774" s="4"/>
      <c r="AA774" s="4"/>
      <c r="AB774" s="4"/>
      <c r="AC774" s="4" t="str">
        <f>IFERROR(__xludf.DUMMYFUNCTION("""COMPUTED_VALUE"""),"INSPEKSI SUTM - T2_Images/ce78f910.FOTO.143521.jpg")</f>
        <v>INSPEKSI SUTM - T2_Images/ce78f910.FOTO.143521.jpg</v>
      </c>
      <c r="AD774" s="4"/>
      <c r="AE774" s="4"/>
      <c r="AF774" s="4" t="str">
        <f>IFERROR(__xludf.DUMMYFUNCTION("""COMPUTED_VALUE"""),"BELUM")</f>
        <v>BELUM</v>
      </c>
      <c r="AG774" s="6">
        <f>IFERROR(__xludf.DUMMYFUNCTION("""COMPUTED_VALUE"""),46094.0)</f>
        <v>46094</v>
      </c>
      <c r="AH774" s="4"/>
      <c r="AI774" s="4"/>
    </row>
    <row r="775" ht="15.75" customHeight="1">
      <c r="A775" s="4" t="str">
        <f>IFERROR(__xludf.DUMMYFUNCTION("""COMPUTED_VALUE"""),"65575991")</f>
        <v>65575991</v>
      </c>
      <c r="B775" s="5">
        <f>IFERROR(__xludf.DUMMYFUNCTION("""COMPUTED_VALUE"""),46094.89971064815)</f>
        <v>46094.89971</v>
      </c>
      <c r="C775" s="4" t="str">
        <f>IFERROR(__xludf.DUMMYFUNCTION("""COMPUTED_VALUE"""),"-6.899201, 107.641235")</f>
        <v>-6.899201, 107.641235</v>
      </c>
      <c r="D775" s="4" t="str">
        <f>IFERROR(__xludf.DUMMYFUNCTION("""COMPUTED_VALUE"""),"Sandi angga")</f>
        <v>Sandi angga</v>
      </c>
      <c r="E775" s="4" t="str">
        <f>IFERROR(__xludf.DUMMYFUNCTION("""COMPUTED_VALUE"""),"BANDUNG")</f>
        <v>BANDUNG</v>
      </c>
      <c r="F775" s="4" t="str">
        <f>IFERROR(__xludf.DUMMYFUNCTION("""COMPUTED_VALUE"""),"BANDUNG TIMUR")</f>
        <v>BANDUNG TIMUR</v>
      </c>
      <c r="G775" s="4" t="str">
        <f>IFERROR(__xludf.DUMMYFUNCTION("""COMPUTED_VALUE"""),"KIARACONDONG")</f>
        <v>KIARACONDONG</v>
      </c>
      <c r="H775" s="4" t="str">
        <f>IFERROR(__xludf.DUMMYFUNCTION("""COMPUTED_VALUE"""),"KKH")</f>
        <v>KKH</v>
      </c>
      <c r="I775" s="4" t="str">
        <f>IFERROR(__xludf.DUMMYFUNCTION("""COMPUTED_VALUE"""),"RDW-KMY")</f>
        <v>RDW-KMY</v>
      </c>
      <c r="J775" s="4" t="str">
        <f>IFERROR(__xludf.DUMMYFUNCTION("""COMPUTED_VALUE"""),"ZONA 2")</f>
        <v>ZONA 2</v>
      </c>
      <c r="K775" s="4" t="str">
        <f>IFERROR(__xludf.DUMMYFUNCTION("""COMPUTED_VALUE"""),"095")</f>
        <v>095</v>
      </c>
      <c r="L775" s="4" t="str">
        <f>IFERROR(__xludf.DUMMYFUNCTION("""COMPUTED_VALUE"""),"TM - 8B/H (Percabangan)")</f>
        <v>TM - 8B/H (Percabangan)</v>
      </c>
      <c r="M775" s="4" t="str">
        <f>IFERROR(__xludf.DUMMYFUNCTION("""COMPUTED_VALUE"""),"Tidak Ada")</f>
        <v>Tidak Ada</v>
      </c>
      <c r="N775" s="4"/>
      <c r="O775" s="4" t="str">
        <f>IFERROR(__xludf.DUMMYFUNCTION("""COMPUTED_VALUE"""),"PEMBANDING SEJENIS")</f>
        <v>PEMBANDING SEJENIS</v>
      </c>
      <c r="P775" s="4" t="str">
        <f>IFERROR(__xludf.DUMMYFUNCTION("""COMPUTED_VALUE"""),"KONEKTOR/JUMPER")</f>
        <v>KONEKTOR/JUMPER</v>
      </c>
      <c r="Q775" s="4">
        <f>IFERROR(__xludf.DUMMYFUNCTION("""COMPUTED_VALUE"""),27.0)</f>
        <v>27</v>
      </c>
      <c r="R775" s="4">
        <f>IFERROR(__xludf.DUMMYFUNCTION("""COMPUTED_VALUE"""),24.0)</f>
        <v>24</v>
      </c>
      <c r="S775" s="4">
        <f>IFERROR(__xludf.DUMMYFUNCTION("""COMPUTED_VALUE"""),24.0)</f>
        <v>24</v>
      </c>
      <c r="T775" s="4"/>
      <c r="U775" s="4" t="str">
        <f>IFERROR(__xludf.DUMMYFUNCTION("""COMPUTED_VALUE"""),"CUKUP")</f>
        <v>CUKUP</v>
      </c>
      <c r="V775" s="4" t="str">
        <f>IFERROR(__xludf.DUMMYFUNCTION("""COMPUTED_VALUE"""),"Tidak Ada")</f>
        <v>Tidak Ada</v>
      </c>
      <c r="W775" s="4"/>
      <c r="X775" s="4"/>
      <c r="Y775" s="4"/>
      <c r="Z775" s="4"/>
      <c r="AA775" s="4"/>
      <c r="AB775" s="4"/>
      <c r="AC775" s="4" t="str">
        <f>IFERROR(__xludf.DUMMYFUNCTION("""COMPUTED_VALUE"""),"INSPEKSI SUTM - T2_Images/65575991.FOTO.143640.jpg")</f>
        <v>INSPEKSI SUTM - T2_Images/65575991.FOTO.143640.jpg</v>
      </c>
      <c r="AD775" s="4"/>
      <c r="AE775" s="4"/>
      <c r="AF775" s="4" t="str">
        <f>IFERROR(__xludf.DUMMYFUNCTION("""COMPUTED_VALUE"""),"BELUM")</f>
        <v>BELUM</v>
      </c>
      <c r="AG775" s="6">
        <f>IFERROR(__xludf.DUMMYFUNCTION("""COMPUTED_VALUE"""),46094.0)</f>
        <v>46094</v>
      </c>
      <c r="AH775" s="4"/>
      <c r="AI775" s="4"/>
    </row>
    <row r="776" ht="15.75" customHeight="1">
      <c r="A776" s="4" t="str">
        <f>IFERROR(__xludf.DUMMYFUNCTION("""COMPUTED_VALUE"""),"b3d29d80")</f>
        <v>b3d29d80</v>
      </c>
      <c r="B776" s="5">
        <f>IFERROR(__xludf.DUMMYFUNCTION("""COMPUTED_VALUE"""),46094.90076388889)</f>
        <v>46094.90076</v>
      </c>
      <c r="C776" s="4" t="str">
        <f>IFERROR(__xludf.DUMMYFUNCTION("""COMPUTED_VALUE"""),"-6.899201, 107.641235")</f>
        <v>-6.899201, 107.641235</v>
      </c>
      <c r="D776" s="4" t="str">
        <f>IFERROR(__xludf.DUMMYFUNCTION("""COMPUTED_VALUE"""),"Sandi angga")</f>
        <v>Sandi angga</v>
      </c>
      <c r="E776" s="4" t="str">
        <f>IFERROR(__xludf.DUMMYFUNCTION("""COMPUTED_VALUE"""),"BANDUNG")</f>
        <v>BANDUNG</v>
      </c>
      <c r="F776" s="4" t="str">
        <f>IFERROR(__xludf.DUMMYFUNCTION("""COMPUTED_VALUE"""),"BANDUNG TIMUR")</f>
        <v>BANDUNG TIMUR</v>
      </c>
      <c r="G776" s="4" t="str">
        <f>IFERROR(__xludf.DUMMYFUNCTION("""COMPUTED_VALUE"""),"KIARACONDONG")</f>
        <v>KIARACONDONG</v>
      </c>
      <c r="H776" s="4" t="str">
        <f>IFERROR(__xludf.DUMMYFUNCTION("""COMPUTED_VALUE"""),"KKH")</f>
        <v>KKH</v>
      </c>
      <c r="I776" s="4" t="str">
        <f>IFERROR(__xludf.DUMMYFUNCTION("""COMPUTED_VALUE"""),"RDW-KMY")</f>
        <v>RDW-KMY</v>
      </c>
      <c r="J776" s="4" t="str">
        <f>IFERROR(__xludf.DUMMYFUNCTION("""COMPUTED_VALUE"""),"ZONA 2")</f>
        <v>ZONA 2</v>
      </c>
      <c r="K776" s="4" t="str">
        <f>IFERROR(__xludf.DUMMYFUNCTION("""COMPUTED_VALUE"""),"095R04")</f>
        <v>095R04</v>
      </c>
      <c r="L776" s="4" t="str">
        <f>IFERROR(__xludf.DUMMYFUNCTION("""COMPUTED_VALUE"""),"TM - 4B/H (Afspan)")</f>
        <v>TM - 4B/H (Afspan)</v>
      </c>
      <c r="M776" s="4" t="str">
        <f>IFERROR(__xludf.DUMMYFUNCTION("""COMPUTED_VALUE"""),"Tidak Ada")</f>
        <v>Tidak Ada</v>
      </c>
      <c r="N776" s="4"/>
      <c r="O776" s="4" t="str">
        <f>IFERROR(__xludf.DUMMYFUNCTION("""COMPUTED_VALUE"""),"PEMBANDING SEJENIS")</f>
        <v>PEMBANDING SEJENIS</v>
      </c>
      <c r="P776" s="4" t="str">
        <f>IFERROR(__xludf.DUMMYFUNCTION("""COMPUTED_VALUE"""),"KONEKTOR/JUMPER")</f>
        <v>KONEKTOR/JUMPER</v>
      </c>
      <c r="Q776" s="4">
        <f>IFERROR(__xludf.DUMMYFUNCTION("""COMPUTED_VALUE"""),23.0)</f>
        <v>23</v>
      </c>
      <c r="R776" s="4">
        <f>IFERROR(__xludf.DUMMYFUNCTION("""COMPUTED_VALUE"""),24.0)</f>
        <v>24</v>
      </c>
      <c r="S776" s="4">
        <f>IFERROR(__xludf.DUMMYFUNCTION("""COMPUTED_VALUE"""),24.0)</f>
        <v>24</v>
      </c>
      <c r="T776" s="4"/>
      <c r="U776" s="4" t="str">
        <f>IFERROR(__xludf.DUMMYFUNCTION("""COMPUTED_VALUE"""),"BAIK")</f>
        <v>BAIK</v>
      </c>
      <c r="V776" s="4" t="str">
        <f>IFERROR(__xludf.DUMMYFUNCTION("""COMPUTED_VALUE"""),"Tidak Ada")</f>
        <v>Tidak Ada</v>
      </c>
      <c r="W776" s="4"/>
      <c r="X776" s="4"/>
      <c r="Y776" s="4"/>
      <c r="Z776" s="4"/>
      <c r="AA776" s="4"/>
      <c r="AB776" s="4"/>
      <c r="AC776" s="4" t="str">
        <f>IFERROR(__xludf.DUMMYFUNCTION("""COMPUTED_VALUE"""),"INSPEKSI SUTM - T2_Images/b3d29d80.FOTO.143801.jpg")</f>
        <v>INSPEKSI SUTM - T2_Images/b3d29d80.FOTO.143801.jpg</v>
      </c>
      <c r="AD776" s="4"/>
      <c r="AE776" s="4"/>
      <c r="AF776" s="4" t="str">
        <f>IFERROR(__xludf.DUMMYFUNCTION("""COMPUTED_VALUE"""),"BELUM")</f>
        <v>BELUM</v>
      </c>
      <c r="AG776" s="6">
        <f>IFERROR(__xludf.DUMMYFUNCTION("""COMPUTED_VALUE"""),46094.0)</f>
        <v>46094</v>
      </c>
      <c r="AH776" s="4"/>
      <c r="AI776" s="4"/>
    </row>
    <row r="777" ht="15.75" customHeight="1">
      <c r="A777" s="4" t="str">
        <f>IFERROR(__xludf.DUMMYFUNCTION("""COMPUTED_VALUE"""),"abc5ca50")</f>
        <v>abc5ca50</v>
      </c>
      <c r="B777" s="5">
        <f>IFERROR(__xludf.DUMMYFUNCTION("""COMPUTED_VALUE"""),46094.90211805556)</f>
        <v>46094.90212</v>
      </c>
      <c r="C777" s="4" t="str">
        <f>IFERROR(__xludf.DUMMYFUNCTION("""COMPUTED_VALUE"""),"-6.899132, 107.641266")</f>
        <v>-6.899132, 107.641266</v>
      </c>
      <c r="D777" s="4" t="str">
        <f>IFERROR(__xludf.DUMMYFUNCTION("""COMPUTED_VALUE"""),"Sandi angga")</f>
        <v>Sandi angga</v>
      </c>
      <c r="E777" s="4" t="str">
        <f>IFERROR(__xludf.DUMMYFUNCTION("""COMPUTED_VALUE"""),"BANDUNG")</f>
        <v>BANDUNG</v>
      </c>
      <c r="F777" s="4" t="str">
        <f>IFERROR(__xludf.DUMMYFUNCTION("""COMPUTED_VALUE"""),"BANDUNG TIMUR")</f>
        <v>BANDUNG TIMUR</v>
      </c>
      <c r="G777" s="4" t="str">
        <f>IFERROR(__xludf.DUMMYFUNCTION("""COMPUTED_VALUE"""),"KIARACONDONG")</f>
        <v>KIARACONDONG</v>
      </c>
      <c r="H777" s="4" t="str">
        <f>IFERROR(__xludf.DUMMYFUNCTION("""COMPUTED_VALUE"""),"KKH")</f>
        <v>KKH</v>
      </c>
      <c r="I777" s="4" t="str">
        <f>IFERROR(__xludf.DUMMYFUNCTION("""COMPUTED_VALUE"""),"RDW-KMY")</f>
        <v>RDW-KMY</v>
      </c>
      <c r="J777" s="4" t="str">
        <f>IFERROR(__xludf.DUMMYFUNCTION("""COMPUTED_VALUE"""),"ZONA 2")</f>
        <v>ZONA 2</v>
      </c>
      <c r="K777" s="4" t="str">
        <f>IFERROR(__xludf.DUMMYFUNCTION("""COMPUTED_VALUE"""),"095R06")</f>
        <v>095R06</v>
      </c>
      <c r="L777" s="4" t="str">
        <f>IFERROR(__xludf.DUMMYFUNCTION("""COMPUTED_VALUE"""),"TM - 8B/H (Percabangan)")</f>
        <v>TM - 8B/H (Percabangan)</v>
      </c>
      <c r="M777" s="4" t="str">
        <f>IFERROR(__xludf.DUMMYFUNCTION("""COMPUTED_VALUE"""),"Tidak Ada")</f>
        <v>Tidak Ada</v>
      </c>
      <c r="N777" s="4"/>
      <c r="O777" s="4" t="str">
        <f>IFERROR(__xludf.DUMMYFUNCTION("""COMPUTED_VALUE"""),"PEMBANDING SEJENIS")</f>
        <v>PEMBANDING SEJENIS</v>
      </c>
      <c r="P777" s="4" t="str">
        <f>IFERROR(__xludf.DUMMYFUNCTION("""COMPUTED_VALUE"""),"KONEKTOR/JUMPER")</f>
        <v>KONEKTOR/JUMPER</v>
      </c>
      <c r="Q777" s="4">
        <f>IFERROR(__xludf.DUMMYFUNCTION("""COMPUTED_VALUE"""),20.0)</f>
        <v>20</v>
      </c>
      <c r="R777" s="4">
        <f>IFERROR(__xludf.DUMMYFUNCTION("""COMPUTED_VALUE"""),23.0)</f>
        <v>23</v>
      </c>
      <c r="S777" s="4">
        <f>IFERROR(__xludf.DUMMYFUNCTION("""COMPUTED_VALUE"""),20.0)</f>
        <v>20</v>
      </c>
      <c r="T777" s="4"/>
      <c r="U777" s="4" t="str">
        <f>IFERROR(__xludf.DUMMYFUNCTION("""COMPUTED_VALUE"""),"CUKUP")</f>
        <v>CUKUP</v>
      </c>
      <c r="V777" s="4" t="str">
        <f>IFERROR(__xludf.DUMMYFUNCTION("""COMPUTED_VALUE"""),"Tidak Ada")</f>
        <v>Tidak Ada</v>
      </c>
      <c r="W777" s="4"/>
      <c r="X777" s="4"/>
      <c r="Y777" s="4"/>
      <c r="Z777" s="4"/>
      <c r="AA777" s="4"/>
      <c r="AB777" s="4"/>
      <c r="AC777" s="4" t="str">
        <f>IFERROR(__xludf.DUMMYFUNCTION("""COMPUTED_VALUE"""),"INSPEKSI SUTM - T2_Images/abc5ca50.FOTO.144016.jpg")</f>
        <v>INSPEKSI SUTM - T2_Images/abc5ca50.FOTO.144016.jpg</v>
      </c>
      <c r="AD777" s="4"/>
      <c r="AE777" s="4"/>
      <c r="AF777" s="4" t="str">
        <f>IFERROR(__xludf.DUMMYFUNCTION("""COMPUTED_VALUE"""),"BELUM")</f>
        <v>BELUM</v>
      </c>
      <c r="AG777" s="6">
        <f>IFERROR(__xludf.DUMMYFUNCTION("""COMPUTED_VALUE"""),46094.0)</f>
        <v>46094</v>
      </c>
      <c r="AH777" s="4"/>
      <c r="AI777" s="4"/>
    </row>
    <row r="778" ht="15.75" customHeight="1">
      <c r="A778" s="4" t="str">
        <f>IFERROR(__xludf.DUMMYFUNCTION("""COMPUTED_VALUE"""),"064f3ecb")</f>
        <v>064f3ecb</v>
      </c>
      <c r="B778" s="5">
        <f>IFERROR(__xludf.DUMMYFUNCTION("""COMPUTED_VALUE"""),46094.90311342593)</f>
        <v>46094.90311</v>
      </c>
      <c r="C778" s="4" t="str">
        <f>IFERROR(__xludf.DUMMYFUNCTION("""COMPUTED_VALUE"""),"-6.899101, 107.641256")</f>
        <v>-6.899101, 107.641256</v>
      </c>
      <c r="D778" s="4" t="str">
        <f>IFERROR(__xludf.DUMMYFUNCTION("""COMPUTED_VALUE"""),"Sandi angga")</f>
        <v>Sandi angga</v>
      </c>
      <c r="E778" s="4" t="str">
        <f>IFERROR(__xludf.DUMMYFUNCTION("""COMPUTED_VALUE"""),"BANDUNG")</f>
        <v>BANDUNG</v>
      </c>
      <c r="F778" s="4" t="str">
        <f>IFERROR(__xludf.DUMMYFUNCTION("""COMPUTED_VALUE"""),"BANDUNG TIMUR")</f>
        <v>BANDUNG TIMUR</v>
      </c>
      <c r="G778" s="4" t="str">
        <f>IFERROR(__xludf.DUMMYFUNCTION("""COMPUTED_VALUE"""),"KIARACONDONG")</f>
        <v>KIARACONDONG</v>
      </c>
      <c r="H778" s="4" t="str">
        <f>IFERROR(__xludf.DUMMYFUNCTION("""COMPUTED_VALUE"""),"KKH")</f>
        <v>KKH</v>
      </c>
      <c r="I778" s="4" t="str">
        <f>IFERROR(__xludf.DUMMYFUNCTION("""COMPUTED_VALUE"""),"RDW-KMY")</f>
        <v>RDW-KMY</v>
      </c>
      <c r="J778" s="4" t="str">
        <f>IFERROR(__xludf.DUMMYFUNCTION("""COMPUTED_VALUE"""),"ZONA 2")</f>
        <v>ZONA 2</v>
      </c>
      <c r="K778" s="4" t="str">
        <f>IFERROR(__xludf.DUMMYFUNCTION("""COMPUTED_VALUE"""),"095R06R01")</f>
        <v>095R06R01</v>
      </c>
      <c r="L778" s="4" t="str">
        <f>IFERROR(__xludf.DUMMYFUNCTION("""COMPUTED_VALUE"""),"TM - 7B/H (Afspan 90 Derajat)")</f>
        <v>TM - 7B/H (Afspan 90 Derajat)</v>
      </c>
      <c r="M778" s="4" t="str">
        <f>IFERROR(__xludf.DUMMYFUNCTION("""COMPUTED_VALUE"""),"Tidak Ada")</f>
        <v>Tidak Ada</v>
      </c>
      <c r="N778" s="4"/>
      <c r="O778" s="4" t="str">
        <f>IFERROR(__xludf.DUMMYFUNCTION("""COMPUTED_VALUE"""),"PEMBANDING SEJENIS")</f>
        <v>PEMBANDING SEJENIS</v>
      </c>
      <c r="P778" s="4" t="str">
        <f>IFERROR(__xludf.DUMMYFUNCTION("""COMPUTED_VALUE"""),"KONEKTOR/JUMPER")</f>
        <v>KONEKTOR/JUMPER</v>
      </c>
      <c r="Q778" s="4">
        <f>IFERROR(__xludf.DUMMYFUNCTION("""COMPUTED_VALUE"""),20.0)</f>
        <v>20</v>
      </c>
      <c r="R778" s="4">
        <f>IFERROR(__xludf.DUMMYFUNCTION("""COMPUTED_VALUE"""),22.0)</f>
        <v>22</v>
      </c>
      <c r="S778" s="4">
        <f>IFERROR(__xludf.DUMMYFUNCTION("""COMPUTED_VALUE"""),22.0)</f>
        <v>22</v>
      </c>
      <c r="T778" s="4"/>
      <c r="U778" s="4" t="str">
        <f>IFERROR(__xludf.DUMMYFUNCTION("""COMPUTED_VALUE"""),"BAIK")</f>
        <v>BAIK</v>
      </c>
      <c r="V778" s="4" t="str">
        <f>IFERROR(__xludf.DUMMYFUNCTION("""COMPUTED_VALUE"""),"Tidak Ada")</f>
        <v>Tidak Ada</v>
      </c>
      <c r="W778" s="4"/>
      <c r="X778" s="4"/>
      <c r="Y778" s="4"/>
      <c r="Z778" s="4"/>
      <c r="AA778" s="4"/>
      <c r="AB778" s="4"/>
      <c r="AC778" s="4" t="str">
        <f>IFERROR(__xludf.DUMMYFUNCTION("""COMPUTED_VALUE"""),"INSPEKSI SUTM - T2_Images/064f3ecb.FOTO.144130.jpg")</f>
        <v>INSPEKSI SUTM - T2_Images/064f3ecb.FOTO.144130.jpg</v>
      </c>
      <c r="AD778" s="4"/>
      <c r="AE778" s="4"/>
      <c r="AF778" s="4" t="str">
        <f>IFERROR(__xludf.DUMMYFUNCTION("""COMPUTED_VALUE"""),"BELUM")</f>
        <v>BELUM</v>
      </c>
      <c r="AG778" s="6">
        <f>IFERROR(__xludf.DUMMYFUNCTION("""COMPUTED_VALUE"""),46094.0)</f>
        <v>46094</v>
      </c>
      <c r="AH778" s="4"/>
      <c r="AI778" s="4"/>
    </row>
    <row r="779" ht="15.75" customHeight="1">
      <c r="A779" s="4" t="str">
        <f>IFERROR(__xludf.DUMMYFUNCTION("""COMPUTED_VALUE"""),"a6ccb2e3")</f>
        <v>a6ccb2e3</v>
      </c>
      <c r="B779" s="5">
        <f>IFERROR(__xludf.DUMMYFUNCTION("""COMPUTED_VALUE"""),46094.90491898148)</f>
        <v>46094.90492</v>
      </c>
      <c r="C779" s="4" t="str">
        <f>IFERROR(__xludf.DUMMYFUNCTION("""COMPUTED_VALUE"""),"-6.899101, 107.641256")</f>
        <v>-6.899101, 107.641256</v>
      </c>
      <c r="D779" s="4" t="str">
        <f>IFERROR(__xludf.DUMMYFUNCTION("""COMPUTED_VALUE"""),"Sandi angga")</f>
        <v>Sandi angga</v>
      </c>
      <c r="E779" s="4" t="str">
        <f>IFERROR(__xludf.DUMMYFUNCTION("""COMPUTED_VALUE"""),"BANDUNG")</f>
        <v>BANDUNG</v>
      </c>
      <c r="F779" s="4" t="str">
        <f>IFERROR(__xludf.DUMMYFUNCTION("""COMPUTED_VALUE"""),"BANDUNG TIMUR")</f>
        <v>BANDUNG TIMUR</v>
      </c>
      <c r="G779" s="4" t="str">
        <f>IFERROR(__xludf.DUMMYFUNCTION("""COMPUTED_VALUE"""),"KIARACONDONG")</f>
        <v>KIARACONDONG</v>
      </c>
      <c r="H779" s="4" t="str">
        <f>IFERROR(__xludf.DUMMYFUNCTION("""COMPUTED_VALUE"""),"KKH")</f>
        <v>KKH</v>
      </c>
      <c r="I779" s="4" t="str">
        <f>IFERROR(__xludf.DUMMYFUNCTION("""COMPUTED_VALUE"""),"RDW-KMY")</f>
        <v>RDW-KMY</v>
      </c>
      <c r="J779" s="4" t="str">
        <f>IFERROR(__xludf.DUMMYFUNCTION("""COMPUTED_VALUE"""),"ZONA 2")</f>
        <v>ZONA 2</v>
      </c>
      <c r="K779" s="4" t="str">
        <f>IFERROR(__xludf.DUMMYFUNCTION("""COMPUTED_VALUE"""),"096")</f>
        <v>096</v>
      </c>
      <c r="L779" s="4" t="str">
        <f>IFERROR(__xludf.DUMMYFUNCTION("""COMPUTED_VALUE"""),"TM - 8B/H (Percabangan)")</f>
        <v>TM - 8B/H (Percabangan)</v>
      </c>
      <c r="M779" s="4" t="str">
        <f>IFERROR(__xludf.DUMMYFUNCTION("""COMPUTED_VALUE"""),"Tidak Ada")</f>
        <v>Tidak Ada</v>
      </c>
      <c r="N779" s="4"/>
      <c r="O779" s="4" t="str">
        <f>IFERROR(__xludf.DUMMYFUNCTION("""COMPUTED_VALUE"""),"PEMBANDING SEJENIS")</f>
        <v>PEMBANDING SEJENIS</v>
      </c>
      <c r="P779" s="4" t="str">
        <f>IFERROR(__xludf.DUMMYFUNCTION("""COMPUTED_VALUE"""),"KONEKTOR/JUMPER")</f>
        <v>KONEKTOR/JUMPER</v>
      </c>
      <c r="Q779" s="4">
        <f>IFERROR(__xludf.DUMMYFUNCTION("""COMPUTED_VALUE"""),23.0)</f>
        <v>23</v>
      </c>
      <c r="R779" s="4">
        <f>IFERROR(__xludf.DUMMYFUNCTION("""COMPUTED_VALUE"""),24.0)</f>
        <v>24</v>
      </c>
      <c r="S779" s="4">
        <f>IFERROR(__xludf.DUMMYFUNCTION("""COMPUTED_VALUE"""),24.0)</f>
        <v>24</v>
      </c>
      <c r="T779" s="4"/>
      <c r="U779" s="4" t="str">
        <f>IFERROR(__xludf.DUMMYFUNCTION("""COMPUTED_VALUE"""),"BAIK")</f>
        <v>BAIK</v>
      </c>
      <c r="V779" s="4" t="str">
        <f>IFERROR(__xludf.DUMMYFUNCTION("""COMPUTED_VALUE"""),"Tidak Ada")</f>
        <v>Tidak Ada</v>
      </c>
      <c r="W779" s="4"/>
      <c r="X779" s="4"/>
      <c r="Y779" s="4"/>
      <c r="Z779" s="4"/>
      <c r="AA779" s="4"/>
      <c r="AB779" s="4"/>
      <c r="AC779" s="4" t="str">
        <f>IFERROR(__xludf.DUMMYFUNCTION("""COMPUTED_VALUE"""),"INSPEKSI SUTM - T2_Images/a6ccb2e3.FOTO.144354.jpg")</f>
        <v>INSPEKSI SUTM - T2_Images/a6ccb2e3.FOTO.144354.jpg</v>
      </c>
      <c r="AD779" s="4"/>
      <c r="AE779" s="4"/>
      <c r="AF779" s="4" t="str">
        <f>IFERROR(__xludf.DUMMYFUNCTION("""COMPUTED_VALUE"""),"BELUM")</f>
        <v>BELUM</v>
      </c>
      <c r="AG779" s="6">
        <f>IFERROR(__xludf.DUMMYFUNCTION("""COMPUTED_VALUE"""),46094.0)</f>
        <v>46094</v>
      </c>
      <c r="AH779" s="4"/>
      <c r="AI779" s="4"/>
    </row>
    <row r="780" ht="15.75" customHeight="1">
      <c r="A780" s="4" t="str">
        <f>IFERROR(__xludf.DUMMYFUNCTION("""COMPUTED_VALUE"""),"124cca73")</f>
        <v>124cca73</v>
      </c>
      <c r="B780" s="5">
        <f>IFERROR(__xludf.DUMMYFUNCTION("""COMPUTED_VALUE"""),46094.905543981484)</f>
        <v>46094.90554</v>
      </c>
      <c r="C780" s="4" t="str">
        <f>IFERROR(__xludf.DUMMYFUNCTION("""COMPUTED_VALUE"""),"-6.899166, 107.641264")</f>
        <v>-6.899166, 107.641264</v>
      </c>
      <c r="D780" s="4" t="str">
        <f>IFERROR(__xludf.DUMMYFUNCTION("""COMPUTED_VALUE"""),"Sandi angga")</f>
        <v>Sandi angga</v>
      </c>
      <c r="E780" s="4" t="str">
        <f>IFERROR(__xludf.DUMMYFUNCTION("""COMPUTED_VALUE"""),"BANDUNG")</f>
        <v>BANDUNG</v>
      </c>
      <c r="F780" s="4" t="str">
        <f>IFERROR(__xludf.DUMMYFUNCTION("""COMPUTED_VALUE"""),"BANDUNG TIMUR")</f>
        <v>BANDUNG TIMUR</v>
      </c>
      <c r="G780" s="4" t="str">
        <f>IFERROR(__xludf.DUMMYFUNCTION("""COMPUTED_VALUE"""),"KIARACONDONG")</f>
        <v>KIARACONDONG</v>
      </c>
      <c r="H780" s="4" t="str">
        <f>IFERROR(__xludf.DUMMYFUNCTION("""COMPUTED_VALUE"""),"KKH")</f>
        <v>KKH</v>
      </c>
      <c r="I780" s="4" t="str">
        <f>IFERROR(__xludf.DUMMYFUNCTION("""COMPUTED_VALUE"""),"RDW-KMY")</f>
        <v>RDW-KMY</v>
      </c>
      <c r="J780" s="4" t="str">
        <f>IFERROR(__xludf.DUMMYFUNCTION("""COMPUTED_VALUE"""),"ZONA 2")</f>
        <v>ZONA 2</v>
      </c>
      <c r="K780" s="4" t="str">
        <f>IFERROR(__xludf.DUMMYFUNCTION("""COMPUTED_VALUE"""),"096L02")</f>
        <v>096L02</v>
      </c>
      <c r="L780" s="4" t="str">
        <f>IFERROR(__xludf.DUMMYFUNCTION("""COMPUTED_VALUE"""),"TM - 4B/H (Afspan)")</f>
        <v>TM - 4B/H (Afspan)</v>
      </c>
      <c r="M780" s="4" t="str">
        <f>IFERROR(__xludf.DUMMYFUNCTION("""COMPUTED_VALUE"""),"Tidak Ada")</f>
        <v>Tidak Ada</v>
      </c>
      <c r="N780" s="4"/>
      <c r="O780" s="4" t="str">
        <f>IFERROR(__xludf.DUMMYFUNCTION("""COMPUTED_VALUE"""),"PEMBANDING SEJENIS")</f>
        <v>PEMBANDING SEJENIS</v>
      </c>
      <c r="P780" s="4" t="str">
        <f>IFERROR(__xludf.DUMMYFUNCTION("""COMPUTED_VALUE"""),"KONEKTOR/JUMPER")</f>
        <v>KONEKTOR/JUMPER</v>
      </c>
      <c r="Q780" s="4">
        <f>IFERROR(__xludf.DUMMYFUNCTION("""COMPUTED_VALUE"""),23.0)</f>
        <v>23</v>
      </c>
      <c r="R780" s="4">
        <f>IFERROR(__xludf.DUMMYFUNCTION("""COMPUTED_VALUE"""),22.0)</f>
        <v>22</v>
      </c>
      <c r="S780" s="4">
        <f>IFERROR(__xludf.DUMMYFUNCTION("""COMPUTED_VALUE"""),20.0)</f>
        <v>20</v>
      </c>
      <c r="T780" s="4"/>
      <c r="U780" s="4" t="str">
        <f>IFERROR(__xludf.DUMMYFUNCTION("""COMPUTED_VALUE"""),"CUKUP")</f>
        <v>CUKUP</v>
      </c>
      <c r="V780" s="4" t="str">
        <f>IFERROR(__xludf.DUMMYFUNCTION("""COMPUTED_VALUE"""),"Tidak Ada")</f>
        <v>Tidak Ada</v>
      </c>
      <c r="W780" s="4"/>
      <c r="X780" s="4"/>
      <c r="Y780" s="4"/>
      <c r="Z780" s="4"/>
      <c r="AA780" s="4"/>
      <c r="AB780" s="4"/>
      <c r="AC780" s="4" t="str">
        <f>IFERROR(__xludf.DUMMYFUNCTION("""COMPUTED_VALUE"""),"INSPEKSI SUTM - T2_Images/124cca73.FOTO.144458.jpg")</f>
        <v>INSPEKSI SUTM - T2_Images/124cca73.FOTO.144458.jpg</v>
      </c>
      <c r="AD780" s="4"/>
      <c r="AE780" s="4"/>
      <c r="AF780" s="4" t="str">
        <f>IFERROR(__xludf.DUMMYFUNCTION("""COMPUTED_VALUE"""),"BELUM")</f>
        <v>BELUM</v>
      </c>
      <c r="AG780" s="6">
        <f>IFERROR(__xludf.DUMMYFUNCTION("""COMPUTED_VALUE"""),46094.0)</f>
        <v>46094</v>
      </c>
      <c r="AH780" s="4"/>
      <c r="AI780" s="4"/>
    </row>
    <row r="781" ht="15.75" customHeight="1">
      <c r="A781" s="4" t="str">
        <f>IFERROR(__xludf.DUMMYFUNCTION("""COMPUTED_VALUE"""),"f7da0f58")</f>
        <v>f7da0f58</v>
      </c>
      <c r="B781" s="5">
        <f>IFERROR(__xludf.DUMMYFUNCTION("""COMPUTED_VALUE"""),46094.906435185185)</f>
        <v>46094.90644</v>
      </c>
      <c r="C781" s="4" t="str">
        <f>IFERROR(__xludf.DUMMYFUNCTION("""COMPUTED_VALUE"""),"-6.899166, 107.641264")</f>
        <v>-6.899166, 107.641264</v>
      </c>
      <c r="D781" s="4" t="str">
        <f>IFERROR(__xludf.DUMMYFUNCTION("""COMPUTED_VALUE"""),"Sandi angga")</f>
        <v>Sandi angga</v>
      </c>
      <c r="E781" s="4" t="str">
        <f>IFERROR(__xludf.DUMMYFUNCTION("""COMPUTED_VALUE"""),"BANDUNG")</f>
        <v>BANDUNG</v>
      </c>
      <c r="F781" s="4" t="str">
        <f>IFERROR(__xludf.DUMMYFUNCTION("""COMPUTED_VALUE"""),"BANDUNG TIMUR")</f>
        <v>BANDUNG TIMUR</v>
      </c>
      <c r="G781" s="4" t="str">
        <f>IFERROR(__xludf.DUMMYFUNCTION("""COMPUTED_VALUE"""),"KIARACONDONG")</f>
        <v>KIARACONDONG</v>
      </c>
      <c r="H781" s="4" t="str">
        <f>IFERROR(__xludf.DUMMYFUNCTION("""COMPUTED_VALUE"""),"KKH")</f>
        <v>KKH</v>
      </c>
      <c r="I781" s="4" t="str">
        <f>IFERROR(__xludf.DUMMYFUNCTION("""COMPUTED_VALUE"""),"RDW-KMY")</f>
        <v>RDW-KMY</v>
      </c>
      <c r="J781" s="4" t="str">
        <f>IFERROR(__xludf.DUMMYFUNCTION("""COMPUTED_VALUE"""),"ZONA 2")</f>
        <v>ZONA 2</v>
      </c>
      <c r="K781" s="4" t="str">
        <f>IFERROR(__xludf.DUMMYFUNCTION("""COMPUTED_VALUE"""),"099")</f>
        <v>099</v>
      </c>
      <c r="L781" s="4" t="str">
        <f>IFERROR(__xludf.DUMMYFUNCTION("""COMPUTED_VALUE"""),"TM - 14B/H (Akhir)")</f>
        <v>TM - 14B/H (Akhir)</v>
      </c>
      <c r="M781" s="4" t="str">
        <f>IFERROR(__xludf.DUMMYFUNCTION("""COMPUTED_VALUE"""),"Tidak Ada")</f>
        <v>Tidak Ada</v>
      </c>
      <c r="N781" s="4"/>
      <c r="O781" s="4" t="str">
        <f>IFERROR(__xludf.DUMMYFUNCTION("""COMPUTED_VALUE"""),"PEMBANDING SEJENIS")</f>
        <v>PEMBANDING SEJENIS</v>
      </c>
      <c r="P781" s="4" t="str">
        <f>IFERROR(__xludf.DUMMYFUNCTION("""COMPUTED_VALUE"""),"TERMINASI")</f>
        <v>TERMINASI</v>
      </c>
      <c r="Q781" s="4">
        <f>IFERROR(__xludf.DUMMYFUNCTION("""COMPUTED_VALUE"""),24.0)</f>
        <v>24</v>
      </c>
      <c r="R781" s="4">
        <f>IFERROR(__xludf.DUMMYFUNCTION("""COMPUTED_VALUE"""),24.0)</f>
        <v>24</v>
      </c>
      <c r="S781" s="4">
        <f>IFERROR(__xludf.DUMMYFUNCTION("""COMPUTED_VALUE"""),24.0)</f>
        <v>24</v>
      </c>
      <c r="T781" s="4"/>
      <c r="U781" s="4" t="str">
        <f>IFERROR(__xludf.DUMMYFUNCTION("""COMPUTED_VALUE"""),"BAIK")</f>
        <v>BAIK</v>
      </c>
      <c r="V781" s="4" t="str">
        <f>IFERROR(__xludf.DUMMYFUNCTION("""COMPUTED_VALUE"""),"Tidak Ada")</f>
        <v>Tidak Ada</v>
      </c>
      <c r="W781" s="4"/>
      <c r="X781" s="4"/>
      <c r="Y781" s="4"/>
      <c r="Z781" s="4"/>
      <c r="AA781" s="4"/>
      <c r="AB781" s="4"/>
      <c r="AC781" s="4" t="str">
        <f>IFERROR(__xludf.DUMMYFUNCTION("""COMPUTED_VALUE"""),"INSPEKSI SUTM - T2_Images/f7da0f58.FOTO.144603.jpg")</f>
        <v>INSPEKSI SUTM - T2_Images/f7da0f58.FOTO.144603.jpg</v>
      </c>
      <c r="AD781" s="4"/>
      <c r="AE781" s="4"/>
      <c r="AF781" s="4" t="str">
        <f>IFERROR(__xludf.DUMMYFUNCTION("""COMPUTED_VALUE"""),"BELUM")</f>
        <v>BELUM</v>
      </c>
      <c r="AG781" s="6">
        <f>IFERROR(__xludf.DUMMYFUNCTION("""COMPUTED_VALUE"""),46094.0)</f>
        <v>46094</v>
      </c>
      <c r="AH781" s="4"/>
      <c r="AI781" s="4"/>
    </row>
    <row r="782" ht="15.75" customHeight="1">
      <c r="A782" s="4" t="str">
        <f>IFERROR(__xludf.DUMMYFUNCTION("""COMPUTED_VALUE"""),"fc5cbf52")</f>
        <v>fc5cbf52</v>
      </c>
      <c r="B782" s="5">
        <f>IFERROR(__xludf.DUMMYFUNCTION("""COMPUTED_VALUE"""),46094.90707175926)</f>
        <v>46094.90707</v>
      </c>
      <c r="C782" s="4" t="str">
        <f>IFERROR(__xludf.DUMMYFUNCTION("""COMPUTED_VALUE"""),"-6.899145, 107.641247")</f>
        <v>-6.899145, 107.641247</v>
      </c>
      <c r="D782" s="4" t="str">
        <f>IFERROR(__xludf.DUMMYFUNCTION("""COMPUTED_VALUE"""),"Sandi angga")</f>
        <v>Sandi angga</v>
      </c>
      <c r="E782" s="4" t="str">
        <f>IFERROR(__xludf.DUMMYFUNCTION("""COMPUTED_VALUE"""),"BANDUNG")</f>
        <v>BANDUNG</v>
      </c>
      <c r="F782" s="4" t="str">
        <f>IFERROR(__xludf.DUMMYFUNCTION("""COMPUTED_VALUE"""),"BANDUNG TIMUR")</f>
        <v>BANDUNG TIMUR</v>
      </c>
      <c r="G782" s="4" t="str">
        <f>IFERROR(__xludf.DUMMYFUNCTION("""COMPUTED_VALUE"""),"KIARACONDONG")</f>
        <v>KIARACONDONG</v>
      </c>
      <c r="H782" s="4" t="str">
        <f>IFERROR(__xludf.DUMMYFUNCTION("""COMPUTED_VALUE"""),"KKH")</f>
        <v>KKH</v>
      </c>
      <c r="I782" s="4" t="str">
        <f>IFERROR(__xludf.DUMMYFUNCTION("""COMPUTED_VALUE"""),"RDW-KMY")</f>
        <v>RDW-KMY</v>
      </c>
      <c r="J782" s="4" t="str">
        <f>IFERROR(__xludf.DUMMYFUNCTION("""COMPUTED_VALUE"""),"ZONA 2")</f>
        <v>ZONA 2</v>
      </c>
      <c r="K782" s="4" t="str">
        <f>IFERROR(__xludf.DUMMYFUNCTION("""COMPUTED_VALUE"""),"100")</f>
        <v>100</v>
      </c>
      <c r="L782" s="4" t="str">
        <f>IFERROR(__xludf.DUMMYFUNCTION("""COMPUTED_VALUE"""),"TM - 11B/H (Kabel Naik)")</f>
        <v>TM - 11B/H (Kabel Naik)</v>
      </c>
      <c r="M782" s="4" t="str">
        <f>IFERROR(__xludf.DUMMYFUNCTION("""COMPUTED_VALUE"""),"Tidak Ada")</f>
        <v>Tidak Ada</v>
      </c>
      <c r="N782" s="4"/>
      <c r="O782" s="4" t="str">
        <f>IFERROR(__xludf.DUMMYFUNCTION("""COMPUTED_VALUE"""),"PEMBANDING SEJENIS")</f>
        <v>PEMBANDING SEJENIS</v>
      </c>
      <c r="P782" s="4" t="str">
        <f>IFERROR(__xludf.DUMMYFUNCTION("""COMPUTED_VALUE"""),"TERMINASI")</f>
        <v>TERMINASI</v>
      </c>
      <c r="Q782" s="4">
        <f>IFERROR(__xludf.DUMMYFUNCTION("""COMPUTED_VALUE"""),23.0)</f>
        <v>23</v>
      </c>
      <c r="R782" s="4">
        <f>IFERROR(__xludf.DUMMYFUNCTION("""COMPUTED_VALUE"""),22.0)</f>
        <v>22</v>
      </c>
      <c r="S782" s="4">
        <f>IFERROR(__xludf.DUMMYFUNCTION("""COMPUTED_VALUE"""),24.0)</f>
        <v>24</v>
      </c>
      <c r="T782" s="4"/>
      <c r="U782" s="4" t="str">
        <f>IFERROR(__xludf.DUMMYFUNCTION("""COMPUTED_VALUE"""),"BAIK")</f>
        <v>BAIK</v>
      </c>
      <c r="V782" s="4" t="str">
        <f>IFERROR(__xludf.DUMMYFUNCTION("""COMPUTED_VALUE"""),"Tidak Ada")</f>
        <v>Tidak Ada</v>
      </c>
      <c r="W782" s="4"/>
      <c r="X782" s="4"/>
      <c r="Y782" s="4"/>
      <c r="Z782" s="4"/>
      <c r="AA782" s="4"/>
      <c r="AB782" s="4"/>
      <c r="AC782" s="4" t="str">
        <f>IFERROR(__xludf.DUMMYFUNCTION("""COMPUTED_VALUE"""),"INSPEKSI SUTM - T2_Images/fc5cbf52.FOTO.144708.jpg")</f>
        <v>INSPEKSI SUTM - T2_Images/fc5cbf52.FOTO.144708.jpg</v>
      </c>
      <c r="AD782" s="4"/>
      <c r="AE782" s="4"/>
      <c r="AF782" s="4" t="str">
        <f>IFERROR(__xludf.DUMMYFUNCTION("""COMPUTED_VALUE"""),"BELUM")</f>
        <v>BELUM</v>
      </c>
      <c r="AG782" s="6">
        <f>IFERROR(__xludf.DUMMYFUNCTION("""COMPUTED_VALUE"""),46094.0)</f>
        <v>46094</v>
      </c>
      <c r="AH782" s="4"/>
      <c r="AI782" s="4"/>
    </row>
    <row r="783" ht="15.75" customHeight="1">
      <c r="A783" s="4" t="str">
        <f>IFERROR(__xludf.DUMMYFUNCTION("""COMPUTED_VALUE"""),"5e7e6a1f")</f>
        <v>5e7e6a1f</v>
      </c>
      <c r="B783" s="5">
        <f>IFERROR(__xludf.DUMMYFUNCTION("""COMPUTED_VALUE"""),46094.90782407407)</f>
        <v>46094.90782</v>
      </c>
      <c r="C783" s="4" t="str">
        <f>IFERROR(__xludf.DUMMYFUNCTION("""COMPUTED_VALUE"""),"-6.899145, 107.641247")</f>
        <v>-6.899145, 107.641247</v>
      </c>
      <c r="D783" s="4" t="str">
        <f>IFERROR(__xludf.DUMMYFUNCTION("""COMPUTED_VALUE"""),"Sandi angga")</f>
        <v>Sandi angga</v>
      </c>
      <c r="E783" s="4" t="str">
        <f>IFERROR(__xludf.DUMMYFUNCTION("""COMPUTED_VALUE"""),"BANDUNG")</f>
        <v>BANDUNG</v>
      </c>
      <c r="F783" s="4" t="str">
        <f>IFERROR(__xludf.DUMMYFUNCTION("""COMPUTED_VALUE"""),"BANDUNG TIMUR")</f>
        <v>BANDUNG TIMUR</v>
      </c>
      <c r="G783" s="4" t="str">
        <f>IFERROR(__xludf.DUMMYFUNCTION("""COMPUTED_VALUE"""),"KIARACONDONG")</f>
        <v>KIARACONDONG</v>
      </c>
      <c r="H783" s="4" t="str">
        <f>IFERROR(__xludf.DUMMYFUNCTION("""COMPUTED_VALUE"""),"KKH")</f>
        <v>KKH</v>
      </c>
      <c r="I783" s="4" t="str">
        <f>IFERROR(__xludf.DUMMYFUNCTION("""COMPUTED_VALUE"""),"RDW-KMY")</f>
        <v>RDW-KMY</v>
      </c>
      <c r="J783" s="4" t="str">
        <f>IFERROR(__xludf.DUMMYFUNCTION("""COMPUTED_VALUE"""),"ZONA 2")</f>
        <v>ZONA 2</v>
      </c>
      <c r="K783" s="4" t="str">
        <f>IFERROR(__xludf.DUMMYFUNCTION("""COMPUTED_VALUE"""),"101")</f>
        <v>101</v>
      </c>
      <c r="L783" s="4" t="str">
        <f>IFERROR(__xludf.DUMMYFUNCTION("""COMPUTED_VALUE"""),"TM - 8B/H (Percabangan)")</f>
        <v>TM - 8B/H (Percabangan)</v>
      </c>
      <c r="M783" s="4" t="str">
        <f>IFERROR(__xludf.DUMMYFUNCTION("""COMPUTED_VALUE"""),"Tidak Ada")</f>
        <v>Tidak Ada</v>
      </c>
      <c r="N783" s="4"/>
      <c r="O783" s="4" t="str">
        <f>IFERROR(__xludf.DUMMYFUNCTION("""COMPUTED_VALUE"""),"PEMBANDING SEJENIS")</f>
        <v>PEMBANDING SEJENIS</v>
      </c>
      <c r="P783" s="4" t="str">
        <f>IFERROR(__xludf.DUMMYFUNCTION("""COMPUTED_VALUE"""),"KONEKTOR/JUMPER")</f>
        <v>KONEKTOR/JUMPER</v>
      </c>
      <c r="Q783" s="4">
        <f>IFERROR(__xludf.DUMMYFUNCTION("""COMPUTED_VALUE"""),20.0)</f>
        <v>20</v>
      </c>
      <c r="R783" s="4">
        <f>IFERROR(__xludf.DUMMYFUNCTION("""COMPUTED_VALUE"""),22.0)</f>
        <v>22</v>
      </c>
      <c r="S783" s="4">
        <f>IFERROR(__xludf.DUMMYFUNCTION("""COMPUTED_VALUE"""),22.0)</f>
        <v>22</v>
      </c>
      <c r="T783" s="4"/>
      <c r="U783" s="4" t="str">
        <f>IFERROR(__xludf.DUMMYFUNCTION("""COMPUTED_VALUE"""),"BAIK")</f>
        <v>BAIK</v>
      </c>
      <c r="V783" s="4" t="str">
        <f>IFERROR(__xludf.DUMMYFUNCTION("""COMPUTED_VALUE"""),"Tidak Ada")</f>
        <v>Tidak Ada</v>
      </c>
      <c r="W783" s="4"/>
      <c r="X783" s="4"/>
      <c r="Y783" s="4"/>
      <c r="Z783" s="4"/>
      <c r="AA783" s="4"/>
      <c r="AB783" s="4"/>
      <c r="AC783" s="4" t="str">
        <f>IFERROR(__xludf.DUMMYFUNCTION("""COMPUTED_VALUE"""),"INSPEKSI SUTM - T2_Images/5e7e6a1f.FOTO.144808.jpg")</f>
        <v>INSPEKSI SUTM - T2_Images/5e7e6a1f.FOTO.144808.jpg</v>
      </c>
      <c r="AD783" s="4"/>
      <c r="AE783" s="4"/>
      <c r="AF783" s="4" t="str">
        <f>IFERROR(__xludf.DUMMYFUNCTION("""COMPUTED_VALUE"""),"BELUM")</f>
        <v>BELUM</v>
      </c>
      <c r="AG783" s="6">
        <f>IFERROR(__xludf.DUMMYFUNCTION("""COMPUTED_VALUE"""),46094.0)</f>
        <v>46094</v>
      </c>
      <c r="AH783" s="4"/>
      <c r="AI783" s="4"/>
    </row>
    <row r="784" ht="15.75" customHeight="1">
      <c r="A784" s="4" t="str">
        <f>IFERROR(__xludf.DUMMYFUNCTION("""COMPUTED_VALUE"""),"d92c8c0e")</f>
        <v>d92c8c0e</v>
      </c>
      <c r="B784" s="5">
        <f>IFERROR(__xludf.DUMMYFUNCTION("""COMPUTED_VALUE"""),46094.90850694444)</f>
        <v>46094.90851</v>
      </c>
      <c r="C784" s="4" t="str">
        <f>IFERROR(__xludf.DUMMYFUNCTION("""COMPUTED_VALUE"""),"-6.899189, 107.641229")</f>
        <v>-6.899189, 107.641229</v>
      </c>
      <c r="D784" s="4" t="str">
        <f>IFERROR(__xludf.DUMMYFUNCTION("""COMPUTED_VALUE"""),"Sandi angga")</f>
        <v>Sandi angga</v>
      </c>
      <c r="E784" s="4" t="str">
        <f>IFERROR(__xludf.DUMMYFUNCTION("""COMPUTED_VALUE"""),"BANDUNG")</f>
        <v>BANDUNG</v>
      </c>
      <c r="F784" s="4" t="str">
        <f>IFERROR(__xludf.DUMMYFUNCTION("""COMPUTED_VALUE"""),"BANDUNG TIMUR")</f>
        <v>BANDUNG TIMUR</v>
      </c>
      <c r="G784" s="4" t="str">
        <f>IFERROR(__xludf.DUMMYFUNCTION("""COMPUTED_VALUE"""),"KIARACONDONG")</f>
        <v>KIARACONDONG</v>
      </c>
      <c r="H784" s="4" t="str">
        <f>IFERROR(__xludf.DUMMYFUNCTION("""COMPUTED_VALUE"""),"KKH")</f>
        <v>KKH</v>
      </c>
      <c r="I784" s="4" t="str">
        <f>IFERROR(__xludf.DUMMYFUNCTION("""COMPUTED_VALUE"""),"RDW-KMY")</f>
        <v>RDW-KMY</v>
      </c>
      <c r="J784" s="4" t="str">
        <f>IFERROR(__xludf.DUMMYFUNCTION("""COMPUTED_VALUE"""),"ZONA 2")</f>
        <v>ZONA 2</v>
      </c>
      <c r="K784" s="4" t="str">
        <f>IFERROR(__xludf.DUMMYFUNCTION("""COMPUTED_VALUE"""),"103")</f>
        <v>103</v>
      </c>
      <c r="L784" s="4" t="str">
        <f>IFERROR(__xludf.DUMMYFUNCTION("""COMPUTED_VALUE"""),"TM - 8BC/HC (Percabangan dengan CO)")</f>
        <v>TM - 8BC/HC (Percabangan dengan CO)</v>
      </c>
      <c r="M784" s="4" t="str">
        <f>IFERROR(__xludf.DUMMYFUNCTION("""COMPUTED_VALUE"""),"FCO")</f>
        <v>FCO</v>
      </c>
      <c r="N784" s="4" t="str">
        <f>IFERROR(__xludf.DUMMYFUNCTION("""COMPUTED_VALUE"""),"Fco aftak KMY")</f>
        <v>Fco aftak KMY</v>
      </c>
      <c r="O784" s="4" t="str">
        <f>IFERROR(__xludf.DUMMYFUNCTION("""COMPUTED_VALUE"""),"PEMBANDING SEJENIS")</f>
        <v>PEMBANDING SEJENIS</v>
      </c>
      <c r="P784" s="4" t="str">
        <f>IFERROR(__xludf.DUMMYFUNCTION("""COMPUTED_VALUE"""),"FCO")</f>
        <v>FCO</v>
      </c>
      <c r="Q784" s="4">
        <f>IFERROR(__xludf.DUMMYFUNCTION("""COMPUTED_VALUE"""),26.0)</f>
        <v>26</v>
      </c>
      <c r="R784" s="4">
        <f>IFERROR(__xludf.DUMMYFUNCTION("""COMPUTED_VALUE"""),25.0)</f>
        <v>25</v>
      </c>
      <c r="S784" s="4">
        <f>IFERROR(__xludf.DUMMYFUNCTION("""COMPUTED_VALUE"""),25.0)</f>
        <v>25</v>
      </c>
      <c r="T784" s="4"/>
      <c r="U784" s="4" t="str">
        <f>IFERROR(__xludf.DUMMYFUNCTION("""COMPUTED_VALUE"""),"BAIK")</f>
        <v>BAIK</v>
      </c>
      <c r="V784" s="4" t="str">
        <f>IFERROR(__xludf.DUMMYFUNCTION("""COMPUTED_VALUE"""),"Tidak Ada")</f>
        <v>Tidak Ada</v>
      </c>
      <c r="W784" s="4"/>
      <c r="X784" s="4"/>
      <c r="Y784" s="4"/>
      <c r="Z784" s="4"/>
      <c r="AA784" s="4"/>
      <c r="AB784" s="4"/>
      <c r="AC784" s="4" t="str">
        <f>IFERROR(__xludf.DUMMYFUNCTION("""COMPUTED_VALUE"""),"INSPEKSI SUTM - T2_Images/d92c8c0e.FOTO.144928.jpg")</f>
        <v>INSPEKSI SUTM - T2_Images/d92c8c0e.FOTO.144928.jpg</v>
      </c>
      <c r="AD784" s="4"/>
      <c r="AE784" s="4"/>
      <c r="AF784" s="4" t="str">
        <f>IFERROR(__xludf.DUMMYFUNCTION("""COMPUTED_VALUE"""),"BELUM")</f>
        <v>BELUM</v>
      </c>
      <c r="AG784" s="6">
        <f>IFERROR(__xludf.DUMMYFUNCTION("""COMPUTED_VALUE"""),46094.0)</f>
        <v>46094</v>
      </c>
      <c r="AH784" s="4"/>
      <c r="AI784" s="4"/>
    </row>
    <row r="785" ht="15.75" customHeight="1">
      <c r="A785" s="4" t="str">
        <f>IFERROR(__xludf.DUMMYFUNCTION("""COMPUTED_VALUE"""),"f61b331f")</f>
        <v>f61b331f</v>
      </c>
      <c r="B785" s="5">
        <f>IFERROR(__xludf.DUMMYFUNCTION("""COMPUTED_VALUE"""),46094.90944444444)</f>
        <v>46094.90944</v>
      </c>
      <c r="C785" s="4" t="str">
        <f>IFERROR(__xludf.DUMMYFUNCTION("""COMPUTED_VALUE"""),"-6.899054, 107.641229")</f>
        <v>-6.899054, 107.641229</v>
      </c>
      <c r="D785" s="4" t="str">
        <f>IFERROR(__xludf.DUMMYFUNCTION("""COMPUTED_VALUE"""),"Sandi angga")</f>
        <v>Sandi angga</v>
      </c>
      <c r="E785" s="4" t="str">
        <f>IFERROR(__xludf.DUMMYFUNCTION("""COMPUTED_VALUE"""),"BANDUNG")</f>
        <v>BANDUNG</v>
      </c>
      <c r="F785" s="4" t="str">
        <f>IFERROR(__xludf.DUMMYFUNCTION("""COMPUTED_VALUE"""),"BANDUNG TIMUR")</f>
        <v>BANDUNG TIMUR</v>
      </c>
      <c r="G785" s="4" t="str">
        <f>IFERROR(__xludf.DUMMYFUNCTION("""COMPUTED_VALUE"""),"KIARACONDONG")</f>
        <v>KIARACONDONG</v>
      </c>
      <c r="H785" s="4" t="str">
        <f>IFERROR(__xludf.DUMMYFUNCTION("""COMPUTED_VALUE"""),"KKH")</f>
        <v>KKH</v>
      </c>
      <c r="I785" s="4" t="str">
        <f>IFERROR(__xludf.DUMMYFUNCTION("""COMPUTED_VALUE"""),"RDW-KMY")</f>
        <v>RDW-KMY</v>
      </c>
      <c r="J785" s="4" t="str">
        <f>IFERROR(__xludf.DUMMYFUNCTION("""COMPUTED_VALUE"""),"ZONA 2")</f>
        <v>ZONA 2</v>
      </c>
      <c r="K785" s="4" t="str">
        <f>IFERROR(__xludf.DUMMYFUNCTION("""COMPUTED_VALUE"""),"106")</f>
        <v>106</v>
      </c>
      <c r="L785" s="4" t="str">
        <f>IFERROR(__xludf.DUMMYFUNCTION("""COMPUTED_VALUE"""),"TM - 1B/H (Tumpu)")</f>
        <v>TM - 1B/H (Tumpu)</v>
      </c>
      <c r="M785" s="4" t="str">
        <f>IFERROR(__xludf.DUMMYFUNCTION("""COMPUTED_VALUE"""),"Tidak Ada")</f>
        <v>Tidak Ada</v>
      </c>
      <c r="N785" s="4"/>
      <c r="O785" s="4" t="str">
        <f>IFERROR(__xludf.DUMMYFUNCTION("""COMPUTED_VALUE"""),"PEMBANDING SEJENIS")</f>
        <v>PEMBANDING SEJENIS</v>
      </c>
      <c r="P785" s="4" t="str">
        <f>IFERROR(__xludf.DUMMYFUNCTION("""COMPUTED_VALUE"""),"ARRESTER")</f>
        <v>ARRESTER</v>
      </c>
      <c r="Q785" s="4">
        <f>IFERROR(__xludf.DUMMYFUNCTION("""COMPUTED_VALUE"""),24.0)</f>
        <v>24</v>
      </c>
      <c r="R785" s="4">
        <f>IFERROR(__xludf.DUMMYFUNCTION("""COMPUTED_VALUE"""),24.0)</f>
        <v>24</v>
      </c>
      <c r="S785" s="4">
        <f>IFERROR(__xludf.DUMMYFUNCTION("""COMPUTED_VALUE"""),24.0)</f>
        <v>24</v>
      </c>
      <c r="T785" s="4"/>
      <c r="U785" s="4" t="str">
        <f>IFERROR(__xludf.DUMMYFUNCTION("""COMPUTED_VALUE"""),"BAIK")</f>
        <v>BAIK</v>
      </c>
      <c r="V785" s="4" t="str">
        <f>IFERROR(__xludf.DUMMYFUNCTION("""COMPUTED_VALUE"""),"Tidak Ada")</f>
        <v>Tidak Ada</v>
      </c>
      <c r="W785" s="4"/>
      <c r="X785" s="4"/>
      <c r="Y785" s="4"/>
      <c r="Z785" s="4"/>
      <c r="AA785" s="4"/>
      <c r="AB785" s="4"/>
      <c r="AC785" s="4" t="str">
        <f>IFERROR(__xludf.DUMMYFUNCTION("""COMPUTED_VALUE"""),"INSPEKSI SUTM - T2_Images/f61b331f.FOTO.145033.jpg")</f>
        <v>INSPEKSI SUTM - T2_Images/f61b331f.FOTO.145033.jpg</v>
      </c>
      <c r="AD785" s="4"/>
      <c r="AE785" s="4"/>
      <c r="AF785" s="4" t="str">
        <f>IFERROR(__xludf.DUMMYFUNCTION("""COMPUTED_VALUE"""),"BELUM")</f>
        <v>BELUM</v>
      </c>
      <c r="AG785" s="6">
        <f>IFERROR(__xludf.DUMMYFUNCTION("""COMPUTED_VALUE"""),46094.0)</f>
        <v>46094</v>
      </c>
      <c r="AH785" s="4"/>
      <c r="AI785" s="4"/>
    </row>
    <row r="786" ht="15.75" customHeight="1">
      <c r="A786" s="4" t="str">
        <f>IFERROR(__xludf.DUMMYFUNCTION("""COMPUTED_VALUE"""),"09a7f9d2")</f>
        <v>09a7f9d2</v>
      </c>
      <c r="B786" s="5">
        <f>IFERROR(__xludf.DUMMYFUNCTION("""COMPUTED_VALUE"""),46094.91013888889)</f>
        <v>46094.91014</v>
      </c>
      <c r="C786" s="4" t="str">
        <f>IFERROR(__xludf.DUMMYFUNCTION("""COMPUTED_VALUE"""),"-6.899115, 107.641217")</f>
        <v>-6.899115, 107.641217</v>
      </c>
      <c r="D786" s="4" t="str">
        <f>IFERROR(__xludf.DUMMYFUNCTION("""COMPUTED_VALUE"""),"Sandi angga")</f>
        <v>Sandi angga</v>
      </c>
      <c r="E786" s="4" t="str">
        <f>IFERROR(__xludf.DUMMYFUNCTION("""COMPUTED_VALUE"""),"BANDUNG")</f>
        <v>BANDUNG</v>
      </c>
      <c r="F786" s="4" t="str">
        <f>IFERROR(__xludf.DUMMYFUNCTION("""COMPUTED_VALUE"""),"BANDUNG TIMUR")</f>
        <v>BANDUNG TIMUR</v>
      </c>
      <c r="G786" s="4" t="str">
        <f>IFERROR(__xludf.DUMMYFUNCTION("""COMPUTED_VALUE"""),"KIARACONDONG")</f>
        <v>KIARACONDONG</v>
      </c>
      <c r="H786" s="4" t="str">
        <f>IFERROR(__xludf.DUMMYFUNCTION("""COMPUTED_VALUE"""),"KKH")</f>
        <v>KKH</v>
      </c>
      <c r="I786" s="4" t="str">
        <f>IFERROR(__xludf.DUMMYFUNCTION("""COMPUTED_VALUE"""),"RDW-KMY")</f>
        <v>RDW-KMY</v>
      </c>
      <c r="J786" s="4" t="str">
        <f>IFERROR(__xludf.DUMMYFUNCTION("""COMPUTED_VALUE"""),"ZONA 2")</f>
        <v>ZONA 2</v>
      </c>
      <c r="K786" s="4" t="str">
        <f>IFERROR(__xludf.DUMMYFUNCTION("""COMPUTED_VALUE"""),"113")</f>
        <v>113</v>
      </c>
      <c r="L786" s="4" t="str">
        <f>IFERROR(__xludf.DUMMYFUNCTION("""COMPUTED_VALUE"""),"TM - 4B/H (Afspan)")</f>
        <v>TM - 4B/H (Afspan)</v>
      </c>
      <c r="M786" s="4" t="str">
        <f>IFERROR(__xludf.DUMMYFUNCTION("""COMPUTED_VALUE"""),"Tidak Ada")</f>
        <v>Tidak Ada</v>
      </c>
      <c r="N786" s="4"/>
      <c r="O786" s="4" t="str">
        <f>IFERROR(__xludf.DUMMYFUNCTION("""COMPUTED_VALUE"""),"PEMBANDING SEJENIS")</f>
        <v>PEMBANDING SEJENIS</v>
      </c>
      <c r="P786" s="4" t="str">
        <f>IFERROR(__xludf.DUMMYFUNCTION("""COMPUTED_VALUE"""),"KONEKTOR/JUMPER")</f>
        <v>KONEKTOR/JUMPER</v>
      </c>
      <c r="Q786" s="4">
        <f>IFERROR(__xludf.DUMMYFUNCTION("""COMPUTED_VALUE"""),24.0)</f>
        <v>24</v>
      </c>
      <c r="R786" s="4">
        <f>IFERROR(__xludf.DUMMYFUNCTION("""COMPUTED_VALUE"""),24.0)</f>
        <v>24</v>
      </c>
      <c r="S786" s="4">
        <f>IFERROR(__xludf.DUMMYFUNCTION("""COMPUTED_VALUE"""),24.0)</f>
        <v>24</v>
      </c>
      <c r="T786" s="4"/>
      <c r="U786" s="4" t="str">
        <f>IFERROR(__xludf.DUMMYFUNCTION("""COMPUTED_VALUE"""),"BAIK")</f>
        <v>BAIK</v>
      </c>
      <c r="V786" s="4" t="str">
        <f>IFERROR(__xludf.DUMMYFUNCTION("""COMPUTED_VALUE"""),"Tidak Ada")</f>
        <v>Tidak Ada</v>
      </c>
      <c r="W786" s="4"/>
      <c r="X786" s="4"/>
      <c r="Y786" s="4"/>
      <c r="Z786" s="4"/>
      <c r="AA786" s="4"/>
      <c r="AB786" s="4"/>
      <c r="AC786" s="4" t="str">
        <f>IFERROR(__xludf.DUMMYFUNCTION("""COMPUTED_VALUE"""),"INSPEKSI SUTM - T2_Images/09a7f9d2.FOTO.145132.jpg")</f>
        <v>INSPEKSI SUTM - T2_Images/09a7f9d2.FOTO.145132.jpg</v>
      </c>
      <c r="AD786" s="4"/>
      <c r="AE786" s="4"/>
      <c r="AF786" s="4" t="str">
        <f>IFERROR(__xludf.DUMMYFUNCTION("""COMPUTED_VALUE"""),"BELUM")</f>
        <v>BELUM</v>
      </c>
      <c r="AG786" s="6">
        <f>IFERROR(__xludf.DUMMYFUNCTION("""COMPUTED_VALUE"""),46094.0)</f>
        <v>46094</v>
      </c>
      <c r="AH786" s="4"/>
      <c r="AI786" s="4"/>
    </row>
    <row r="787" ht="15.75" customHeight="1">
      <c r="A787" s="4" t="str">
        <f>IFERROR(__xludf.DUMMYFUNCTION("""COMPUTED_VALUE"""),"ab3d7a55")</f>
        <v>ab3d7a55</v>
      </c>
      <c r="B787" s="5">
        <f>IFERROR(__xludf.DUMMYFUNCTION("""COMPUTED_VALUE"""),46094.910949074074)</f>
        <v>46094.91095</v>
      </c>
      <c r="C787" s="4" t="str">
        <f>IFERROR(__xludf.DUMMYFUNCTION("""COMPUTED_VALUE"""),"-6.899182, 107.641280")</f>
        <v>-6.899182, 107.641280</v>
      </c>
      <c r="D787" s="4" t="str">
        <f>IFERROR(__xludf.DUMMYFUNCTION("""COMPUTED_VALUE"""),"Sandi angga")</f>
        <v>Sandi angga</v>
      </c>
      <c r="E787" s="4" t="str">
        <f>IFERROR(__xludf.DUMMYFUNCTION("""COMPUTED_VALUE"""),"BANDUNG")</f>
        <v>BANDUNG</v>
      </c>
      <c r="F787" s="4" t="str">
        <f>IFERROR(__xludf.DUMMYFUNCTION("""COMPUTED_VALUE"""),"BANDUNG TIMUR")</f>
        <v>BANDUNG TIMUR</v>
      </c>
      <c r="G787" s="4" t="str">
        <f>IFERROR(__xludf.DUMMYFUNCTION("""COMPUTED_VALUE"""),"KIARACONDONG")</f>
        <v>KIARACONDONG</v>
      </c>
      <c r="H787" s="4" t="str">
        <f>IFERROR(__xludf.DUMMYFUNCTION("""COMPUTED_VALUE"""),"KKH")</f>
        <v>KKH</v>
      </c>
      <c r="I787" s="4" t="str">
        <f>IFERROR(__xludf.DUMMYFUNCTION("""COMPUTED_VALUE"""),"RDW-KMY")</f>
        <v>RDW-KMY</v>
      </c>
      <c r="J787" s="4" t="str">
        <f>IFERROR(__xludf.DUMMYFUNCTION("""COMPUTED_VALUE"""),"ZONA 2")</f>
        <v>ZONA 2</v>
      </c>
      <c r="K787" s="4" t="str">
        <f>IFERROR(__xludf.DUMMYFUNCTION("""COMPUTED_VALUE"""),"116")</f>
        <v>116</v>
      </c>
      <c r="L787" s="4" t="str">
        <f>IFERROR(__xludf.DUMMYFUNCTION("""COMPUTED_VALUE"""),"TM - 1B/H (Tumpu)")</f>
        <v>TM - 1B/H (Tumpu)</v>
      </c>
      <c r="M787" s="4" t="str">
        <f>IFERROR(__xludf.DUMMYFUNCTION("""COMPUTED_VALUE"""),"Tidak Ada")</f>
        <v>Tidak Ada</v>
      </c>
      <c r="N787" s="4"/>
      <c r="O787" s="4" t="str">
        <f>IFERROR(__xludf.DUMMYFUNCTION("""COMPUTED_VALUE"""),"PEMBANDING SEJENIS")</f>
        <v>PEMBANDING SEJENIS</v>
      </c>
      <c r="P787" s="4" t="str">
        <f>IFERROR(__xludf.DUMMYFUNCTION("""COMPUTED_VALUE"""),"ARRESTER")</f>
        <v>ARRESTER</v>
      </c>
      <c r="Q787" s="4">
        <f>IFERROR(__xludf.DUMMYFUNCTION("""COMPUTED_VALUE"""),23.0)</f>
        <v>23</v>
      </c>
      <c r="R787" s="4">
        <f>IFERROR(__xludf.DUMMYFUNCTION("""COMPUTED_VALUE"""),23.0)</f>
        <v>23</v>
      </c>
      <c r="S787" s="4">
        <f>IFERROR(__xludf.DUMMYFUNCTION("""COMPUTED_VALUE"""),23.0)</f>
        <v>23</v>
      </c>
      <c r="T787" s="4"/>
      <c r="U787" s="4" t="str">
        <f>IFERROR(__xludf.DUMMYFUNCTION("""COMPUTED_VALUE"""),"BAIK")</f>
        <v>BAIK</v>
      </c>
      <c r="V787" s="4" t="str">
        <f>IFERROR(__xludf.DUMMYFUNCTION("""COMPUTED_VALUE"""),"Tidak Ada")</f>
        <v>Tidak Ada</v>
      </c>
      <c r="W787" s="4"/>
      <c r="X787" s="4"/>
      <c r="Y787" s="4"/>
      <c r="Z787" s="4"/>
      <c r="AA787" s="4"/>
      <c r="AB787" s="4"/>
      <c r="AC787" s="4" t="str">
        <f>IFERROR(__xludf.DUMMYFUNCTION("""COMPUTED_VALUE"""),"INSPEKSI SUTM - T2_Images/ab3d7a55.FOTO.145243.jpg")</f>
        <v>INSPEKSI SUTM - T2_Images/ab3d7a55.FOTO.145243.jpg</v>
      </c>
      <c r="AD787" s="4"/>
      <c r="AE787" s="4"/>
      <c r="AF787" s="4" t="str">
        <f>IFERROR(__xludf.DUMMYFUNCTION("""COMPUTED_VALUE"""),"BELUM")</f>
        <v>BELUM</v>
      </c>
      <c r="AG787" s="6">
        <f>IFERROR(__xludf.DUMMYFUNCTION("""COMPUTED_VALUE"""),46094.0)</f>
        <v>46094</v>
      </c>
      <c r="AH787" s="4"/>
      <c r="AI787" s="4"/>
    </row>
    <row r="788" ht="15.75" customHeight="1">
      <c r="A788" s="4" t="str">
        <f>IFERROR(__xludf.DUMMYFUNCTION("""COMPUTED_VALUE"""),"74ff2eb8")</f>
        <v>74ff2eb8</v>
      </c>
      <c r="B788" s="5">
        <f>IFERROR(__xludf.DUMMYFUNCTION("""COMPUTED_VALUE"""),46094.91175925926)</f>
        <v>46094.91176</v>
      </c>
      <c r="C788" s="4" t="str">
        <f>IFERROR(__xludf.DUMMYFUNCTION("""COMPUTED_VALUE"""),"-6.899192, 107.641217")</f>
        <v>-6.899192, 107.641217</v>
      </c>
      <c r="D788" s="4" t="str">
        <f>IFERROR(__xludf.DUMMYFUNCTION("""COMPUTED_VALUE"""),"Sandi angga")</f>
        <v>Sandi angga</v>
      </c>
      <c r="E788" s="4" t="str">
        <f>IFERROR(__xludf.DUMMYFUNCTION("""COMPUTED_VALUE"""),"BANDUNG")</f>
        <v>BANDUNG</v>
      </c>
      <c r="F788" s="4" t="str">
        <f>IFERROR(__xludf.DUMMYFUNCTION("""COMPUTED_VALUE"""),"BANDUNG TIMUR")</f>
        <v>BANDUNG TIMUR</v>
      </c>
      <c r="G788" s="4" t="str">
        <f>IFERROR(__xludf.DUMMYFUNCTION("""COMPUTED_VALUE"""),"KIARACONDONG")</f>
        <v>KIARACONDONG</v>
      </c>
      <c r="H788" s="4" t="str">
        <f>IFERROR(__xludf.DUMMYFUNCTION("""COMPUTED_VALUE"""),"KKH")</f>
        <v>KKH</v>
      </c>
      <c r="I788" s="4" t="str">
        <f>IFERROR(__xludf.DUMMYFUNCTION("""COMPUTED_VALUE"""),"RDW-KMY")</f>
        <v>RDW-KMY</v>
      </c>
      <c r="J788" s="4" t="str">
        <f>IFERROR(__xludf.DUMMYFUNCTION("""COMPUTED_VALUE"""),"ZONA 2")</f>
        <v>ZONA 2</v>
      </c>
      <c r="K788" s="4" t="str">
        <f>IFERROR(__xludf.DUMMYFUNCTION("""COMPUTED_VALUE"""),"121")</f>
        <v>121</v>
      </c>
      <c r="L788" s="4" t="str">
        <f>IFERROR(__xludf.DUMMYFUNCTION("""COMPUTED_VALUE"""),"TM - 1B/H (Tumpu)")</f>
        <v>TM - 1B/H (Tumpu)</v>
      </c>
      <c r="M788" s="4" t="str">
        <f>IFERROR(__xludf.DUMMYFUNCTION("""COMPUTED_VALUE"""),"Tidak Ada")</f>
        <v>Tidak Ada</v>
      </c>
      <c r="N788" s="4"/>
      <c r="O788" s="4" t="str">
        <f>IFERROR(__xludf.DUMMYFUNCTION("""COMPUTED_VALUE"""),"PEMBANDING SEJENIS")</f>
        <v>PEMBANDING SEJENIS</v>
      </c>
      <c r="P788" s="4" t="str">
        <f>IFERROR(__xludf.DUMMYFUNCTION("""COMPUTED_VALUE"""),"TERMINASI")</f>
        <v>TERMINASI</v>
      </c>
      <c r="Q788" s="4">
        <f>IFERROR(__xludf.DUMMYFUNCTION("""COMPUTED_VALUE"""),24.0)</f>
        <v>24</v>
      </c>
      <c r="R788" s="4">
        <f>IFERROR(__xludf.DUMMYFUNCTION("""COMPUTED_VALUE"""),24.0)</f>
        <v>24</v>
      </c>
      <c r="S788" s="4">
        <f>IFERROR(__xludf.DUMMYFUNCTION("""COMPUTED_VALUE"""),24.0)</f>
        <v>24</v>
      </c>
      <c r="T788" s="4"/>
      <c r="U788" s="4" t="str">
        <f>IFERROR(__xludf.DUMMYFUNCTION("""COMPUTED_VALUE"""),"BAIK")</f>
        <v>BAIK</v>
      </c>
      <c r="V788" s="4" t="str">
        <f>IFERROR(__xludf.DUMMYFUNCTION("""COMPUTED_VALUE"""),"Tidak Ada")</f>
        <v>Tidak Ada</v>
      </c>
      <c r="W788" s="4"/>
      <c r="X788" s="4"/>
      <c r="Y788" s="4"/>
      <c r="Z788" s="4"/>
      <c r="AA788" s="4"/>
      <c r="AB788" s="4"/>
      <c r="AC788" s="4" t="str">
        <f>IFERROR(__xludf.DUMMYFUNCTION("""COMPUTED_VALUE"""),"INSPEKSI SUTM - T2_Images/74ff2eb8.FOTO.145349.jpg")</f>
        <v>INSPEKSI SUTM - T2_Images/74ff2eb8.FOTO.145349.jpg</v>
      </c>
      <c r="AD788" s="4"/>
      <c r="AE788" s="4"/>
      <c r="AF788" s="4" t="str">
        <f>IFERROR(__xludf.DUMMYFUNCTION("""COMPUTED_VALUE"""),"BELUM")</f>
        <v>BELUM</v>
      </c>
      <c r="AG788" s="6">
        <f>IFERROR(__xludf.DUMMYFUNCTION("""COMPUTED_VALUE"""),46094.0)</f>
        <v>46094</v>
      </c>
      <c r="AH788" s="4"/>
      <c r="AI788" s="4"/>
    </row>
    <row r="789" ht="15.75" customHeight="1">
      <c r="A789" s="4" t="str">
        <f>IFERROR(__xludf.DUMMYFUNCTION("""COMPUTED_VALUE"""),"7a9c1a3c")</f>
        <v>7a9c1a3c</v>
      </c>
      <c r="B789" s="5">
        <f>IFERROR(__xludf.DUMMYFUNCTION("""COMPUTED_VALUE"""),46094.91291666667)</f>
        <v>46094.91292</v>
      </c>
      <c r="C789" s="4" t="str">
        <f>IFERROR(__xludf.DUMMYFUNCTION("""COMPUTED_VALUE"""),"-6.899192, 107.641218")</f>
        <v>-6.899192, 107.641218</v>
      </c>
      <c r="D789" s="4" t="str">
        <f>IFERROR(__xludf.DUMMYFUNCTION("""COMPUTED_VALUE"""),"Sandi angga")</f>
        <v>Sandi angga</v>
      </c>
      <c r="E789" s="4" t="str">
        <f>IFERROR(__xludf.DUMMYFUNCTION("""COMPUTED_VALUE"""),"BANDUNG")</f>
        <v>BANDUNG</v>
      </c>
      <c r="F789" s="4" t="str">
        <f>IFERROR(__xludf.DUMMYFUNCTION("""COMPUTED_VALUE"""),"BANDUNG TIMUR")</f>
        <v>BANDUNG TIMUR</v>
      </c>
      <c r="G789" s="4" t="str">
        <f>IFERROR(__xludf.DUMMYFUNCTION("""COMPUTED_VALUE"""),"KIARACONDONG")</f>
        <v>KIARACONDONG</v>
      </c>
      <c r="H789" s="4" t="str">
        <f>IFERROR(__xludf.DUMMYFUNCTION("""COMPUTED_VALUE"""),"KKH")</f>
        <v>KKH</v>
      </c>
      <c r="I789" s="4" t="str">
        <f>IFERROR(__xludf.DUMMYFUNCTION("""COMPUTED_VALUE"""),"RDW-KMY")</f>
        <v>RDW-KMY</v>
      </c>
      <c r="J789" s="4" t="str">
        <f>IFERROR(__xludf.DUMMYFUNCTION("""COMPUTED_VALUE"""),"ZONA 2")</f>
        <v>ZONA 2</v>
      </c>
      <c r="K789" s="4" t="str">
        <f>IFERROR(__xludf.DUMMYFUNCTION("""COMPUTED_VALUE"""),"122")</f>
        <v>122</v>
      </c>
      <c r="L789" s="4" t="str">
        <f>IFERROR(__xludf.DUMMYFUNCTION("""COMPUTED_VALUE"""),"TM - 7B/H (Afspan 90 Derajat)")</f>
        <v>TM - 7B/H (Afspan 90 Derajat)</v>
      </c>
      <c r="M789" s="4" t="str">
        <f>IFERROR(__xludf.DUMMYFUNCTION("""COMPUTED_VALUE"""),"Tidak Ada")</f>
        <v>Tidak Ada</v>
      </c>
      <c r="N789" s="4"/>
      <c r="O789" s="4" t="str">
        <f>IFERROR(__xludf.DUMMYFUNCTION("""COMPUTED_VALUE"""),"PEMBANDING SEJENIS")</f>
        <v>PEMBANDING SEJENIS</v>
      </c>
      <c r="P789" s="4" t="str">
        <f>IFERROR(__xludf.DUMMYFUNCTION("""COMPUTED_VALUE"""),"KONEKTOR/JUMPER")</f>
        <v>KONEKTOR/JUMPER</v>
      </c>
      <c r="Q789" s="4">
        <f>IFERROR(__xludf.DUMMYFUNCTION("""COMPUTED_VALUE"""),23.0)</f>
        <v>23</v>
      </c>
      <c r="R789" s="4">
        <f>IFERROR(__xludf.DUMMYFUNCTION("""COMPUTED_VALUE"""),24.0)</f>
        <v>24</v>
      </c>
      <c r="S789" s="4">
        <f>IFERROR(__xludf.DUMMYFUNCTION("""COMPUTED_VALUE"""),24.0)</f>
        <v>24</v>
      </c>
      <c r="T789" s="4"/>
      <c r="U789" s="4" t="str">
        <f>IFERROR(__xludf.DUMMYFUNCTION("""COMPUTED_VALUE"""),"BAIK")</f>
        <v>BAIK</v>
      </c>
      <c r="V789" s="4" t="str">
        <f>IFERROR(__xludf.DUMMYFUNCTION("""COMPUTED_VALUE"""),"Tidak Ada")</f>
        <v>Tidak Ada</v>
      </c>
      <c r="W789" s="4"/>
      <c r="X789" s="4"/>
      <c r="Y789" s="4"/>
      <c r="Z789" s="4"/>
      <c r="AA789" s="4"/>
      <c r="AB789" s="4"/>
      <c r="AC789" s="4" t="str">
        <f>IFERROR(__xludf.DUMMYFUNCTION("""COMPUTED_VALUE"""),"INSPEKSI SUTM - T2_Images/7a9c1a3c.FOTO.145551.jpg")</f>
        <v>INSPEKSI SUTM - T2_Images/7a9c1a3c.FOTO.145551.jpg</v>
      </c>
      <c r="AD789" s="4"/>
      <c r="AE789" s="4"/>
      <c r="AF789" s="4" t="str">
        <f>IFERROR(__xludf.DUMMYFUNCTION("""COMPUTED_VALUE"""),"BELUM")</f>
        <v>BELUM</v>
      </c>
      <c r="AG789" s="6">
        <f>IFERROR(__xludf.DUMMYFUNCTION("""COMPUTED_VALUE"""),46094.0)</f>
        <v>46094</v>
      </c>
      <c r="AH789" s="4"/>
      <c r="AI789" s="4"/>
    </row>
    <row r="790" ht="15.75" customHeight="1">
      <c r="A790" s="4" t="str">
        <f>IFERROR(__xludf.DUMMYFUNCTION("""COMPUTED_VALUE"""),"be9aa260")</f>
        <v>be9aa260</v>
      </c>
      <c r="B790" s="5">
        <f>IFERROR(__xludf.DUMMYFUNCTION("""COMPUTED_VALUE"""),46094.91390046296)</f>
        <v>46094.9139</v>
      </c>
      <c r="C790" s="4" t="str">
        <f>IFERROR(__xludf.DUMMYFUNCTION("""COMPUTED_VALUE"""),"-6.899192, 107.641218")</f>
        <v>-6.899192, 107.641218</v>
      </c>
      <c r="D790" s="4" t="str">
        <f>IFERROR(__xludf.DUMMYFUNCTION("""COMPUTED_VALUE"""),"Sandi angga")</f>
        <v>Sandi angga</v>
      </c>
      <c r="E790" s="4" t="str">
        <f>IFERROR(__xludf.DUMMYFUNCTION("""COMPUTED_VALUE"""),"BANDUNG")</f>
        <v>BANDUNG</v>
      </c>
      <c r="F790" s="4" t="str">
        <f>IFERROR(__xludf.DUMMYFUNCTION("""COMPUTED_VALUE"""),"BANDUNG TIMUR")</f>
        <v>BANDUNG TIMUR</v>
      </c>
      <c r="G790" s="4" t="str">
        <f>IFERROR(__xludf.DUMMYFUNCTION("""COMPUTED_VALUE"""),"KIARACONDONG")</f>
        <v>KIARACONDONG</v>
      </c>
      <c r="H790" s="4" t="str">
        <f>IFERROR(__xludf.DUMMYFUNCTION("""COMPUTED_VALUE"""),"KKH")</f>
        <v>KKH</v>
      </c>
      <c r="I790" s="4" t="str">
        <f>IFERROR(__xludf.DUMMYFUNCTION("""COMPUTED_VALUE"""),"RDW-KMY")</f>
        <v>RDW-KMY</v>
      </c>
      <c r="J790" s="4" t="str">
        <f>IFERROR(__xludf.DUMMYFUNCTION("""COMPUTED_VALUE"""),"ZONA 2")</f>
        <v>ZONA 2</v>
      </c>
      <c r="K790" s="4" t="str">
        <f>IFERROR(__xludf.DUMMYFUNCTION("""COMPUTED_VALUE"""),"123")</f>
        <v>123</v>
      </c>
      <c r="L790" s="4" t="str">
        <f>IFERROR(__xludf.DUMMYFUNCTION("""COMPUTED_VALUE"""),"TM - 14B/H (Akhir)")</f>
        <v>TM - 14B/H (Akhir)</v>
      </c>
      <c r="M790" s="4" t="str">
        <f>IFERROR(__xludf.DUMMYFUNCTION("""COMPUTED_VALUE"""),"Tidak Ada")</f>
        <v>Tidak Ada</v>
      </c>
      <c r="N790" s="4"/>
      <c r="O790" s="4" t="str">
        <f>IFERROR(__xludf.DUMMYFUNCTION("""COMPUTED_VALUE"""),"PEMBANDING SEJENIS")</f>
        <v>PEMBANDING SEJENIS</v>
      </c>
      <c r="P790" s="4" t="str">
        <f>IFERROR(__xludf.DUMMYFUNCTION("""COMPUTED_VALUE"""),"TERMINASI")</f>
        <v>TERMINASI</v>
      </c>
      <c r="Q790" s="4">
        <f>IFERROR(__xludf.DUMMYFUNCTION("""COMPUTED_VALUE"""),23.0)</f>
        <v>23</v>
      </c>
      <c r="R790" s="4">
        <f>IFERROR(__xludf.DUMMYFUNCTION("""COMPUTED_VALUE"""),25.0)</f>
        <v>25</v>
      </c>
      <c r="S790" s="4">
        <f>IFERROR(__xludf.DUMMYFUNCTION("""COMPUTED_VALUE"""),24.0)</f>
        <v>24</v>
      </c>
      <c r="T790" s="4"/>
      <c r="U790" s="4" t="str">
        <f>IFERROR(__xludf.DUMMYFUNCTION("""COMPUTED_VALUE"""),"BAIK")</f>
        <v>BAIK</v>
      </c>
      <c r="V790" s="4" t="str">
        <f>IFERROR(__xludf.DUMMYFUNCTION("""COMPUTED_VALUE"""),"Tidak Ada")</f>
        <v>Tidak Ada</v>
      </c>
      <c r="W790" s="4"/>
      <c r="X790" s="4"/>
      <c r="Y790" s="4"/>
      <c r="Z790" s="4"/>
      <c r="AA790" s="4"/>
      <c r="AB790" s="4"/>
      <c r="AC790" s="4" t="str">
        <f>IFERROR(__xludf.DUMMYFUNCTION("""COMPUTED_VALUE"""),"INSPEKSI SUTM - T2_Images/be9aa260.FOTO.145700.jpg")</f>
        <v>INSPEKSI SUTM - T2_Images/be9aa260.FOTO.145700.jpg</v>
      </c>
      <c r="AD790" s="4"/>
      <c r="AE790" s="4"/>
      <c r="AF790" s="4" t="str">
        <f>IFERROR(__xludf.DUMMYFUNCTION("""COMPUTED_VALUE"""),"BELUM")</f>
        <v>BELUM</v>
      </c>
      <c r="AG790" s="6">
        <f>IFERROR(__xludf.DUMMYFUNCTION("""COMPUTED_VALUE"""),46094.0)</f>
        <v>46094</v>
      </c>
      <c r="AH790" s="4"/>
      <c r="AI790" s="4"/>
    </row>
    <row r="791" ht="15.75" customHeight="1">
      <c r="A791" s="4" t="str">
        <f>IFERROR(__xludf.DUMMYFUNCTION("""COMPUTED_VALUE"""),"7f1a4ad7")</f>
        <v>7f1a4ad7</v>
      </c>
      <c r="B791" s="5">
        <f>IFERROR(__xludf.DUMMYFUNCTION("""COMPUTED_VALUE"""),46094.90383101852)</f>
        <v>46094.90383</v>
      </c>
      <c r="C791" s="4" t="str">
        <f>IFERROR(__xludf.DUMMYFUNCTION("""COMPUTED_VALUE"""),"-6.949048, 107.611692")</f>
        <v>-6.949048, 107.611692</v>
      </c>
      <c r="D791" s="4" t="str">
        <f>IFERROR(__xludf.DUMMYFUNCTION("""COMPUTED_VALUE"""),"Nugi Firman")</f>
        <v>Nugi Firman</v>
      </c>
      <c r="E791" s="4" t="str">
        <f>IFERROR(__xludf.DUMMYFUNCTION("""COMPUTED_VALUE"""),"BANDUNG")</f>
        <v>BANDUNG</v>
      </c>
      <c r="F791" s="4" t="str">
        <f>IFERROR(__xludf.DUMMYFUNCTION("""COMPUTED_VALUE"""),"KOPO")</f>
        <v>KOPO</v>
      </c>
      <c r="G791" s="4" t="str">
        <f>IFERROR(__xludf.DUMMYFUNCTION("""COMPUTED_VALUE"""),"NEW CIBEUREUM")</f>
        <v>NEW CIBEUREUM</v>
      </c>
      <c r="H791" s="4" t="str">
        <f>IFERROR(__xludf.DUMMYFUNCTION("""COMPUTED_VALUE"""),"WTH")</f>
        <v>WTH</v>
      </c>
      <c r="I791" s="4" t="str">
        <f>IFERROR(__xludf.DUMMYFUNCTION("""COMPUTED_VALUE"""),"THIA - LBS THIA")</f>
        <v>THIA - LBS THIA</v>
      </c>
      <c r="J791" s="4" t="str">
        <f>IFERROR(__xludf.DUMMYFUNCTION("""COMPUTED_VALUE"""),"ZONA 2")</f>
        <v>ZONA 2</v>
      </c>
      <c r="K791" s="4" t="str">
        <f>IFERROR(__xludf.DUMMYFUNCTION("""COMPUTED_VALUE"""),"001")</f>
        <v>001</v>
      </c>
      <c r="L791" s="4" t="str">
        <f>IFERROR(__xludf.DUMMYFUNCTION("""COMPUTED_VALUE"""),"TM - 11B/H (Kabel Naik)")</f>
        <v>TM - 11B/H (Kabel Naik)</v>
      </c>
      <c r="M791" s="4" t="str">
        <f>IFERROR(__xludf.DUMMYFUNCTION("""COMPUTED_VALUE"""),"Tidak Ada")</f>
        <v>Tidak Ada</v>
      </c>
      <c r="N791" s="4"/>
      <c r="O791" s="4" t="str">
        <f>IFERROR(__xludf.DUMMYFUNCTION("""COMPUTED_VALUE"""),"PEMBANDING SEJENIS")</f>
        <v>PEMBANDING SEJENIS</v>
      </c>
      <c r="P791" s="4" t="str">
        <f>IFERROR(__xludf.DUMMYFUNCTION("""COMPUTED_VALUE"""),"KONEKTOR/JUMPER")</f>
        <v>KONEKTOR/JUMPER</v>
      </c>
      <c r="Q791" s="4">
        <f>IFERROR(__xludf.DUMMYFUNCTION("""COMPUTED_VALUE"""),23.0)</f>
        <v>23</v>
      </c>
      <c r="R791" s="4">
        <f>IFERROR(__xludf.DUMMYFUNCTION("""COMPUTED_VALUE"""),23.0)</f>
        <v>23</v>
      </c>
      <c r="S791" s="4">
        <f>IFERROR(__xludf.DUMMYFUNCTION("""COMPUTED_VALUE"""),23.0)</f>
        <v>23</v>
      </c>
      <c r="T791" s="4"/>
      <c r="U791" s="4" t="str">
        <f>IFERROR(__xludf.DUMMYFUNCTION("""COMPUTED_VALUE"""),"BAIK")</f>
        <v>BAIK</v>
      </c>
      <c r="V791" s="4" t="str">
        <f>IFERROR(__xludf.DUMMYFUNCTION("""COMPUTED_VALUE"""),"Tidak Ada")</f>
        <v>Tidak Ada</v>
      </c>
      <c r="W791" s="4"/>
      <c r="X791" s="4"/>
      <c r="Y791" s="4"/>
      <c r="Z791" s="4"/>
      <c r="AA791" s="4"/>
      <c r="AB791" s="4"/>
      <c r="AC791" s="4" t="str">
        <f>IFERROR(__xludf.DUMMYFUNCTION("""COMPUTED_VALUE"""),"INSPEKSI SUTM - T2_Images/7f1a4ad7.FOTO.151146.jpg")</f>
        <v>INSPEKSI SUTM - T2_Images/7f1a4ad7.FOTO.151146.jpg</v>
      </c>
      <c r="AD791" s="4"/>
      <c r="AE791" s="4"/>
      <c r="AF791" s="4" t="str">
        <f>IFERROR(__xludf.DUMMYFUNCTION("""COMPUTED_VALUE"""),"BELUM")</f>
        <v>BELUM</v>
      </c>
      <c r="AG791" s="6">
        <f>IFERROR(__xludf.DUMMYFUNCTION("""COMPUTED_VALUE"""),46094.0)</f>
        <v>46094</v>
      </c>
      <c r="AH791" s="4"/>
      <c r="AI791" s="4"/>
    </row>
    <row r="792" ht="15.75" customHeight="1">
      <c r="A792" s="4" t="str">
        <f>IFERROR(__xludf.DUMMYFUNCTION("""COMPUTED_VALUE"""),"88787b65")</f>
        <v>88787b65</v>
      </c>
      <c r="B792" s="5">
        <f>IFERROR(__xludf.DUMMYFUNCTION("""COMPUTED_VALUE"""),46094.90440972222)</f>
        <v>46094.90441</v>
      </c>
      <c r="C792" s="4" t="str">
        <f>IFERROR(__xludf.DUMMYFUNCTION("""COMPUTED_VALUE"""),"-6.949056, 107.611894")</f>
        <v>-6.949056, 107.611894</v>
      </c>
      <c r="D792" s="4" t="str">
        <f>IFERROR(__xludf.DUMMYFUNCTION("""COMPUTED_VALUE"""),"Nugi Firman")</f>
        <v>Nugi Firman</v>
      </c>
      <c r="E792" s="4" t="str">
        <f>IFERROR(__xludf.DUMMYFUNCTION("""COMPUTED_VALUE"""),"BANDUNG")</f>
        <v>BANDUNG</v>
      </c>
      <c r="F792" s="4" t="str">
        <f>IFERROR(__xludf.DUMMYFUNCTION("""COMPUTED_VALUE"""),"KOPO")</f>
        <v>KOPO</v>
      </c>
      <c r="G792" s="4" t="str">
        <f>IFERROR(__xludf.DUMMYFUNCTION("""COMPUTED_VALUE"""),"NEW CIBEUREUM")</f>
        <v>NEW CIBEUREUM</v>
      </c>
      <c r="H792" s="4" t="str">
        <f>IFERROR(__xludf.DUMMYFUNCTION("""COMPUTED_VALUE"""),"WTH")</f>
        <v>WTH</v>
      </c>
      <c r="I792" s="4" t="str">
        <f>IFERROR(__xludf.DUMMYFUNCTION("""COMPUTED_VALUE"""),"THIA - LBS THIA")</f>
        <v>THIA - LBS THIA</v>
      </c>
      <c r="J792" s="4" t="str">
        <f>IFERROR(__xludf.DUMMYFUNCTION("""COMPUTED_VALUE"""),"ZONA 2")</f>
        <v>ZONA 2</v>
      </c>
      <c r="K792" s="4" t="str">
        <f>IFERROR(__xludf.DUMMYFUNCTION("""COMPUTED_VALUE"""),"002")</f>
        <v>002</v>
      </c>
      <c r="L792" s="4" t="str">
        <f>IFERROR(__xludf.DUMMYFUNCTION("""COMPUTED_VALUE"""),"TM - 1B/H (Tumpu)")</f>
        <v>TM - 1B/H (Tumpu)</v>
      </c>
      <c r="M792" s="4" t="str">
        <f>IFERROR(__xludf.DUMMYFUNCTION("""COMPUTED_VALUE"""),"Tidak Ada")</f>
        <v>Tidak Ada</v>
      </c>
      <c r="N792" s="4"/>
      <c r="O792" s="4" t="str">
        <f>IFERROR(__xludf.DUMMYFUNCTION("""COMPUTED_VALUE"""),"PEMBANDING SEJENIS")</f>
        <v>PEMBANDING SEJENIS</v>
      </c>
      <c r="P792" s="4" t="str">
        <f>IFERROR(__xludf.DUMMYFUNCTION("""COMPUTED_VALUE"""),"ARRESTER")</f>
        <v>ARRESTER</v>
      </c>
      <c r="Q792" s="4">
        <f>IFERROR(__xludf.DUMMYFUNCTION("""COMPUTED_VALUE"""),23.0)</f>
        <v>23</v>
      </c>
      <c r="R792" s="4">
        <f>IFERROR(__xludf.DUMMYFUNCTION("""COMPUTED_VALUE"""),23.0)</f>
        <v>23</v>
      </c>
      <c r="S792" s="4">
        <f>IFERROR(__xludf.DUMMYFUNCTION("""COMPUTED_VALUE"""),22.0)</f>
        <v>22</v>
      </c>
      <c r="T792" s="4"/>
      <c r="U792" s="4" t="str">
        <f>IFERROR(__xludf.DUMMYFUNCTION("""COMPUTED_VALUE"""),"BAIK")</f>
        <v>BAIK</v>
      </c>
      <c r="V792" s="4" t="str">
        <f>IFERROR(__xludf.DUMMYFUNCTION("""COMPUTED_VALUE"""),"Tidak Ada")</f>
        <v>Tidak Ada</v>
      </c>
      <c r="W792" s="4"/>
      <c r="X792" s="4"/>
      <c r="Y792" s="4"/>
      <c r="Z792" s="4"/>
      <c r="AA792" s="4"/>
      <c r="AB792" s="4"/>
      <c r="AC792" s="4" t="str">
        <f>IFERROR(__xludf.DUMMYFUNCTION("""COMPUTED_VALUE"""),"INSPEKSI SUTM - T2_Images/88787b65.FOTO.151154.jpg")</f>
        <v>INSPEKSI SUTM - T2_Images/88787b65.FOTO.151154.jpg</v>
      </c>
      <c r="AD792" s="4"/>
      <c r="AE792" s="4"/>
      <c r="AF792" s="4" t="str">
        <f>IFERROR(__xludf.DUMMYFUNCTION("""COMPUTED_VALUE"""),"BELUM")</f>
        <v>BELUM</v>
      </c>
      <c r="AG792" s="6">
        <f>IFERROR(__xludf.DUMMYFUNCTION("""COMPUTED_VALUE"""),46094.0)</f>
        <v>46094</v>
      </c>
      <c r="AH792" s="4"/>
      <c r="AI792" s="4"/>
    </row>
    <row r="793" ht="15.75" customHeight="1">
      <c r="A793" s="4" t="str">
        <f>IFERROR(__xludf.DUMMYFUNCTION("""COMPUTED_VALUE"""),"7167fc30")</f>
        <v>7167fc30</v>
      </c>
      <c r="B793" s="5">
        <f>IFERROR(__xludf.DUMMYFUNCTION("""COMPUTED_VALUE"""),46094.90511574074)</f>
        <v>46094.90512</v>
      </c>
      <c r="C793" s="4" t="str">
        <f>IFERROR(__xludf.DUMMYFUNCTION("""COMPUTED_VALUE"""),"-6.948955, 107.611887")</f>
        <v>-6.948955, 107.611887</v>
      </c>
      <c r="D793" s="4" t="str">
        <f>IFERROR(__xludf.DUMMYFUNCTION("""COMPUTED_VALUE"""),"Nugi Firman")</f>
        <v>Nugi Firman</v>
      </c>
      <c r="E793" s="4" t="str">
        <f>IFERROR(__xludf.DUMMYFUNCTION("""COMPUTED_VALUE"""),"BANDUNG")</f>
        <v>BANDUNG</v>
      </c>
      <c r="F793" s="4" t="str">
        <f>IFERROR(__xludf.DUMMYFUNCTION("""COMPUTED_VALUE"""),"KOPO")</f>
        <v>KOPO</v>
      </c>
      <c r="G793" s="4" t="str">
        <f>IFERROR(__xludf.DUMMYFUNCTION("""COMPUTED_VALUE"""),"NEW CIBEUREUM")</f>
        <v>NEW CIBEUREUM</v>
      </c>
      <c r="H793" s="4" t="str">
        <f>IFERROR(__xludf.DUMMYFUNCTION("""COMPUTED_VALUE"""),"WTH")</f>
        <v>WTH</v>
      </c>
      <c r="I793" s="4" t="str">
        <f>IFERROR(__xludf.DUMMYFUNCTION("""COMPUTED_VALUE"""),"THIA - LBS THIA")</f>
        <v>THIA - LBS THIA</v>
      </c>
      <c r="J793" s="4" t="str">
        <f>IFERROR(__xludf.DUMMYFUNCTION("""COMPUTED_VALUE"""),"ZONA 2")</f>
        <v>ZONA 2</v>
      </c>
      <c r="K793" s="4" t="str">
        <f>IFERROR(__xludf.DUMMYFUNCTION("""COMPUTED_VALUE"""),"003")</f>
        <v>003</v>
      </c>
      <c r="L793" s="4" t="str">
        <f>IFERROR(__xludf.DUMMYFUNCTION("""COMPUTED_VALUE"""),"TM - 2B/H (Double Tumpu)")</f>
        <v>TM - 2B/H (Double Tumpu)</v>
      </c>
      <c r="M793" s="4" t="str">
        <f>IFERROR(__xludf.DUMMYFUNCTION("""COMPUTED_VALUE"""),"Tidak Ada")</f>
        <v>Tidak Ada</v>
      </c>
      <c r="N793" s="4"/>
      <c r="O793" s="4" t="str">
        <f>IFERROR(__xludf.DUMMYFUNCTION("""COMPUTED_VALUE"""),"PEMBANDING SEJENIS")</f>
        <v>PEMBANDING SEJENIS</v>
      </c>
      <c r="P793" s="4" t="str">
        <f>IFERROR(__xludf.DUMMYFUNCTION("""COMPUTED_VALUE"""),"ARRESTER")</f>
        <v>ARRESTER</v>
      </c>
      <c r="Q793" s="4">
        <f>IFERROR(__xludf.DUMMYFUNCTION("""COMPUTED_VALUE"""),22.0)</f>
        <v>22</v>
      </c>
      <c r="R793" s="4">
        <f>IFERROR(__xludf.DUMMYFUNCTION("""COMPUTED_VALUE"""),23.0)</f>
        <v>23</v>
      </c>
      <c r="S793" s="4">
        <f>IFERROR(__xludf.DUMMYFUNCTION("""COMPUTED_VALUE"""),23.0)</f>
        <v>23</v>
      </c>
      <c r="T793" s="4"/>
      <c r="U793" s="4" t="str">
        <f>IFERROR(__xludf.DUMMYFUNCTION("""COMPUTED_VALUE"""),"BAIK")</f>
        <v>BAIK</v>
      </c>
      <c r="V793" s="4" t="str">
        <f>IFERROR(__xludf.DUMMYFUNCTION("""COMPUTED_VALUE"""),"Tidak Ada")</f>
        <v>Tidak Ada</v>
      </c>
      <c r="W793" s="4"/>
      <c r="X793" s="4"/>
      <c r="Y793" s="4"/>
      <c r="Z793" s="4"/>
      <c r="AA793" s="4"/>
      <c r="AB793" s="4"/>
      <c r="AC793" s="4" t="str">
        <f>IFERROR(__xludf.DUMMYFUNCTION("""COMPUTED_VALUE"""),"INSPEKSI SUTM - T2_Images/7167fc30.FOTO.151203.jpg")</f>
        <v>INSPEKSI SUTM - T2_Images/7167fc30.FOTO.151203.jpg</v>
      </c>
      <c r="AD793" s="4"/>
      <c r="AE793" s="4"/>
      <c r="AF793" s="4" t="str">
        <f>IFERROR(__xludf.DUMMYFUNCTION("""COMPUTED_VALUE"""),"BELUM")</f>
        <v>BELUM</v>
      </c>
      <c r="AG793" s="6">
        <f>IFERROR(__xludf.DUMMYFUNCTION("""COMPUTED_VALUE"""),46094.0)</f>
        <v>46094</v>
      </c>
      <c r="AH793" s="4"/>
      <c r="AI793" s="4"/>
    </row>
    <row r="794" ht="15.75" customHeight="1">
      <c r="A794" s="4" t="str">
        <f>IFERROR(__xludf.DUMMYFUNCTION("""COMPUTED_VALUE"""),"ad12115b")</f>
        <v>ad12115b</v>
      </c>
      <c r="B794" s="5">
        <f>IFERROR(__xludf.DUMMYFUNCTION("""COMPUTED_VALUE"""),46094.90555555555)</f>
        <v>46094.90556</v>
      </c>
      <c r="C794" s="4" t="str">
        <f>IFERROR(__xludf.DUMMYFUNCTION("""COMPUTED_VALUE"""),"-6.948989, 107.611785")</f>
        <v>-6.948989, 107.611785</v>
      </c>
      <c r="D794" s="4" t="str">
        <f>IFERROR(__xludf.DUMMYFUNCTION("""COMPUTED_VALUE"""),"Nugi Firman")</f>
        <v>Nugi Firman</v>
      </c>
      <c r="E794" s="4" t="str">
        <f>IFERROR(__xludf.DUMMYFUNCTION("""COMPUTED_VALUE"""),"BANDUNG")</f>
        <v>BANDUNG</v>
      </c>
      <c r="F794" s="4" t="str">
        <f>IFERROR(__xludf.DUMMYFUNCTION("""COMPUTED_VALUE"""),"KOPO")</f>
        <v>KOPO</v>
      </c>
      <c r="G794" s="4" t="str">
        <f>IFERROR(__xludf.DUMMYFUNCTION("""COMPUTED_VALUE"""),"NEW CIBEUREUM")</f>
        <v>NEW CIBEUREUM</v>
      </c>
      <c r="H794" s="4" t="str">
        <f>IFERROR(__xludf.DUMMYFUNCTION("""COMPUTED_VALUE"""),"WTH")</f>
        <v>WTH</v>
      </c>
      <c r="I794" s="4" t="str">
        <f>IFERROR(__xludf.DUMMYFUNCTION("""COMPUTED_VALUE"""),"THIA - LBS THIA")</f>
        <v>THIA - LBS THIA</v>
      </c>
      <c r="J794" s="4" t="str">
        <f>IFERROR(__xludf.DUMMYFUNCTION("""COMPUTED_VALUE"""),"ZONA 2")</f>
        <v>ZONA 2</v>
      </c>
      <c r="K794" s="4" t="str">
        <f>IFERROR(__xludf.DUMMYFUNCTION("""COMPUTED_VALUE"""),"004")</f>
        <v>004</v>
      </c>
      <c r="L794" s="4" t="str">
        <f>IFERROR(__xludf.DUMMYFUNCTION("""COMPUTED_VALUE"""),"TM - 8B/H (Percabangan)")</f>
        <v>TM - 8B/H (Percabangan)</v>
      </c>
      <c r="M794" s="4" t="str">
        <f>IFERROR(__xludf.DUMMYFUNCTION("""COMPUTED_VALUE"""),"Tidak Ada")</f>
        <v>Tidak Ada</v>
      </c>
      <c r="N794" s="4"/>
      <c r="O794" s="4" t="str">
        <f>IFERROR(__xludf.DUMMYFUNCTION("""COMPUTED_VALUE"""),"PEMBANDING SEJENIS")</f>
        <v>PEMBANDING SEJENIS</v>
      </c>
      <c r="P794" s="4" t="str">
        <f>IFERROR(__xludf.DUMMYFUNCTION("""COMPUTED_VALUE"""),"KONEKTOR/JUMPER")</f>
        <v>KONEKTOR/JUMPER</v>
      </c>
      <c r="Q794" s="4">
        <f>IFERROR(__xludf.DUMMYFUNCTION("""COMPUTED_VALUE"""),21.0)</f>
        <v>21</v>
      </c>
      <c r="R794" s="4">
        <f>IFERROR(__xludf.DUMMYFUNCTION("""COMPUTED_VALUE"""),23.0)</f>
        <v>23</v>
      </c>
      <c r="S794" s="4">
        <f>IFERROR(__xludf.DUMMYFUNCTION("""COMPUTED_VALUE"""),23.0)</f>
        <v>23</v>
      </c>
      <c r="T794" s="4"/>
      <c r="U794" s="4" t="str">
        <f>IFERROR(__xludf.DUMMYFUNCTION("""COMPUTED_VALUE"""),"BAIK")</f>
        <v>BAIK</v>
      </c>
      <c r="V794" s="4" t="str">
        <f>IFERROR(__xludf.DUMMYFUNCTION("""COMPUTED_VALUE"""),"Tidak Ada")</f>
        <v>Tidak Ada</v>
      </c>
      <c r="W794" s="4"/>
      <c r="X794" s="4"/>
      <c r="Y794" s="4"/>
      <c r="Z794" s="4"/>
      <c r="AA794" s="4"/>
      <c r="AB794" s="4"/>
      <c r="AC794" s="4" t="str">
        <f>IFERROR(__xludf.DUMMYFUNCTION("""COMPUTED_VALUE"""),"INSPEKSI SUTM - T2_Images/ad12115b.FOTO.151211.jpg")</f>
        <v>INSPEKSI SUTM - T2_Images/ad12115b.FOTO.151211.jpg</v>
      </c>
      <c r="AD794" s="4"/>
      <c r="AE794" s="4"/>
      <c r="AF794" s="4" t="str">
        <f>IFERROR(__xludf.DUMMYFUNCTION("""COMPUTED_VALUE"""),"BELUM")</f>
        <v>BELUM</v>
      </c>
      <c r="AG794" s="6">
        <f>IFERROR(__xludf.DUMMYFUNCTION("""COMPUTED_VALUE"""),46094.0)</f>
        <v>46094</v>
      </c>
      <c r="AH794" s="4"/>
      <c r="AI794" s="4"/>
    </row>
    <row r="795" ht="15.75" customHeight="1">
      <c r="A795" s="4" t="str">
        <f>IFERROR(__xludf.DUMMYFUNCTION("""COMPUTED_VALUE"""),"fc2a44e5")</f>
        <v>fc2a44e5</v>
      </c>
      <c r="B795" s="5">
        <f>IFERROR(__xludf.DUMMYFUNCTION("""COMPUTED_VALUE"""),46094.90636574074)</f>
        <v>46094.90637</v>
      </c>
      <c r="C795" s="4" t="str">
        <f>IFERROR(__xludf.DUMMYFUNCTION("""COMPUTED_VALUE"""),"-6.949040, 107.611693")</f>
        <v>-6.949040, 107.611693</v>
      </c>
      <c r="D795" s="4" t="str">
        <f>IFERROR(__xludf.DUMMYFUNCTION("""COMPUTED_VALUE"""),"Nugi Firman")</f>
        <v>Nugi Firman</v>
      </c>
      <c r="E795" s="4" t="str">
        <f>IFERROR(__xludf.DUMMYFUNCTION("""COMPUTED_VALUE"""),"BANDUNG")</f>
        <v>BANDUNG</v>
      </c>
      <c r="F795" s="4" t="str">
        <f>IFERROR(__xludf.DUMMYFUNCTION("""COMPUTED_VALUE"""),"KOPO")</f>
        <v>KOPO</v>
      </c>
      <c r="G795" s="4" t="str">
        <f>IFERROR(__xludf.DUMMYFUNCTION("""COMPUTED_VALUE"""),"NEW CIBEUREUM")</f>
        <v>NEW CIBEUREUM</v>
      </c>
      <c r="H795" s="4" t="str">
        <f>IFERROR(__xludf.DUMMYFUNCTION("""COMPUTED_VALUE"""),"WTH")</f>
        <v>WTH</v>
      </c>
      <c r="I795" s="4" t="str">
        <f>IFERROR(__xludf.DUMMYFUNCTION("""COMPUTED_VALUE"""),"THIA - LBS THIA")</f>
        <v>THIA - LBS THIA</v>
      </c>
      <c r="J795" s="4" t="str">
        <f>IFERROR(__xludf.DUMMYFUNCTION("""COMPUTED_VALUE"""),"ZONA 2")</f>
        <v>ZONA 2</v>
      </c>
      <c r="K795" s="4" t="str">
        <f>IFERROR(__xludf.DUMMYFUNCTION("""COMPUTED_VALUE"""),"004L02")</f>
        <v>004L02</v>
      </c>
      <c r="L795" s="4" t="str">
        <f>IFERROR(__xludf.DUMMYFUNCTION("""COMPUTED_VALUE"""),"TM - 7B/H (Afspan 90 Derajat)")</f>
        <v>TM - 7B/H (Afspan 90 Derajat)</v>
      </c>
      <c r="M795" s="4" t="str">
        <f>IFERROR(__xludf.DUMMYFUNCTION("""COMPUTED_VALUE"""),"Tidak Ada")</f>
        <v>Tidak Ada</v>
      </c>
      <c r="N795" s="4"/>
      <c r="O795" s="4" t="str">
        <f>IFERROR(__xludf.DUMMYFUNCTION("""COMPUTED_VALUE"""),"PEMBANDING SEJENIS")</f>
        <v>PEMBANDING SEJENIS</v>
      </c>
      <c r="P795" s="4" t="str">
        <f>IFERROR(__xludf.DUMMYFUNCTION("""COMPUTED_VALUE"""),"KONEKTOR/JUMPER")</f>
        <v>KONEKTOR/JUMPER</v>
      </c>
      <c r="Q795" s="4">
        <f>IFERROR(__xludf.DUMMYFUNCTION("""COMPUTED_VALUE"""),24.0)</f>
        <v>24</v>
      </c>
      <c r="R795" s="4">
        <f>IFERROR(__xludf.DUMMYFUNCTION("""COMPUTED_VALUE"""),24.0)</f>
        <v>24</v>
      </c>
      <c r="S795" s="4">
        <f>IFERROR(__xludf.DUMMYFUNCTION("""COMPUTED_VALUE"""),19.0)</f>
        <v>19</v>
      </c>
      <c r="T795" s="4"/>
      <c r="U795" s="4" t="str">
        <f>IFERROR(__xludf.DUMMYFUNCTION("""COMPUTED_VALUE"""),"CUKUP")</f>
        <v>CUKUP</v>
      </c>
      <c r="V795" s="4" t="str">
        <f>IFERROR(__xludf.DUMMYFUNCTION("""COMPUTED_VALUE"""),"Tidak Ada")</f>
        <v>Tidak Ada</v>
      </c>
      <c r="W795" s="4"/>
      <c r="X795" s="4"/>
      <c r="Y795" s="4"/>
      <c r="Z795" s="4"/>
      <c r="AA795" s="4"/>
      <c r="AB795" s="4"/>
      <c r="AC795" s="4" t="str">
        <f>IFERROR(__xludf.DUMMYFUNCTION("""COMPUTED_VALUE"""),"INSPEKSI SUTM - T2_Images/fc2a44e5.FOTO.151215.jpg")</f>
        <v>INSPEKSI SUTM - T2_Images/fc2a44e5.FOTO.151215.jpg</v>
      </c>
      <c r="AD795" s="4"/>
      <c r="AE795" s="4"/>
      <c r="AF795" s="4" t="str">
        <f>IFERROR(__xludf.DUMMYFUNCTION("""COMPUTED_VALUE"""),"BELUM")</f>
        <v>BELUM</v>
      </c>
      <c r="AG795" s="6">
        <f>IFERROR(__xludf.DUMMYFUNCTION("""COMPUTED_VALUE"""),46094.0)</f>
        <v>46094</v>
      </c>
      <c r="AH795" s="4"/>
      <c r="AI795" s="4"/>
    </row>
    <row r="796" ht="15.75" customHeight="1">
      <c r="A796" s="4" t="str">
        <f>IFERROR(__xludf.DUMMYFUNCTION("""COMPUTED_VALUE"""),"75565b88")</f>
        <v>75565b88</v>
      </c>
      <c r="B796" s="5">
        <f>IFERROR(__xludf.DUMMYFUNCTION("""COMPUTED_VALUE"""),46094.90758101852)</f>
        <v>46094.90758</v>
      </c>
      <c r="C796" s="4" t="str">
        <f>IFERROR(__xludf.DUMMYFUNCTION("""COMPUTED_VALUE"""),"-6.949040, 107.611693")</f>
        <v>-6.949040, 107.611693</v>
      </c>
      <c r="D796" s="4" t="str">
        <f>IFERROR(__xludf.DUMMYFUNCTION("""COMPUTED_VALUE"""),"Nugi Firman")</f>
        <v>Nugi Firman</v>
      </c>
      <c r="E796" s="4" t="str">
        <f>IFERROR(__xludf.DUMMYFUNCTION("""COMPUTED_VALUE"""),"BANDUNG")</f>
        <v>BANDUNG</v>
      </c>
      <c r="F796" s="4" t="str">
        <f>IFERROR(__xludf.DUMMYFUNCTION("""COMPUTED_VALUE"""),"KOPO")</f>
        <v>KOPO</v>
      </c>
      <c r="G796" s="4" t="str">
        <f>IFERROR(__xludf.DUMMYFUNCTION("""COMPUTED_VALUE"""),"NEW CIBEUREUM")</f>
        <v>NEW CIBEUREUM</v>
      </c>
      <c r="H796" s="4" t="str">
        <f>IFERROR(__xludf.DUMMYFUNCTION("""COMPUTED_VALUE"""),"WTH")</f>
        <v>WTH</v>
      </c>
      <c r="I796" s="4" t="str">
        <f>IFERROR(__xludf.DUMMYFUNCTION("""COMPUTED_VALUE"""),"THIA - LBS THIA")</f>
        <v>THIA - LBS THIA</v>
      </c>
      <c r="J796" s="4" t="str">
        <f>IFERROR(__xludf.DUMMYFUNCTION("""COMPUTED_VALUE"""),"ZONA 2")</f>
        <v>ZONA 2</v>
      </c>
      <c r="K796" s="4" t="str">
        <f>IFERROR(__xludf.DUMMYFUNCTION("""COMPUTED_VALUE"""),"004L03")</f>
        <v>004L03</v>
      </c>
      <c r="L796" s="4" t="str">
        <f>IFERROR(__xludf.DUMMYFUNCTION("""COMPUTED_VALUE"""),"TM - 1B/H (Tumpu)")</f>
        <v>TM - 1B/H (Tumpu)</v>
      </c>
      <c r="M796" s="4" t="str">
        <f>IFERROR(__xludf.DUMMYFUNCTION("""COMPUTED_VALUE"""),"Tidak Ada")</f>
        <v>Tidak Ada</v>
      </c>
      <c r="N796" s="4"/>
      <c r="O796" s="4" t="str">
        <f>IFERROR(__xludf.DUMMYFUNCTION("""COMPUTED_VALUE"""),"PEMBANDING SEJENIS")</f>
        <v>PEMBANDING SEJENIS</v>
      </c>
      <c r="P796" s="4" t="str">
        <f>IFERROR(__xludf.DUMMYFUNCTION("""COMPUTED_VALUE"""),"ARRESTER")</f>
        <v>ARRESTER</v>
      </c>
      <c r="Q796" s="4">
        <f>IFERROR(__xludf.DUMMYFUNCTION("""COMPUTED_VALUE"""),22.0)</f>
        <v>22</v>
      </c>
      <c r="R796" s="4">
        <f>IFERROR(__xludf.DUMMYFUNCTION("""COMPUTED_VALUE"""),22.0)</f>
        <v>22</v>
      </c>
      <c r="S796" s="4">
        <f>IFERROR(__xludf.DUMMYFUNCTION("""COMPUTED_VALUE"""),22.0)</f>
        <v>22</v>
      </c>
      <c r="T796" s="4"/>
      <c r="U796" s="4" t="str">
        <f>IFERROR(__xludf.DUMMYFUNCTION("""COMPUTED_VALUE"""),"BAIK")</f>
        <v>BAIK</v>
      </c>
      <c r="V796" s="4" t="str">
        <f>IFERROR(__xludf.DUMMYFUNCTION("""COMPUTED_VALUE"""),"Tidak Ada")</f>
        <v>Tidak Ada</v>
      </c>
      <c r="W796" s="4"/>
      <c r="X796" s="4"/>
      <c r="Y796" s="4"/>
      <c r="Z796" s="4"/>
      <c r="AA796" s="4"/>
      <c r="AB796" s="4"/>
      <c r="AC796" s="4" t="str">
        <f>IFERROR(__xludf.DUMMYFUNCTION("""COMPUTED_VALUE"""),"INSPEKSI SUTM - T2_Images/75565b88.FOTO.151219.jpg")</f>
        <v>INSPEKSI SUTM - T2_Images/75565b88.FOTO.151219.jpg</v>
      </c>
      <c r="AD796" s="4"/>
      <c r="AE796" s="4"/>
      <c r="AF796" s="4" t="str">
        <f>IFERROR(__xludf.DUMMYFUNCTION("""COMPUTED_VALUE"""),"BELUM")</f>
        <v>BELUM</v>
      </c>
      <c r="AG796" s="6">
        <f>IFERROR(__xludf.DUMMYFUNCTION("""COMPUTED_VALUE"""),46094.0)</f>
        <v>46094</v>
      </c>
      <c r="AH796" s="4"/>
      <c r="AI796" s="4"/>
    </row>
    <row r="797" ht="15.75" customHeight="1">
      <c r="A797" s="4" t="str">
        <f>IFERROR(__xludf.DUMMYFUNCTION("""COMPUTED_VALUE"""),"65679c84")</f>
        <v>65679c84</v>
      </c>
      <c r="B797" s="5">
        <f>IFERROR(__xludf.DUMMYFUNCTION("""COMPUTED_VALUE"""),46094.90803240741)</f>
        <v>46094.90803</v>
      </c>
      <c r="C797" s="4" t="str">
        <f>IFERROR(__xludf.DUMMYFUNCTION("""COMPUTED_VALUE"""),"-6.949037, 107.611670")</f>
        <v>-6.949037, 107.611670</v>
      </c>
      <c r="D797" s="4" t="str">
        <f>IFERROR(__xludf.DUMMYFUNCTION("""COMPUTED_VALUE"""),"Nugi Firman")</f>
        <v>Nugi Firman</v>
      </c>
      <c r="E797" s="4" t="str">
        <f>IFERROR(__xludf.DUMMYFUNCTION("""COMPUTED_VALUE"""),"BANDUNG")</f>
        <v>BANDUNG</v>
      </c>
      <c r="F797" s="4" t="str">
        <f>IFERROR(__xludf.DUMMYFUNCTION("""COMPUTED_VALUE"""),"KOPO")</f>
        <v>KOPO</v>
      </c>
      <c r="G797" s="4" t="str">
        <f>IFERROR(__xludf.DUMMYFUNCTION("""COMPUTED_VALUE"""),"NEW CIBEUREUM")</f>
        <v>NEW CIBEUREUM</v>
      </c>
      <c r="H797" s="4" t="str">
        <f>IFERROR(__xludf.DUMMYFUNCTION("""COMPUTED_VALUE"""),"WTH")</f>
        <v>WTH</v>
      </c>
      <c r="I797" s="4" t="str">
        <f>IFERROR(__xludf.DUMMYFUNCTION("""COMPUTED_VALUE"""),"THIA - LBS THIA")</f>
        <v>THIA - LBS THIA</v>
      </c>
      <c r="J797" s="4" t="str">
        <f>IFERROR(__xludf.DUMMYFUNCTION("""COMPUTED_VALUE"""),"ZONA 2")</f>
        <v>ZONA 2</v>
      </c>
      <c r="K797" s="4" t="str">
        <f>IFERROR(__xludf.DUMMYFUNCTION("""COMPUTED_VALUE"""),"004L04")</f>
        <v>004L04</v>
      </c>
      <c r="L797" s="4" t="str">
        <f>IFERROR(__xludf.DUMMYFUNCTION("""COMPUTED_VALUE"""),"TM - 1B/H (Tumpu)")</f>
        <v>TM - 1B/H (Tumpu)</v>
      </c>
      <c r="M797" s="4" t="str">
        <f>IFERROR(__xludf.DUMMYFUNCTION("""COMPUTED_VALUE"""),"Tidak Ada")</f>
        <v>Tidak Ada</v>
      </c>
      <c r="N797" s="4"/>
      <c r="O797" s="4" t="str">
        <f>IFERROR(__xludf.DUMMYFUNCTION("""COMPUTED_VALUE"""),"PEMBANDING SEJENIS")</f>
        <v>PEMBANDING SEJENIS</v>
      </c>
      <c r="P797" s="4" t="str">
        <f>IFERROR(__xludf.DUMMYFUNCTION("""COMPUTED_VALUE"""),"ARRESTER")</f>
        <v>ARRESTER</v>
      </c>
      <c r="Q797" s="4">
        <f>IFERROR(__xludf.DUMMYFUNCTION("""COMPUTED_VALUE"""),21.0)</f>
        <v>21</v>
      </c>
      <c r="R797" s="4">
        <f>IFERROR(__xludf.DUMMYFUNCTION("""COMPUTED_VALUE"""),22.0)</f>
        <v>22</v>
      </c>
      <c r="S797" s="4">
        <f>IFERROR(__xludf.DUMMYFUNCTION("""COMPUTED_VALUE"""),21.0)</f>
        <v>21</v>
      </c>
      <c r="T797" s="4"/>
      <c r="U797" s="4" t="str">
        <f>IFERROR(__xludf.DUMMYFUNCTION("""COMPUTED_VALUE"""),"BAIK")</f>
        <v>BAIK</v>
      </c>
      <c r="V797" s="4" t="str">
        <f>IFERROR(__xludf.DUMMYFUNCTION("""COMPUTED_VALUE"""),"Tidak Ada")</f>
        <v>Tidak Ada</v>
      </c>
      <c r="W797" s="4"/>
      <c r="X797" s="4"/>
      <c r="Y797" s="4"/>
      <c r="Z797" s="4"/>
      <c r="AA797" s="4"/>
      <c r="AB797" s="4"/>
      <c r="AC797" s="4" t="str">
        <f>IFERROR(__xludf.DUMMYFUNCTION("""COMPUTED_VALUE"""),"INSPEKSI SUTM - T2_Images/65679c84.FOTO.151224.jpg")</f>
        <v>INSPEKSI SUTM - T2_Images/65679c84.FOTO.151224.jpg</v>
      </c>
      <c r="AD797" s="4"/>
      <c r="AE797" s="4"/>
      <c r="AF797" s="4" t="str">
        <f>IFERROR(__xludf.DUMMYFUNCTION("""COMPUTED_VALUE"""),"BELUM")</f>
        <v>BELUM</v>
      </c>
      <c r="AG797" s="6">
        <f>IFERROR(__xludf.DUMMYFUNCTION("""COMPUTED_VALUE"""),46094.0)</f>
        <v>46094</v>
      </c>
      <c r="AH797" s="4"/>
      <c r="AI797" s="4"/>
    </row>
    <row r="798" ht="15.75" customHeight="1">
      <c r="A798" s="4" t="str">
        <f>IFERROR(__xludf.DUMMYFUNCTION("""COMPUTED_VALUE"""),"18b313fe")</f>
        <v>18b313fe</v>
      </c>
      <c r="B798" s="5">
        <f>IFERROR(__xludf.DUMMYFUNCTION("""COMPUTED_VALUE"""),46094.90883101852)</f>
        <v>46094.90883</v>
      </c>
      <c r="C798" s="4" t="str">
        <f>IFERROR(__xludf.DUMMYFUNCTION("""COMPUTED_VALUE"""),"-6.949037, 107.611670")</f>
        <v>-6.949037, 107.611670</v>
      </c>
      <c r="D798" s="4" t="str">
        <f>IFERROR(__xludf.DUMMYFUNCTION("""COMPUTED_VALUE"""),"Nugi Firman")</f>
        <v>Nugi Firman</v>
      </c>
      <c r="E798" s="4" t="str">
        <f>IFERROR(__xludf.DUMMYFUNCTION("""COMPUTED_VALUE"""),"BANDUNG")</f>
        <v>BANDUNG</v>
      </c>
      <c r="F798" s="4" t="str">
        <f>IFERROR(__xludf.DUMMYFUNCTION("""COMPUTED_VALUE"""),"KOPO")</f>
        <v>KOPO</v>
      </c>
      <c r="G798" s="4" t="str">
        <f>IFERROR(__xludf.DUMMYFUNCTION("""COMPUTED_VALUE"""),"NEW CIBEUREUM")</f>
        <v>NEW CIBEUREUM</v>
      </c>
      <c r="H798" s="4" t="str">
        <f>IFERROR(__xludf.DUMMYFUNCTION("""COMPUTED_VALUE"""),"WTH")</f>
        <v>WTH</v>
      </c>
      <c r="I798" s="4" t="str">
        <f>IFERROR(__xludf.DUMMYFUNCTION("""COMPUTED_VALUE"""),"THIA - LBS THIA")</f>
        <v>THIA - LBS THIA</v>
      </c>
      <c r="J798" s="4" t="str">
        <f>IFERROR(__xludf.DUMMYFUNCTION("""COMPUTED_VALUE"""),"ZONA 2")</f>
        <v>ZONA 2</v>
      </c>
      <c r="K798" s="4" t="str">
        <f>IFERROR(__xludf.DUMMYFUNCTION("""COMPUTED_VALUE"""),"004L15")</f>
        <v>004L15</v>
      </c>
      <c r="L798" s="4" t="str">
        <f>IFERROR(__xludf.DUMMYFUNCTION("""COMPUTED_VALUE"""),"TM - 8B/H (Percabangan)")</f>
        <v>TM - 8B/H (Percabangan)</v>
      </c>
      <c r="M798" s="4" t="str">
        <f>IFERROR(__xludf.DUMMYFUNCTION("""COMPUTED_VALUE"""),"Tidak Ada")</f>
        <v>Tidak Ada</v>
      </c>
      <c r="N798" s="4"/>
      <c r="O798" s="4" t="str">
        <f>IFERROR(__xludf.DUMMYFUNCTION("""COMPUTED_VALUE"""),"PEMBANDING SEJENIS")</f>
        <v>PEMBANDING SEJENIS</v>
      </c>
      <c r="P798" s="4" t="str">
        <f>IFERROR(__xludf.DUMMYFUNCTION("""COMPUTED_VALUE"""),"KONEKTOR/JUMPER")</f>
        <v>KONEKTOR/JUMPER</v>
      </c>
      <c r="Q798" s="4">
        <f>IFERROR(__xludf.DUMMYFUNCTION("""COMPUTED_VALUE"""),22.0)</f>
        <v>22</v>
      </c>
      <c r="R798" s="4">
        <f>IFERROR(__xludf.DUMMYFUNCTION("""COMPUTED_VALUE"""),22.0)</f>
        <v>22</v>
      </c>
      <c r="S798" s="4">
        <f>IFERROR(__xludf.DUMMYFUNCTION("""COMPUTED_VALUE"""),22.0)</f>
        <v>22</v>
      </c>
      <c r="T798" s="4"/>
      <c r="U798" s="4" t="str">
        <f>IFERROR(__xludf.DUMMYFUNCTION("""COMPUTED_VALUE"""),"BAIK")</f>
        <v>BAIK</v>
      </c>
      <c r="V798" s="4" t="str">
        <f>IFERROR(__xludf.DUMMYFUNCTION("""COMPUTED_VALUE"""),"Tidak Ada")</f>
        <v>Tidak Ada</v>
      </c>
      <c r="W798" s="4"/>
      <c r="X798" s="4"/>
      <c r="Y798" s="4"/>
      <c r="Z798" s="4"/>
      <c r="AA798" s="4"/>
      <c r="AB798" s="4"/>
      <c r="AC798" s="4" t="str">
        <f>IFERROR(__xludf.DUMMYFUNCTION("""COMPUTED_VALUE"""),"INSPEKSI SUTM - T2_Images/18b313fe.FOTO.151229.jpg")</f>
        <v>INSPEKSI SUTM - T2_Images/18b313fe.FOTO.151229.jpg</v>
      </c>
      <c r="AD798" s="4"/>
      <c r="AE798" s="4"/>
      <c r="AF798" s="4" t="str">
        <f>IFERROR(__xludf.DUMMYFUNCTION("""COMPUTED_VALUE"""),"BELUM")</f>
        <v>BELUM</v>
      </c>
      <c r="AG798" s="6">
        <f>IFERROR(__xludf.DUMMYFUNCTION("""COMPUTED_VALUE"""),46094.0)</f>
        <v>46094</v>
      </c>
      <c r="AH798" s="4"/>
      <c r="AI798" s="4"/>
    </row>
    <row r="799" ht="15.75" customHeight="1">
      <c r="A799" s="4" t="str">
        <f>IFERROR(__xludf.DUMMYFUNCTION("""COMPUTED_VALUE"""),"bd1f8817")</f>
        <v>bd1f8817</v>
      </c>
      <c r="B799" s="5">
        <f>IFERROR(__xludf.DUMMYFUNCTION("""COMPUTED_VALUE"""),46094.90965277778)</f>
        <v>46094.90965</v>
      </c>
      <c r="C799" s="4" t="str">
        <f>IFERROR(__xludf.DUMMYFUNCTION("""COMPUTED_VALUE"""),"-6.949037, 107.611670")</f>
        <v>-6.949037, 107.611670</v>
      </c>
      <c r="D799" s="4" t="str">
        <f>IFERROR(__xludf.DUMMYFUNCTION("""COMPUTED_VALUE"""),"Nugi Firman")</f>
        <v>Nugi Firman</v>
      </c>
      <c r="E799" s="4" t="str">
        <f>IFERROR(__xludf.DUMMYFUNCTION("""COMPUTED_VALUE"""),"BANDUNG")</f>
        <v>BANDUNG</v>
      </c>
      <c r="F799" s="4" t="str">
        <f>IFERROR(__xludf.DUMMYFUNCTION("""COMPUTED_VALUE"""),"KOPO")</f>
        <v>KOPO</v>
      </c>
      <c r="G799" s="4" t="str">
        <f>IFERROR(__xludf.DUMMYFUNCTION("""COMPUTED_VALUE"""),"NEW CIBEUREUM")</f>
        <v>NEW CIBEUREUM</v>
      </c>
      <c r="H799" s="4" t="str">
        <f>IFERROR(__xludf.DUMMYFUNCTION("""COMPUTED_VALUE"""),"WTH")</f>
        <v>WTH</v>
      </c>
      <c r="I799" s="4" t="str">
        <f>IFERROR(__xludf.DUMMYFUNCTION("""COMPUTED_VALUE"""),"THIA - LBS THIA")</f>
        <v>THIA - LBS THIA</v>
      </c>
      <c r="J799" s="4" t="str">
        <f>IFERROR(__xludf.DUMMYFUNCTION("""COMPUTED_VALUE"""),"ZONA 2")</f>
        <v>ZONA 2</v>
      </c>
      <c r="K799" s="4" t="str">
        <f>IFERROR(__xludf.DUMMYFUNCTION("""COMPUTED_VALUE"""),"004L15L02")</f>
        <v>004L15L02</v>
      </c>
      <c r="L799" s="4" t="str">
        <f>IFERROR(__xludf.DUMMYFUNCTION("""COMPUTED_VALUE"""),"TM - 7B/H (Afspan 90 Derajat)")</f>
        <v>TM - 7B/H (Afspan 90 Derajat)</v>
      </c>
      <c r="M799" s="4" t="str">
        <f>IFERROR(__xludf.DUMMYFUNCTION("""COMPUTED_VALUE"""),"Tidak Ada")</f>
        <v>Tidak Ada</v>
      </c>
      <c r="N799" s="4"/>
      <c r="O799" s="4" t="str">
        <f>IFERROR(__xludf.DUMMYFUNCTION("""COMPUTED_VALUE"""),"PEMBANDING SEJENIS")</f>
        <v>PEMBANDING SEJENIS</v>
      </c>
      <c r="P799" s="4" t="str">
        <f>IFERROR(__xludf.DUMMYFUNCTION("""COMPUTED_VALUE"""),"KONEKTOR/JUMPER")</f>
        <v>KONEKTOR/JUMPER</v>
      </c>
      <c r="Q799" s="4">
        <f>IFERROR(__xludf.DUMMYFUNCTION("""COMPUTED_VALUE"""),22.0)</f>
        <v>22</v>
      </c>
      <c r="R799" s="4">
        <f>IFERROR(__xludf.DUMMYFUNCTION("""COMPUTED_VALUE"""),22.0)</f>
        <v>22</v>
      </c>
      <c r="S799" s="4">
        <f>IFERROR(__xludf.DUMMYFUNCTION("""COMPUTED_VALUE"""),22.0)</f>
        <v>22</v>
      </c>
      <c r="T799" s="4"/>
      <c r="U799" s="4" t="str">
        <f>IFERROR(__xludf.DUMMYFUNCTION("""COMPUTED_VALUE"""),"BAIK")</f>
        <v>BAIK</v>
      </c>
      <c r="V799" s="4" t="str">
        <f>IFERROR(__xludf.DUMMYFUNCTION("""COMPUTED_VALUE"""),"Tidak Ada")</f>
        <v>Tidak Ada</v>
      </c>
      <c r="W799" s="4"/>
      <c r="X799" s="4"/>
      <c r="Y799" s="4"/>
      <c r="Z799" s="4"/>
      <c r="AA799" s="4"/>
      <c r="AB799" s="4"/>
      <c r="AC799" s="4" t="str">
        <f>IFERROR(__xludf.DUMMYFUNCTION("""COMPUTED_VALUE"""),"INSPEKSI SUTM - T2_Images/bd1f8817.FOTO.151234.jpg")</f>
        <v>INSPEKSI SUTM - T2_Images/bd1f8817.FOTO.151234.jpg</v>
      </c>
      <c r="AD799" s="4"/>
      <c r="AE799" s="4"/>
      <c r="AF799" s="4" t="str">
        <f>IFERROR(__xludf.DUMMYFUNCTION("""COMPUTED_VALUE"""),"BELUM")</f>
        <v>BELUM</v>
      </c>
      <c r="AG799" s="6">
        <f>IFERROR(__xludf.DUMMYFUNCTION("""COMPUTED_VALUE"""),46094.0)</f>
        <v>46094</v>
      </c>
      <c r="AH799" s="4"/>
      <c r="AI799" s="4"/>
    </row>
    <row r="800" ht="15.75" customHeight="1">
      <c r="A800" s="4" t="str">
        <f>IFERROR(__xludf.DUMMYFUNCTION("""COMPUTED_VALUE"""),"6273799f")</f>
        <v>6273799f</v>
      </c>
      <c r="B800" s="5">
        <f>IFERROR(__xludf.DUMMYFUNCTION("""COMPUTED_VALUE"""),46094.91017361111)</f>
        <v>46094.91017</v>
      </c>
      <c r="C800" s="4" t="str">
        <f>IFERROR(__xludf.DUMMYFUNCTION("""COMPUTED_VALUE"""),"-6.949037, 107.611670")</f>
        <v>-6.949037, 107.611670</v>
      </c>
      <c r="D800" s="4" t="str">
        <f>IFERROR(__xludf.DUMMYFUNCTION("""COMPUTED_VALUE"""),"Nugi Firman")</f>
        <v>Nugi Firman</v>
      </c>
      <c r="E800" s="4" t="str">
        <f>IFERROR(__xludf.DUMMYFUNCTION("""COMPUTED_VALUE"""),"BANDUNG")</f>
        <v>BANDUNG</v>
      </c>
      <c r="F800" s="4" t="str">
        <f>IFERROR(__xludf.DUMMYFUNCTION("""COMPUTED_VALUE"""),"KOPO")</f>
        <v>KOPO</v>
      </c>
      <c r="G800" s="4" t="str">
        <f>IFERROR(__xludf.DUMMYFUNCTION("""COMPUTED_VALUE"""),"NEW CIBEUREUM")</f>
        <v>NEW CIBEUREUM</v>
      </c>
      <c r="H800" s="4" t="str">
        <f>IFERROR(__xludf.DUMMYFUNCTION("""COMPUTED_VALUE"""),"WTH")</f>
        <v>WTH</v>
      </c>
      <c r="I800" s="4" t="str">
        <f>IFERROR(__xludf.DUMMYFUNCTION("""COMPUTED_VALUE"""),"THIA - LBS THIA")</f>
        <v>THIA - LBS THIA</v>
      </c>
      <c r="J800" s="4" t="str">
        <f>IFERROR(__xludf.DUMMYFUNCTION("""COMPUTED_VALUE"""),"ZONA 2")</f>
        <v>ZONA 2</v>
      </c>
      <c r="K800" s="4" t="str">
        <f>IFERROR(__xludf.DUMMYFUNCTION("""COMPUTED_VALUE"""),"004L19")</f>
        <v>004L19</v>
      </c>
      <c r="L800" s="4" t="str">
        <f>IFERROR(__xludf.DUMMYFUNCTION("""COMPUTED_VALUE"""),"TM - 12B/H (KABEL Kabel Naik Dua Saluran)")</f>
        <v>TM - 12B/H (KABEL Kabel Naik Dua Saluran)</v>
      </c>
      <c r="M800" s="4" t="str">
        <f>IFERROR(__xludf.DUMMYFUNCTION("""COMPUTED_VALUE"""),"Tidak Ada")</f>
        <v>Tidak Ada</v>
      </c>
      <c r="N800" s="4"/>
      <c r="O800" s="4" t="str">
        <f>IFERROR(__xludf.DUMMYFUNCTION("""COMPUTED_VALUE"""),"PEMBANDING SEJENIS")</f>
        <v>PEMBANDING SEJENIS</v>
      </c>
      <c r="P800" s="4" t="str">
        <f>IFERROR(__xludf.DUMMYFUNCTION("""COMPUTED_VALUE"""),"TERMINASI")</f>
        <v>TERMINASI</v>
      </c>
      <c r="Q800" s="4">
        <f>IFERROR(__xludf.DUMMYFUNCTION("""COMPUTED_VALUE"""),22.0)</f>
        <v>22</v>
      </c>
      <c r="R800" s="4">
        <f>IFERROR(__xludf.DUMMYFUNCTION("""COMPUTED_VALUE"""),23.0)</f>
        <v>23</v>
      </c>
      <c r="S800" s="4">
        <f>IFERROR(__xludf.DUMMYFUNCTION("""COMPUTED_VALUE"""),23.0)</f>
        <v>23</v>
      </c>
      <c r="T800" s="4"/>
      <c r="U800" s="4" t="str">
        <f>IFERROR(__xludf.DUMMYFUNCTION("""COMPUTED_VALUE"""),"BAIK")</f>
        <v>BAIK</v>
      </c>
      <c r="V800" s="4" t="str">
        <f>IFERROR(__xludf.DUMMYFUNCTION("""COMPUTED_VALUE"""),"Tidak Ada")</f>
        <v>Tidak Ada</v>
      </c>
      <c r="W800" s="4"/>
      <c r="X800" s="4"/>
      <c r="Y800" s="4"/>
      <c r="Z800" s="4"/>
      <c r="AA800" s="4"/>
      <c r="AB800" s="4"/>
      <c r="AC800" s="4" t="str">
        <f>IFERROR(__xludf.DUMMYFUNCTION("""COMPUTED_VALUE"""),"INSPEKSI SUTM - T2_Images/6273799f.FOTO.151239.jpg")</f>
        <v>INSPEKSI SUTM - T2_Images/6273799f.FOTO.151239.jpg</v>
      </c>
      <c r="AD800" s="4"/>
      <c r="AE800" s="4"/>
      <c r="AF800" s="4" t="str">
        <f>IFERROR(__xludf.DUMMYFUNCTION("""COMPUTED_VALUE"""),"BELUM")</f>
        <v>BELUM</v>
      </c>
      <c r="AG800" s="6">
        <f>IFERROR(__xludf.DUMMYFUNCTION("""COMPUTED_VALUE"""),46094.0)</f>
        <v>46094</v>
      </c>
      <c r="AH800" s="4"/>
      <c r="AI800" s="4"/>
    </row>
    <row r="801" ht="15.75" customHeight="1">
      <c r="A801" s="4" t="str">
        <f>IFERROR(__xludf.DUMMYFUNCTION("""COMPUTED_VALUE"""),"2613999e")</f>
        <v>2613999e</v>
      </c>
      <c r="B801" s="5">
        <f>IFERROR(__xludf.DUMMYFUNCTION("""COMPUTED_VALUE"""),46094.91071759259)</f>
        <v>46094.91072</v>
      </c>
      <c r="C801" s="4" t="str">
        <f>IFERROR(__xludf.DUMMYFUNCTION("""COMPUTED_VALUE"""),"-6.949016, 107.611661")</f>
        <v>-6.949016, 107.611661</v>
      </c>
      <c r="D801" s="4" t="str">
        <f>IFERROR(__xludf.DUMMYFUNCTION("""COMPUTED_VALUE"""),"Nugi Firman")</f>
        <v>Nugi Firman</v>
      </c>
      <c r="E801" s="4" t="str">
        <f>IFERROR(__xludf.DUMMYFUNCTION("""COMPUTED_VALUE"""),"BANDUNG")</f>
        <v>BANDUNG</v>
      </c>
      <c r="F801" s="4" t="str">
        <f>IFERROR(__xludf.DUMMYFUNCTION("""COMPUTED_VALUE"""),"KOPO")</f>
        <v>KOPO</v>
      </c>
      <c r="G801" s="4" t="str">
        <f>IFERROR(__xludf.DUMMYFUNCTION("""COMPUTED_VALUE"""),"NEW CIBEUREUM")</f>
        <v>NEW CIBEUREUM</v>
      </c>
      <c r="H801" s="4" t="str">
        <f>IFERROR(__xludf.DUMMYFUNCTION("""COMPUTED_VALUE"""),"WTH")</f>
        <v>WTH</v>
      </c>
      <c r="I801" s="4" t="str">
        <f>IFERROR(__xludf.DUMMYFUNCTION("""COMPUTED_VALUE"""),"THIA - LBS THIA")</f>
        <v>THIA - LBS THIA</v>
      </c>
      <c r="J801" s="4" t="str">
        <f>IFERROR(__xludf.DUMMYFUNCTION("""COMPUTED_VALUE"""),"ZONA 2")</f>
        <v>ZONA 2</v>
      </c>
      <c r="K801" s="4" t="str">
        <f>IFERROR(__xludf.DUMMYFUNCTION("""COMPUTED_VALUE"""),"004L21")</f>
        <v>004L21</v>
      </c>
      <c r="L801" s="4" t="str">
        <f>IFERROR(__xludf.DUMMYFUNCTION("""COMPUTED_VALUE"""),"TM - 8B/H (Percabangan)")</f>
        <v>TM - 8B/H (Percabangan)</v>
      </c>
      <c r="M801" s="4" t="str">
        <f>IFERROR(__xludf.DUMMYFUNCTION("""COMPUTED_VALUE"""),"Tidak Ada")</f>
        <v>Tidak Ada</v>
      </c>
      <c r="N801" s="4"/>
      <c r="O801" s="4" t="str">
        <f>IFERROR(__xludf.DUMMYFUNCTION("""COMPUTED_VALUE"""),"PEMBANDING SEJENIS")</f>
        <v>PEMBANDING SEJENIS</v>
      </c>
      <c r="P801" s="4" t="str">
        <f>IFERROR(__xludf.DUMMYFUNCTION("""COMPUTED_VALUE"""),"KONEKTOR/JUMPER")</f>
        <v>KONEKTOR/JUMPER</v>
      </c>
      <c r="Q801" s="4">
        <f>IFERROR(__xludf.DUMMYFUNCTION("""COMPUTED_VALUE"""),21.0)</f>
        <v>21</v>
      </c>
      <c r="R801" s="4">
        <f>IFERROR(__xludf.DUMMYFUNCTION("""COMPUTED_VALUE"""),21.0)</f>
        <v>21</v>
      </c>
      <c r="S801" s="4">
        <f>IFERROR(__xludf.DUMMYFUNCTION("""COMPUTED_VALUE"""),21.0)</f>
        <v>21</v>
      </c>
      <c r="T801" s="4"/>
      <c r="U801" s="4" t="str">
        <f>IFERROR(__xludf.DUMMYFUNCTION("""COMPUTED_VALUE"""),"BAIK")</f>
        <v>BAIK</v>
      </c>
      <c r="V801" s="4" t="str">
        <f>IFERROR(__xludf.DUMMYFUNCTION("""COMPUTED_VALUE"""),"Tidak Ada")</f>
        <v>Tidak Ada</v>
      </c>
      <c r="W801" s="4"/>
      <c r="X801" s="4"/>
      <c r="Y801" s="4"/>
      <c r="Z801" s="4"/>
      <c r="AA801" s="4"/>
      <c r="AB801" s="4"/>
      <c r="AC801" s="4" t="str">
        <f>IFERROR(__xludf.DUMMYFUNCTION("""COMPUTED_VALUE"""),"INSPEKSI SUTM - T2_Images/2613999e.FOTO.151244.jpg")</f>
        <v>INSPEKSI SUTM - T2_Images/2613999e.FOTO.151244.jpg</v>
      </c>
      <c r="AD801" s="4"/>
      <c r="AE801" s="4"/>
      <c r="AF801" s="4" t="str">
        <f>IFERROR(__xludf.DUMMYFUNCTION("""COMPUTED_VALUE"""),"BELUM")</f>
        <v>BELUM</v>
      </c>
      <c r="AG801" s="6">
        <f>IFERROR(__xludf.DUMMYFUNCTION("""COMPUTED_VALUE"""),46094.0)</f>
        <v>46094</v>
      </c>
      <c r="AH801" s="4"/>
      <c r="AI801" s="4"/>
    </row>
    <row r="802" ht="15.75" customHeight="1">
      <c r="A802" s="4" t="str">
        <f>IFERROR(__xludf.DUMMYFUNCTION("""COMPUTED_VALUE"""),"6aeccc79")</f>
        <v>6aeccc79</v>
      </c>
      <c r="B802" s="5">
        <f>IFERROR(__xludf.DUMMYFUNCTION("""COMPUTED_VALUE"""),46094.911631944444)</f>
        <v>46094.91163</v>
      </c>
      <c r="C802" s="4" t="str">
        <f>IFERROR(__xludf.DUMMYFUNCTION("""COMPUTED_VALUE"""),"-6.949021, 107.611773")</f>
        <v>-6.949021, 107.611773</v>
      </c>
      <c r="D802" s="4" t="str">
        <f>IFERROR(__xludf.DUMMYFUNCTION("""COMPUTED_VALUE"""),"Nugi Firman")</f>
        <v>Nugi Firman</v>
      </c>
      <c r="E802" s="4" t="str">
        <f>IFERROR(__xludf.DUMMYFUNCTION("""COMPUTED_VALUE"""),"BANDUNG")</f>
        <v>BANDUNG</v>
      </c>
      <c r="F802" s="4" t="str">
        <f>IFERROR(__xludf.DUMMYFUNCTION("""COMPUTED_VALUE"""),"KOPO")</f>
        <v>KOPO</v>
      </c>
      <c r="G802" s="4" t="str">
        <f>IFERROR(__xludf.DUMMYFUNCTION("""COMPUTED_VALUE"""),"NEW CIBEUREUM")</f>
        <v>NEW CIBEUREUM</v>
      </c>
      <c r="H802" s="4" t="str">
        <f>IFERROR(__xludf.DUMMYFUNCTION("""COMPUTED_VALUE"""),"WTH")</f>
        <v>WTH</v>
      </c>
      <c r="I802" s="4" t="str">
        <f>IFERROR(__xludf.DUMMYFUNCTION("""COMPUTED_VALUE"""),"THIA - LBS THIA")</f>
        <v>THIA - LBS THIA</v>
      </c>
      <c r="J802" s="4" t="str">
        <f>IFERROR(__xludf.DUMMYFUNCTION("""COMPUTED_VALUE"""),"ZONA 2")</f>
        <v>ZONA 2</v>
      </c>
      <c r="K802" s="4" t="str">
        <f>IFERROR(__xludf.DUMMYFUNCTION("""COMPUTED_VALUE"""),"004L22")</f>
        <v>004L22</v>
      </c>
      <c r="L802" s="4" t="str">
        <f>IFERROR(__xludf.DUMMYFUNCTION("""COMPUTED_VALUE"""),"TM - 8B/H (Percabangan)")</f>
        <v>TM - 8B/H (Percabangan)</v>
      </c>
      <c r="M802" s="4" t="str">
        <f>IFERROR(__xludf.DUMMYFUNCTION("""COMPUTED_VALUE"""),"Tidak Ada")</f>
        <v>Tidak Ada</v>
      </c>
      <c r="N802" s="4"/>
      <c r="O802" s="4" t="str">
        <f>IFERROR(__xludf.DUMMYFUNCTION("""COMPUTED_VALUE"""),"PEMBANDING SEJENIS")</f>
        <v>PEMBANDING SEJENIS</v>
      </c>
      <c r="P802" s="4" t="str">
        <f>IFERROR(__xludf.DUMMYFUNCTION("""COMPUTED_VALUE"""),"KONEKTOR/JUMPER")</f>
        <v>KONEKTOR/JUMPER</v>
      </c>
      <c r="Q802" s="4">
        <f>IFERROR(__xludf.DUMMYFUNCTION("""COMPUTED_VALUE"""),21.0)</f>
        <v>21</v>
      </c>
      <c r="R802" s="4">
        <f>IFERROR(__xludf.DUMMYFUNCTION("""COMPUTED_VALUE"""),21.0)</f>
        <v>21</v>
      </c>
      <c r="S802" s="4">
        <f>IFERROR(__xludf.DUMMYFUNCTION("""COMPUTED_VALUE"""),21.0)</f>
        <v>21</v>
      </c>
      <c r="T802" s="4"/>
      <c r="U802" s="4" t="str">
        <f>IFERROR(__xludf.DUMMYFUNCTION("""COMPUTED_VALUE"""),"BAIK")</f>
        <v>BAIK</v>
      </c>
      <c r="V802" s="4" t="str">
        <f>IFERROR(__xludf.DUMMYFUNCTION("""COMPUTED_VALUE"""),"Tidak Ada")</f>
        <v>Tidak Ada</v>
      </c>
      <c r="W802" s="4"/>
      <c r="X802" s="4"/>
      <c r="Y802" s="4"/>
      <c r="Z802" s="4"/>
      <c r="AA802" s="4"/>
      <c r="AB802" s="4"/>
      <c r="AC802" s="4" t="str">
        <f>IFERROR(__xludf.DUMMYFUNCTION("""COMPUTED_VALUE"""),"INSPEKSI SUTM - T2_Images/6aeccc79.FOTO.151248.jpg")</f>
        <v>INSPEKSI SUTM - T2_Images/6aeccc79.FOTO.151248.jpg</v>
      </c>
      <c r="AD802" s="4"/>
      <c r="AE802" s="4"/>
      <c r="AF802" s="4" t="str">
        <f>IFERROR(__xludf.DUMMYFUNCTION("""COMPUTED_VALUE"""),"BELUM")</f>
        <v>BELUM</v>
      </c>
      <c r="AG802" s="6">
        <f>IFERROR(__xludf.DUMMYFUNCTION("""COMPUTED_VALUE"""),46094.0)</f>
        <v>46094</v>
      </c>
      <c r="AH802" s="4"/>
      <c r="AI802" s="4"/>
    </row>
    <row r="803" ht="15.75" customHeight="1">
      <c r="A803" s="4" t="str">
        <f>IFERROR(__xludf.DUMMYFUNCTION("""COMPUTED_VALUE"""),"5b47df46")</f>
        <v>5b47df46</v>
      </c>
      <c r="B803" s="5">
        <f>IFERROR(__xludf.DUMMYFUNCTION("""COMPUTED_VALUE"""),46094.91243055555)</f>
        <v>46094.91243</v>
      </c>
      <c r="C803" s="4" t="str">
        <f>IFERROR(__xludf.DUMMYFUNCTION("""COMPUTED_VALUE"""),"-6.949039, 107.611658")</f>
        <v>-6.949039, 107.611658</v>
      </c>
      <c r="D803" s="4" t="str">
        <f>IFERROR(__xludf.DUMMYFUNCTION("""COMPUTED_VALUE"""),"Nugi Firman")</f>
        <v>Nugi Firman</v>
      </c>
      <c r="E803" s="4" t="str">
        <f>IFERROR(__xludf.DUMMYFUNCTION("""COMPUTED_VALUE"""),"BANDUNG")</f>
        <v>BANDUNG</v>
      </c>
      <c r="F803" s="4" t="str">
        <f>IFERROR(__xludf.DUMMYFUNCTION("""COMPUTED_VALUE"""),"KOPO")</f>
        <v>KOPO</v>
      </c>
      <c r="G803" s="4" t="str">
        <f>IFERROR(__xludf.DUMMYFUNCTION("""COMPUTED_VALUE"""),"NEW CIBEUREUM")</f>
        <v>NEW CIBEUREUM</v>
      </c>
      <c r="H803" s="4" t="str">
        <f>IFERROR(__xludf.DUMMYFUNCTION("""COMPUTED_VALUE"""),"WTH")</f>
        <v>WTH</v>
      </c>
      <c r="I803" s="4" t="str">
        <f>IFERROR(__xludf.DUMMYFUNCTION("""COMPUTED_VALUE"""),"THIA - LBS THIA")</f>
        <v>THIA - LBS THIA</v>
      </c>
      <c r="J803" s="4" t="str">
        <f>IFERROR(__xludf.DUMMYFUNCTION("""COMPUTED_VALUE"""),"ZONA 2")</f>
        <v>ZONA 2</v>
      </c>
      <c r="K803" s="4" t="str">
        <f>IFERROR(__xludf.DUMMYFUNCTION("""COMPUTED_VALUE"""),"004L23")</f>
        <v>004L23</v>
      </c>
      <c r="L803" s="4" t="str">
        <f>IFERROR(__xludf.DUMMYFUNCTION("""COMPUTED_VALUE"""),"TM - 13B/H (Kabel Naik Pada Tiang Tumpu)")</f>
        <v>TM - 13B/H (Kabel Naik Pada Tiang Tumpu)</v>
      </c>
      <c r="M803" s="4" t="str">
        <f>IFERROR(__xludf.DUMMYFUNCTION("""COMPUTED_VALUE"""),"Tidak Ada")</f>
        <v>Tidak Ada</v>
      </c>
      <c r="N803" s="4"/>
      <c r="O803" s="4" t="str">
        <f>IFERROR(__xludf.DUMMYFUNCTION("""COMPUTED_VALUE"""),"PEMBANDING SEJENIS")</f>
        <v>PEMBANDING SEJENIS</v>
      </c>
      <c r="P803" s="4" t="str">
        <f>IFERROR(__xludf.DUMMYFUNCTION("""COMPUTED_VALUE"""),"TERMINASI")</f>
        <v>TERMINASI</v>
      </c>
      <c r="Q803" s="4">
        <f>IFERROR(__xludf.DUMMYFUNCTION("""COMPUTED_VALUE"""),21.0)</f>
        <v>21</v>
      </c>
      <c r="R803" s="4">
        <f>IFERROR(__xludf.DUMMYFUNCTION("""COMPUTED_VALUE"""),21.0)</f>
        <v>21</v>
      </c>
      <c r="S803" s="4">
        <f>IFERROR(__xludf.DUMMYFUNCTION("""COMPUTED_VALUE"""),22.0)</f>
        <v>22</v>
      </c>
      <c r="T803" s="4"/>
      <c r="U803" s="4" t="str">
        <f>IFERROR(__xludf.DUMMYFUNCTION("""COMPUTED_VALUE"""),"BAIK")</f>
        <v>BAIK</v>
      </c>
      <c r="V803" s="4" t="str">
        <f>IFERROR(__xludf.DUMMYFUNCTION("""COMPUTED_VALUE"""),"Tidak Ada")</f>
        <v>Tidak Ada</v>
      </c>
      <c r="W803" s="4"/>
      <c r="X803" s="4"/>
      <c r="Y803" s="4"/>
      <c r="Z803" s="4"/>
      <c r="AA803" s="4"/>
      <c r="AB803" s="4"/>
      <c r="AC803" s="4" t="str">
        <f>IFERROR(__xludf.DUMMYFUNCTION("""COMPUTED_VALUE"""),"INSPEKSI SUTM - T2_Images/5b47df46.FOTO.151253.jpg")</f>
        <v>INSPEKSI SUTM - T2_Images/5b47df46.FOTO.151253.jpg</v>
      </c>
      <c r="AD803" s="4"/>
      <c r="AE803" s="4"/>
      <c r="AF803" s="4" t="str">
        <f>IFERROR(__xludf.DUMMYFUNCTION("""COMPUTED_VALUE"""),"BELUM")</f>
        <v>BELUM</v>
      </c>
      <c r="AG803" s="6">
        <f>IFERROR(__xludf.DUMMYFUNCTION("""COMPUTED_VALUE"""),46094.0)</f>
        <v>46094</v>
      </c>
      <c r="AH803" s="4"/>
      <c r="AI803" s="4"/>
    </row>
    <row r="804" ht="15.75" customHeight="1">
      <c r="A804" s="4" t="str">
        <f>IFERROR(__xludf.DUMMYFUNCTION("""COMPUTED_VALUE"""),"8b21ea34")</f>
        <v>8b21ea34</v>
      </c>
      <c r="B804" s="5">
        <f>IFERROR(__xludf.DUMMYFUNCTION("""COMPUTED_VALUE"""),46094.91371527778)</f>
        <v>46094.91372</v>
      </c>
      <c r="C804" s="4" t="str">
        <f>IFERROR(__xludf.DUMMYFUNCTION("""COMPUTED_VALUE"""),"-6.949074, 107.611723")</f>
        <v>-6.949074, 107.611723</v>
      </c>
      <c r="D804" s="4" t="str">
        <f>IFERROR(__xludf.DUMMYFUNCTION("""COMPUTED_VALUE"""),"Nugi Firman")</f>
        <v>Nugi Firman</v>
      </c>
      <c r="E804" s="4" t="str">
        <f>IFERROR(__xludf.DUMMYFUNCTION("""COMPUTED_VALUE"""),"BANDUNG")</f>
        <v>BANDUNG</v>
      </c>
      <c r="F804" s="4" t="str">
        <f>IFERROR(__xludf.DUMMYFUNCTION("""COMPUTED_VALUE"""),"KOPO")</f>
        <v>KOPO</v>
      </c>
      <c r="G804" s="4" t="str">
        <f>IFERROR(__xludf.DUMMYFUNCTION("""COMPUTED_VALUE"""),"NEW CIBEUREUM")</f>
        <v>NEW CIBEUREUM</v>
      </c>
      <c r="H804" s="4" t="str">
        <f>IFERROR(__xludf.DUMMYFUNCTION("""COMPUTED_VALUE"""),"WTH")</f>
        <v>WTH</v>
      </c>
      <c r="I804" s="4" t="str">
        <f>IFERROR(__xludf.DUMMYFUNCTION("""COMPUTED_VALUE"""),"THIA - LBS THIA")</f>
        <v>THIA - LBS THIA</v>
      </c>
      <c r="J804" s="4" t="str">
        <f>IFERROR(__xludf.DUMMYFUNCTION("""COMPUTED_VALUE"""),"ZONA 2")</f>
        <v>ZONA 2</v>
      </c>
      <c r="K804" s="4" t="str">
        <f>IFERROR(__xludf.DUMMYFUNCTION("""COMPUTED_VALUE"""),"005")</f>
        <v>005</v>
      </c>
      <c r="L804" s="4" t="str">
        <f>IFERROR(__xludf.DUMMYFUNCTION("""COMPUTED_VALUE"""),"TM - 1B/H (Tumpu)")</f>
        <v>TM - 1B/H (Tumpu)</v>
      </c>
      <c r="M804" s="4" t="str">
        <f>IFERROR(__xludf.DUMMYFUNCTION("""COMPUTED_VALUE"""),"Tidak Ada")</f>
        <v>Tidak Ada</v>
      </c>
      <c r="N804" s="4"/>
      <c r="O804" s="4" t="str">
        <f>IFERROR(__xludf.DUMMYFUNCTION("""COMPUTED_VALUE"""),"PEMBANDING SEJENIS")</f>
        <v>PEMBANDING SEJENIS</v>
      </c>
      <c r="P804" s="4" t="str">
        <f>IFERROR(__xludf.DUMMYFUNCTION("""COMPUTED_VALUE"""),"ARRESTER")</f>
        <v>ARRESTER</v>
      </c>
      <c r="Q804" s="4">
        <f>IFERROR(__xludf.DUMMYFUNCTION("""COMPUTED_VALUE"""),21.0)</f>
        <v>21</v>
      </c>
      <c r="R804" s="4">
        <f>IFERROR(__xludf.DUMMYFUNCTION("""COMPUTED_VALUE"""),22.0)</f>
        <v>22</v>
      </c>
      <c r="S804" s="4">
        <f>IFERROR(__xludf.DUMMYFUNCTION("""COMPUTED_VALUE"""),22.0)</f>
        <v>22</v>
      </c>
      <c r="T804" s="4"/>
      <c r="U804" s="4" t="str">
        <f>IFERROR(__xludf.DUMMYFUNCTION("""COMPUTED_VALUE"""),"BAIK")</f>
        <v>BAIK</v>
      </c>
      <c r="V804" s="4" t="str">
        <f>IFERROR(__xludf.DUMMYFUNCTION("""COMPUTED_VALUE"""),"Tidak Ada")</f>
        <v>Tidak Ada</v>
      </c>
      <c r="W804" s="4"/>
      <c r="X804" s="4"/>
      <c r="Y804" s="4"/>
      <c r="Z804" s="4"/>
      <c r="AA804" s="4"/>
      <c r="AB804" s="4"/>
      <c r="AC804" s="4" t="str">
        <f>IFERROR(__xludf.DUMMYFUNCTION("""COMPUTED_VALUE"""),"INSPEKSI SUTM - T2_Images/8b21ea34.FOTO.151258.jpg")</f>
        <v>INSPEKSI SUTM - T2_Images/8b21ea34.FOTO.151258.jpg</v>
      </c>
      <c r="AD804" s="4"/>
      <c r="AE804" s="4"/>
      <c r="AF804" s="4" t="str">
        <f>IFERROR(__xludf.DUMMYFUNCTION("""COMPUTED_VALUE"""),"BELUM")</f>
        <v>BELUM</v>
      </c>
      <c r="AG804" s="6">
        <f>IFERROR(__xludf.DUMMYFUNCTION("""COMPUTED_VALUE"""),46094.0)</f>
        <v>46094</v>
      </c>
      <c r="AH804" s="4"/>
      <c r="AI804" s="4"/>
    </row>
    <row r="805" ht="15.75" customHeight="1">
      <c r="A805" s="4" t="str">
        <f>IFERROR(__xludf.DUMMYFUNCTION("""COMPUTED_VALUE"""),"cecc8299")</f>
        <v>cecc8299</v>
      </c>
      <c r="B805" s="5">
        <f>IFERROR(__xludf.DUMMYFUNCTION("""COMPUTED_VALUE"""),46094.914351851854)</f>
        <v>46094.91435</v>
      </c>
      <c r="C805" s="4" t="str">
        <f>IFERROR(__xludf.DUMMYFUNCTION("""COMPUTED_VALUE"""),"-6.948904, 107.612057")</f>
        <v>-6.948904, 107.612057</v>
      </c>
      <c r="D805" s="4" t="str">
        <f>IFERROR(__xludf.DUMMYFUNCTION("""COMPUTED_VALUE"""),"Nugi Firman")</f>
        <v>Nugi Firman</v>
      </c>
      <c r="E805" s="4" t="str">
        <f>IFERROR(__xludf.DUMMYFUNCTION("""COMPUTED_VALUE"""),"BANDUNG")</f>
        <v>BANDUNG</v>
      </c>
      <c r="F805" s="4" t="str">
        <f>IFERROR(__xludf.DUMMYFUNCTION("""COMPUTED_VALUE"""),"KOPO")</f>
        <v>KOPO</v>
      </c>
      <c r="G805" s="4" t="str">
        <f>IFERROR(__xludf.DUMMYFUNCTION("""COMPUTED_VALUE"""),"NEW CIBEUREUM")</f>
        <v>NEW CIBEUREUM</v>
      </c>
      <c r="H805" s="4" t="str">
        <f>IFERROR(__xludf.DUMMYFUNCTION("""COMPUTED_VALUE"""),"WTH")</f>
        <v>WTH</v>
      </c>
      <c r="I805" s="4" t="str">
        <f>IFERROR(__xludf.DUMMYFUNCTION("""COMPUTED_VALUE"""),"THIA - LBS THIA")</f>
        <v>THIA - LBS THIA</v>
      </c>
      <c r="J805" s="4" t="str">
        <f>IFERROR(__xludf.DUMMYFUNCTION("""COMPUTED_VALUE"""),"ZONA 2")</f>
        <v>ZONA 2</v>
      </c>
      <c r="K805" s="4" t="str">
        <f>IFERROR(__xludf.DUMMYFUNCTION("""COMPUTED_VALUE"""),"007")</f>
        <v>007</v>
      </c>
      <c r="L805" s="4" t="str">
        <f>IFERROR(__xludf.DUMMYFUNCTION("""COMPUTED_VALUE"""),"TM - 7B/H (Afspan 90 Derajat)")</f>
        <v>TM - 7B/H (Afspan 90 Derajat)</v>
      </c>
      <c r="M805" s="4" t="str">
        <f>IFERROR(__xludf.DUMMYFUNCTION("""COMPUTED_VALUE"""),"Tidak Ada")</f>
        <v>Tidak Ada</v>
      </c>
      <c r="N805" s="4"/>
      <c r="O805" s="4" t="str">
        <f>IFERROR(__xludf.DUMMYFUNCTION("""COMPUTED_VALUE"""),"PEMBANDING SEJENIS")</f>
        <v>PEMBANDING SEJENIS</v>
      </c>
      <c r="P805" s="4" t="str">
        <f>IFERROR(__xludf.DUMMYFUNCTION("""COMPUTED_VALUE"""),"KONEKTOR/JUMPER")</f>
        <v>KONEKTOR/JUMPER</v>
      </c>
      <c r="Q805" s="4">
        <f>IFERROR(__xludf.DUMMYFUNCTION("""COMPUTED_VALUE"""),22.0)</f>
        <v>22</v>
      </c>
      <c r="R805" s="4">
        <f>IFERROR(__xludf.DUMMYFUNCTION("""COMPUTED_VALUE"""),22.0)</f>
        <v>22</v>
      </c>
      <c r="S805" s="4">
        <f>IFERROR(__xludf.DUMMYFUNCTION("""COMPUTED_VALUE"""),22.0)</f>
        <v>22</v>
      </c>
      <c r="T805" s="4"/>
      <c r="U805" s="4" t="str">
        <f>IFERROR(__xludf.DUMMYFUNCTION("""COMPUTED_VALUE"""),"BAIK")</f>
        <v>BAIK</v>
      </c>
      <c r="V805" s="4" t="str">
        <f>IFERROR(__xludf.DUMMYFUNCTION("""COMPUTED_VALUE"""),"Tidak Ada")</f>
        <v>Tidak Ada</v>
      </c>
      <c r="W805" s="4"/>
      <c r="X805" s="4"/>
      <c r="Y805" s="4"/>
      <c r="Z805" s="4"/>
      <c r="AA805" s="4"/>
      <c r="AB805" s="4"/>
      <c r="AC805" s="4" t="str">
        <f>IFERROR(__xludf.DUMMYFUNCTION("""COMPUTED_VALUE"""),"INSPEKSI SUTM - T2_Images/cecc8299.FOTO.151302.jpg")</f>
        <v>INSPEKSI SUTM - T2_Images/cecc8299.FOTO.151302.jpg</v>
      </c>
      <c r="AD805" s="4"/>
      <c r="AE805" s="4"/>
      <c r="AF805" s="4" t="str">
        <f>IFERROR(__xludf.DUMMYFUNCTION("""COMPUTED_VALUE"""),"BELUM")</f>
        <v>BELUM</v>
      </c>
      <c r="AG805" s="6">
        <f>IFERROR(__xludf.DUMMYFUNCTION("""COMPUTED_VALUE"""),46094.0)</f>
        <v>46094</v>
      </c>
      <c r="AH805" s="4"/>
      <c r="AI805" s="4"/>
    </row>
    <row r="806" ht="15.75" customHeight="1">
      <c r="A806" s="4" t="str">
        <f>IFERROR(__xludf.DUMMYFUNCTION("""COMPUTED_VALUE"""),"e23c5938")</f>
        <v>e23c5938</v>
      </c>
      <c r="B806" s="5">
        <f>IFERROR(__xludf.DUMMYFUNCTION("""COMPUTED_VALUE"""),46094.91516203704)</f>
        <v>46094.91516</v>
      </c>
      <c r="C806" s="4" t="str">
        <f>IFERROR(__xludf.DUMMYFUNCTION("""COMPUTED_VALUE"""),"-6.949038, 107.611719")</f>
        <v>-6.949038, 107.611719</v>
      </c>
      <c r="D806" s="4" t="str">
        <f>IFERROR(__xludf.DUMMYFUNCTION("""COMPUTED_VALUE"""),"Nugi Firman")</f>
        <v>Nugi Firman</v>
      </c>
      <c r="E806" s="4" t="str">
        <f>IFERROR(__xludf.DUMMYFUNCTION("""COMPUTED_VALUE"""),"BANDUNG")</f>
        <v>BANDUNG</v>
      </c>
      <c r="F806" s="4" t="str">
        <f>IFERROR(__xludf.DUMMYFUNCTION("""COMPUTED_VALUE"""),"KOPO")</f>
        <v>KOPO</v>
      </c>
      <c r="G806" s="4" t="str">
        <f>IFERROR(__xludf.DUMMYFUNCTION("""COMPUTED_VALUE"""),"NEW CIBEUREUM")</f>
        <v>NEW CIBEUREUM</v>
      </c>
      <c r="H806" s="4" t="str">
        <f>IFERROR(__xludf.DUMMYFUNCTION("""COMPUTED_VALUE"""),"WTH")</f>
        <v>WTH</v>
      </c>
      <c r="I806" s="4" t="str">
        <f>IFERROR(__xludf.DUMMYFUNCTION("""COMPUTED_VALUE"""),"THIA - LBS THIA")</f>
        <v>THIA - LBS THIA</v>
      </c>
      <c r="J806" s="4" t="str">
        <f>IFERROR(__xludf.DUMMYFUNCTION("""COMPUTED_VALUE"""),"ZONA 2")</f>
        <v>ZONA 2</v>
      </c>
      <c r="K806" s="4" t="str">
        <f>IFERROR(__xludf.DUMMYFUNCTION("""COMPUTED_VALUE"""),"008")</f>
        <v>008</v>
      </c>
      <c r="L806" s="4" t="str">
        <f>IFERROR(__xludf.DUMMYFUNCTION("""COMPUTED_VALUE"""),"TM - 1B/H (Tumpu)")</f>
        <v>TM - 1B/H (Tumpu)</v>
      </c>
      <c r="M806" s="4" t="str">
        <f>IFERROR(__xludf.DUMMYFUNCTION("""COMPUTED_VALUE"""),"Tidak Ada")</f>
        <v>Tidak Ada</v>
      </c>
      <c r="N806" s="4"/>
      <c r="O806" s="4" t="str">
        <f>IFERROR(__xludf.DUMMYFUNCTION("""COMPUTED_VALUE"""),"PEMBANDING SEJENIS")</f>
        <v>PEMBANDING SEJENIS</v>
      </c>
      <c r="P806" s="4" t="str">
        <f>IFERROR(__xludf.DUMMYFUNCTION("""COMPUTED_VALUE"""),"ARRESTER")</f>
        <v>ARRESTER</v>
      </c>
      <c r="Q806" s="4">
        <f>IFERROR(__xludf.DUMMYFUNCTION("""COMPUTED_VALUE"""),22.0)</f>
        <v>22</v>
      </c>
      <c r="R806" s="4">
        <f>IFERROR(__xludf.DUMMYFUNCTION("""COMPUTED_VALUE"""),22.0)</f>
        <v>22</v>
      </c>
      <c r="S806" s="4">
        <f>IFERROR(__xludf.DUMMYFUNCTION("""COMPUTED_VALUE"""),21.0)</f>
        <v>21</v>
      </c>
      <c r="T806" s="4"/>
      <c r="U806" s="4" t="str">
        <f>IFERROR(__xludf.DUMMYFUNCTION("""COMPUTED_VALUE"""),"BAIK")</f>
        <v>BAIK</v>
      </c>
      <c r="V806" s="4" t="str">
        <f>IFERROR(__xludf.DUMMYFUNCTION("""COMPUTED_VALUE"""),"Tidak Ada")</f>
        <v>Tidak Ada</v>
      </c>
      <c r="W806" s="4"/>
      <c r="X806" s="4"/>
      <c r="Y806" s="4"/>
      <c r="Z806" s="4"/>
      <c r="AA806" s="4"/>
      <c r="AB806" s="4"/>
      <c r="AC806" s="4" t="str">
        <f>IFERROR(__xludf.DUMMYFUNCTION("""COMPUTED_VALUE"""),"INSPEKSI SUTM - T2_Images/e23c5938.FOTO.151306.jpg")</f>
        <v>INSPEKSI SUTM - T2_Images/e23c5938.FOTO.151306.jpg</v>
      </c>
      <c r="AD806" s="4"/>
      <c r="AE806" s="4"/>
      <c r="AF806" s="4" t="str">
        <f>IFERROR(__xludf.DUMMYFUNCTION("""COMPUTED_VALUE"""),"BELUM")</f>
        <v>BELUM</v>
      </c>
      <c r="AG806" s="6">
        <f>IFERROR(__xludf.DUMMYFUNCTION("""COMPUTED_VALUE"""),46094.0)</f>
        <v>46094</v>
      </c>
      <c r="AH806" s="4"/>
      <c r="AI806" s="4"/>
    </row>
    <row r="807" ht="15.75" customHeight="1">
      <c r="A807" s="4" t="str">
        <f>IFERROR(__xludf.DUMMYFUNCTION("""COMPUTED_VALUE"""),"81b7d3e3")</f>
        <v>81b7d3e3</v>
      </c>
      <c r="B807" s="5">
        <f>IFERROR(__xludf.DUMMYFUNCTION("""COMPUTED_VALUE"""),46094.91569444445)</f>
        <v>46094.91569</v>
      </c>
      <c r="C807" s="4" t="str">
        <f>IFERROR(__xludf.DUMMYFUNCTION("""COMPUTED_VALUE"""),"-6.949055, 107.611673")</f>
        <v>-6.949055, 107.611673</v>
      </c>
      <c r="D807" s="4" t="str">
        <f>IFERROR(__xludf.DUMMYFUNCTION("""COMPUTED_VALUE"""),"Nugi Firman")</f>
        <v>Nugi Firman</v>
      </c>
      <c r="E807" s="4" t="str">
        <f>IFERROR(__xludf.DUMMYFUNCTION("""COMPUTED_VALUE"""),"BANDUNG")</f>
        <v>BANDUNG</v>
      </c>
      <c r="F807" s="4" t="str">
        <f>IFERROR(__xludf.DUMMYFUNCTION("""COMPUTED_VALUE"""),"KOPO")</f>
        <v>KOPO</v>
      </c>
      <c r="G807" s="4" t="str">
        <f>IFERROR(__xludf.DUMMYFUNCTION("""COMPUTED_VALUE"""),"NEW CIBEUREUM")</f>
        <v>NEW CIBEUREUM</v>
      </c>
      <c r="H807" s="4" t="str">
        <f>IFERROR(__xludf.DUMMYFUNCTION("""COMPUTED_VALUE"""),"WTH")</f>
        <v>WTH</v>
      </c>
      <c r="I807" s="4" t="str">
        <f>IFERROR(__xludf.DUMMYFUNCTION("""COMPUTED_VALUE"""),"THIA - LBS THIA")</f>
        <v>THIA - LBS THIA</v>
      </c>
      <c r="J807" s="4" t="str">
        <f>IFERROR(__xludf.DUMMYFUNCTION("""COMPUTED_VALUE"""),"ZONA 2")</f>
        <v>ZONA 2</v>
      </c>
      <c r="K807" s="4" t="str">
        <f>IFERROR(__xludf.DUMMYFUNCTION("""COMPUTED_VALUE"""),"011")</f>
        <v>011</v>
      </c>
      <c r="L807" s="4" t="str">
        <f>IFERROR(__xludf.DUMMYFUNCTION("""COMPUTED_VALUE"""),"TM - 1B/H (Tumpu)")</f>
        <v>TM - 1B/H (Tumpu)</v>
      </c>
      <c r="M807" s="4" t="str">
        <f>IFERROR(__xludf.DUMMYFUNCTION("""COMPUTED_VALUE"""),"Tidak Ada")</f>
        <v>Tidak Ada</v>
      </c>
      <c r="N807" s="4"/>
      <c r="O807" s="4" t="str">
        <f>IFERROR(__xludf.DUMMYFUNCTION("""COMPUTED_VALUE"""),"PEMBANDING SEJENIS")</f>
        <v>PEMBANDING SEJENIS</v>
      </c>
      <c r="P807" s="4" t="str">
        <f>IFERROR(__xludf.DUMMYFUNCTION("""COMPUTED_VALUE"""),"ARRESTER")</f>
        <v>ARRESTER</v>
      </c>
      <c r="Q807" s="4">
        <f>IFERROR(__xludf.DUMMYFUNCTION("""COMPUTED_VALUE"""),21.0)</f>
        <v>21</v>
      </c>
      <c r="R807" s="4">
        <f>IFERROR(__xludf.DUMMYFUNCTION("""COMPUTED_VALUE"""),21.0)</f>
        <v>21</v>
      </c>
      <c r="S807" s="4">
        <f>IFERROR(__xludf.DUMMYFUNCTION("""COMPUTED_VALUE"""),21.0)</f>
        <v>21</v>
      </c>
      <c r="T807" s="4"/>
      <c r="U807" s="4" t="str">
        <f>IFERROR(__xludf.DUMMYFUNCTION("""COMPUTED_VALUE"""),"BAIK")</f>
        <v>BAIK</v>
      </c>
      <c r="V807" s="4" t="str">
        <f>IFERROR(__xludf.DUMMYFUNCTION("""COMPUTED_VALUE"""),"Tidak Ada")</f>
        <v>Tidak Ada</v>
      </c>
      <c r="W807" s="4"/>
      <c r="X807" s="4"/>
      <c r="Y807" s="4"/>
      <c r="Z807" s="4"/>
      <c r="AA807" s="4"/>
      <c r="AB807" s="4"/>
      <c r="AC807" s="4" t="str">
        <f>IFERROR(__xludf.DUMMYFUNCTION("""COMPUTED_VALUE"""),"INSPEKSI SUTM - T2_Images/81b7d3e3.FOTO.151310.jpg")</f>
        <v>INSPEKSI SUTM - T2_Images/81b7d3e3.FOTO.151310.jpg</v>
      </c>
      <c r="AD807" s="4"/>
      <c r="AE807" s="4"/>
      <c r="AF807" s="4" t="str">
        <f>IFERROR(__xludf.DUMMYFUNCTION("""COMPUTED_VALUE"""),"BELUM")</f>
        <v>BELUM</v>
      </c>
      <c r="AG807" s="6">
        <f>IFERROR(__xludf.DUMMYFUNCTION("""COMPUTED_VALUE"""),46094.0)</f>
        <v>46094</v>
      </c>
      <c r="AH807" s="4"/>
      <c r="AI807" s="4"/>
    </row>
    <row r="808" ht="15.75" customHeight="1">
      <c r="A808" s="4" t="str">
        <f>IFERROR(__xludf.DUMMYFUNCTION("""COMPUTED_VALUE"""),"c47c2440")</f>
        <v>c47c2440</v>
      </c>
      <c r="B808" s="5">
        <f>IFERROR(__xludf.DUMMYFUNCTION("""COMPUTED_VALUE"""),46094.91637731482)</f>
        <v>46094.91638</v>
      </c>
      <c r="C808" s="4" t="str">
        <f>IFERROR(__xludf.DUMMYFUNCTION("""COMPUTED_VALUE"""),"-6.949091, 107.611732")</f>
        <v>-6.949091, 107.611732</v>
      </c>
      <c r="D808" s="4" t="str">
        <f>IFERROR(__xludf.DUMMYFUNCTION("""COMPUTED_VALUE"""),"Nugi Firman")</f>
        <v>Nugi Firman</v>
      </c>
      <c r="E808" s="4" t="str">
        <f>IFERROR(__xludf.DUMMYFUNCTION("""COMPUTED_VALUE"""),"BANDUNG")</f>
        <v>BANDUNG</v>
      </c>
      <c r="F808" s="4" t="str">
        <f>IFERROR(__xludf.DUMMYFUNCTION("""COMPUTED_VALUE"""),"KOPO")</f>
        <v>KOPO</v>
      </c>
      <c r="G808" s="4" t="str">
        <f>IFERROR(__xludf.DUMMYFUNCTION("""COMPUTED_VALUE"""),"NEW CIBEUREUM")</f>
        <v>NEW CIBEUREUM</v>
      </c>
      <c r="H808" s="4" t="str">
        <f>IFERROR(__xludf.DUMMYFUNCTION("""COMPUTED_VALUE"""),"WTH")</f>
        <v>WTH</v>
      </c>
      <c r="I808" s="4" t="str">
        <f>IFERROR(__xludf.DUMMYFUNCTION("""COMPUTED_VALUE"""),"THIA - LBS THIA")</f>
        <v>THIA - LBS THIA</v>
      </c>
      <c r="J808" s="4" t="str">
        <f>IFERROR(__xludf.DUMMYFUNCTION("""COMPUTED_VALUE"""),"ZONA 2")</f>
        <v>ZONA 2</v>
      </c>
      <c r="K808" s="4" t="str">
        <f>IFERROR(__xludf.DUMMYFUNCTION("""COMPUTED_VALUE"""),"014")</f>
        <v>014</v>
      </c>
      <c r="L808" s="4" t="str">
        <f>IFERROR(__xludf.DUMMYFUNCTION("""COMPUTED_VALUE"""),"TM - 7B/H (Afspan 90 Derajat)")</f>
        <v>TM - 7B/H (Afspan 90 Derajat)</v>
      </c>
      <c r="M808" s="4" t="str">
        <f>IFERROR(__xludf.DUMMYFUNCTION("""COMPUTED_VALUE"""),"Tidak Ada")</f>
        <v>Tidak Ada</v>
      </c>
      <c r="N808" s="4"/>
      <c r="O808" s="4" t="str">
        <f>IFERROR(__xludf.DUMMYFUNCTION("""COMPUTED_VALUE"""),"PEMBANDING SEJENIS")</f>
        <v>PEMBANDING SEJENIS</v>
      </c>
      <c r="P808" s="4" t="str">
        <f>IFERROR(__xludf.DUMMYFUNCTION("""COMPUTED_VALUE"""),"KONEKTOR/JUMPER")</f>
        <v>KONEKTOR/JUMPER</v>
      </c>
      <c r="Q808" s="4">
        <f>IFERROR(__xludf.DUMMYFUNCTION("""COMPUTED_VALUE"""),23.0)</f>
        <v>23</v>
      </c>
      <c r="R808" s="4">
        <f>IFERROR(__xludf.DUMMYFUNCTION("""COMPUTED_VALUE"""),23.0)</f>
        <v>23</v>
      </c>
      <c r="S808" s="4">
        <f>IFERROR(__xludf.DUMMYFUNCTION("""COMPUTED_VALUE"""),23.0)</f>
        <v>23</v>
      </c>
      <c r="T808" s="4"/>
      <c r="U808" s="4" t="str">
        <f>IFERROR(__xludf.DUMMYFUNCTION("""COMPUTED_VALUE"""),"BAIK")</f>
        <v>BAIK</v>
      </c>
      <c r="V808" s="4" t="str">
        <f>IFERROR(__xludf.DUMMYFUNCTION("""COMPUTED_VALUE"""),"Tidak Ada")</f>
        <v>Tidak Ada</v>
      </c>
      <c r="W808" s="4"/>
      <c r="X808" s="4"/>
      <c r="Y808" s="4"/>
      <c r="Z808" s="4"/>
      <c r="AA808" s="4"/>
      <c r="AB808" s="4"/>
      <c r="AC808" s="4" t="str">
        <f>IFERROR(__xludf.DUMMYFUNCTION("""COMPUTED_VALUE"""),"INSPEKSI SUTM - T2_Images/c47c2440.FOTO.151314.jpg")</f>
        <v>INSPEKSI SUTM - T2_Images/c47c2440.FOTO.151314.jpg</v>
      </c>
      <c r="AD808" s="4"/>
      <c r="AE808" s="4"/>
      <c r="AF808" s="4" t="str">
        <f>IFERROR(__xludf.DUMMYFUNCTION("""COMPUTED_VALUE"""),"BELUM")</f>
        <v>BELUM</v>
      </c>
      <c r="AG808" s="6">
        <f>IFERROR(__xludf.DUMMYFUNCTION("""COMPUTED_VALUE"""),46094.0)</f>
        <v>46094</v>
      </c>
      <c r="AH808" s="4"/>
      <c r="AI808" s="4"/>
    </row>
    <row r="809" ht="15.75" customHeight="1">
      <c r="A809" s="4" t="str">
        <f>IFERROR(__xludf.DUMMYFUNCTION("""COMPUTED_VALUE"""),"a07270af")</f>
        <v>a07270af</v>
      </c>
      <c r="B809" s="5">
        <f>IFERROR(__xludf.DUMMYFUNCTION("""COMPUTED_VALUE"""),46094.917083333334)</f>
        <v>46094.91708</v>
      </c>
      <c r="C809" s="4" t="str">
        <f>IFERROR(__xludf.DUMMYFUNCTION("""COMPUTED_VALUE"""),"-6.949073, 107.611681")</f>
        <v>-6.949073, 107.611681</v>
      </c>
      <c r="D809" s="4" t="str">
        <f>IFERROR(__xludf.DUMMYFUNCTION("""COMPUTED_VALUE"""),"Nugi Firman")</f>
        <v>Nugi Firman</v>
      </c>
      <c r="E809" s="4" t="str">
        <f>IFERROR(__xludf.DUMMYFUNCTION("""COMPUTED_VALUE"""),"BANDUNG")</f>
        <v>BANDUNG</v>
      </c>
      <c r="F809" s="4" t="str">
        <f>IFERROR(__xludf.DUMMYFUNCTION("""COMPUTED_VALUE"""),"KOPO")</f>
        <v>KOPO</v>
      </c>
      <c r="G809" s="4" t="str">
        <f>IFERROR(__xludf.DUMMYFUNCTION("""COMPUTED_VALUE"""),"NEW CIBEUREUM")</f>
        <v>NEW CIBEUREUM</v>
      </c>
      <c r="H809" s="4" t="str">
        <f>IFERROR(__xludf.DUMMYFUNCTION("""COMPUTED_VALUE"""),"WTH")</f>
        <v>WTH</v>
      </c>
      <c r="I809" s="4" t="str">
        <f>IFERROR(__xludf.DUMMYFUNCTION("""COMPUTED_VALUE"""),"THIA - LBS THIA")</f>
        <v>THIA - LBS THIA</v>
      </c>
      <c r="J809" s="4" t="str">
        <f>IFERROR(__xludf.DUMMYFUNCTION("""COMPUTED_VALUE"""),"ZONA 2")</f>
        <v>ZONA 2</v>
      </c>
      <c r="K809" s="4" t="str">
        <f>IFERROR(__xludf.DUMMYFUNCTION("""COMPUTED_VALUE"""),"015")</f>
        <v>015</v>
      </c>
      <c r="L809" s="4" t="str">
        <f>IFERROR(__xludf.DUMMYFUNCTION("""COMPUTED_VALUE"""),"TM - 1B/H (Tumpu)")</f>
        <v>TM - 1B/H (Tumpu)</v>
      </c>
      <c r="M809" s="4" t="str">
        <f>IFERROR(__xludf.DUMMYFUNCTION("""COMPUTED_VALUE"""),"Tidak Ada")</f>
        <v>Tidak Ada</v>
      </c>
      <c r="N809" s="4"/>
      <c r="O809" s="4" t="str">
        <f>IFERROR(__xludf.DUMMYFUNCTION("""COMPUTED_VALUE"""),"PEMBANDING SEJENIS")</f>
        <v>PEMBANDING SEJENIS</v>
      </c>
      <c r="P809" s="4" t="str">
        <f>IFERROR(__xludf.DUMMYFUNCTION("""COMPUTED_VALUE"""),"ARRESTER")</f>
        <v>ARRESTER</v>
      </c>
      <c r="Q809" s="4">
        <f>IFERROR(__xludf.DUMMYFUNCTION("""COMPUTED_VALUE"""),22.0)</f>
        <v>22</v>
      </c>
      <c r="R809" s="4">
        <f>IFERROR(__xludf.DUMMYFUNCTION("""COMPUTED_VALUE"""),23.0)</f>
        <v>23</v>
      </c>
      <c r="S809" s="4">
        <f>IFERROR(__xludf.DUMMYFUNCTION("""COMPUTED_VALUE"""),22.0)</f>
        <v>22</v>
      </c>
      <c r="T809" s="4"/>
      <c r="U809" s="4" t="str">
        <f>IFERROR(__xludf.DUMMYFUNCTION("""COMPUTED_VALUE"""),"BAIK")</f>
        <v>BAIK</v>
      </c>
      <c r="V809" s="4" t="str">
        <f>IFERROR(__xludf.DUMMYFUNCTION("""COMPUTED_VALUE"""),"Tidak Ada")</f>
        <v>Tidak Ada</v>
      </c>
      <c r="W809" s="4"/>
      <c r="X809" s="4"/>
      <c r="Y809" s="4"/>
      <c r="Z809" s="4"/>
      <c r="AA809" s="4"/>
      <c r="AB809" s="4"/>
      <c r="AC809" s="4" t="str">
        <f>IFERROR(__xludf.DUMMYFUNCTION("""COMPUTED_VALUE"""),"INSPEKSI SUTM - T2_Images/a07270af.FOTO.151318.jpg")</f>
        <v>INSPEKSI SUTM - T2_Images/a07270af.FOTO.151318.jpg</v>
      </c>
      <c r="AD809" s="4"/>
      <c r="AE809" s="4"/>
      <c r="AF809" s="4" t="str">
        <f>IFERROR(__xludf.DUMMYFUNCTION("""COMPUTED_VALUE"""),"BELUM")</f>
        <v>BELUM</v>
      </c>
      <c r="AG809" s="6">
        <f>IFERROR(__xludf.DUMMYFUNCTION("""COMPUTED_VALUE"""),46094.0)</f>
        <v>46094</v>
      </c>
      <c r="AH809" s="4"/>
      <c r="AI809" s="4"/>
    </row>
    <row r="810" ht="15.75" customHeight="1">
      <c r="A810" s="4" t="str">
        <f>IFERROR(__xludf.DUMMYFUNCTION("""COMPUTED_VALUE"""),"f6c19620")</f>
        <v>f6c19620</v>
      </c>
      <c r="B810" s="5">
        <f>IFERROR(__xludf.DUMMYFUNCTION("""COMPUTED_VALUE"""),46094.917916666665)</f>
        <v>46094.91792</v>
      </c>
      <c r="C810" s="4" t="str">
        <f>IFERROR(__xludf.DUMMYFUNCTION("""COMPUTED_VALUE"""),"-6.949086, 107.611737")</f>
        <v>-6.949086, 107.611737</v>
      </c>
      <c r="D810" s="4" t="str">
        <f>IFERROR(__xludf.DUMMYFUNCTION("""COMPUTED_VALUE"""),"Nugi Firman")</f>
        <v>Nugi Firman</v>
      </c>
      <c r="E810" s="4" t="str">
        <f>IFERROR(__xludf.DUMMYFUNCTION("""COMPUTED_VALUE"""),"BANDUNG")</f>
        <v>BANDUNG</v>
      </c>
      <c r="F810" s="4" t="str">
        <f>IFERROR(__xludf.DUMMYFUNCTION("""COMPUTED_VALUE"""),"KOPO")</f>
        <v>KOPO</v>
      </c>
      <c r="G810" s="4" t="str">
        <f>IFERROR(__xludf.DUMMYFUNCTION("""COMPUTED_VALUE"""),"NEW CIBEUREUM")</f>
        <v>NEW CIBEUREUM</v>
      </c>
      <c r="H810" s="4" t="str">
        <f>IFERROR(__xludf.DUMMYFUNCTION("""COMPUTED_VALUE"""),"WTH")</f>
        <v>WTH</v>
      </c>
      <c r="I810" s="4" t="str">
        <f>IFERROR(__xludf.DUMMYFUNCTION("""COMPUTED_VALUE"""),"THIA - LBS THIA")</f>
        <v>THIA - LBS THIA</v>
      </c>
      <c r="J810" s="4" t="str">
        <f>IFERROR(__xludf.DUMMYFUNCTION("""COMPUTED_VALUE"""),"ZONA 2")</f>
        <v>ZONA 2</v>
      </c>
      <c r="K810" s="4" t="str">
        <f>IFERROR(__xludf.DUMMYFUNCTION("""COMPUTED_VALUE"""),"018")</f>
        <v>018</v>
      </c>
      <c r="L810" s="4" t="str">
        <f>IFERROR(__xludf.DUMMYFUNCTION("""COMPUTED_VALUE"""),"TM - 4B/H (Afspan)")</f>
        <v>TM - 4B/H (Afspan)</v>
      </c>
      <c r="M810" s="4" t="str">
        <f>IFERROR(__xludf.DUMMYFUNCTION("""COMPUTED_VALUE"""),"Tidak Ada")</f>
        <v>Tidak Ada</v>
      </c>
      <c r="N810" s="4"/>
      <c r="O810" s="4" t="str">
        <f>IFERROR(__xludf.DUMMYFUNCTION("""COMPUTED_VALUE"""),"PEMBANDING SEJENIS")</f>
        <v>PEMBANDING SEJENIS</v>
      </c>
      <c r="P810" s="4" t="str">
        <f>IFERROR(__xludf.DUMMYFUNCTION("""COMPUTED_VALUE"""),"KONEKTOR/JUMPER")</f>
        <v>KONEKTOR/JUMPER</v>
      </c>
      <c r="Q810" s="4">
        <f>IFERROR(__xludf.DUMMYFUNCTION("""COMPUTED_VALUE"""),21.0)</f>
        <v>21</v>
      </c>
      <c r="R810" s="4">
        <f>IFERROR(__xludf.DUMMYFUNCTION("""COMPUTED_VALUE"""),22.0)</f>
        <v>22</v>
      </c>
      <c r="S810" s="4">
        <f>IFERROR(__xludf.DUMMYFUNCTION("""COMPUTED_VALUE"""),22.0)</f>
        <v>22</v>
      </c>
      <c r="T810" s="4"/>
      <c r="U810" s="4" t="str">
        <f>IFERROR(__xludf.DUMMYFUNCTION("""COMPUTED_VALUE"""),"BAIK")</f>
        <v>BAIK</v>
      </c>
      <c r="V810" s="4" t="str">
        <f>IFERROR(__xludf.DUMMYFUNCTION("""COMPUTED_VALUE"""),"Tidak Ada")</f>
        <v>Tidak Ada</v>
      </c>
      <c r="W810" s="4"/>
      <c r="X810" s="4"/>
      <c r="Y810" s="4"/>
      <c r="Z810" s="4"/>
      <c r="AA810" s="4"/>
      <c r="AB810" s="4"/>
      <c r="AC810" s="4" t="str">
        <f>IFERROR(__xludf.DUMMYFUNCTION("""COMPUTED_VALUE"""),"INSPEKSI SUTM - T2_Images/f6c19620.FOTO.151324.jpg")</f>
        <v>INSPEKSI SUTM - T2_Images/f6c19620.FOTO.151324.jpg</v>
      </c>
      <c r="AD810" s="4"/>
      <c r="AE810" s="4"/>
      <c r="AF810" s="4" t="str">
        <f>IFERROR(__xludf.DUMMYFUNCTION("""COMPUTED_VALUE"""),"BELUM")</f>
        <v>BELUM</v>
      </c>
      <c r="AG810" s="6">
        <f>IFERROR(__xludf.DUMMYFUNCTION("""COMPUTED_VALUE"""),46094.0)</f>
        <v>46094</v>
      </c>
      <c r="AH810" s="4"/>
      <c r="AI810" s="4"/>
    </row>
    <row r="811" ht="15.75" customHeight="1">
      <c r="A811" s="4" t="str">
        <f>IFERROR(__xludf.DUMMYFUNCTION("""COMPUTED_VALUE"""),"70f8f788")</f>
        <v>70f8f788</v>
      </c>
      <c r="B811" s="5">
        <f>IFERROR(__xludf.DUMMYFUNCTION("""COMPUTED_VALUE"""),46094.91835648148)</f>
        <v>46094.91836</v>
      </c>
      <c r="C811" s="4" t="str">
        <f>IFERROR(__xludf.DUMMYFUNCTION("""COMPUTED_VALUE"""),"-6.949064, 107.611676")</f>
        <v>-6.949064, 107.611676</v>
      </c>
      <c r="D811" s="4" t="str">
        <f>IFERROR(__xludf.DUMMYFUNCTION("""COMPUTED_VALUE"""),"Nugi Firman")</f>
        <v>Nugi Firman</v>
      </c>
      <c r="E811" s="4" t="str">
        <f>IFERROR(__xludf.DUMMYFUNCTION("""COMPUTED_VALUE"""),"BANDUNG")</f>
        <v>BANDUNG</v>
      </c>
      <c r="F811" s="4" t="str">
        <f>IFERROR(__xludf.DUMMYFUNCTION("""COMPUTED_VALUE"""),"KOPO")</f>
        <v>KOPO</v>
      </c>
      <c r="G811" s="4" t="str">
        <f>IFERROR(__xludf.DUMMYFUNCTION("""COMPUTED_VALUE"""),"NEW CIBEUREUM")</f>
        <v>NEW CIBEUREUM</v>
      </c>
      <c r="H811" s="4" t="str">
        <f>IFERROR(__xludf.DUMMYFUNCTION("""COMPUTED_VALUE"""),"WTH")</f>
        <v>WTH</v>
      </c>
      <c r="I811" s="4" t="str">
        <f>IFERROR(__xludf.DUMMYFUNCTION("""COMPUTED_VALUE"""),"THIA - LBS THIA")</f>
        <v>THIA - LBS THIA</v>
      </c>
      <c r="J811" s="4" t="str">
        <f>IFERROR(__xludf.DUMMYFUNCTION("""COMPUTED_VALUE"""),"ZONA 2")</f>
        <v>ZONA 2</v>
      </c>
      <c r="K811" s="4" t="str">
        <f>IFERROR(__xludf.DUMMYFUNCTION("""COMPUTED_VALUE"""),"019")</f>
        <v>019</v>
      </c>
      <c r="L811" s="4" t="str">
        <f>IFERROR(__xludf.DUMMYFUNCTION("""COMPUTED_VALUE"""),"TM - 1B/H (Tumpu)")</f>
        <v>TM - 1B/H (Tumpu)</v>
      </c>
      <c r="M811" s="4" t="str">
        <f>IFERROR(__xludf.DUMMYFUNCTION("""COMPUTED_VALUE"""),"Tidak Ada")</f>
        <v>Tidak Ada</v>
      </c>
      <c r="N811" s="4"/>
      <c r="O811" s="4" t="str">
        <f>IFERROR(__xludf.DUMMYFUNCTION("""COMPUTED_VALUE"""),"PEMBANDING SEJENIS")</f>
        <v>PEMBANDING SEJENIS</v>
      </c>
      <c r="P811" s="4" t="str">
        <f>IFERROR(__xludf.DUMMYFUNCTION("""COMPUTED_VALUE"""),"ARRESTER")</f>
        <v>ARRESTER</v>
      </c>
      <c r="Q811" s="4">
        <f>IFERROR(__xludf.DUMMYFUNCTION("""COMPUTED_VALUE"""),22.0)</f>
        <v>22</v>
      </c>
      <c r="R811" s="4">
        <f>IFERROR(__xludf.DUMMYFUNCTION("""COMPUTED_VALUE"""),22.0)</f>
        <v>22</v>
      </c>
      <c r="S811" s="4">
        <f>IFERROR(__xludf.DUMMYFUNCTION("""COMPUTED_VALUE"""),22.0)</f>
        <v>22</v>
      </c>
      <c r="T811" s="4"/>
      <c r="U811" s="4" t="str">
        <f>IFERROR(__xludf.DUMMYFUNCTION("""COMPUTED_VALUE"""),"BAIK")</f>
        <v>BAIK</v>
      </c>
      <c r="V811" s="4" t="str">
        <f>IFERROR(__xludf.DUMMYFUNCTION("""COMPUTED_VALUE"""),"Tidak Ada")</f>
        <v>Tidak Ada</v>
      </c>
      <c r="W811" s="4"/>
      <c r="X811" s="4"/>
      <c r="Y811" s="4"/>
      <c r="Z811" s="4"/>
      <c r="AA811" s="4"/>
      <c r="AB811" s="4"/>
      <c r="AC811" s="4" t="str">
        <f>IFERROR(__xludf.DUMMYFUNCTION("""COMPUTED_VALUE"""),"INSPEKSI SUTM - T2_Images/70f8f788.FOTO.151329.jpg")</f>
        <v>INSPEKSI SUTM - T2_Images/70f8f788.FOTO.151329.jpg</v>
      </c>
      <c r="AD811" s="4"/>
      <c r="AE811" s="4"/>
      <c r="AF811" s="4" t="str">
        <f>IFERROR(__xludf.DUMMYFUNCTION("""COMPUTED_VALUE"""),"BELUM")</f>
        <v>BELUM</v>
      </c>
      <c r="AG811" s="6">
        <f>IFERROR(__xludf.DUMMYFUNCTION("""COMPUTED_VALUE"""),46094.0)</f>
        <v>46094</v>
      </c>
      <c r="AH811" s="4"/>
      <c r="AI811" s="4"/>
    </row>
    <row r="812" ht="15.75" customHeight="1">
      <c r="A812" s="4" t="str">
        <f>IFERROR(__xludf.DUMMYFUNCTION("""COMPUTED_VALUE"""),"4f3a9449")</f>
        <v>4f3a9449</v>
      </c>
      <c r="B812" s="5">
        <f>IFERROR(__xludf.DUMMYFUNCTION("""COMPUTED_VALUE"""),46094.91903935185)</f>
        <v>46094.91904</v>
      </c>
      <c r="C812" s="4" t="str">
        <f>IFERROR(__xludf.DUMMYFUNCTION("""COMPUTED_VALUE"""),"-6.949099, 107.611765")</f>
        <v>-6.949099, 107.611765</v>
      </c>
      <c r="D812" s="4" t="str">
        <f>IFERROR(__xludf.DUMMYFUNCTION("""COMPUTED_VALUE"""),"Nugi Firman")</f>
        <v>Nugi Firman</v>
      </c>
      <c r="E812" s="4" t="str">
        <f>IFERROR(__xludf.DUMMYFUNCTION("""COMPUTED_VALUE"""),"BANDUNG")</f>
        <v>BANDUNG</v>
      </c>
      <c r="F812" s="4" t="str">
        <f>IFERROR(__xludf.DUMMYFUNCTION("""COMPUTED_VALUE"""),"KOPO")</f>
        <v>KOPO</v>
      </c>
      <c r="G812" s="4" t="str">
        <f>IFERROR(__xludf.DUMMYFUNCTION("""COMPUTED_VALUE"""),"NEW CIBEUREUM")</f>
        <v>NEW CIBEUREUM</v>
      </c>
      <c r="H812" s="4" t="str">
        <f>IFERROR(__xludf.DUMMYFUNCTION("""COMPUTED_VALUE"""),"WTH")</f>
        <v>WTH</v>
      </c>
      <c r="I812" s="4" t="str">
        <f>IFERROR(__xludf.DUMMYFUNCTION("""COMPUTED_VALUE"""),"THIA - LBS THIA")</f>
        <v>THIA - LBS THIA</v>
      </c>
      <c r="J812" s="4" t="str">
        <f>IFERROR(__xludf.DUMMYFUNCTION("""COMPUTED_VALUE"""),"ZONA 2")</f>
        <v>ZONA 2</v>
      </c>
      <c r="K812" s="4" t="str">
        <f>IFERROR(__xludf.DUMMYFUNCTION("""COMPUTED_VALUE"""),"022")</f>
        <v>022</v>
      </c>
      <c r="L812" s="4" t="str">
        <f>IFERROR(__xludf.DUMMYFUNCTION("""COMPUTED_VALUE"""),"TM - 1B/H (Tumpu)")</f>
        <v>TM - 1B/H (Tumpu)</v>
      </c>
      <c r="M812" s="4" t="str">
        <f>IFERROR(__xludf.DUMMYFUNCTION("""COMPUTED_VALUE"""),"Tidak Ada")</f>
        <v>Tidak Ada</v>
      </c>
      <c r="N812" s="4"/>
      <c r="O812" s="4" t="str">
        <f>IFERROR(__xludf.DUMMYFUNCTION("""COMPUTED_VALUE"""),"PEMBANDING SEJENIS")</f>
        <v>PEMBANDING SEJENIS</v>
      </c>
      <c r="P812" s="4" t="str">
        <f>IFERROR(__xludf.DUMMYFUNCTION("""COMPUTED_VALUE"""),"ARRESTER")</f>
        <v>ARRESTER</v>
      </c>
      <c r="Q812" s="4">
        <f>IFERROR(__xludf.DUMMYFUNCTION("""COMPUTED_VALUE"""),20.0)</f>
        <v>20</v>
      </c>
      <c r="R812" s="4">
        <f>IFERROR(__xludf.DUMMYFUNCTION("""COMPUTED_VALUE"""),21.0)</f>
        <v>21</v>
      </c>
      <c r="S812" s="4">
        <f>IFERROR(__xludf.DUMMYFUNCTION("""COMPUTED_VALUE"""),21.0)</f>
        <v>21</v>
      </c>
      <c r="T812" s="4"/>
      <c r="U812" s="4" t="str">
        <f>IFERROR(__xludf.DUMMYFUNCTION("""COMPUTED_VALUE"""),"BAIK")</f>
        <v>BAIK</v>
      </c>
      <c r="V812" s="4" t="str">
        <f>IFERROR(__xludf.DUMMYFUNCTION("""COMPUTED_VALUE"""),"Tidak Ada")</f>
        <v>Tidak Ada</v>
      </c>
      <c r="W812" s="4"/>
      <c r="X812" s="4"/>
      <c r="Y812" s="4"/>
      <c r="Z812" s="4"/>
      <c r="AA812" s="4"/>
      <c r="AB812" s="4"/>
      <c r="AC812" s="4" t="str">
        <f>IFERROR(__xludf.DUMMYFUNCTION("""COMPUTED_VALUE"""),"INSPEKSI SUTM - T2_Images/4f3a9449.FOTO.151333.jpg")</f>
        <v>INSPEKSI SUTM - T2_Images/4f3a9449.FOTO.151333.jpg</v>
      </c>
      <c r="AD812" s="4"/>
      <c r="AE812" s="4"/>
      <c r="AF812" s="4" t="str">
        <f>IFERROR(__xludf.DUMMYFUNCTION("""COMPUTED_VALUE"""),"BELUM")</f>
        <v>BELUM</v>
      </c>
      <c r="AG812" s="6">
        <f>IFERROR(__xludf.DUMMYFUNCTION("""COMPUTED_VALUE"""),46094.0)</f>
        <v>46094</v>
      </c>
      <c r="AH812" s="4"/>
      <c r="AI812" s="4"/>
    </row>
    <row r="813" ht="15.75" customHeight="1">
      <c r="A813" s="4" t="str">
        <f>IFERROR(__xludf.DUMMYFUNCTION("""COMPUTED_VALUE"""),"3494df43")</f>
        <v>3494df43</v>
      </c>
      <c r="B813" s="5">
        <f>IFERROR(__xludf.DUMMYFUNCTION("""COMPUTED_VALUE"""),46094.91946759259)</f>
        <v>46094.91947</v>
      </c>
      <c r="C813" s="4" t="str">
        <f>IFERROR(__xludf.DUMMYFUNCTION("""COMPUTED_VALUE"""),"-6.949066, 107.611704")</f>
        <v>-6.949066, 107.611704</v>
      </c>
      <c r="D813" s="4" t="str">
        <f>IFERROR(__xludf.DUMMYFUNCTION("""COMPUTED_VALUE"""),"Nugi Firman")</f>
        <v>Nugi Firman</v>
      </c>
      <c r="E813" s="4" t="str">
        <f>IFERROR(__xludf.DUMMYFUNCTION("""COMPUTED_VALUE"""),"BANDUNG")</f>
        <v>BANDUNG</v>
      </c>
      <c r="F813" s="4" t="str">
        <f>IFERROR(__xludf.DUMMYFUNCTION("""COMPUTED_VALUE"""),"KOPO")</f>
        <v>KOPO</v>
      </c>
      <c r="G813" s="4" t="str">
        <f>IFERROR(__xludf.DUMMYFUNCTION("""COMPUTED_VALUE"""),"NEW CIBEUREUM")</f>
        <v>NEW CIBEUREUM</v>
      </c>
      <c r="H813" s="4" t="str">
        <f>IFERROR(__xludf.DUMMYFUNCTION("""COMPUTED_VALUE"""),"WTH")</f>
        <v>WTH</v>
      </c>
      <c r="I813" s="4" t="str">
        <f>IFERROR(__xludf.DUMMYFUNCTION("""COMPUTED_VALUE"""),"THIA - LBS THIA")</f>
        <v>THIA - LBS THIA</v>
      </c>
      <c r="J813" s="4" t="str">
        <f>IFERROR(__xludf.DUMMYFUNCTION("""COMPUTED_VALUE"""),"ZONA 2")</f>
        <v>ZONA 2</v>
      </c>
      <c r="K813" s="4" t="str">
        <f>IFERROR(__xludf.DUMMYFUNCTION("""COMPUTED_VALUE"""),"025")</f>
        <v>025</v>
      </c>
      <c r="L813" s="4" t="str">
        <f>IFERROR(__xludf.DUMMYFUNCTION("""COMPUTED_VALUE"""),"TM - 8B/H (Percabangan)")</f>
        <v>TM - 8B/H (Percabangan)</v>
      </c>
      <c r="M813" s="4" t="str">
        <f>IFERROR(__xludf.DUMMYFUNCTION("""COMPUTED_VALUE"""),"Tidak Ada")</f>
        <v>Tidak Ada</v>
      </c>
      <c r="N813" s="4"/>
      <c r="O813" s="4" t="str">
        <f>IFERROR(__xludf.DUMMYFUNCTION("""COMPUTED_VALUE"""),"PEMBANDING SEJENIS")</f>
        <v>PEMBANDING SEJENIS</v>
      </c>
      <c r="P813" s="4" t="str">
        <f>IFERROR(__xludf.DUMMYFUNCTION("""COMPUTED_VALUE"""),"KONEKTOR/JUMPER")</f>
        <v>KONEKTOR/JUMPER</v>
      </c>
      <c r="Q813" s="4">
        <f>IFERROR(__xludf.DUMMYFUNCTION("""COMPUTED_VALUE"""),23.0)</f>
        <v>23</v>
      </c>
      <c r="R813" s="4">
        <f>IFERROR(__xludf.DUMMYFUNCTION("""COMPUTED_VALUE"""),24.0)</f>
        <v>24</v>
      </c>
      <c r="S813" s="4">
        <f>IFERROR(__xludf.DUMMYFUNCTION("""COMPUTED_VALUE"""),23.0)</f>
        <v>23</v>
      </c>
      <c r="T813" s="4"/>
      <c r="U813" s="4" t="str">
        <f>IFERROR(__xludf.DUMMYFUNCTION("""COMPUTED_VALUE"""),"BAIK")</f>
        <v>BAIK</v>
      </c>
      <c r="V813" s="4" t="str">
        <f>IFERROR(__xludf.DUMMYFUNCTION("""COMPUTED_VALUE"""),"Tidak Ada")</f>
        <v>Tidak Ada</v>
      </c>
      <c r="W813" s="4"/>
      <c r="X813" s="4"/>
      <c r="Y813" s="4"/>
      <c r="Z813" s="4"/>
      <c r="AA813" s="4"/>
      <c r="AB813" s="4"/>
      <c r="AC813" s="4" t="str">
        <f>IFERROR(__xludf.DUMMYFUNCTION("""COMPUTED_VALUE"""),"INSPEKSI SUTM - T2_Images/3494df43.FOTO.151338.jpg")</f>
        <v>INSPEKSI SUTM - T2_Images/3494df43.FOTO.151338.jpg</v>
      </c>
      <c r="AD813" s="4"/>
      <c r="AE813" s="4"/>
      <c r="AF813" s="4" t="str">
        <f>IFERROR(__xludf.DUMMYFUNCTION("""COMPUTED_VALUE"""),"BELUM")</f>
        <v>BELUM</v>
      </c>
      <c r="AG813" s="6">
        <f>IFERROR(__xludf.DUMMYFUNCTION("""COMPUTED_VALUE"""),46094.0)</f>
        <v>46094</v>
      </c>
      <c r="AH813" s="4"/>
      <c r="AI813" s="4"/>
    </row>
    <row r="814" ht="15.75" customHeight="1">
      <c r="A814" s="4" t="str">
        <f>IFERROR(__xludf.DUMMYFUNCTION("""COMPUTED_VALUE"""),"c59520c6")</f>
        <v>c59520c6</v>
      </c>
      <c r="B814" s="5">
        <f>IFERROR(__xludf.DUMMYFUNCTION("""COMPUTED_VALUE"""),46094.92010416667)</f>
        <v>46094.9201</v>
      </c>
      <c r="C814" s="4" t="str">
        <f>IFERROR(__xludf.DUMMYFUNCTION("""COMPUTED_VALUE"""),"-6.949138, 107.611770")</f>
        <v>-6.949138, 107.611770</v>
      </c>
      <c r="D814" s="4" t="str">
        <f>IFERROR(__xludf.DUMMYFUNCTION("""COMPUTED_VALUE"""),"Nugi Firman")</f>
        <v>Nugi Firman</v>
      </c>
      <c r="E814" s="4" t="str">
        <f>IFERROR(__xludf.DUMMYFUNCTION("""COMPUTED_VALUE"""),"BANDUNG")</f>
        <v>BANDUNG</v>
      </c>
      <c r="F814" s="4" t="str">
        <f>IFERROR(__xludf.DUMMYFUNCTION("""COMPUTED_VALUE"""),"KOPO")</f>
        <v>KOPO</v>
      </c>
      <c r="G814" s="4" t="str">
        <f>IFERROR(__xludf.DUMMYFUNCTION("""COMPUTED_VALUE"""),"NEW CIBEUREUM")</f>
        <v>NEW CIBEUREUM</v>
      </c>
      <c r="H814" s="4" t="str">
        <f>IFERROR(__xludf.DUMMYFUNCTION("""COMPUTED_VALUE"""),"WTH")</f>
        <v>WTH</v>
      </c>
      <c r="I814" s="4" t="str">
        <f>IFERROR(__xludf.DUMMYFUNCTION("""COMPUTED_VALUE"""),"THIA - LBS THIA")</f>
        <v>THIA - LBS THIA</v>
      </c>
      <c r="J814" s="4" t="str">
        <f>IFERROR(__xludf.DUMMYFUNCTION("""COMPUTED_VALUE"""),"ZONA 2")</f>
        <v>ZONA 2</v>
      </c>
      <c r="K814" s="4" t="str">
        <f>IFERROR(__xludf.DUMMYFUNCTION("""COMPUTED_VALUE"""),"025L02")</f>
        <v>025L02</v>
      </c>
      <c r="L814" s="4" t="str">
        <f>IFERROR(__xludf.DUMMYFUNCTION("""COMPUTED_VALUE"""),"TM - 4B/H (Afspan)")</f>
        <v>TM - 4B/H (Afspan)</v>
      </c>
      <c r="M814" s="4" t="str">
        <f>IFERROR(__xludf.DUMMYFUNCTION("""COMPUTED_VALUE"""),"Tidak Ada")</f>
        <v>Tidak Ada</v>
      </c>
      <c r="N814" s="4"/>
      <c r="O814" s="4" t="str">
        <f>IFERROR(__xludf.DUMMYFUNCTION("""COMPUTED_VALUE"""),"PEMBANDING SEJENIS")</f>
        <v>PEMBANDING SEJENIS</v>
      </c>
      <c r="P814" s="4" t="str">
        <f>IFERROR(__xludf.DUMMYFUNCTION("""COMPUTED_VALUE"""),"KONEKTOR/JUMPER")</f>
        <v>KONEKTOR/JUMPER</v>
      </c>
      <c r="Q814" s="4">
        <f>IFERROR(__xludf.DUMMYFUNCTION("""COMPUTED_VALUE"""),22.0)</f>
        <v>22</v>
      </c>
      <c r="R814" s="4">
        <f>IFERROR(__xludf.DUMMYFUNCTION("""COMPUTED_VALUE"""),21.0)</f>
        <v>21</v>
      </c>
      <c r="S814" s="4">
        <f>IFERROR(__xludf.DUMMYFUNCTION("""COMPUTED_VALUE"""),22.0)</f>
        <v>22</v>
      </c>
      <c r="T814" s="4"/>
      <c r="U814" s="4" t="str">
        <f>IFERROR(__xludf.DUMMYFUNCTION("""COMPUTED_VALUE"""),"BAIK")</f>
        <v>BAIK</v>
      </c>
      <c r="V814" s="4" t="str">
        <f>IFERROR(__xludf.DUMMYFUNCTION("""COMPUTED_VALUE"""),"Tidak Ada")</f>
        <v>Tidak Ada</v>
      </c>
      <c r="W814" s="4"/>
      <c r="X814" s="4"/>
      <c r="Y814" s="4"/>
      <c r="Z814" s="4"/>
      <c r="AA814" s="4"/>
      <c r="AB814" s="4"/>
      <c r="AC814" s="4" t="str">
        <f>IFERROR(__xludf.DUMMYFUNCTION("""COMPUTED_VALUE"""),"INSPEKSI SUTM - T2_Images/c59520c6.FOTO.151342.jpg")</f>
        <v>INSPEKSI SUTM - T2_Images/c59520c6.FOTO.151342.jpg</v>
      </c>
      <c r="AD814" s="4"/>
      <c r="AE814" s="4"/>
      <c r="AF814" s="4" t="str">
        <f>IFERROR(__xludf.DUMMYFUNCTION("""COMPUTED_VALUE"""),"BELUM")</f>
        <v>BELUM</v>
      </c>
      <c r="AG814" s="6">
        <f>IFERROR(__xludf.DUMMYFUNCTION("""COMPUTED_VALUE"""),46094.0)</f>
        <v>46094</v>
      </c>
      <c r="AH814" s="4"/>
      <c r="AI814" s="4"/>
    </row>
    <row r="815" ht="15.75" customHeight="1">
      <c r="A815" s="4" t="str">
        <f>IFERROR(__xludf.DUMMYFUNCTION("""COMPUTED_VALUE"""),"481e772c")</f>
        <v>481e772c</v>
      </c>
      <c r="B815" s="5">
        <f>IFERROR(__xludf.DUMMYFUNCTION("""COMPUTED_VALUE"""),46094.92053240741)</f>
        <v>46094.92053</v>
      </c>
      <c r="C815" s="4" t="str">
        <f>IFERROR(__xludf.DUMMYFUNCTION("""COMPUTED_VALUE"""),"-6.949013, 107.611652")</f>
        <v>-6.949013, 107.611652</v>
      </c>
      <c r="D815" s="4" t="str">
        <f>IFERROR(__xludf.DUMMYFUNCTION("""COMPUTED_VALUE"""),"Nugi Firman")</f>
        <v>Nugi Firman</v>
      </c>
      <c r="E815" s="4" t="str">
        <f>IFERROR(__xludf.DUMMYFUNCTION("""COMPUTED_VALUE"""),"BANDUNG")</f>
        <v>BANDUNG</v>
      </c>
      <c r="F815" s="4" t="str">
        <f>IFERROR(__xludf.DUMMYFUNCTION("""COMPUTED_VALUE"""),"KOPO")</f>
        <v>KOPO</v>
      </c>
      <c r="G815" s="4" t="str">
        <f>IFERROR(__xludf.DUMMYFUNCTION("""COMPUTED_VALUE"""),"NEW CIBEUREUM")</f>
        <v>NEW CIBEUREUM</v>
      </c>
      <c r="H815" s="4" t="str">
        <f>IFERROR(__xludf.DUMMYFUNCTION("""COMPUTED_VALUE"""),"WTH")</f>
        <v>WTH</v>
      </c>
      <c r="I815" s="4" t="str">
        <f>IFERROR(__xludf.DUMMYFUNCTION("""COMPUTED_VALUE"""),"THIA - LBS THIA")</f>
        <v>THIA - LBS THIA</v>
      </c>
      <c r="J815" s="4" t="str">
        <f>IFERROR(__xludf.DUMMYFUNCTION("""COMPUTED_VALUE"""),"ZONA 2")</f>
        <v>ZONA 2</v>
      </c>
      <c r="K815" s="4" t="str">
        <f>IFERROR(__xludf.DUMMYFUNCTION("""COMPUTED_VALUE"""),"022L03")</f>
        <v>022L03</v>
      </c>
      <c r="L815" s="4" t="str">
        <f>IFERROR(__xludf.DUMMYFUNCTION("""COMPUTED_VALUE"""),"TM - 12B/H (KABEL Kabel Naik Dua Saluran)")</f>
        <v>TM - 12B/H (KABEL Kabel Naik Dua Saluran)</v>
      </c>
      <c r="M815" s="4" t="str">
        <f>IFERROR(__xludf.DUMMYFUNCTION("""COMPUTED_VALUE"""),"Tidak Ada")</f>
        <v>Tidak Ada</v>
      </c>
      <c r="N815" s="4"/>
      <c r="O815" s="4" t="str">
        <f>IFERROR(__xludf.DUMMYFUNCTION("""COMPUTED_VALUE"""),"PEMBANDING SEJENIS")</f>
        <v>PEMBANDING SEJENIS</v>
      </c>
      <c r="P815" s="4" t="str">
        <f>IFERROR(__xludf.DUMMYFUNCTION("""COMPUTED_VALUE"""),"KONEKTOR/JUMPER")</f>
        <v>KONEKTOR/JUMPER</v>
      </c>
      <c r="Q815" s="4">
        <f>IFERROR(__xludf.DUMMYFUNCTION("""COMPUTED_VALUE"""),20.0)</f>
        <v>20</v>
      </c>
      <c r="R815" s="4">
        <f>IFERROR(__xludf.DUMMYFUNCTION("""COMPUTED_VALUE"""),21.0)</f>
        <v>21</v>
      </c>
      <c r="S815" s="4">
        <f>IFERROR(__xludf.DUMMYFUNCTION("""COMPUTED_VALUE"""),21.0)</f>
        <v>21</v>
      </c>
      <c r="T815" s="4"/>
      <c r="U815" s="4" t="str">
        <f>IFERROR(__xludf.DUMMYFUNCTION("""COMPUTED_VALUE"""),"BAIK")</f>
        <v>BAIK</v>
      </c>
      <c r="V815" s="4" t="str">
        <f>IFERROR(__xludf.DUMMYFUNCTION("""COMPUTED_VALUE"""),"Tidak Ada")</f>
        <v>Tidak Ada</v>
      </c>
      <c r="W815" s="4"/>
      <c r="X815" s="4"/>
      <c r="Y815" s="4"/>
      <c r="Z815" s="4"/>
      <c r="AA815" s="4"/>
      <c r="AB815" s="4"/>
      <c r="AC815" s="4" t="str">
        <f>IFERROR(__xludf.DUMMYFUNCTION("""COMPUTED_VALUE"""),"INSPEKSI SUTM - T2_Images/481e772c.FOTO.151345.jpg")</f>
        <v>INSPEKSI SUTM - T2_Images/481e772c.FOTO.151345.jpg</v>
      </c>
      <c r="AD815" s="4"/>
      <c r="AE815" s="4"/>
      <c r="AF815" s="4" t="str">
        <f>IFERROR(__xludf.DUMMYFUNCTION("""COMPUTED_VALUE"""),"BELUM")</f>
        <v>BELUM</v>
      </c>
      <c r="AG815" s="6">
        <f>IFERROR(__xludf.DUMMYFUNCTION("""COMPUTED_VALUE"""),46094.0)</f>
        <v>46094</v>
      </c>
      <c r="AH815" s="4"/>
      <c r="AI815" s="4"/>
    </row>
    <row r="816" ht="15.75" customHeight="1">
      <c r="A816" s="4" t="str">
        <f>IFERROR(__xludf.DUMMYFUNCTION("""COMPUTED_VALUE"""),"8f3a866f")</f>
        <v>8f3a866f</v>
      </c>
      <c r="B816" s="5">
        <f>IFERROR(__xludf.DUMMYFUNCTION("""COMPUTED_VALUE"""),46094.921168981484)</f>
        <v>46094.92117</v>
      </c>
      <c r="C816" s="4" t="str">
        <f>IFERROR(__xludf.DUMMYFUNCTION("""COMPUTED_VALUE"""),"-6.949061, 107.611751")</f>
        <v>-6.949061, 107.611751</v>
      </c>
      <c r="D816" s="4" t="str">
        <f>IFERROR(__xludf.DUMMYFUNCTION("""COMPUTED_VALUE"""),"Nugi Firman")</f>
        <v>Nugi Firman</v>
      </c>
      <c r="E816" s="4" t="str">
        <f>IFERROR(__xludf.DUMMYFUNCTION("""COMPUTED_VALUE"""),"BANDUNG")</f>
        <v>BANDUNG</v>
      </c>
      <c r="F816" s="4" t="str">
        <f>IFERROR(__xludf.DUMMYFUNCTION("""COMPUTED_VALUE"""),"KOPO")</f>
        <v>KOPO</v>
      </c>
      <c r="G816" s="4" t="str">
        <f>IFERROR(__xludf.DUMMYFUNCTION("""COMPUTED_VALUE"""),"NEW CIBEUREUM")</f>
        <v>NEW CIBEUREUM</v>
      </c>
      <c r="H816" s="4" t="str">
        <f>IFERROR(__xludf.DUMMYFUNCTION("""COMPUTED_VALUE"""),"WTH")</f>
        <v>WTH</v>
      </c>
      <c r="I816" s="4" t="str">
        <f>IFERROR(__xludf.DUMMYFUNCTION("""COMPUTED_VALUE"""),"THIA - LBS THIA")</f>
        <v>THIA - LBS THIA</v>
      </c>
      <c r="J816" s="4" t="str">
        <f>IFERROR(__xludf.DUMMYFUNCTION("""COMPUTED_VALUE"""),"ZONA 2")</f>
        <v>ZONA 2</v>
      </c>
      <c r="K816" s="4" t="str">
        <f>IFERROR(__xludf.DUMMYFUNCTION("""COMPUTED_VALUE"""),"025L05")</f>
        <v>025L05</v>
      </c>
      <c r="L816" s="4" t="str">
        <f>IFERROR(__xludf.DUMMYFUNCTION("""COMPUTED_VALUE"""),"TM - 7B/H (Afspan 90 Derajat)")</f>
        <v>TM - 7B/H (Afspan 90 Derajat)</v>
      </c>
      <c r="M816" s="4" t="str">
        <f>IFERROR(__xludf.DUMMYFUNCTION("""COMPUTED_VALUE"""),"Tidak Ada")</f>
        <v>Tidak Ada</v>
      </c>
      <c r="N816" s="4"/>
      <c r="O816" s="4" t="str">
        <f>IFERROR(__xludf.DUMMYFUNCTION("""COMPUTED_VALUE"""),"PEMBANDING SEJENIS")</f>
        <v>PEMBANDING SEJENIS</v>
      </c>
      <c r="P816" s="4" t="str">
        <f>IFERROR(__xludf.DUMMYFUNCTION("""COMPUTED_VALUE"""),"KONEKTOR/JUMPER")</f>
        <v>KONEKTOR/JUMPER</v>
      </c>
      <c r="Q816" s="4">
        <f>IFERROR(__xludf.DUMMYFUNCTION("""COMPUTED_VALUE"""),21.0)</f>
        <v>21</v>
      </c>
      <c r="R816" s="4">
        <f>IFERROR(__xludf.DUMMYFUNCTION("""COMPUTED_VALUE"""),21.0)</f>
        <v>21</v>
      </c>
      <c r="S816" s="4">
        <f>IFERROR(__xludf.DUMMYFUNCTION("""COMPUTED_VALUE"""),21.0)</f>
        <v>21</v>
      </c>
      <c r="T816" s="4"/>
      <c r="U816" s="4" t="str">
        <f>IFERROR(__xludf.DUMMYFUNCTION("""COMPUTED_VALUE"""),"BAIK")</f>
        <v>BAIK</v>
      </c>
      <c r="V816" s="4" t="str">
        <f>IFERROR(__xludf.DUMMYFUNCTION("""COMPUTED_VALUE"""),"Tidak Ada")</f>
        <v>Tidak Ada</v>
      </c>
      <c r="W816" s="4"/>
      <c r="X816" s="4"/>
      <c r="Y816" s="4"/>
      <c r="Z816" s="4"/>
      <c r="AA816" s="4"/>
      <c r="AB816" s="4"/>
      <c r="AC816" s="4" t="str">
        <f>IFERROR(__xludf.DUMMYFUNCTION("""COMPUTED_VALUE"""),"INSPEKSI SUTM - T2_Images/8f3a866f.FOTO.151349.jpg")</f>
        <v>INSPEKSI SUTM - T2_Images/8f3a866f.FOTO.151349.jpg</v>
      </c>
      <c r="AD816" s="4"/>
      <c r="AE816" s="4"/>
      <c r="AF816" s="4" t="str">
        <f>IFERROR(__xludf.DUMMYFUNCTION("""COMPUTED_VALUE"""),"BELUM")</f>
        <v>BELUM</v>
      </c>
      <c r="AG816" s="6">
        <f>IFERROR(__xludf.DUMMYFUNCTION("""COMPUTED_VALUE"""),46094.0)</f>
        <v>46094</v>
      </c>
      <c r="AH816" s="4"/>
      <c r="AI816" s="4"/>
    </row>
    <row r="817" ht="15.75" customHeight="1">
      <c r="A817" s="4" t="str">
        <f>IFERROR(__xludf.DUMMYFUNCTION("""COMPUTED_VALUE"""),"efc65005")</f>
        <v>efc65005</v>
      </c>
      <c r="B817" s="5">
        <f>IFERROR(__xludf.DUMMYFUNCTION("""COMPUTED_VALUE"""),46094.92166666667)</f>
        <v>46094.92167</v>
      </c>
      <c r="C817" s="4" t="str">
        <f>IFERROR(__xludf.DUMMYFUNCTION("""COMPUTED_VALUE"""),"-6.949059, 107.611676")</f>
        <v>-6.949059, 107.611676</v>
      </c>
      <c r="D817" s="4" t="str">
        <f>IFERROR(__xludf.DUMMYFUNCTION("""COMPUTED_VALUE"""),"Nugi Firman")</f>
        <v>Nugi Firman</v>
      </c>
      <c r="E817" s="4" t="str">
        <f>IFERROR(__xludf.DUMMYFUNCTION("""COMPUTED_VALUE"""),"BANDUNG")</f>
        <v>BANDUNG</v>
      </c>
      <c r="F817" s="4" t="str">
        <f>IFERROR(__xludf.DUMMYFUNCTION("""COMPUTED_VALUE"""),"KOPO")</f>
        <v>KOPO</v>
      </c>
      <c r="G817" s="4" t="str">
        <f>IFERROR(__xludf.DUMMYFUNCTION("""COMPUTED_VALUE"""),"NEW CIBEUREUM")</f>
        <v>NEW CIBEUREUM</v>
      </c>
      <c r="H817" s="4" t="str">
        <f>IFERROR(__xludf.DUMMYFUNCTION("""COMPUTED_VALUE"""),"WTH")</f>
        <v>WTH</v>
      </c>
      <c r="I817" s="4" t="str">
        <f>IFERROR(__xludf.DUMMYFUNCTION("""COMPUTED_VALUE"""),"THIA - LBS THIA")</f>
        <v>THIA - LBS THIA</v>
      </c>
      <c r="J817" s="4" t="str">
        <f>IFERROR(__xludf.DUMMYFUNCTION("""COMPUTED_VALUE"""),"ZONA 2")</f>
        <v>ZONA 2</v>
      </c>
      <c r="K817" s="4" t="str">
        <f>IFERROR(__xludf.DUMMYFUNCTION("""COMPUTED_VALUE"""),"025L06")</f>
        <v>025L06</v>
      </c>
      <c r="L817" s="4" t="str">
        <f>IFERROR(__xludf.DUMMYFUNCTION("""COMPUTED_VALUE"""),"TM - 7B/H (Afspan 90 Derajat)")</f>
        <v>TM - 7B/H (Afspan 90 Derajat)</v>
      </c>
      <c r="M817" s="4" t="str">
        <f>IFERROR(__xludf.DUMMYFUNCTION("""COMPUTED_VALUE"""),"Tidak Ada")</f>
        <v>Tidak Ada</v>
      </c>
      <c r="N817" s="4"/>
      <c r="O817" s="4" t="str">
        <f>IFERROR(__xludf.DUMMYFUNCTION("""COMPUTED_VALUE"""),"PEMBANDING SEJENIS")</f>
        <v>PEMBANDING SEJENIS</v>
      </c>
      <c r="P817" s="4" t="str">
        <f>IFERROR(__xludf.DUMMYFUNCTION("""COMPUTED_VALUE"""),"KONEKTOR/JUMPER")</f>
        <v>KONEKTOR/JUMPER</v>
      </c>
      <c r="Q817" s="4">
        <f>IFERROR(__xludf.DUMMYFUNCTION("""COMPUTED_VALUE"""),21.0)</f>
        <v>21</v>
      </c>
      <c r="R817" s="4">
        <f>IFERROR(__xludf.DUMMYFUNCTION("""COMPUTED_VALUE"""),20.0)</f>
        <v>20</v>
      </c>
      <c r="S817" s="4">
        <f>IFERROR(__xludf.DUMMYFUNCTION("""COMPUTED_VALUE"""),21.0)</f>
        <v>21</v>
      </c>
      <c r="T817" s="4"/>
      <c r="U817" s="4" t="str">
        <f>IFERROR(__xludf.DUMMYFUNCTION("""COMPUTED_VALUE"""),"BAIK")</f>
        <v>BAIK</v>
      </c>
      <c r="V817" s="4" t="str">
        <f>IFERROR(__xludf.DUMMYFUNCTION("""COMPUTED_VALUE"""),"Tidak Ada")</f>
        <v>Tidak Ada</v>
      </c>
      <c r="W817" s="4"/>
      <c r="X817" s="4"/>
      <c r="Y817" s="4"/>
      <c r="Z817" s="4"/>
      <c r="AA817" s="4"/>
      <c r="AB817" s="4"/>
      <c r="AC817" s="4" t="str">
        <f>IFERROR(__xludf.DUMMYFUNCTION("""COMPUTED_VALUE"""),"INSPEKSI SUTM - T2_Images/efc65005.FOTO.151354.jpg")</f>
        <v>INSPEKSI SUTM - T2_Images/efc65005.FOTO.151354.jpg</v>
      </c>
      <c r="AD817" s="4"/>
      <c r="AE817" s="4"/>
      <c r="AF817" s="4" t="str">
        <f>IFERROR(__xludf.DUMMYFUNCTION("""COMPUTED_VALUE"""),"BELUM")</f>
        <v>BELUM</v>
      </c>
      <c r="AG817" s="6">
        <f>IFERROR(__xludf.DUMMYFUNCTION("""COMPUTED_VALUE"""),46094.0)</f>
        <v>46094</v>
      </c>
      <c r="AH817" s="4"/>
      <c r="AI817" s="4"/>
    </row>
    <row r="818" ht="15.75" customHeight="1">
      <c r="A818" s="4" t="str">
        <f>IFERROR(__xludf.DUMMYFUNCTION("""COMPUTED_VALUE"""),"99e164b6")</f>
        <v>99e164b6</v>
      </c>
      <c r="B818" s="5">
        <f>IFERROR(__xludf.DUMMYFUNCTION("""COMPUTED_VALUE"""),46094.923113425924)</f>
        <v>46094.92311</v>
      </c>
      <c r="C818" s="4" t="str">
        <f>IFERROR(__xludf.DUMMYFUNCTION("""COMPUTED_VALUE"""),"-6.949095, 107.611696")</f>
        <v>-6.949095, 107.611696</v>
      </c>
      <c r="D818" s="4" t="str">
        <f>IFERROR(__xludf.DUMMYFUNCTION("""COMPUTED_VALUE"""),"Nugi Firman")</f>
        <v>Nugi Firman</v>
      </c>
      <c r="E818" s="4" t="str">
        <f>IFERROR(__xludf.DUMMYFUNCTION("""COMPUTED_VALUE"""),"BANDUNG")</f>
        <v>BANDUNG</v>
      </c>
      <c r="F818" s="4" t="str">
        <f>IFERROR(__xludf.DUMMYFUNCTION("""COMPUTED_VALUE"""),"KOPO")</f>
        <v>KOPO</v>
      </c>
      <c r="G818" s="4" t="str">
        <f>IFERROR(__xludf.DUMMYFUNCTION("""COMPUTED_VALUE"""),"NEW CIBEUREUM")</f>
        <v>NEW CIBEUREUM</v>
      </c>
      <c r="H818" s="4" t="str">
        <f>IFERROR(__xludf.DUMMYFUNCTION("""COMPUTED_VALUE"""),"WTH")</f>
        <v>WTH</v>
      </c>
      <c r="I818" s="4" t="str">
        <f>IFERROR(__xludf.DUMMYFUNCTION("""COMPUTED_VALUE"""),"THIA - LBS THIA")</f>
        <v>THIA - LBS THIA</v>
      </c>
      <c r="J818" s="4" t="str">
        <f>IFERROR(__xludf.DUMMYFUNCTION("""COMPUTED_VALUE"""),"ZONA 2")</f>
        <v>ZONA 2</v>
      </c>
      <c r="K818" s="4" t="str">
        <f>IFERROR(__xludf.DUMMYFUNCTION("""COMPUTED_VALUE"""),"027")</f>
        <v>027</v>
      </c>
      <c r="L818" s="4" t="str">
        <f>IFERROR(__xludf.DUMMYFUNCTION("""COMPUTED_VALUE"""),"TM - 1B/H (Tumpu)")</f>
        <v>TM - 1B/H (Tumpu)</v>
      </c>
      <c r="M818" s="4" t="str">
        <f>IFERROR(__xludf.DUMMYFUNCTION("""COMPUTED_VALUE"""),"Tidak Ada")</f>
        <v>Tidak Ada</v>
      </c>
      <c r="N818" s="4"/>
      <c r="O818" s="4" t="str">
        <f>IFERROR(__xludf.DUMMYFUNCTION("""COMPUTED_VALUE"""),"PEMBANDING SEJENIS")</f>
        <v>PEMBANDING SEJENIS</v>
      </c>
      <c r="P818" s="4" t="str">
        <f>IFERROR(__xludf.DUMMYFUNCTION("""COMPUTED_VALUE"""),"ARRESTER")</f>
        <v>ARRESTER</v>
      </c>
      <c r="Q818" s="4">
        <f>IFERROR(__xludf.DUMMYFUNCTION("""COMPUTED_VALUE"""),20.0)</f>
        <v>20</v>
      </c>
      <c r="R818" s="4">
        <f>IFERROR(__xludf.DUMMYFUNCTION("""COMPUTED_VALUE"""),21.0)</f>
        <v>21</v>
      </c>
      <c r="S818" s="4">
        <f>IFERROR(__xludf.DUMMYFUNCTION("""COMPUTED_VALUE"""),20.0)</f>
        <v>20</v>
      </c>
      <c r="T818" s="4"/>
      <c r="U818" s="4" t="str">
        <f>IFERROR(__xludf.DUMMYFUNCTION("""COMPUTED_VALUE"""),"BAIK")</f>
        <v>BAIK</v>
      </c>
      <c r="V818" s="4" t="str">
        <f>IFERROR(__xludf.DUMMYFUNCTION("""COMPUTED_VALUE"""),"Tidak Ada")</f>
        <v>Tidak Ada</v>
      </c>
      <c r="W818" s="4"/>
      <c r="X818" s="4"/>
      <c r="Y818" s="4"/>
      <c r="Z818" s="4"/>
      <c r="AA818" s="4"/>
      <c r="AB818" s="4"/>
      <c r="AC818" s="4" t="str">
        <f>IFERROR(__xludf.DUMMYFUNCTION("""COMPUTED_VALUE"""),"INSPEKSI SUTM - T2_Images/99e164b6.FOTO.151359.jpg")</f>
        <v>INSPEKSI SUTM - T2_Images/99e164b6.FOTO.151359.jpg</v>
      </c>
      <c r="AD818" s="4"/>
      <c r="AE818" s="4"/>
      <c r="AF818" s="4" t="str">
        <f>IFERROR(__xludf.DUMMYFUNCTION("""COMPUTED_VALUE"""),"BELUM")</f>
        <v>BELUM</v>
      </c>
      <c r="AG818" s="6">
        <f>IFERROR(__xludf.DUMMYFUNCTION("""COMPUTED_VALUE"""),46094.0)</f>
        <v>46094</v>
      </c>
      <c r="AH818" s="4"/>
      <c r="AI818" s="4"/>
    </row>
    <row r="819" ht="15.75" customHeight="1">
      <c r="A819" s="4" t="str">
        <f>IFERROR(__xludf.DUMMYFUNCTION("""COMPUTED_VALUE"""),"59f62e1a")</f>
        <v>59f62e1a</v>
      </c>
      <c r="B819" s="5">
        <f>IFERROR(__xludf.DUMMYFUNCTION("""COMPUTED_VALUE"""),46094.92359953704)</f>
        <v>46094.9236</v>
      </c>
      <c r="C819" s="4" t="str">
        <f>IFERROR(__xludf.DUMMYFUNCTION("""COMPUTED_VALUE"""),"-6.949095, 107.611696")</f>
        <v>-6.949095, 107.611696</v>
      </c>
      <c r="D819" s="4" t="str">
        <f>IFERROR(__xludf.DUMMYFUNCTION("""COMPUTED_VALUE"""),"Nugi Firman")</f>
        <v>Nugi Firman</v>
      </c>
      <c r="E819" s="4" t="str">
        <f>IFERROR(__xludf.DUMMYFUNCTION("""COMPUTED_VALUE"""),"BANDUNG")</f>
        <v>BANDUNG</v>
      </c>
      <c r="F819" s="4" t="str">
        <f>IFERROR(__xludf.DUMMYFUNCTION("""COMPUTED_VALUE"""),"KOPO")</f>
        <v>KOPO</v>
      </c>
      <c r="G819" s="4" t="str">
        <f>IFERROR(__xludf.DUMMYFUNCTION("""COMPUTED_VALUE"""),"NEW CIBEUREUM")</f>
        <v>NEW CIBEUREUM</v>
      </c>
      <c r="H819" s="4" t="str">
        <f>IFERROR(__xludf.DUMMYFUNCTION("""COMPUTED_VALUE"""),"WTH")</f>
        <v>WTH</v>
      </c>
      <c r="I819" s="4" t="str">
        <f>IFERROR(__xludf.DUMMYFUNCTION("""COMPUTED_VALUE"""),"THIA - LBS THIA")</f>
        <v>THIA - LBS THIA</v>
      </c>
      <c r="J819" s="4" t="str">
        <f>IFERROR(__xludf.DUMMYFUNCTION("""COMPUTED_VALUE"""),"ZONA 2")</f>
        <v>ZONA 2</v>
      </c>
      <c r="K819" s="4" t="str">
        <f>IFERROR(__xludf.DUMMYFUNCTION("""COMPUTED_VALUE"""),"029")</f>
        <v>029</v>
      </c>
      <c r="L819" s="4" t="str">
        <f>IFERROR(__xludf.DUMMYFUNCTION("""COMPUTED_VALUE"""),"TM - 16B/H (REC/SSO/LBS)")</f>
        <v>TM - 16B/H (REC/SSO/LBS)</v>
      </c>
      <c r="M819" s="4" t="str">
        <f>IFERROR(__xludf.DUMMYFUNCTION("""COMPUTED_VALUE"""),"LBS")</f>
        <v>LBS</v>
      </c>
      <c r="N819" s="4" t="str">
        <f>IFERROR(__xludf.DUMMYFUNCTION("""COMPUTED_VALUE"""),"THIA")</f>
        <v>THIA</v>
      </c>
      <c r="O819" s="4" t="str">
        <f>IFERROR(__xludf.DUMMYFUNCTION("""COMPUTED_VALUE"""),"PEMBANDING SEJENIS")</f>
        <v>PEMBANDING SEJENIS</v>
      </c>
      <c r="P819" s="4" t="str">
        <f>IFERROR(__xludf.DUMMYFUNCTION("""COMPUTED_VALUE"""),"KONEKTOR/JUMPER")</f>
        <v>KONEKTOR/JUMPER</v>
      </c>
      <c r="Q819" s="4">
        <f>IFERROR(__xludf.DUMMYFUNCTION("""COMPUTED_VALUE"""),21.0)</f>
        <v>21</v>
      </c>
      <c r="R819" s="4">
        <f>IFERROR(__xludf.DUMMYFUNCTION("""COMPUTED_VALUE"""),22.0)</f>
        <v>22</v>
      </c>
      <c r="S819" s="4">
        <f>IFERROR(__xludf.DUMMYFUNCTION("""COMPUTED_VALUE"""),21.0)</f>
        <v>21</v>
      </c>
      <c r="T819" s="4"/>
      <c r="U819" s="4" t="str">
        <f>IFERROR(__xludf.DUMMYFUNCTION("""COMPUTED_VALUE"""),"BAIK")</f>
        <v>BAIK</v>
      </c>
      <c r="V819" s="4" t="str">
        <f>IFERROR(__xludf.DUMMYFUNCTION("""COMPUTED_VALUE"""),"Tidak Ada")</f>
        <v>Tidak Ada</v>
      </c>
      <c r="W819" s="4"/>
      <c r="X819" s="4"/>
      <c r="Y819" s="4"/>
      <c r="Z819" s="4"/>
      <c r="AA819" s="4"/>
      <c r="AB819" s="4"/>
      <c r="AC819" s="4" t="str">
        <f>IFERROR(__xludf.DUMMYFUNCTION("""COMPUTED_VALUE"""),"INSPEKSI SUTM - T2_Images/59f62e1a.FOTO.151403.jpg")</f>
        <v>INSPEKSI SUTM - T2_Images/59f62e1a.FOTO.151403.jpg</v>
      </c>
      <c r="AD819" s="4"/>
      <c r="AE819" s="4"/>
      <c r="AF819" s="4" t="str">
        <f>IFERROR(__xludf.DUMMYFUNCTION("""COMPUTED_VALUE"""),"BELUM")</f>
        <v>BELUM</v>
      </c>
      <c r="AG819" s="6">
        <f>IFERROR(__xludf.DUMMYFUNCTION("""COMPUTED_VALUE"""),46094.0)</f>
        <v>46094</v>
      </c>
      <c r="AH819" s="4"/>
      <c r="AI819" s="4"/>
    </row>
    <row r="820" ht="15.75" customHeight="1">
      <c r="A820" s="4" t="str">
        <f>IFERROR(__xludf.DUMMYFUNCTION("""COMPUTED_VALUE"""),"c97cc386")</f>
        <v>c97cc386</v>
      </c>
      <c r="B820" s="5">
        <f>IFERROR(__xludf.DUMMYFUNCTION("""COMPUTED_VALUE"""),46097.90385416667)</f>
        <v>46097.90385</v>
      </c>
      <c r="C820" s="4" t="str">
        <f>IFERROR(__xludf.DUMMYFUNCTION("""COMPUTED_VALUE"""),"-6.896866, 107.702335")</f>
        <v>-6.896866, 107.702335</v>
      </c>
      <c r="D820" s="4" t="str">
        <f>IFERROR(__xludf.DUMMYFUNCTION("""COMPUTED_VALUE"""),"Canra heri")</f>
        <v>Canra heri</v>
      </c>
      <c r="E820" s="4" t="str">
        <f>IFERROR(__xludf.DUMMYFUNCTION("""COMPUTED_VALUE"""),"BANDUNG")</f>
        <v>BANDUNG</v>
      </c>
      <c r="F820" s="4" t="str">
        <f>IFERROR(__xludf.DUMMYFUNCTION("""COMPUTED_VALUE"""),"UJUNGBERUNG")</f>
        <v>UJUNGBERUNG</v>
      </c>
      <c r="G820" s="4" t="str">
        <f>IFERROR(__xludf.DUMMYFUNCTION("""COMPUTED_VALUE"""),"UJUNGBERUNG")</f>
        <v>UJUNGBERUNG</v>
      </c>
      <c r="H820" s="4" t="str">
        <f>IFERROR(__xludf.DUMMYFUNCTION("""COMPUTED_VALUE"""),"UTWU")</f>
        <v>UTWU</v>
      </c>
      <c r="I820" s="4" t="str">
        <f>IFERROR(__xludf.DUMMYFUNCTION("""COMPUTED_VALUE"""),"LBS CGI - LBS PDO")</f>
        <v>LBS CGI - LBS PDO</v>
      </c>
      <c r="J820" s="4" t="str">
        <f>IFERROR(__xludf.DUMMYFUNCTION("""COMPUTED_VALUE"""),"ZONA 3")</f>
        <v>ZONA 3</v>
      </c>
      <c r="K820" s="4" t="str">
        <f>IFERROR(__xludf.DUMMYFUNCTION("""COMPUTED_VALUE"""),"035L035L07")</f>
        <v>035L035L07</v>
      </c>
      <c r="L820" s="4" t="str">
        <f>IFERROR(__xludf.DUMMYFUNCTION("""COMPUTED_VALUE"""),"TM - 16B/H (REC/SSO/LBS)")</f>
        <v>TM - 16B/H (REC/SSO/LBS)</v>
      </c>
      <c r="M820" s="4" t="str">
        <f>IFERROR(__xludf.DUMMYFUNCTION("""COMPUTED_VALUE"""),"LBS")</f>
        <v>LBS</v>
      </c>
      <c r="N820" s="4" t="str">
        <f>IFERROR(__xludf.DUMMYFUNCTION("""COMPUTED_VALUE"""),"Pdo")</f>
        <v>Pdo</v>
      </c>
      <c r="O820" s="4" t="str">
        <f>IFERROR(__xludf.DUMMYFUNCTION("""COMPUTED_VALUE"""),"PEMBANDING SEJENIS")</f>
        <v>PEMBANDING SEJENIS</v>
      </c>
      <c r="P820" s="4" t="str">
        <f>IFERROR(__xludf.DUMMYFUNCTION("""COMPUTED_VALUE"""),"KONEKTOR/JUMPER")</f>
        <v>KONEKTOR/JUMPER</v>
      </c>
      <c r="Q820" s="4">
        <f>IFERROR(__xludf.DUMMYFUNCTION("""COMPUTED_VALUE"""),23.0)</f>
        <v>23</v>
      </c>
      <c r="R820" s="4">
        <f>IFERROR(__xludf.DUMMYFUNCTION("""COMPUTED_VALUE"""),23.0)</f>
        <v>23</v>
      </c>
      <c r="S820" s="4">
        <f>IFERROR(__xludf.DUMMYFUNCTION("""COMPUTED_VALUE"""),22.0)</f>
        <v>22</v>
      </c>
      <c r="T820" s="4"/>
      <c r="U820" s="4" t="str">
        <f>IFERROR(__xludf.DUMMYFUNCTION("""COMPUTED_VALUE"""),"BAIK")</f>
        <v>BAIK</v>
      </c>
      <c r="V820" s="4" t="str">
        <f>IFERROR(__xludf.DUMMYFUNCTION("""COMPUTED_VALUE"""),"Tidak Ada")</f>
        <v>Tidak Ada</v>
      </c>
      <c r="W820" s="4"/>
      <c r="X820" s="4"/>
      <c r="Y820" s="4"/>
      <c r="Z820" s="4"/>
      <c r="AA820" s="4"/>
      <c r="AB820" s="4"/>
      <c r="AC820" s="4" t="str">
        <f>IFERROR(__xludf.DUMMYFUNCTION("""COMPUTED_VALUE"""),"INSPEKSI SUTM - T2_Images/c97cc386.FOTO.144247.jpg")</f>
        <v>INSPEKSI SUTM - T2_Images/c97cc386.FOTO.144247.jpg</v>
      </c>
      <c r="AD820" s="4"/>
      <c r="AE820" s="4"/>
      <c r="AF820" s="4" t="str">
        <f>IFERROR(__xludf.DUMMYFUNCTION("""COMPUTED_VALUE"""),"BELUM")</f>
        <v>BELUM</v>
      </c>
      <c r="AG820" s="6">
        <f>IFERROR(__xludf.DUMMYFUNCTION("""COMPUTED_VALUE"""),46097.0)</f>
        <v>46097</v>
      </c>
      <c r="AH820" s="4"/>
      <c r="AI820" s="4"/>
    </row>
    <row r="821" ht="15.75" customHeight="1">
      <c r="A821" s="4" t="str">
        <f>IFERROR(__xludf.DUMMYFUNCTION("""COMPUTED_VALUE"""),"5e9ec395")</f>
        <v>5e9ec395</v>
      </c>
      <c r="B821" s="5">
        <f>IFERROR(__xludf.DUMMYFUNCTION("""COMPUTED_VALUE"""),46097.90707175926)</f>
        <v>46097.90707</v>
      </c>
      <c r="C821" s="4" t="str">
        <f>IFERROR(__xludf.DUMMYFUNCTION("""COMPUTED_VALUE"""),"-6.896835, 107.702354")</f>
        <v>-6.896835, 107.702354</v>
      </c>
      <c r="D821" s="4" t="str">
        <f>IFERROR(__xludf.DUMMYFUNCTION("""COMPUTED_VALUE"""),"Canravheri")</f>
        <v>Canravheri</v>
      </c>
      <c r="E821" s="4" t="str">
        <f>IFERROR(__xludf.DUMMYFUNCTION("""COMPUTED_VALUE"""),"BANDUNG")</f>
        <v>BANDUNG</v>
      </c>
      <c r="F821" s="4" t="str">
        <f>IFERROR(__xludf.DUMMYFUNCTION("""COMPUTED_VALUE"""),"UJUNGBERUNG")</f>
        <v>UJUNGBERUNG</v>
      </c>
      <c r="G821" s="4" t="str">
        <f>IFERROR(__xludf.DUMMYFUNCTION("""COMPUTED_VALUE"""),"UJUNGBERUNG")</f>
        <v>UJUNGBERUNG</v>
      </c>
      <c r="H821" s="4" t="str">
        <f>IFERROR(__xludf.DUMMYFUNCTION("""COMPUTED_VALUE"""),"UZO")</f>
        <v>UZO</v>
      </c>
      <c r="I821" s="4" t="str">
        <f>IFERROR(__xludf.DUMMYFUNCTION("""COMPUTED_VALUE"""),"LBS PKN - UJUNG")</f>
        <v>LBS PKN - UJUNG</v>
      </c>
      <c r="J821" s="4" t="str">
        <f>IFERROR(__xludf.DUMMYFUNCTION("""COMPUTED_VALUE"""),"ZONA 2")</f>
        <v>ZONA 2</v>
      </c>
      <c r="K821" s="4" t="str">
        <f>IFERROR(__xludf.DUMMYFUNCTION("""COMPUTED_VALUE"""),"094")</f>
        <v>094</v>
      </c>
      <c r="L821" s="4" t="str">
        <f>IFERROR(__xludf.DUMMYFUNCTION("""COMPUTED_VALUE"""),"TM - 16B/H (REC/SSO/LBS)")</f>
        <v>TM - 16B/H (REC/SSO/LBS)</v>
      </c>
      <c r="M821" s="4" t="str">
        <f>IFERROR(__xludf.DUMMYFUNCTION("""COMPUTED_VALUE"""),"LBS")</f>
        <v>LBS</v>
      </c>
      <c r="N821" s="4" t="str">
        <f>IFERROR(__xludf.DUMMYFUNCTION("""COMPUTED_VALUE"""),"Pdo")</f>
        <v>Pdo</v>
      </c>
      <c r="O821" s="4" t="str">
        <f>IFERROR(__xludf.DUMMYFUNCTION("""COMPUTED_VALUE"""),"PEMBANDING SEJENIS")</f>
        <v>PEMBANDING SEJENIS</v>
      </c>
      <c r="P821" s="4" t="str">
        <f>IFERROR(__xludf.DUMMYFUNCTION("""COMPUTED_VALUE"""),"KONEKTOR/JUMPER")</f>
        <v>KONEKTOR/JUMPER</v>
      </c>
      <c r="Q821" s="4">
        <f>IFERROR(__xludf.DUMMYFUNCTION("""COMPUTED_VALUE"""),23.0)</f>
        <v>23</v>
      </c>
      <c r="R821" s="4">
        <f>IFERROR(__xludf.DUMMYFUNCTION("""COMPUTED_VALUE"""),23.0)</f>
        <v>23</v>
      </c>
      <c r="S821" s="4">
        <f>IFERROR(__xludf.DUMMYFUNCTION("""COMPUTED_VALUE"""),22.0)</f>
        <v>22</v>
      </c>
      <c r="T821" s="4"/>
      <c r="U821" s="4" t="str">
        <f>IFERROR(__xludf.DUMMYFUNCTION("""COMPUTED_VALUE"""),"BAIK")</f>
        <v>BAIK</v>
      </c>
      <c r="V821" s="4" t="str">
        <f>IFERROR(__xludf.DUMMYFUNCTION("""COMPUTED_VALUE"""),"Tidak Ada")</f>
        <v>Tidak Ada</v>
      </c>
      <c r="W821" s="4"/>
      <c r="X821" s="4"/>
      <c r="Y821" s="4"/>
      <c r="Z821" s="4"/>
      <c r="AA821" s="4"/>
      <c r="AB821" s="4"/>
      <c r="AC821" s="4" t="str">
        <f>IFERROR(__xludf.DUMMYFUNCTION("""COMPUTED_VALUE"""),"INSPEKSI SUTM - T2_Images/5e9ec395.FOTO.144708.jpg")</f>
        <v>INSPEKSI SUTM - T2_Images/5e9ec395.FOTO.144708.jpg</v>
      </c>
      <c r="AD821" s="4"/>
      <c r="AE821" s="4"/>
      <c r="AF821" s="4" t="str">
        <f>IFERROR(__xludf.DUMMYFUNCTION("""COMPUTED_VALUE"""),"BELUM")</f>
        <v>BELUM</v>
      </c>
      <c r="AG821" s="6">
        <f>IFERROR(__xludf.DUMMYFUNCTION("""COMPUTED_VALUE"""),46097.0)</f>
        <v>46097</v>
      </c>
      <c r="AH821" s="4"/>
      <c r="AI821" s="4"/>
    </row>
    <row r="822" ht="15.75" customHeight="1">
      <c r="A822" s="4" t="str">
        <f>IFERROR(__xludf.DUMMYFUNCTION("""COMPUTED_VALUE"""),"a0c42f5d")</f>
        <v>a0c42f5d</v>
      </c>
      <c r="B822" s="5">
        <f>IFERROR(__xludf.DUMMYFUNCTION("""COMPUTED_VALUE"""),46097.908796296295)</f>
        <v>46097.9088</v>
      </c>
      <c r="C822" s="4" t="str">
        <f>IFERROR(__xludf.DUMMYFUNCTION("""COMPUTED_VALUE"""),"-6.894541, 107.697822")</f>
        <v>-6.894541, 107.697822</v>
      </c>
      <c r="D822" s="4" t="str">
        <f>IFERROR(__xludf.DUMMYFUNCTION("""COMPUTED_VALUE"""),"Canra heri")</f>
        <v>Canra heri</v>
      </c>
      <c r="E822" s="4" t="str">
        <f>IFERROR(__xludf.DUMMYFUNCTION("""COMPUTED_VALUE"""),"BANDUNG")</f>
        <v>BANDUNG</v>
      </c>
      <c r="F822" s="4" t="str">
        <f>IFERROR(__xludf.DUMMYFUNCTION("""COMPUTED_VALUE"""),"UJUNGBERUNG")</f>
        <v>UJUNGBERUNG</v>
      </c>
      <c r="G822" s="4" t="str">
        <f>IFERROR(__xludf.DUMMYFUNCTION("""COMPUTED_VALUE"""),"UJUNGBERUNG")</f>
        <v>UJUNGBERUNG</v>
      </c>
      <c r="H822" s="4" t="str">
        <f>IFERROR(__xludf.DUMMYFUNCTION("""COMPUTED_VALUE"""),"UZO")</f>
        <v>UZO</v>
      </c>
      <c r="I822" s="4" t="str">
        <f>IFERROR(__xludf.DUMMYFUNCTION("""COMPUTED_VALUE"""),"LBS PKN - UJUNG")</f>
        <v>LBS PKN - UJUNG</v>
      </c>
      <c r="J822" s="4" t="str">
        <f>IFERROR(__xludf.DUMMYFUNCTION("""COMPUTED_VALUE"""),"ZONA 2")</f>
        <v>ZONA 2</v>
      </c>
      <c r="K822" s="4" t="str">
        <f>IFERROR(__xludf.DUMMYFUNCTION("""COMPUTED_VALUE"""),"102")</f>
        <v>102</v>
      </c>
      <c r="L822" s="4" t="str">
        <f>IFERROR(__xludf.DUMMYFUNCTION("""COMPUTED_VALUE"""),"TM - 8B/H (Percabangan)")</f>
        <v>TM - 8B/H (Percabangan)</v>
      </c>
      <c r="M822" s="4" t="str">
        <f>IFERROR(__xludf.DUMMYFUNCTION("""COMPUTED_VALUE"""),"Tidak Ada")</f>
        <v>Tidak Ada</v>
      </c>
      <c r="N822" s="4"/>
      <c r="O822" s="4" t="str">
        <f>IFERROR(__xludf.DUMMYFUNCTION("""COMPUTED_VALUE"""),"PEMBANDING SEJENIS")</f>
        <v>PEMBANDING SEJENIS</v>
      </c>
      <c r="P822" s="4" t="str">
        <f>IFERROR(__xludf.DUMMYFUNCTION("""COMPUTED_VALUE"""),"KONEKTOR/JUMPER")</f>
        <v>KONEKTOR/JUMPER</v>
      </c>
      <c r="Q822" s="4">
        <f>IFERROR(__xludf.DUMMYFUNCTION("""COMPUTED_VALUE"""),20.0)</f>
        <v>20</v>
      </c>
      <c r="R822" s="4">
        <f>IFERROR(__xludf.DUMMYFUNCTION("""COMPUTED_VALUE"""),24.0)</f>
        <v>24</v>
      </c>
      <c r="S822" s="4">
        <f>IFERROR(__xludf.DUMMYFUNCTION("""COMPUTED_VALUE"""),21.0)</f>
        <v>21</v>
      </c>
      <c r="T822" s="4"/>
      <c r="U822" s="4" t="str">
        <f>IFERROR(__xludf.DUMMYFUNCTION("""COMPUTED_VALUE"""),"CUKUP")</f>
        <v>CUKUP</v>
      </c>
      <c r="V822" s="4" t="str">
        <f>IFERROR(__xludf.DUMMYFUNCTION("""COMPUTED_VALUE"""),"Tidak Ada")</f>
        <v>Tidak Ada</v>
      </c>
      <c r="W822" s="4"/>
      <c r="X822" s="4"/>
      <c r="Y822" s="4"/>
      <c r="Z822" s="4"/>
      <c r="AA822" s="4"/>
      <c r="AB822" s="4"/>
      <c r="AC822" s="4" t="str">
        <f>IFERROR(__xludf.DUMMYFUNCTION("""COMPUTED_VALUE"""),"INSPEKSI SUTM - T2_Images/a0c42f5d.FOTO.144920.jpg")</f>
        <v>INSPEKSI SUTM - T2_Images/a0c42f5d.FOTO.144920.jpg</v>
      </c>
      <c r="AD822" s="4"/>
      <c r="AE822" s="4"/>
      <c r="AF822" s="4" t="str">
        <f>IFERROR(__xludf.DUMMYFUNCTION("""COMPUTED_VALUE"""),"BELUM")</f>
        <v>BELUM</v>
      </c>
      <c r="AG822" s="6">
        <f>IFERROR(__xludf.DUMMYFUNCTION("""COMPUTED_VALUE"""),46097.0)</f>
        <v>46097</v>
      </c>
      <c r="AH822" s="4"/>
      <c r="AI822" s="4"/>
    </row>
    <row r="823" ht="15.75" customHeight="1">
      <c r="A823" s="4" t="str">
        <f>IFERROR(__xludf.DUMMYFUNCTION("""COMPUTED_VALUE"""),"2167a2da")</f>
        <v>2167a2da</v>
      </c>
      <c r="B823" s="5">
        <f>IFERROR(__xludf.DUMMYFUNCTION("""COMPUTED_VALUE"""),46097.910219907404)</f>
        <v>46097.91022</v>
      </c>
      <c r="C823" s="4" t="str">
        <f>IFERROR(__xludf.DUMMYFUNCTION("""COMPUTED_VALUE"""),"-6.894180, 107.697821")</f>
        <v>-6.894180, 107.697821</v>
      </c>
      <c r="D823" s="4" t="str">
        <f>IFERROR(__xludf.DUMMYFUNCTION("""COMPUTED_VALUE"""),"Canra heri")</f>
        <v>Canra heri</v>
      </c>
      <c r="E823" s="4" t="str">
        <f>IFERROR(__xludf.DUMMYFUNCTION("""COMPUTED_VALUE"""),"BANDUNG")</f>
        <v>BANDUNG</v>
      </c>
      <c r="F823" s="4" t="str">
        <f>IFERROR(__xludf.DUMMYFUNCTION("""COMPUTED_VALUE"""),"UJUNGBERUNG")</f>
        <v>UJUNGBERUNG</v>
      </c>
      <c r="G823" s="4" t="str">
        <f>IFERROR(__xludf.DUMMYFUNCTION("""COMPUTED_VALUE"""),"UJUNGBERUNG")</f>
        <v>UJUNGBERUNG</v>
      </c>
      <c r="H823" s="4" t="str">
        <f>IFERROR(__xludf.DUMMYFUNCTION("""COMPUTED_VALUE"""),"UZO")</f>
        <v>UZO</v>
      </c>
      <c r="I823" s="4" t="str">
        <f>IFERROR(__xludf.DUMMYFUNCTION("""COMPUTED_VALUE"""),"LBS PKN - UJUNG")</f>
        <v>LBS PKN - UJUNG</v>
      </c>
      <c r="J823" s="4" t="str">
        <f>IFERROR(__xludf.DUMMYFUNCTION("""COMPUTED_VALUE"""),"ZONA 2")</f>
        <v>ZONA 2</v>
      </c>
      <c r="K823" s="4" t="str">
        <f>IFERROR(__xludf.DUMMYFUNCTION("""COMPUTED_VALUE"""),"102R01")</f>
        <v>102R01</v>
      </c>
      <c r="L823" s="4" t="str">
        <f>IFERROR(__xludf.DUMMYFUNCTION("""COMPUTED_VALUE"""),"TM - 7B/H (Afspan 90 Derajat)")</f>
        <v>TM - 7B/H (Afspan 90 Derajat)</v>
      </c>
      <c r="M823" s="4" t="str">
        <f>IFERROR(__xludf.DUMMYFUNCTION("""COMPUTED_VALUE"""),"Tidak Ada")</f>
        <v>Tidak Ada</v>
      </c>
      <c r="N823" s="4"/>
      <c r="O823" s="4" t="str">
        <f>IFERROR(__xludf.DUMMYFUNCTION("""COMPUTED_VALUE"""),"PEMBANDING SEJENIS")</f>
        <v>PEMBANDING SEJENIS</v>
      </c>
      <c r="P823" s="4" t="str">
        <f>IFERROR(__xludf.DUMMYFUNCTION("""COMPUTED_VALUE"""),"KONEKTOR/JUMPER")</f>
        <v>KONEKTOR/JUMPER</v>
      </c>
      <c r="Q823" s="4">
        <f>IFERROR(__xludf.DUMMYFUNCTION("""COMPUTED_VALUE"""),20.0)</f>
        <v>20</v>
      </c>
      <c r="R823" s="4">
        <f>IFERROR(__xludf.DUMMYFUNCTION("""COMPUTED_VALUE"""),18.0)</f>
        <v>18</v>
      </c>
      <c r="S823" s="4">
        <f>IFERROR(__xludf.DUMMYFUNCTION("""COMPUTED_VALUE"""),16.0)</f>
        <v>16</v>
      </c>
      <c r="T823" s="4"/>
      <c r="U823" s="4" t="str">
        <f>IFERROR(__xludf.DUMMYFUNCTION("""COMPUTED_VALUE"""),"CUKUP")</f>
        <v>CUKUP</v>
      </c>
      <c r="V823" s="4" t="str">
        <f>IFERROR(__xludf.DUMMYFUNCTION("""COMPUTED_VALUE"""),"Tidak Ada")</f>
        <v>Tidak Ada</v>
      </c>
      <c r="W823" s="4"/>
      <c r="X823" s="4"/>
      <c r="Y823" s="4"/>
      <c r="Z823" s="4"/>
      <c r="AA823" s="4"/>
      <c r="AB823" s="4"/>
      <c r="AC823" s="4" t="str">
        <f>IFERROR(__xludf.DUMMYFUNCTION("""COMPUTED_VALUE"""),"INSPEKSI SUTM - T2_Images/2167a2da.FOTO.145128.jpg")</f>
        <v>INSPEKSI SUTM - T2_Images/2167a2da.FOTO.145128.jpg</v>
      </c>
      <c r="AD823" s="4"/>
      <c r="AE823" s="4"/>
      <c r="AF823" s="4" t="str">
        <f>IFERROR(__xludf.DUMMYFUNCTION("""COMPUTED_VALUE"""),"BELUM")</f>
        <v>BELUM</v>
      </c>
      <c r="AG823" s="6">
        <f>IFERROR(__xludf.DUMMYFUNCTION("""COMPUTED_VALUE"""),46097.0)</f>
        <v>46097</v>
      </c>
      <c r="AH823" s="4"/>
      <c r="AI823" s="4"/>
    </row>
    <row r="824" ht="15.75" customHeight="1">
      <c r="A824" s="4" t="str">
        <f>IFERROR(__xludf.DUMMYFUNCTION("""COMPUTED_VALUE"""),"b84542d7")</f>
        <v>b84542d7</v>
      </c>
      <c r="B824" s="5">
        <f>IFERROR(__xludf.DUMMYFUNCTION("""COMPUTED_VALUE"""),46097.914351851854)</f>
        <v>46097.91435</v>
      </c>
      <c r="C824" s="4" t="str">
        <f>IFERROR(__xludf.DUMMYFUNCTION("""COMPUTED_VALUE"""),"-6.893781, 107.695575")</f>
        <v>-6.893781, 107.695575</v>
      </c>
      <c r="D824" s="4" t="str">
        <f>IFERROR(__xludf.DUMMYFUNCTION("""COMPUTED_VALUE"""),"Canra heri")</f>
        <v>Canra heri</v>
      </c>
      <c r="E824" s="4" t="str">
        <f>IFERROR(__xludf.DUMMYFUNCTION("""COMPUTED_VALUE"""),"BANDUNG")</f>
        <v>BANDUNG</v>
      </c>
      <c r="F824" s="4" t="str">
        <f>IFERROR(__xludf.DUMMYFUNCTION("""COMPUTED_VALUE"""),"UJUNGBERUNG")</f>
        <v>UJUNGBERUNG</v>
      </c>
      <c r="G824" s="4" t="str">
        <f>IFERROR(__xludf.DUMMYFUNCTION("""COMPUTED_VALUE"""),"UJUNGBERUNG")</f>
        <v>UJUNGBERUNG</v>
      </c>
      <c r="H824" s="4" t="str">
        <f>IFERROR(__xludf.DUMMYFUNCTION("""COMPUTED_VALUE"""),"UZO")</f>
        <v>UZO</v>
      </c>
      <c r="I824" s="4" t="str">
        <f>IFERROR(__xludf.DUMMYFUNCTION("""COMPUTED_VALUE"""),"LBS PKN - UJUNG")</f>
        <v>LBS PKN - UJUNG</v>
      </c>
      <c r="J824" s="4" t="str">
        <f>IFERROR(__xludf.DUMMYFUNCTION("""COMPUTED_VALUE"""),"ZONA 2")</f>
        <v>ZONA 2</v>
      </c>
      <c r="K824" s="4" t="str">
        <f>IFERROR(__xludf.DUMMYFUNCTION("""COMPUTED_VALUE"""),"107")</f>
        <v>107</v>
      </c>
      <c r="L824" s="4" t="str">
        <f>IFERROR(__xludf.DUMMYFUNCTION("""COMPUTED_VALUE"""),"TM - 13B/H (Kabel Naik Pada Tiang Tumpu)")</f>
        <v>TM - 13B/H (Kabel Naik Pada Tiang Tumpu)</v>
      </c>
      <c r="M824" s="4" t="str">
        <f>IFERROR(__xludf.DUMMYFUNCTION("""COMPUTED_VALUE"""),"Tidak Ada")</f>
        <v>Tidak Ada</v>
      </c>
      <c r="N824" s="4"/>
      <c r="O824" s="4" t="str">
        <f>IFERROR(__xludf.DUMMYFUNCTION("""COMPUTED_VALUE"""),"PEMBANDING SEJENIS")</f>
        <v>PEMBANDING SEJENIS</v>
      </c>
      <c r="P824" s="4" t="str">
        <f>IFERROR(__xludf.DUMMYFUNCTION("""COMPUTED_VALUE"""),"TERMINASI")</f>
        <v>TERMINASI</v>
      </c>
      <c r="Q824" s="4">
        <f>IFERROR(__xludf.DUMMYFUNCTION("""COMPUTED_VALUE"""),23.0)</f>
        <v>23</v>
      </c>
      <c r="R824" s="4">
        <f>IFERROR(__xludf.DUMMYFUNCTION("""COMPUTED_VALUE"""),23.0)</f>
        <v>23</v>
      </c>
      <c r="S824" s="4">
        <f>IFERROR(__xludf.DUMMYFUNCTION("""COMPUTED_VALUE"""),24.0)</f>
        <v>24</v>
      </c>
      <c r="T824" s="4"/>
      <c r="U824" s="4" t="str">
        <f>IFERROR(__xludf.DUMMYFUNCTION("""COMPUTED_VALUE"""),"BAIK")</f>
        <v>BAIK</v>
      </c>
      <c r="V824" s="4" t="str">
        <f>IFERROR(__xludf.DUMMYFUNCTION("""COMPUTED_VALUE"""),"Tidak Ada")</f>
        <v>Tidak Ada</v>
      </c>
      <c r="W824" s="4"/>
      <c r="X824" s="4"/>
      <c r="Y824" s="4"/>
      <c r="Z824" s="4"/>
      <c r="AA824" s="4"/>
      <c r="AB824" s="4"/>
      <c r="AC824" s="4" t="str">
        <f>IFERROR(__xludf.DUMMYFUNCTION("""COMPUTED_VALUE"""),"INSPEKSI SUTM - T2_Images/b84542d7.FOTO.145733.jpg")</f>
        <v>INSPEKSI SUTM - T2_Images/b84542d7.FOTO.145733.jpg</v>
      </c>
      <c r="AD824" s="4"/>
      <c r="AE824" s="4"/>
      <c r="AF824" s="4" t="str">
        <f>IFERROR(__xludf.DUMMYFUNCTION("""COMPUTED_VALUE"""),"BELUM")</f>
        <v>BELUM</v>
      </c>
      <c r="AG824" s="6">
        <f>IFERROR(__xludf.DUMMYFUNCTION("""COMPUTED_VALUE"""),46097.0)</f>
        <v>46097</v>
      </c>
      <c r="AH824" s="4"/>
      <c r="AI824" s="4"/>
    </row>
    <row r="825" ht="15.75" customHeight="1">
      <c r="A825" s="4" t="str">
        <f>IFERROR(__xludf.DUMMYFUNCTION("""COMPUTED_VALUE"""),"28fb3767")</f>
        <v>28fb3767</v>
      </c>
      <c r="B825" s="5">
        <f>IFERROR(__xludf.DUMMYFUNCTION("""COMPUTED_VALUE"""),46097.91642361111)</f>
        <v>46097.91642</v>
      </c>
      <c r="C825" s="4" t="str">
        <f>IFERROR(__xludf.DUMMYFUNCTION("""COMPUTED_VALUE"""),"-6.895645, 107.694339")</f>
        <v>-6.895645, 107.694339</v>
      </c>
      <c r="D825" s="4" t="str">
        <f>IFERROR(__xludf.DUMMYFUNCTION("""COMPUTED_VALUE"""),"Canra heri")</f>
        <v>Canra heri</v>
      </c>
      <c r="E825" s="4" t="str">
        <f>IFERROR(__xludf.DUMMYFUNCTION("""COMPUTED_VALUE"""),"BANDUNG")</f>
        <v>BANDUNG</v>
      </c>
      <c r="F825" s="4" t="str">
        <f>IFERROR(__xludf.DUMMYFUNCTION("""COMPUTED_VALUE"""),"UJUNGBERUNG")</f>
        <v>UJUNGBERUNG</v>
      </c>
      <c r="G825" s="4" t="str">
        <f>IFERROR(__xludf.DUMMYFUNCTION("""COMPUTED_VALUE"""),"UJUNGBERUNG")</f>
        <v>UJUNGBERUNG</v>
      </c>
      <c r="H825" s="4" t="str">
        <f>IFERROR(__xludf.DUMMYFUNCTION("""COMPUTED_VALUE"""),"UZO")</f>
        <v>UZO</v>
      </c>
      <c r="I825" s="4" t="str">
        <f>IFERROR(__xludf.DUMMYFUNCTION("""COMPUTED_VALUE"""),"LBS PKN - UJUNG")</f>
        <v>LBS PKN - UJUNG</v>
      </c>
      <c r="J825" s="4" t="str">
        <f>IFERROR(__xludf.DUMMYFUNCTION("""COMPUTED_VALUE"""),"ZONA 2")</f>
        <v>ZONA 2</v>
      </c>
      <c r="K825" s="4" t="str">
        <f>IFERROR(__xludf.DUMMYFUNCTION("""COMPUTED_VALUE"""),"107L01")</f>
        <v>107L01</v>
      </c>
      <c r="L825" s="4" t="str">
        <f>IFERROR(__xludf.DUMMYFUNCTION("""COMPUTED_VALUE"""),"TM - 8B/H (Percabangan)")</f>
        <v>TM - 8B/H (Percabangan)</v>
      </c>
      <c r="M825" s="4" t="str">
        <f>IFERROR(__xludf.DUMMYFUNCTION("""COMPUTED_VALUE"""),"Tidak Ada")</f>
        <v>Tidak Ada</v>
      </c>
      <c r="N825" s="4"/>
      <c r="O825" s="4" t="str">
        <f>IFERROR(__xludf.DUMMYFUNCTION("""COMPUTED_VALUE"""),"PEMBANDING SEJENIS")</f>
        <v>PEMBANDING SEJENIS</v>
      </c>
      <c r="P825" s="4" t="str">
        <f>IFERROR(__xludf.DUMMYFUNCTION("""COMPUTED_VALUE"""),"KONEKTOR/JUMPER")</f>
        <v>KONEKTOR/JUMPER</v>
      </c>
      <c r="Q825" s="4">
        <f>IFERROR(__xludf.DUMMYFUNCTION("""COMPUTED_VALUE"""),22.0)</f>
        <v>22</v>
      </c>
      <c r="R825" s="4">
        <f>IFERROR(__xludf.DUMMYFUNCTION("""COMPUTED_VALUE"""),20.0)</f>
        <v>20</v>
      </c>
      <c r="S825" s="4">
        <f>IFERROR(__xludf.DUMMYFUNCTION("""COMPUTED_VALUE"""),22.0)</f>
        <v>22</v>
      </c>
      <c r="T825" s="4"/>
      <c r="U825" s="4" t="str">
        <f>IFERROR(__xludf.DUMMYFUNCTION("""COMPUTED_VALUE"""),"BAIK")</f>
        <v>BAIK</v>
      </c>
      <c r="V825" s="4" t="str">
        <f>IFERROR(__xludf.DUMMYFUNCTION("""COMPUTED_VALUE"""),"Tidak Ada")</f>
        <v>Tidak Ada</v>
      </c>
      <c r="W825" s="4"/>
      <c r="X825" s="4"/>
      <c r="Y825" s="4"/>
      <c r="Z825" s="4"/>
      <c r="AA825" s="4"/>
      <c r="AB825" s="4"/>
      <c r="AC825" s="4" t="str">
        <f>IFERROR(__xludf.DUMMYFUNCTION("""COMPUTED_VALUE"""),"INSPEKSI SUTM - T2_Images/28fb3767.FOTO.150236.jpg")</f>
        <v>INSPEKSI SUTM - T2_Images/28fb3767.FOTO.150236.jpg</v>
      </c>
      <c r="AD825" s="4"/>
      <c r="AE825" s="4"/>
      <c r="AF825" s="4" t="str">
        <f>IFERROR(__xludf.DUMMYFUNCTION("""COMPUTED_VALUE"""),"BELUM")</f>
        <v>BELUM</v>
      </c>
      <c r="AG825" s="6">
        <f>IFERROR(__xludf.DUMMYFUNCTION("""COMPUTED_VALUE"""),46097.0)</f>
        <v>46097</v>
      </c>
      <c r="AH825" s="4"/>
      <c r="AI825" s="4"/>
    </row>
    <row r="826" ht="15.75" customHeight="1">
      <c r="A826" s="4" t="str">
        <f>IFERROR(__xludf.DUMMYFUNCTION("""COMPUTED_VALUE"""),"491452fd")</f>
        <v>491452fd</v>
      </c>
      <c r="B826" s="5">
        <f>IFERROR(__xludf.DUMMYFUNCTION("""COMPUTED_VALUE"""),46097.91758101852)</f>
        <v>46097.91758</v>
      </c>
      <c r="C826" s="4" t="str">
        <f>IFERROR(__xludf.DUMMYFUNCTION("""COMPUTED_VALUE"""),"-6.894900, 107.693136")</f>
        <v>-6.894900, 107.693136</v>
      </c>
      <c r="D826" s="4" t="str">
        <f>IFERROR(__xludf.DUMMYFUNCTION("""COMPUTED_VALUE"""),"Canra heri")</f>
        <v>Canra heri</v>
      </c>
      <c r="E826" s="4" t="str">
        <f>IFERROR(__xludf.DUMMYFUNCTION("""COMPUTED_VALUE"""),"BANDUNG")</f>
        <v>BANDUNG</v>
      </c>
      <c r="F826" s="4" t="str">
        <f>IFERROR(__xludf.DUMMYFUNCTION("""COMPUTED_VALUE"""),"UJUNGBERUNG")</f>
        <v>UJUNGBERUNG</v>
      </c>
      <c r="G826" s="4" t="str">
        <f>IFERROR(__xludf.DUMMYFUNCTION("""COMPUTED_VALUE"""),"UJUNGBERUNG")</f>
        <v>UJUNGBERUNG</v>
      </c>
      <c r="H826" s="4" t="str">
        <f>IFERROR(__xludf.DUMMYFUNCTION("""COMPUTED_VALUE"""),"UZO")</f>
        <v>UZO</v>
      </c>
      <c r="I826" s="4" t="str">
        <f>IFERROR(__xludf.DUMMYFUNCTION("""COMPUTED_VALUE"""),"LBS PKN - UJUNG")</f>
        <v>LBS PKN - UJUNG</v>
      </c>
      <c r="J826" s="4" t="str">
        <f>IFERROR(__xludf.DUMMYFUNCTION("""COMPUTED_VALUE"""),"ZONA 2")</f>
        <v>ZONA 2</v>
      </c>
      <c r="K826" s="4" t="str">
        <f>IFERROR(__xludf.DUMMYFUNCTION("""COMPUTED_VALUE"""),"123")</f>
        <v>123</v>
      </c>
      <c r="L826" s="4" t="str">
        <f>IFERROR(__xludf.DUMMYFUNCTION("""COMPUTED_VALUE"""),"TM - 4B/H (Afspan)")</f>
        <v>TM - 4B/H (Afspan)</v>
      </c>
      <c r="M826" s="4" t="str">
        <f>IFERROR(__xludf.DUMMYFUNCTION("""COMPUTED_VALUE"""),"Tidak Ada")</f>
        <v>Tidak Ada</v>
      </c>
      <c r="N826" s="4"/>
      <c r="O826" s="4" t="str">
        <f>IFERROR(__xludf.DUMMYFUNCTION("""COMPUTED_VALUE"""),"PEMBANDING SEJENIS")</f>
        <v>PEMBANDING SEJENIS</v>
      </c>
      <c r="P826" s="4" t="str">
        <f>IFERROR(__xludf.DUMMYFUNCTION("""COMPUTED_VALUE"""),"KONEKTOR/JUMPER")</f>
        <v>KONEKTOR/JUMPER</v>
      </c>
      <c r="Q826" s="4">
        <f>IFERROR(__xludf.DUMMYFUNCTION("""COMPUTED_VALUE"""),19.0)</f>
        <v>19</v>
      </c>
      <c r="R826" s="4">
        <f>IFERROR(__xludf.DUMMYFUNCTION("""COMPUTED_VALUE"""),18.0)</f>
        <v>18</v>
      </c>
      <c r="S826" s="4">
        <f>IFERROR(__xludf.DUMMYFUNCTION("""COMPUTED_VALUE"""),17.0)</f>
        <v>17</v>
      </c>
      <c r="T826" s="4"/>
      <c r="U826" s="4" t="str">
        <f>IFERROR(__xludf.DUMMYFUNCTION("""COMPUTED_VALUE"""),"BAIK")</f>
        <v>BAIK</v>
      </c>
      <c r="V826" s="4" t="str">
        <f>IFERROR(__xludf.DUMMYFUNCTION("""COMPUTED_VALUE"""),"Tidak Ada")</f>
        <v>Tidak Ada</v>
      </c>
      <c r="W826" s="4"/>
      <c r="X826" s="4"/>
      <c r="Y826" s="4"/>
      <c r="Z826" s="4"/>
      <c r="AA826" s="4"/>
      <c r="AB826" s="4"/>
      <c r="AC826" s="4" t="str">
        <f>IFERROR(__xludf.DUMMYFUNCTION("""COMPUTED_VALUE"""),"INSPEKSI SUTM - T2_Images/491452fd.FOTO.150241.jpg")</f>
        <v>INSPEKSI SUTM - T2_Images/491452fd.FOTO.150241.jpg</v>
      </c>
      <c r="AD826" s="4"/>
      <c r="AE826" s="4"/>
      <c r="AF826" s="4" t="str">
        <f>IFERROR(__xludf.DUMMYFUNCTION("""COMPUTED_VALUE"""),"BELUM")</f>
        <v>BELUM</v>
      </c>
      <c r="AG826" s="6">
        <f>IFERROR(__xludf.DUMMYFUNCTION("""COMPUTED_VALUE"""),46097.0)</f>
        <v>46097</v>
      </c>
      <c r="AH826" s="4"/>
      <c r="AI826" s="4"/>
    </row>
    <row r="827" ht="15.75" customHeight="1">
      <c r="A827" s="4" t="str">
        <f>IFERROR(__xludf.DUMMYFUNCTION("""COMPUTED_VALUE"""),"8fb99643")</f>
        <v>8fb99643</v>
      </c>
      <c r="B827" s="5">
        <f>IFERROR(__xludf.DUMMYFUNCTION("""COMPUTED_VALUE"""),46097.92261574074)</f>
        <v>46097.92262</v>
      </c>
      <c r="C827" s="4" t="str">
        <f>IFERROR(__xludf.DUMMYFUNCTION("""COMPUTED_VALUE"""),"-6.894874, 107.693135")</f>
        <v>-6.894874, 107.693135</v>
      </c>
      <c r="D827" s="4" t="str">
        <f>IFERROR(__xludf.DUMMYFUNCTION("""COMPUTED_VALUE"""),"Canra heri")</f>
        <v>Canra heri</v>
      </c>
      <c r="E827" s="4" t="str">
        <f>IFERROR(__xludf.DUMMYFUNCTION("""COMPUTED_VALUE"""),"BANDUNG")</f>
        <v>BANDUNG</v>
      </c>
      <c r="F827" s="4" t="str">
        <f>IFERROR(__xludf.DUMMYFUNCTION("""COMPUTED_VALUE"""),"UJUNGBERUNG")</f>
        <v>UJUNGBERUNG</v>
      </c>
      <c r="G827" s="4" t="str">
        <f>IFERROR(__xludf.DUMMYFUNCTION("""COMPUTED_VALUE"""),"UJUNGBERUNG")</f>
        <v>UJUNGBERUNG</v>
      </c>
      <c r="H827" s="4" t="str">
        <f>IFERROR(__xludf.DUMMYFUNCTION("""COMPUTED_VALUE"""),"UZO")</f>
        <v>UZO</v>
      </c>
      <c r="I827" s="4" t="str">
        <f>IFERROR(__xludf.DUMMYFUNCTION("""COMPUTED_VALUE"""),"LBS PKN - UJUNG")</f>
        <v>LBS PKN - UJUNG</v>
      </c>
      <c r="J827" s="4" t="str">
        <f>IFERROR(__xludf.DUMMYFUNCTION("""COMPUTED_VALUE"""),"ZONA 2")</f>
        <v>ZONA 2</v>
      </c>
      <c r="K827" s="4" t="str">
        <f>IFERROR(__xludf.DUMMYFUNCTION("""COMPUTED_VALUE"""),"107L05")</f>
        <v>107L05</v>
      </c>
      <c r="L827" s="4" t="str">
        <f>IFERROR(__xludf.DUMMYFUNCTION("""COMPUTED_VALUE"""),"TM - 4BC/HC (Afspan dengan CO)")</f>
        <v>TM - 4BC/HC (Afspan dengan CO)</v>
      </c>
      <c r="M827" s="4" t="str">
        <f>IFERROR(__xludf.DUMMYFUNCTION("""COMPUTED_VALUE"""),"Tidak Ada")</f>
        <v>Tidak Ada</v>
      </c>
      <c r="N827" s="4"/>
      <c r="O827" s="4" t="str">
        <f>IFERROR(__xludf.DUMMYFUNCTION("""COMPUTED_VALUE"""),"PEMBANDING SEJENIS")</f>
        <v>PEMBANDING SEJENIS</v>
      </c>
      <c r="P827" s="4" t="str">
        <f>IFERROR(__xludf.DUMMYFUNCTION("""COMPUTED_VALUE"""),"KONEKTOR/JUMPER")</f>
        <v>KONEKTOR/JUMPER</v>
      </c>
      <c r="Q827" s="4">
        <f>IFERROR(__xludf.DUMMYFUNCTION("""COMPUTED_VALUE"""),18.0)</f>
        <v>18</v>
      </c>
      <c r="R827" s="4">
        <f>IFERROR(__xludf.DUMMYFUNCTION("""COMPUTED_VALUE"""),20.0)</f>
        <v>20</v>
      </c>
      <c r="S827" s="4">
        <f>IFERROR(__xludf.DUMMYFUNCTION("""COMPUTED_VALUE"""),16.0)</f>
        <v>16</v>
      </c>
      <c r="T827" s="4"/>
      <c r="U827" s="4" t="str">
        <f>IFERROR(__xludf.DUMMYFUNCTION("""COMPUTED_VALUE"""),"CUKUP")</f>
        <v>CUKUP</v>
      </c>
      <c r="V827" s="4" t="str">
        <f>IFERROR(__xludf.DUMMYFUNCTION("""COMPUTED_VALUE"""),"Tidak Ada")</f>
        <v>Tidak Ada</v>
      </c>
      <c r="W827" s="4"/>
      <c r="X827" s="4"/>
      <c r="Y827" s="4"/>
      <c r="Z827" s="4"/>
      <c r="AA827" s="4"/>
      <c r="AB827" s="4"/>
      <c r="AC827" s="4" t="str">
        <f>IFERROR(__xludf.DUMMYFUNCTION("""COMPUTED_VALUE"""),"INSPEKSI SUTM - T2_Images/8fb99643.FOTO.150929.jpg")</f>
        <v>INSPEKSI SUTM - T2_Images/8fb99643.FOTO.150929.jpg</v>
      </c>
      <c r="AD827" s="4"/>
      <c r="AE827" s="4"/>
      <c r="AF827" s="4" t="str">
        <f>IFERROR(__xludf.DUMMYFUNCTION("""COMPUTED_VALUE"""),"BELUM")</f>
        <v>BELUM</v>
      </c>
      <c r="AG827" s="6">
        <f>IFERROR(__xludf.DUMMYFUNCTION("""COMPUTED_VALUE"""),46097.0)</f>
        <v>46097</v>
      </c>
      <c r="AH827" s="4"/>
      <c r="AI827" s="4"/>
    </row>
    <row r="828" ht="15.75" customHeight="1">
      <c r="A828" s="4" t="str">
        <f>IFERROR(__xludf.DUMMYFUNCTION("""COMPUTED_VALUE"""),"92913d6a")</f>
        <v>92913d6a</v>
      </c>
      <c r="B828" s="5">
        <f>IFERROR(__xludf.DUMMYFUNCTION("""COMPUTED_VALUE"""),46097.92574074074)</f>
        <v>46097.92574</v>
      </c>
      <c r="C828" s="4" t="str">
        <f>IFERROR(__xludf.DUMMYFUNCTION("""COMPUTED_VALUE"""),"-6.886176, 107.695797")</f>
        <v>-6.886176, 107.695797</v>
      </c>
      <c r="D828" s="4" t="str">
        <f>IFERROR(__xludf.DUMMYFUNCTION("""COMPUTED_VALUE"""),"Canra heri")</f>
        <v>Canra heri</v>
      </c>
      <c r="E828" s="4" t="str">
        <f>IFERROR(__xludf.DUMMYFUNCTION("""COMPUTED_VALUE"""),"BANDUNG")</f>
        <v>BANDUNG</v>
      </c>
      <c r="F828" s="4" t="str">
        <f>IFERROR(__xludf.DUMMYFUNCTION("""COMPUTED_VALUE"""),"UJUNGBERUNG")</f>
        <v>UJUNGBERUNG</v>
      </c>
      <c r="G828" s="4" t="str">
        <f>IFERROR(__xludf.DUMMYFUNCTION("""COMPUTED_VALUE"""),"UJUNGBERUNG")</f>
        <v>UJUNGBERUNG</v>
      </c>
      <c r="H828" s="4" t="str">
        <f>IFERROR(__xludf.DUMMYFUNCTION("""COMPUTED_VALUE"""),"UZO")</f>
        <v>UZO</v>
      </c>
      <c r="I828" s="4" t="str">
        <f>IFERROR(__xludf.DUMMYFUNCTION("""COMPUTED_VALUE"""),"LBS PKN - UJUNG")</f>
        <v>LBS PKN - UJUNG</v>
      </c>
      <c r="J828" s="4" t="str">
        <f>IFERROR(__xludf.DUMMYFUNCTION("""COMPUTED_VALUE"""),"ZONA 2")</f>
        <v>ZONA 2</v>
      </c>
      <c r="K828" s="4" t="str">
        <f>IFERROR(__xludf.DUMMYFUNCTION("""COMPUTED_VALUE"""),"135")</f>
        <v>135</v>
      </c>
      <c r="L828" s="4" t="str">
        <f>IFERROR(__xludf.DUMMYFUNCTION("""COMPUTED_VALUE"""),"TM - 4B/H (Afspan)")</f>
        <v>TM - 4B/H (Afspan)</v>
      </c>
      <c r="M828" s="4" t="str">
        <f>IFERROR(__xludf.DUMMYFUNCTION("""COMPUTED_VALUE"""),"Tidak Ada")</f>
        <v>Tidak Ada</v>
      </c>
      <c r="N828" s="4"/>
      <c r="O828" s="4" t="str">
        <f>IFERROR(__xludf.DUMMYFUNCTION("""COMPUTED_VALUE"""),"PEMBANDING SEJENIS")</f>
        <v>PEMBANDING SEJENIS</v>
      </c>
      <c r="P828" s="4" t="str">
        <f>IFERROR(__xludf.DUMMYFUNCTION("""COMPUTED_VALUE"""),"KONEKTOR/JUMPER")</f>
        <v>KONEKTOR/JUMPER</v>
      </c>
      <c r="Q828" s="4">
        <f>IFERROR(__xludf.DUMMYFUNCTION("""COMPUTED_VALUE"""),20.0)</f>
        <v>20</v>
      </c>
      <c r="R828" s="4">
        <f>IFERROR(__xludf.DUMMYFUNCTION("""COMPUTED_VALUE"""),20.0)</f>
        <v>20</v>
      </c>
      <c r="S828" s="4">
        <f>IFERROR(__xludf.DUMMYFUNCTION("""COMPUTED_VALUE"""),19.0)</f>
        <v>19</v>
      </c>
      <c r="T828" s="4"/>
      <c r="U828" s="4" t="str">
        <f>IFERROR(__xludf.DUMMYFUNCTION("""COMPUTED_VALUE"""),"BAIK")</f>
        <v>BAIK</v>
      </c>
      <c r="V828" s="4" t="str">
        <f>IFERROR(__xludf.DUMMYFUNCTION("""COMPUTED_VALUE"""),"Tidak Ada")</f>
        <v>Tidak Ada</v>
      </c>
      <c r="W828" s="4"/>
      <c r="X828" s="4"/>
      <c r="Y828" s="4"/>
      <c r="Z828" s="4"/>
      <c r="AA828" s="4"/>
      <c r="AB828" s="4"/>
      <c r="AC828" s="4" t="str">
        <f>IFERROR(__xludf.DUMMYFUNCTION("""COMPUTED_VALUE"""),"INSPEKSI SUTM - T2_Images/92913d6a.FOTO.151358.jpg")</f>
        <v>INSPEKSI SUTM - T2_Images/92913d6a.FOTO.151358.jpg</v>
      </c>
      <c r="AD828" s="4"/>
      <c r="AE828" s="4"/>
      <c r="AF828" s="4" t="str">
        <f>IFERROR(__xludf.DUMMYFUNCTION("""COMPUTED_VALUE"""),"BELUM")</f>
        <v>BELUM</v>
      </c>
      <c r="AG828" s="6">
        <f>IFERROR(__xludf.DUMMYFUNCTION("""COMPUTED_VALUE"""),46097.0)</f>
        <v>46097</v>
      </c>
      <c r="AH828" s="4"/>
      <c r="AI828" s="4"/>
    </row>
    <row r="829" ht="15.75" customHeight="1">
      <c r="A829" s="4" t="str">
        <f>IFERROR(__xludf.DUMMYFUNCTION("""COMPUTED_VALUE"""),"a5c89ddd")</f>
        <v>a5c89ddd</v>
      </c>
      <c r="B829" s="5">
        <f>IFERROR(__xludf.DUMMYFUNCTION("""COMPUTED_VALUE"""),46097.92798611111)</f>
        <v>46097.92799</v>
      </c>
      <c r="C829" s="4" t="str">
        <f>IFERROR(__xludf.DUMMYFUNCTION("""COMPUTED_VALUE"""),"-6.892575, 107.694735")</f>
        <v>-6.892575, 107.694735</v>
      </c>
      <c r="D829" s="4" t="str">
        <f>IFERROR(__xludf.DUMMYFUNCTION("""COMPUTED_VALUE"""),"Canra heri")</f>
        <v>Canra heri</v>
      </c>
      <c r="E829" s="4" t="str">
        <f>IFERROR(__xludf.DUMMYFUNCTION("""COMPUTED_VALUE"""),"BANDUNG")</f>
        <v>BANDUNG</v>
      </c>
      <c r="F829" s="4" t="str">
        <f>IFERROR(__xludf.DUMMYFUNCTION("""COMPUTED_VALUE"""),"UJUNGBERUNG")</f>
        <v>UJUNGBERUNG</v>
      </c>
      <c r="G829" s="4" t="str">
        <f>IFERROR(__xludf.DUMMYFUNCTION("""COMPUTED_VALUE"""),"UJUNGBERUNG")</f>
        <v>UJUNGBERUNG</v>
      </c>
      <c r="H829" s="4" t="str">
        <f>IFERROR(__xludf.DUMMYFUNCTION("""COMPUTED_VALUE"""),"UZO")</f>
        <v>UZO</v>
      </c>
      <c r="I829" s="4" t="str">
        <f>IFERROR(__xludf.DUMMYFUNCTION("""COMPUTED_VALUE"""),"LBS PKN - UJUNG")</f>
        <v>LBS PKN - UJUNG</v>
      </c>
      <c r="J829" s="4" t="str">
        <f>IFERROR(__xludf.DUMMYFUNCTION("""COMPUTED_VALUE"""),"ZONA 2")</f>
        <v>ZONA 2</v>
      </c>
      <c r="K829" s="4" t="str">
        <f>IFERROR(__xludf.DUMMYFUNCTION("""COMPUTED_VALUE"""),"113")</f>
        <v>113</v>
      </c>
      <c r="L829" s="4" t="str">
        <f>IFERROR(__xludf.DUMMYFUNCTION("""COMPUTED_VALUE"""),"TM - 7B/H (Afspan 90 Derajat)")</f>
        <v>TM - 7B/H (Afspan 90 Derajat)</v>
      </c>
      <c r="M829" s="4" t="str">
        <f>IFERROR(__xludf.DUMMYFUNCTION("""COMPUTED_VALUE"""),"Tidak Ada")</f>
        <v>Tidak Ada</v>
      </c>
      <c r="N829" s="4"/>
      <c r="O829" s="4" t="str">
        <f>IFERROR(__xludf.DUMMYFUNCTION("""COMPUTED_VALUE"""),"PEMBANDING SEJENIS")</f>
        <v>PEMBANDING SEJENIS</v>
      </c>
      <c r="P829" s="4" t="str">
        <f>IFERROR(__xludf.DUMMYFUNCTION("""COMPUTED_VALUE"""),"KONEKTOR/JUMPER")</f>
        <v>KONEKTOR/JUMPER</v>
      </c>
      <c r="Q829" s="4">
        <f>IFERROR(__xludf.DUMMYFUNCTION("""COMPUTED_VALUE"""),22.0)</f>
        <v>22</v>
      </c>
      <c r="R829" s="4">
        <f>IFERROR(__xludf.DUMMYFUNCTION("""COMPUTED_VALUE"""),20.0)</f>
        <v>20</v>
      </c>
      <c r="S829" s="4">
        <f>IFERROR(__xludf.DUMMYFUNCTION("""COMPUTED_VALUE"""),22.0)</f>
        <v>22</v>
      </c>
      <c r="T829" s="4"/>
      <c r="U829" s="4" t="str">
        <f>IFERROR(__xludf.DUMMYFUNCTION("""COMPUTED_VALUE"""),"BAIK")</f>
        <v>BAIK</v>
      </c>
      <c r="V829" s="4" t="str">
        <f>IFERROR(__xludf.DUMMYFUNCTION("""COMPUTED_VALUE"""),"Tidak Ada")</f>
        <v>Tidak Ada</v>
      </c>
      <c r="W829" s="4"/>
      <c r="X829" s="4"/>
      <c r="Y829" s="4"/>
      <c r="Z829" s="4"/>
      <c r="AA829" s="4"/>
      <c r="AB829" s="4"/>
      <c r="AC829" s="4" t="str">
        <f>IFERROR(__xludf.DUMMYFUNCTION("""COMPUTED_VALUE"""),"INSPEKSI SUTM - T2_Images/a5c89ddd.FOTO.151703.jpg")</f>
        <v>INSPEKSI SUTM - T2_Images/a5c89ddd.FOTO.151703.jpg</v>
      </c>
      <c r="AD829" s="4"/>
      <c r="AE829" s="4"/>
      <c r="AF829" s="4" t="str">
        <f>IFERROR(__xludf.DUMMYFUNCTION("""COMPUTED_VALUE"""),"BELUM")</f>
        <v>BELUM</v>
      </c>
      <c r="AG829" s="6">
        <f>IFERROR(__xludf.DUMMYFUNCTION("""COMPUTED_VALUE"""),46097.0)</f>
        <v>46097</v>
      </c>
      <c r="AH829" s="4"/>
      <c r="AI829" s="4"/>
    </row>
    <row r="830" ht="15.75" customHeight="1">
      <c r="A830" s="4" t="str">
        <f>IFERROR(__xludf.DUMMYFUNCTION("""COMPUTED_VALUE"""),"414d6620")</f>
        <v>414d6620</v>
      </c>
      <c r="B830" s="5">
        <f>IFERROR(__xludf.DUMMYFUNCTION("""COMPUTED_VALUE"""),46097.930451388886)</f>
        <v>46097.93045</v>
      </c>
      <c r="C830" s="4" t="str">
        <f>IFERROR(__xludf.DUMMYFUNCTION("""COMPUTED_VALUE"""),"-6.887649, 107.695504")</f>
        <v>-6.887649, 107.695504</v>
      </c>
      <c r="D830" s="4" t="str">
        <f>IFERROR(__xludf.DUMMYFUNCTION("""COMPUTED_VALUE"""),"Canra heri")</f>
        <v>Canra heri</v>
      </c>
      <c r="E830" s="4" t="str">
        <f>IFERROR(__xludf.DUMMYFUNCTION("""COMPUTED_VALUE"""),"BANDUNG")</f>
        <v>BANDUNG</v>
      </c>
      <c r="F830" s="4" t="str">
        <f>IFERROR(__xludf.DUMMYFUNCTION("""COMPUTED_VALUE"""),"UJUNGBERUNG")</f>
        <v>UJUNGBERUNG</v>
      </c>
      <c r="G830" s="4" t="str">
        <f>IFERROR(__xludf.DUMMYFUNCTION("""COMPUTED_VALUE"""),"UJUNGBERUNG")</f>
        <v>UJUNGBERUNG</v>
      </c>
      <c r="H830" s="4" t="str">
        <f>IFERROR(__xludf.DUMMYFUNCTION("""COMPUTED_VALUE"""),"UZO")</f>
        <v>UZO</v>
      </c>
      <c r="I830" s="4" t="str">
        <f>IFERROR(__xludf.DUMMYFUNCTION("""COMPUTED_VALUE"""),"LBS PKN - UJUNG")</f>
        <v>LBS PKN - UJUNG</v>
      </c>
      <c r="J830" s="4" t="str">
        <f>IFERROR(__xludf.DUMMYFUNCTION("""COMPUTED_VALUE"""),"ZONA 2")</f>
        <v>ZONA 2</v>
      </c>
      <c r="K830" s="4" t="str">
        <f>IFERROR(__xludf.DUMMYFUNCTION("""COMPUTED_VALUE"""),"131")</f>
        <v>131</v>
      </c>
      <c r="L830" s="4" t="str">
        <f>IFERROR(__xludf.DUMMYFUNCTION("""COMPUTED_VALUE"""),"TM - 7B/H (Afspan 90 Derajat)")</f>
        <v>TM - 7B/H (Afspan 90 Derajat)</v>
      </c>
      <c r="M830" s="4" t="str">
        <f>IFERROR(__xludf.DUMMYFUNCTION("""COMPUTED_VALUE"""),"Tidak Ada")</f>
        <v>Tidak Ada</v>
      </c>
      <c r="N830" s="4"/>
      <c r="O830" s="4" t="str">
        <f>IFERROR(__xludf.DUMMYFUNCTION("""COMPUTED_VALUE"""),"PEMBANDING SEJENIS")</f>
        <v>PEMBANDING SEJENIS</v>
      </c>
      <c r="P830" s="4" t="str">
        <f>IFERROR(__xludf.DUMMYFUNCTION("""COMPUTED_VALUE"""),"KONEKTOR/JUMPER")</f>
        <v>KONEKTOR/JUMPER</v>
      </c>
      <c r="Q830" s="4">
        <f>IFERROR(__xludf.DUMMYFUNCTION("""COMPUTED_VALUE"""),22.0)</f>
        <v>22</v>
      </c>
      <c r="R830" s="4">
        <f>IFERROR(__xludf.DUMMYFUNCTION("""COMPUTED_VALUE"""),23.0)</f>
        <v>23</v>
      </c>
      <c r="S830" s="4">
        <f>IFERROR(__xludf.DUMMYFUNCTION("""COMPUTED_VALUE"""),22.0)</f>
        <v>22</v>
      </c>
      <c r="T830" s="4"/>
      <c r="U830" s="4" t="str">
        <f>IFERROR(__xludf.DUMMYFUNCTION("""COMPUTED_VALUE"""),"BAIK")</f>
        <v>BAIK</v>
      </c>
      <c r="V830" s="4" t="str">
        <f>IFERROR(__xludf.DUMMYFUNCTION("""COMPUTED_VALUE"""),"Tidak Ada")</f>
        <v>Tidak Ada</v>
      </c>
      <c r="W830" s="4"/>
      <c r="X830" s="4"/>
      <c r="Y830" s="4"/>
      <c r="Z830" s="4"/>
      <c r="AA830" s="4"/>
      <c r="AB830" s="4"/>
      <c r="AC830" s="4" t="str">
        <f>IFERROR(__xludf.DUMMYFUNCTION("""COMPUTED_VALUE"""),"INSPEKSI SUTM - T2_Images/414d6620.FOTO.152038.jpg")</f>
        <v>INSPEKSI SUTM - T2_Images/414d6620.FOTO.152038.jpg</v>
      </c>
      <c r="AD830" s="4"/>
      <c r="AE830" s="4"/>
      <c r="AF830" s="4" t="str">
        <f>IFERROR(__xludf.DUMMYFUNCTION("""COMPUTED_VALUE"""),"BELUM")</f>
        <v>BELUM</v>
      </c>
      <c r="AG830" s="6">
        <f>IFERROR(__xludf.DUMMYFUNCTION("""COMPUTED_VALUE"""),46097.0)</f>
        <v>46097</v>
      </c>
      <c r="AH830" s="4"/>
      <c r="AI830" s="4"/>
    </row>
    <row r="831" ht="15.75" customHeight="1">
      <c r="A831" s="4" t="str">
        <f>IFERROR(__xludf.DUMMYFUNCTION("""COMPUTED_VALUE"""),"127eedc6")</f>
        <v>127eedc6</v>
      </c>
      <c r="B831" s="5">
        <f>IFERROR(__xludf.DUMMYFUNCTION("""COMPUTED_VALUE"""),46097.966886574075)</f>
        <v>46097.96689</v>
      </c>
      <c r="C831" s="4" t="str">
        <f>IFERROR(__xludf.DUMMYFUNCTION("""COMPUTED_VALUE"""),"-6.888953, 107.696469")</f>
        <v>-6.888953, 107.696469</v>
      </c>
      <c r="D831" s="4" t="str">
        <f>IFERROR(__xludf.DUMMYFUNCTION("""COMPUTED_VALUE"""),"Canra heei")</f>
        <v>Canra heei</v>
      </c>
      <c r="E831" s="4" t="str">
        <f>IFERROR(__xludf.DUMMYFUNCTION("""COMPUTED_VALUE"""),"BANDUNG")</f>
        <v>BANDUNG</v>
      </c>
      <c r="F831" s="4" t="str">
        <f>IFERROR(__xludf.DUMMYFUNCTION("""COMPUTED_VALUE"""),"UJUNGBERUNG")</f>
        <v>UJUNGBERUNG</v>
      </c>
      <c r="G831" s="4" t="str">
        <f>IFERROR(__xludf.DUMMYFUNCTION("""COMPUTED_VALUE"""),"UJUNGBERUNG")</f>
        <v>UJUNGBERUNG</v>
      </c>
      <c r="H831" s="4" t="str">
        <f>IFERROR(__xludf.DUMMYFUNCTION("""COMPUTED_VALUE"""),"UZO")</f>
        <v>UZO</v>
      </c>
      <c r="I831" s="4" t="str">
        <f>IFERROR(__xludf.DUMMYFUNCTION("""COMPUTED_VALUE"""),"LBS PKN - UJUNG")</f>
        <v>LBS PKN - UJUNG</v>
      </c>
      <c r="J831" s="4" t="str">
        <f>IFERROR(__xludf.DUMMYFUNCTION("""COMPUTED_VALUE"""),"ZONA 2")</f>
        <v>ZONA 2</v>
      </c>
      <c r="K831" s="4" t="str">
        <f>IFERROR(__xludf.DUMMYFUNCTION("""COMPUTED_VALUE"""),"127")</f>
        <v>127</v>
      </c>
      <c r="L831" s="4" t="str">
        <f>IFERROR(__xludf.DUMMYFUNCTION("""COMPUTED_VALUE"""),"TM - 7BC/HC (Afspan 90 Derajat dengan CO)")</f>
        <v>TM - 7BC/HC (Afspan 90 Derajat dengan CO)</v>
      </c>
      <c r="M831" s="4" t="str">
        <f>IFERROR(__xludf.DUMMYFUNCTION("""COMPUTED_VALUE"""),"Tidak Ada")</f>
        <v>Tidak Ada</v>
      </c>
      <c r="N831" s="4"/>
      <c r="O831" s="4" t="str">
        <f>IFERROR(__xludf.DUMMYFUNCTION("""COMPUTED_VALUE"""),"PEMBANDING SEJENIS")</f>
        <v>PEMBANDING SEJENIS</v>
      </c>
      <c r="P831" s="4" t="str">
        <f>IFERROR(__xludf.DUMMYFUNCTION("""COMPUTED_VALUE"""),"KONEKTOR/JUMPER")</f>
        <v>KONEKTOR/JUMPER</v>
      </c>
      <c r="Q831" s="4">
        <f>IFERROR(__xludf.DUMMYFUNCTION("""COMPUTED_VALUE"""),20.0)</f>
        <v>20</v>
      </c>
      <c r="R831" s="4">
        <f>IFERROR(__xludf.DUMMYFUNCTION("""COMPUTED_VALUE"""),23.0)</f>
        <v>23</v>
      </c>
      <c r="S831" s="4">
        <f>IFERROR(__xludf.DUMMYFUNCTION("""COMPUTED_VALUE"""),21.0)</f>
        <v>21</v>
      </c>
      <c r="T831" s="4"/>
      <c r="U831" s="4" t="str">
        <f>IFERROR(__xludf.DUMMYFUNCTION("""COMPUTED_VALUE"""),"CUKUP")</f>
        <v>CUKUP</v>
      </c>
      <c r="V831" s="4" t="str">
        <f>IFERROR(__xludf.DUMMYFUNCTION("""COMPUTED_VALUE"""),"Tidak Ada")</f>
        <v>Tidak Ada</v>
      </c>
      <c r="W831" s="4"/>
      <c r="X831" s="4"/>
      <c r="Y831" s="4"/>
      <c r="Z831" s="4"/>
      <c r="AA831" s="4"/>
      <c r="AB831" s="4"/>
      <c r="AC831" s="4" t="str">
        <f>IFERROR(__xludf.DUMMYFUNCTION("""COMPUTED_VALUE"""),"INSPEKSI SUTM - T2_Images/127eedc6.FOTO.161321.jpg")</f>
        <v>INSPEKSI SUTM - T2_Images/127eedc6.FOTO.161321.jpg</v>
      </c>
      <c r="AD831" s="4"/>
      <c r="AE831" s="4"/>
      <c r="AF831" s="4" t="str">
        <f>IFERROR(__xludf.DUMMYFUNCTION("""COMPUTED_VALUE"""),"BELUM")</f>
        <v>BELUM</v>
      </c>
      <c r="AG831" s="6">
        <f>IFERROR(__xludf.DUMMYFUNCTION("""COMPUTED_VALUE"""),46097.0)</f>
        <v>46097</v>
      </c>
      <c r="AH831" s="4"/>
      <c r="AI831" s="4"/>
    </row>
    <row r="832" ht="15.75" customHeight="1">
      <c r="A832" s="4" t="str">
        <f>IFERROR(__xludf.DUMMYFUNCTION("""COMPUTED_VALUE"""),"af292850")</f>
        <v>af292850</v>
      </c>
      <c r="B832" s="5">
        <f>IFERROR(__xludf.DUMMYFUNCTION("""COMPUTED_VALUE"""),46097.96946759259)</f>
        <v>46097.96947</v>
      </c>
      <c r="C832" s="4" t="str">
        <f>IFERROR(__xludf.DUMMYFUNCTION("""COMPUTED_VALUE"""),"-6.895178, 107.690543")</f>
        <v>-6.895178, 107.690543</v>
      </c>
      <c r="D832" s="4" t="str">
        <f>IFERROR(__xludf.DUMMYFUNCTION("""COMPUTED_VALUE"""),"Canra heri")</f>
        <v>Canra heri</v>
      </c>
      <c r="E832" s="4" t="str">
        <f>IFERROR(__xludf.DUMMYFUNCTION("""COMPUTED_VALUE"""),"BANDUNG")</f>
        <v>BANDUNG</v>
      </c>
      <c r="F832" s="4" t="str">
        <f>IFERROR(__xludf.DUMMYFUNCTION("""COMPUTED_VALUE"""),"UJUNGBERUNG")</f>
        <v>UJUNGBERUNG</v>
      </c>
      <c r="G832" s="4" t="str">
        <f>IFERROR(__xludf.DUMMYFUNCTION("""COMPUTED_VALUE"""),"UJUNGBERUNG")</f>
        <v>UJUNGBERUNG</v>
      </c>
      <c r="H832" s="4" t="str">
        <f>IFERROR(__xludf.DUMMYFUNCTION("""COMPUTED_VALUE"""),"UZO")</f>
        <v>UZO</v>
      </c>
      <c r="I832" s="4" t="str">
        <f>IFERROR(__xludf.DUMMYFUNCTION("""COMPUTED_VALUE"""),"LBS PKN - UJUNG")</f>
        <v>LBS PKN - UJUNG</v>
      </c>
      <c r="J832" s="4" t="str">
        <f>IFERROR(__xludf.DUMMYFUNCTION("""COMPUTED_VALUE"""),"ZONA 2")</f>
        <v>ZONA 2</v>
      </c>
      <c r="K832" s="4" t="str">
        <f>IFERROR(__xludf.DUMMYFUNCTION("""COMPUTED_VALUE"""),"107L014")</f>
        <v>107L014</v>
      </c>
      <c r="L832" s="4" t="str">
        <f>IFERROR(__xludf.DUMMYFUNCTION("""COMPUTED_VALUE"""),"TM - 7B/H (Afspan 90 Derajat)")</f>
        <v>TM - 7B/H (Afspan 90 Derajat)</v>
      </c>
      <c r="M832" s="4" t="str">
        <f>IFERROR(__xludf.DUMMYFUNCTION("""COMPUTED_VALUE"""),"Tidak Ada")</f>
        <v>Tidak Ada</v>
      </c>
      <c r="N832" s="4"/>
      <c r="O832" s="4" t="str">
        <f>IFERROR(__xludf.DUMMYFUNCTION("""COMPUTED_VALUE"""),"PEMBANDING SEJENIS")</f>
        <v>PEMBANDING SEJENIS</v>
      </c>
      <c r="P832" s="4" t="str">
        <f>IFERROR(__xludf.DUMMYFUNCTION("""COMPUTED_VALUE"""),"KONEKTOR/JUMPER")</f>
        <v>KONEKTOR/JUMPER</v>
      </c>
      <c r="Q832" s="4">
        <f>IFERROR(__xludf.DUMMYFUNCTION("""COMPUTED_VALUE"""),20.0)</f>
        <v>20</v>
      </c>
      <c r="R832" s="4">
        <f>IFERROR(__xludf.DUMMYFUNCTION("""COMPUTED_VALUE"""),22.0)</f>
        <v>22</v>
      </c>
      <c r="S832" s="4">
        <f>IFERROR(__xludf.DUMMYFUNCTION("""COMPUTED_VALUE"""),21.0)</f>
        <v>21</v>
      </c>
      <c r="T832" s="4"/>
      <c r="U832" s="4" t="str">
        <f>IFERROR(__xludf.DUMMYFUNCTION("""COMPUTED_VALUE"""),"BAIK")</f>
        <v>BAIK</v>
      </c>
      <c r="V832" s="4" t="str">
        <f>IFERROR(__xludf.DUMMYFUNCTION("""COMPUTED_VALUE"""),"Tidak Ada")</f>
        <v>Tidak Ada</v>
      </c>
      <c r="W832" s="4"/>
      <c r="X832" s="4"/>
      <c r="Y832" s="4"/>
      <c r="Z832" s="4"/>
      <c r="AA832" s="4"/>
      <c r="AB832" s="4"/>
      <c r="AC832" s="4" t="str">
        <f>IFERROR(__xludf.DUMMYFUNCTION("""COMPUTED_VALUE"""),"INSPEKSI SUTM - T2_Images/af292850.FOTO.161719.jpg")</f>
        <v>INSPEKSI SUTM - T2_Images/af292850.FOTO.161719.jpg</v>
      </c>
      <c r="AD832" s="4"/>
      <c r="AE832" s="4"/>
      <c r="AF832" s="4" t="str">
        <f>IFERROR(__xludf.DUMMYFUNCTION("""COMPUTED_VALUE"""),"BELUM")</f>
        <v>BELUM</v>
      </c>
      <c r="AG832" s="6">
        <f>IFERROR(__xludf.DUMMYFUNCTION("""COMPUTED_VALUE"""),46097.0)</f>
        <v>46097</v>
      </c>
      <c r="AH832" s="4"/>
      <c r="AI832" s="4"/>
    </row>
    <row r="833" ht="15.75" customHeight="1">
      <c r="A833" s="4" t="str">
        <f>IFERROR(__xludf.DUMMYFUNCTION("""COMPUTED_VALUE"""),"ae638e52")</f>
        <v>ae638e52</v>
      </c>
      <c r="B833" s="5">
        <f>IFERROR(__xludf.DUMMYFUNCTION("""COMPUTED_VALUE"""),46097.971041666664)</f>
        <v>46097.97104</v>
      </c>
      <c r="C833" s="4" t="str">
        <f>IFERROR(__xludf.DUMMYFUNCTION("""COMPUTED_VALUE"""),"-6.895327, 107.690490")</f>
        <v>-6.895327, 107.690490</v>
      </c>
      <c r="D833" s="4" t="str">
        <f>IFERROR(__xludf.DUMMYFUNCTION("""COMPUTED_VALUE"""),"Canra heri")</f>
        <v>Canra heri</v>
      </c>
      <c r="E833" s="4" t="str">
        <f>IFERROR(__xludf.DUMMYFUNCTION("""COMPUTED_VALUE"""),"BANDUNG")</f>
        <v>BANDUNG</v>
      </c>
      <c r="F833" s="4" t="str">
        <f>IFERROR(__xludf.DUMMYFUNCTION("""COMPUTED_VALUE"""),"UJUNGBERUNG")</f>
        <v>UJUNGBERUNG</v>
      </c>
      <c r="G833" s="4" t="str">
        <f>IFERROR(__xludf.DUMMYFUNCTION("""COMPUTED_VALUE"""),"UJUNGBERUNG")</f>
        <v>UJUNGBERUNG</v>
      </c>
      <c r="H833" s="4" t="str">
        <f>IFERROR(__xludf.DUMMYFUNCTION("""COMPUTED_VALUE"""),"UZO")</f>
        <v>UZO</v>
      </c>
      <c r="I833" s="4" t="str">
        <f>IFERROR(__xludf.DUMMYFUNCTION("""COMPUTED_VALUE"""),"LBS PKN - UJUNG")</f>
        <v>LBS PKN - UJUNG</v>
      </c>
      <c r="J833" s="4" t="str">
        <f>IFERROR(__xludf.DUMMYFUNCTION("""COMPUTED_VALUE"""),"ZONA 2")</f>
        <v>ZONA 2</v>
      </c>
      <c r="K833" s="4" t="str">
        <f>IFERROR(__xludf.DUMMYFUNCTION("""COMPUTED_VALUE"""),"107L015")</f>
        <v>107L015</v>
      </c>
      <c r="L833" s="4" t="str">
        <f>IFERROR(__xludf.DUMMYFUNCTION("""COMPUTED_VALUE"""),"TM - 7B/H (Afspan 90 Derajat)")</f>
        <v>TM - 7B/H (Afspan 90 Derajat)</v>
      </c>
      <c r="M833" s="4" t="str">
        <f>IFERROR(__xludf.DUMMYFUNCTION("""COMPUTED_VALUE"""),"Tidak Ada")</f>
        <v>Tidak Ada</v>
      </c>
      <c r="N833" s="4"/>
      <c r="O833" s="4" t="str">
        <f>IFERROR(__xludf.DUMMYFUNCTION("""COMPUTED_VALUE"""),"PEMBANDING SEJENIS")</f>
        <v>PEMBANDING SEJENIS</v>
      </c>
      <c r="P833" s="4" t="str">
        <f>IFERROR(__xludf.DUMMYFUNCTION("""COMPUTED_VALUE"""),"KONEKTOR/JUMPER")</f>
        <v>KONEKTOR/JUMPER</v>
      </c>
      <c r="Q833" s="4">
        <f>IFERROR(__xludf.DUMMYFUNCTION("""COMPUTED_VALUE"""),22.0)</f>
        <v>22</v>
      </c>
      <c r="R833" s="4">
        <f>IFERROR(__xludf.DUMMYFUNCTION("""COMPUTED_VALUE"""),18.0)</f>
        <v>18</v>
      </c>
      <c r="S833" s="4">
        <f>IFERROR(__xludf.DUMMYFUNCTION("""COMPUTED_VALUE"""),14.0)</f>
        <v>14</v>
      </c>
      <c r="T833" s="4"/>
      <c r="U833" s="4" t="str">
        <f>IFERROR(__xludf.DUMMYFUNCTION("""COMPUTED_VALUE"""),"CUKUP")</f>
        <v>CUKUP</v>
      </c>
      <c r="V833" s="4" t="str">
        <f>IFERROR(__xludf.DUMMYFUNCTION("""COMPUTED_VALUE"""),"Tidak Ada")</f>
        <v>Tidak Ada</v>
      </c>
      <c r="W833" s="4"/>
      <c r="X833" s="4"/>
      <c r="Y833" s="4"/>
      <c r="Z833" s="4"/>
      <c r="AA833" s="4"/>
      <c r="AB833" s="4"/>
      <c r="AC833" s="4" t="str">
        <f>IFERROR(__xludf.DUMMYFUNCTION("""COMPUTED_VALUE"""),"INSPEKSI SUTM - T2_Images/ae638e52.FOTO.161916.jpg")</f>
        <v>INSPEKSI SUTM - T2_Images/ae638e52.FOTO.161916.jpg</v>
      </c>
      <c r="AD833" s="4"/>
      <c r="AE833" s="4"/>
      <c r="AF833" s="4" t="str">
        <f>IFERROR(__xludf.DUMMYFUNCTION("""COMPUTED_VALUE"""),"BELUM")</f>
        <v>BELUM</v>
      </c>
      <c r="AG833" s="6">
        <f>IFERROR(__xludf.DUMMYFUNCTION("""COMPUTED_VALUE"""),46097.0)</f>
        <v>46097</v>
      </c>
      <c r="AH833" s="4"/>
      <c r="AI833" s="4"/>
    </row>
    <row r="834" ht="15.75" customHeight="1">
      <c r="A834" s="4" t="str">
        <f>IFERROR(__xludf.DUMMYFUNCTION("""COMPUTED_VALUE"""),"4e1f1747")</f>
        <v>4e1f1747</v>
      </c>
      <c r="B834" s="5">
        <f>IFERROR(__xludf.DUMMYFUNCTION("""COMPUTED_VALUE"""),46097.972650462965)</f>
        <v>46097.97265</v>
      </c>
      <c r="C834" s="4" t="str">
        <f>IFERROR(__xludf.DUMMYFUNCTION("""COMPUTED_VALUE"""),"-6.895352, 107.689934")</f>
        <v>-6.895352, 107.689934</v>
      </c>
      <c r="D834" s="4" t="str">
        <f>IFERROR(__xludf.DUMMYFUNCTION("""COMPUTED_VALUE"""),"Canra heri")</f>
        <v>Canra heri</v>
      </c>
      <c r="E834" s="4" t="str">
        <f>IFERROR(__xludf.DUMMYFUNCTION("""COMPUTED_VALUE"""),"BANDUNG")</f>
        <v>BANDUNG</v>
      </c>
      <c r="F834" s="4" t="str">
        <f>IFERROR(__xludf.DUMMYFUNCTION("""COMPUTED_VALUE"""),"UJUNGBERUNG")</f>
        <v>UJUNGBERUNG</v>
      </c>
      <c r="G834" s="4" t="str">
        <f>IFERROR(__xludf.DUMMYFUNCTION("""COMPUTED_VALUE"""),"UJUNGBERUNG")</f>
        <v>UJUNGBERUNG</v>
      </c>
      <c r="H834" s="4" t="str">
        <f>IFERROR(__xludf.DUMMYFUNCTION("""COMPUTED_VALUE"""),"UZO")</f>
        <v>UZO</v>
      </c>
      <c r="I834" s="4" t="str">
        <f>IFERROR(__xludf.DUMMYFUNCTION("""COMPUTED_VALUE"""),"LBS PKN - UJUNG")</f>
        <v>LBS PKN - UJUNG</v>
      </c>
      <c r="J834" s="4" t="str">
        <f>IFERROR(__xludf.DUMMYFUNCTION("""COMPUTED_VALUE"""),"ZONA 2")</f>
        <v>ZONA 2</v>
      </c>
      <c r="K834" s="4" t="str">
        <f>IFERROR(__xludf.DUMMYFUNCTION("""COMPUTED_VALUE"""),"107L017")</f>
        <v>107L017</v>
      </c>
      <c r="L834" s="4" t="str">
        <f>IFERROR(__xludf.DUMMYFUNCTION("""COMPUTED_VALUE"""),"TM - 7B/H (Afspan 90 Derajat)")</f>
        <v>TM - 7B/H (Afspan 90 Derajat)</v>
      </c>
      <c r="M834" s="4" t="str">
        <f>IFERROR(__xludf.DUMMYFUNCTION("""COMPUTED_VALUE"""),"Tidak Ada")</f>
        <v>Tidak Ada</v>
      </c>
      <c r="N834" s="4"/>
      <c r="O834" s="4" t="str">
        <f>IFERROR(__xludf.DUMMYFUNCTION("""COMPUTED_VALUE"""),"PEMBANDING SEJENIS")</f>
        <v>PEMBANDING SEJENIS</v>
      </c>
      <c r="P834" s="4" t="str">
        <f>IFERROR(__xludf.DUMMYFUNCTION("""COMPUTED_VALUE"""),"KONEKTOR/JUMPER")</f>
        <v>KONEKTOR/JUMPER</v>
      </c>
      <c r="Q834" s="4">
        <f>IFERROR(__xludf.DUMMYFUNCTION("""COMPUTED_VALUE"""),15.0)</f>
        <v>15</v>
      </c>
      <c r="R834" s="4">
        <f>IFERROR(__xludf.DUMMYFUNCTION("""COMPUTED_VALUE"""),20.0)</f>
        <v>20</v>
      </c>
      <c r="S834" s="4">
        <f>IFERROR(__xludf.DUMMYFUNCTION("""COMPUTED_VALUE"""),19.0)</f>
        <v>19</v>
      </c>
      <c r="T834" s="4"/>
      <c r="U834" s="4" t="str">
        <f>IFERROR(__xludf.DUMMYFUNCTION("""COMPUTED_VALUE"""),"CUKUP")</f>
        <v>CUKUP</v>
      </c>
      <c r="V834" s="4" t="str">
        <f>IFERROR(__xludf.DUMMYFUNCTION("""COMPUTED_VALUE"""),"Tidak Ada")</f>
        <v>Tidak Ada</v>
      </c>
      <c r="W834" s="4"/>
      <c r="X834" s="4"/>
      <c r="Y834" s="4"/>
      <c r="Z834" s="4"/>
      <c r="AA834" s="4"/>
      <c r="AB834" s="4"/>
      <c r="AC834" s="4" t="str">
        <f>IFERROR(__xludf.DUMMYFUNCTION("""COMPUTED_VALUE"""),"INSPEKSI SUTM - T2_Images/4e1f1747.FOTO.113811.jpg")</f>
        <v>INSPEKSI SUTM - T2_Images/4e1f1747.FOTO.113811.jpg</v>
      </c>
      <c r="AD834" s="4"/>
      <c r="AE834" s="4"/>
      <c r="AF834" s="4" t="str">
        <f>IFERROR(__xludf.DUMMYFUNCTION("""COMPUTED_VALUE"""),"BELUM")</f>
        <v>BELUM</v>
      </c>
      <c r="AG834" s="6">
        <f>IFERROR(__xludf.DUMMYFUNCTION("""COMPUTED_VALUE"""),46097.0)</f>
        <v>46097</v>
      </c>
      <c r="AH834" s="4"/>
      <c r="AI834" s="4"/>
    </row>
    <row r="835" ht="15.75" customHeight="1">
      <c r="A835" s="4" t="str">
        <f>IFERROR(__xludf.DUMMYFUNCTION("""COMPUTED_VALUE"""),"fbec2bb9")</f>
        <v>fbec2bb9</v>
      </c>
      <c r="B835" s="5">
        <f>IFERROR(__xludf.DUMMYFUNCTION("""COMPUTED_VALUE"""),46097.97341435185)</f>
        <v>46097.97341</v>
      </c>
      <c r="C835" s="4" t="str">
        <f>IFERROR(__xludf.DUMMYFUNCTION("""COMPUTED_VALUE"""),"-6.895342, 107.689919")</f>
        <v>-6.895342, 107.689919</v>
      </c>
      <c r="D835" s="4" t="str">
        <f>IFERROR(__xludf.DUMMYFUNCTION("""COMPUTED_VALUE"""),"Canra heri")</f>
        <v>Canra heri</v>
      </c>
      <c r="E835" s="4" t="str">
        <f>IFERROR(__xludf.DUMMYFUNCTION("""COMPUTED_VALUE"""),"BANDUNG")</f>
        <v>BANDUNG</v>
      </c>
      <c r="F835" s="4" t="str">
        <f>IFERROR(__xludf.DUMMYFUNCTION("""COMPUTED_VALUE"""),"UJUNGBERUNG")</f>
        <v>UJUNGBERUNG</v>
      </c>
      <c r="G835" s="4" t="str">
        <f>IFERROR(__xludf.DUMMYFUNCTION("""COMPUTED_VALUE"""),"UJUNGBERUNG")</f>
        <v>UJUNGBERUNG</v>
      </c>
      <c r="H835" s="4" t="str">
        <f>IFERROR(__xludf.DUMMYFUNCTION("""COMPUTED_VALUE"""),"UZO")</f>
        <v>UZO</v>
      </c>
      <c r="I835" s="4" t="str">
        <f>IFERROR(__xludf.DUMMYFUNCTION("""COMPUTED_VALUE"""),"LBS PKN - UJUNG")</f>
        <v>LBS PKN - UJUNG</v>
      </c>
      <c r="J835" s="4" t="str">
        <f>IFERROR(__xludf.DUMMYFUNCTION("""COMPUTED_VALUE"""),"ZONA 2")</f>
        <v>ZONA 2</v>
      </c>
      <c r="K835" s="4" t="str">
        <f>IFERROR(__xludf.DUMMYFUNCTION("""COMPUTED_VALUE"""),"107L01R06")</f>
        <v>107L01R06</v>
      </c>
      <c r="L835" s="4" t="str">
        <f>IFERROR(__xludf.DUMMYFUNCTION("""COMPUTED_VALUE"""),"TM - 4B/H (Afspan)")</f>
        <v>TM - 4B/H (Afspan)</v>
      </c>
      <c r="M835" s="4" t="str">
        <f>IFERROR(__xludf.DUMMYFUNCTION("""COMPUTED_VALUE"""),"Tidak Ada")</f>
        <v>Tidak Ada</v>
      </c>
      <c r="N835" s="4"/>
      <c r="O835" s="4" t="str">
        <f>IFERROR(__xludf.DUMMYFUNCTION("""COMPUTED_VALUE"""),"PEMBANDING SEJENIS")</f>
        <v>PEMBANDING SEJENIS</v>
      </c>
      <c r="P835" s="4" t="str">
        <f>IFERROR(__xludf.DUMMYFUNCTION("""COMPUTED_VALUE"""),"KONEKTOR/JUMPER")</f>
        <v>KONEKTOR/JUMPER</v>
      </c>
      <c r="Q835" s="4">
        <f>IFERROR(__xludf.DUMMYFUNCTION("""COMPUTED_VALUE"""),21.0)</f>
        <v>21</v>
      </c>
      <c r="R835" s="4">
        <f>IFERROR(__xludf.DUMMYFUNCTION("""COMPUTED_VALUE"""),24.0)</f>
        <v>24</v>
      </c>
      <c r="S835" s="4">
        <f>IFERROR(__xludf.DUMMYFUNCTION("""COMPUTED_VALUE"""),24.0)</f>
        <v>24</v>
      </c>
      <c r="T835" s="4"/>
      <c r="U835" s="4" t="str">
        <f>IFERROR(__xludf.DUMMYFUNCTION("""COMPUTED_VALUE"""),"CUKUP")</f>
        <v>CUKUP</v>
      </c>
      <c r="V835" s="4" t="str">
        <f>IFERROR(__xludf.DUMMYFUNCTION("""COMPUTED_VALUE"""),"Tidak Ada")</f>
        <v>Tidak Ada</v>
      </c>
      <c r="W835" s="4"/>
      <c r="X835" s="4"/>
      <c r="Y835" s="4"/>
      <c r="Z835" s="4"/>
      <c r="AA835" s="4"/>
      <c r="AB835" s="4"/>
      <c r="AC835" s="4" t="str">
        <f>IFERROR(__xludf.DUMMYFUNCTION("""COMPUTED_VALUE"""),"INSPEKSI SUTM - T2_Images/fbec2bb9.FOTO.113817.jpg")</f>
        <v>INSPEKSI SUTM - T2_Images/fbec2bb9.FOTO.113817.jpg</v>
      </c>
      <c r="AD835" s="4"/>
      <c r="AE835" s="4"/>
      <c r="AF835" s="4" t="str">
        <f>IFERROR(__xludf.DUMMYFUNCTION("""COMPUTED_VALUE"""),"BELUM")</f>
        <v>BELUM</v>
      </c>
      <c r="AG835" s="6">
        <f>IFERROR(__xludf.DUMMYFUNCTION("""COMPUTED_VALUE"""),46097.0)</f>
        <v>46097</v>
      </c>
      <c r="AH835" s="4"/>
      <c r="AI835" s="4"/>
    </row>
    <row r="836" ht="15.75" customHeight="1">
      <c r="A836" s="4" t="str">
        <f>IFERROR(__xludf.DUMMYFUNCTION("""COMPUTED_VALUE"""),"75eca54e")</f>
        <v>75eca54e</v>
      </c>
      <c r="B836" s="5">
        <f>IFERROR(__xludf.DUMMYFUNCTION("""COMPUTED_VALUE"""),46107.077002314814)</f>
        <v>46107.077</v>
      </c>
      <c r="C836" s="4" t="str">
        <f>IFERROR(__xludf.DUMMYFUNCTION("""COMPUTED_VALUE"""),"-6.918871, 107.707707")</f>
        <v>-6.918871, 107.707707</v>
      </c>
      <c r="D836" s="4" t="str">
        <f>IFERROR(__xludf.DUMMYFUNCTION("""COMPUTED_VALUE"""),"Heri chandra")</f>
        <v>Heri chandra</v>
      </c>
      <c r="E836" s="4" t="str">
        <f>IFERROR(__xludf.DUMMYFUNCTION("""COMPUTED_VALUE"""),"BANDUNG")</f>
        <v>BANDUNG</v>
      </c>
      <c r="F836" s="4" t="str">
        <f>IFERROR(__xludf.DUMMYFUNCTION("""COMPUTED_VALUE"""),"UJUNGBERUNG")</f>
        <v>UJUNGBERUNG</v>
      </c>
      <c r="G836" s="4" t="str">
        <f>IFERROR(__xludf.DUMMYFUNCTION("""COMPUTED_VALUE"""),"UJUNGBERUNG")</f>
        <v>UJUNGBERUNG</v>
      </c>
      <c r="H836" s="4" t="str">
        <f>IFERROR(__xludf.DUMMYFUNCTION("""COMPUTED_VALUE"""),"UTWU")</f>
        <v>UTWU</v>
      </c>
      <c r="I836" s="4" t="str">
        <f>IFERROR(__xludf.DUMMYFUNCTION("""COMPUTED_VALUE"""),"TWU - LBS CPR")</f>
        <v>TWU - LBS CPR</v>
      </c>
      <c r="J836" s="4" t="str">
        <f>IFERROR(__xludf.DUMMYFUNCTION("""COMPUTED_VALUE"""),"ZONA 2")</f>
        <v>ZONA 2</v>
      </c>
      <c r="K836" s="4" t="str">
        <f>IFERROR(__xludf.DUMMYFUNCTION("""COMPUTED_VALUE"""),"001")</f>
        <v>001</v>
      </c>
      <c r="L836" s="4" t="str">
        <f>IFERROR(__xludf.DUMMYFUNCTION("""COMPUTED_VALUE"""),"TM - 11B/H (Kabel Naik)")</f>
        <v>TM - 11B/H (Kabel Naik)</v>
      </c>
      <c r="M836" s="4" t="str">
        <f>IFERROR(__xludf.DUMMYFUNCTION("""COMPUTED_VALUE"""),"Tidak Ada")</f>
        <v>Tidak Ada</v>
      </c>
      <c r="N836" s="4"/>
      <c r="O836" s="4" t="str">
        <f>IFERROR(__xludf.DUMMYFUNCTION("""COMPUTED_VALUE"""),"PEMBANDING SEJENIS")</f>
        <v>PEMBANDING SEJENIS</v>
      </c>
      <c r="P836" s="4" t="str">
        <f>IFERROR(__xludf.DUMMYFUNCTION("""COMPUTED_VALUE"""),"TERMINASI")</f>
        <v>TERMINASI</v>
      </c>
      <c r="Q836" s="4">
        <f>IFERROR(__xludf.DUMMYFUNCTION("""COMPUTED_VALUE"""),30.9)</f>
        <v>30.9</v>
      </c>
      <c r="R836" s="4">
        <f>IFERROR(__xludf.DUMMYFUNCTION("""COMPUTED_VALUE"""),26.3)</f>
        <v>26.3</v>
      </c>
      <c r="S836" s="4">
        <f>IFERROR(__xludf.DUMMYFUNCTION("""COMPUTED_VALUE"""),42.1)</f>
        <v>42.1</v>
      </c>
      <c r="T836" s="4"/>
      <c r="U836" s="4" t="str">
        <f>IFERROR(__xludf.DUMMYFUNCTION("""COMPUTED_VALUE"""),"BURUK")</f>
        <v>BURUK</v>
      </c>
      <c r="V836" s="4" t="str">
        <f>IFERROR(__xludf.DUMMYFUNCTION("""COMPUTED_VALUE"""),"Tidak Ada")</f>
        <v>Tidak Ada</v>
      </c>
      <c r="W836" s="4"/>
      <c r="X836" s="4"/>
      <c r="Y836" s="4"/>
      <c r="Z836" s="4"/>
      <c r="AA836" s="4"/>
      <c r="AB836" s="4"/>
      <c r="AC836" s="4" t="str">
        <f>IFERROR(__xludf.DUMMYFUNCTION("""COMPUTED_VALUE"""),"INSPEKSI SUTM - T2_Images/75eca54e.FOTO.185250.jpg")</f>
        <v>INSPEKSI SUTM - T2_Images/75eca54e.FOTO.185250.jpg</v>
      </c>
      <c r="AD836" s="4"/>
      <c r="AE836" s="4"/>
      <c r="AF836" s="4" t="str">
        <f>IFERROR(__xludf.DUMMYFUNCTION("""COMPUTED_VALUE"""),"BELUM")</f>
        <v>BELUM</v>
      </c>
      <c r="AG836" s="6">
        <f>IFERROR(__xludf.DUMMYFUNCTION("""COMPUTED_VALUE"""),46107.0)</f>
        <v>46107</v>
      </c>
      <c r="AH836" s="4"/>
      <c r="AI836" s="4"/>
    </row>
    <row r="837" ht="15.75" customHeight="1">
      <c r="A837" s="4" t="str">
        <f>IFERROR(__xludf.DUMMYFUNCTION("""COMPUTED_VALUE"""),"f06fcb21")</f>
        <v>f06fcb21</v>
      </c>
      <c r="B837" s="5">
        <f>IFERROR(__xludf.DUMMYFUNCTION("""COMPUTED_VALUE"""),46107.07861111111)</f>
        <v>46107.07861</v>
      </c>
      <c r="C837" s="4" t="str">
        <f>IFERROR(__xludf.DUMMYFUNCTION("""COMPUTED_VALUE"""),"-6.918155, 107.706752")</f>
        <v>-6.918155, 107.706752</v>
      </c>
      <c r="D837" s="4" t="str">
        <f>IFERROR(__xludf.DUMMYFUNCTION("""COMPUTED_VALUE"""),"Heri chandra")</f>
        <v>Heri chandra</v>
      </c>
      <c r="E837" s="4" t="str">
        <f>IFERROR(__xludf.DUMMYFUNCTION("""COMPUTED_VALUE"""),"BANDUNG")</f>
        <v>BANDUNG</v>
      </c>
      <c r="F837" s="4" t="str">
        <f>IFERROR(__xludf.DUMMYFUNCTION("""COMPUTED_VALUE"""),"UJUNGBERUNG")</f>
        <v>UJUNGBERUNG</v>
      </c>
      <c r="G837" s="4" t="str">
        <f>IFERROR(__xludf.DUMMYFUNCTION("""COMPUTED_VALUE"""),"UJUNGBERUNG")</f>
        <v>UJUNGBERUNG</v>
      </c>
      <c r="H837" s="4" t="str">
        <f>IFERROR(__xludf.DUMMYFUNCTION("""COMPUTED_VALUE"""),"UTWU")</f>
        <v>UTWU</v>
      </c>
      <c r="I837" s="4" t="str">
        <f>IFERROR(__xludf.DUMMYFUNCTION("""COMPUTED_VALUE"""),"TWU - LBS CPR")</f>
        <v>TWU - LBS CPR</v>
      </c>
      <c r="J837" s="4" t="str">
        <f>IFERROR(__xludf.DUMMYFUNCTION("""COMPUTED_VALUE"""),"ZONA 2")</f>
        <v>ZONA 2</v>
      </c>
      <c r="K837" s="4" t="str">
        <f>IFERROR(__xludf.DUMMYFUNCTION("""COMPUTED_VALUE"""),"004")</f>
        <v>004</v>
      </c>
      <c r="L837" s="4" t="str">
        <f>IFERROR(__xludf.DUMMYFUNCTION("""COMPUTED_VALUE"""),"TM - 13B/H (Kabel Naik Pada Tiang Tumpu)")</f>
        <v>TM - 13B/H (Kabel Naik Pada Tiang Tumpu)</v>
      </c>
      <c r="M837" s="4" t="str">
        <f>IFERROR(__xludf.DUMMYFUNCTION("""COMPUTED_VALUE"""),"Tidak Ada")</f>
        <v>Tidak Ada</v>
      </c>
      <c r="N837" s="4"/>
      <c r="O837" s="4" t="str">
        <f>IFERROR(__xludf.DUMMYFUNCTION("""COMPUTED_VALUE"""),"PEMBANDING SEJENIS")</f>
        <v>PEMBANDING SEJENIS</v>
      </c>
      <c r="P837" s="4" t="str">
        <f>IFERROR(__xludf.DUMMYFUNCTION("""COMPUTED_VALUE"""),"FCO")</f>
        <v>FCO</v>
      </c>
      <c r="Q837" s="4">
        <f>IFERROR(__xludf.DUMMYFUNCTION("""COMPUTED_VALUE"""),24.9)</f>
        <v>24.9</v>
      </c>
      <c r="R837" s="4">
        <f>IFERROR(__xludf.DUMMYFUNCTION("""COMPUTED_VALUE"""),24.8)</f>
        <v>24.8</v>
      </c>
      <c r="S837" s="4">
        <f>IFERROR(__xludf.DUMMYFUNCTION("""COMPUTED_VALUE"""),24.7)</f>
        <v>24.7</v>
      </c>
      <c r="T837" s="4"/>
      <c r="U837" s="4" t="str">
        <f>IFERROR(__xludf.DUMMYFUNCTION("""COMPUTED_VALUE"""),"BAIK")</f>
        <v>BAIK</v>
      </c>
      <c r="V837" s="4" t="str">
        <f>IFERROR(__xludf.DUMMYFUNCTION("""COMPUTED_VALUE"""),"Tidak Ada")</f>
        <v>Tidak Ada</v>
      </c>
      <c r="W837" s="4"/>
      <c r="X837" s="4"/>
      <c r="Y837" s="4"/>
      <c r="Z837" s="4"/>
      <c r="AA837" s="4"/>
      <c r="AB837" s="4"/>
      <c r="AC837" s="4" t="str">
        <f>IFERROR(__xludf.DUMMYFUNCTION("""COMPUTED_VALUE"""),"INSPEKSI SUTM - T2_Images/f06fcb21.FOTO.185420.jpg")</f>
        <v>INSPEKSI SUTM - T2_Images/f06fcb21.FOTO.185420.jpg</v>
      </c>
      <c r="AD837" s="4"/>
      <c r="AE837" s="4"/>
      <c r="AF837" s="4" t="str">
        <f>IFERROR(__xludf.DUMMYFUNCTION("""COMPUTED_VALUE"""),"BELUM")</f>
        <v>BELUM</v>
      </c>
      <c r="AG837" s="6">
        <f>IFERROR(__xludf.DUMMYFUNCTION("""COMPUTED_VALUE"""),46107.0)</f>
        <v>46107</v>
      </c>
      <c r="AH837" s="4"/>
      <c r="AI837" s="4"/>
    </row>
    <row r="838" ht="15.75" customHeight="1">
      <c r="A838" s="4" t="str">
        <f>IFERROR(__xludf.DUMMYFUNCTION("""COMPUTED_VALUE"""),"052aca8d")</f>
        <v>052aca8d</v>
      </c>
      <c r="B838" s="5">
        <f>IFERROR(__xludf.DUMMYFUNCTION("""COMPUTED_VALUE"""),46107.07957175926)</f>
        <v>46107.07957</v>
      </c>
      <c r="C838" s="4" t="str">
        <f>IFERROR(__xludf.DUMMYFUNCTION("""COMPUTED_VALUE"""),"-6.918157, 107.706758")</f>
        <v>-6.918157, 107.706758</v>
      </c>
      <c r="D838" s="4" t="str">
        <f>IFERROR(__xludf.DUMMYFUNCTION("""COMPUTED_VALUE"""),"Heri chandra")</f>
        <v>Heri chandra</v>
      </c>
      <c r="E838" s="4" t="str">
        <f>IFERROR(__xludf.DUMMYFUNCTION("""COMPUTED_VALUE"""),"BANDUNG")</f>
        <v>BANDUNG</v>
      </c>
      <c r="F838" s="4" t="str">
        <f>IFERROR(__xludf.DUMMYFUNCTION("""COMPUTED_VALUE"""),"UJUNGBERUNG")</f>
        <v>UJUNGBERUNG</v>
      </c>
      <c r="G838" s="4" t="str">
        <f>IFERROR(__xludf.DUMMYFUNCTION("""COMPUTED_VALUE"""),"UJUNGBERUNG")</f>
        <v>UJUNGBERUNG</v>
      </c>
      <c r="H838" s="4" t="str">
        <f>IFERROR(__xludf.DUMMYFUNCTION("""COMPUTED_VALUE"""),"UTWU")</f>
        <v>UTWU</v>
      </c>
      <c r="I838" s="4" t="str">
        <f>IFERROR(__xludf.DUMMYFUNCTION("""COMPUTED_VALUE"""),"TWU - LBS CPR")</f>
        <v>TWU - LBS CPR</v>
      </c>
      <c r="J838" s="4" t="str">
        <f>IFERROR(__xludf.DUMMYFUNCTION("""COMPUTED_VALUE"""),"ZONA 2")</f>
        <v>ZONA 2</v>
      </c>
      <c r="K838" s="4" t="str">
        <f>IFERROR(__xludf.DUMMYFUNCTION("""COMPUTED_VALUE"""),"005")</f>
        <v>005</v>
      </c>
      <c r="L838" s="4" t="str">
        <f>IFERROR(__xludf.DUMMYFUNCTION("""COMPUTED_VALUE"""),"TM - 8B/H (Percabangan)")</f>
        <v>TM - 8B/H (Percabangan)</v>
      </c>
      <c r="M838" s="4" t="str">
        <f>IFERROR(__xludf.DUMMYFUNCTION("""COMPUTED_VALUE"""),"Tidak Ada")</f>
        <v>Tidak Ada</v>
      </c>
      <c r="N838" s="4"/>
      <c r="O838" s="4" t="str">
        <f>IFERROR(__xludf.DUMMYFUNCTION("""COMPUTED_VALUE"""),"PEMBANDING SEJENIS")</f>
        <v>PEMBANDING SEJENIS</v>
      </c>
      <c r="P838" s="4" t="str">
        <f>IFERROR(__xludf.DUMMYFUNCTION("""COMPUTED_VALUE"""),"KONEKTOR/JUMPER")</f>
        <v>KONEKTOR/JUMPER</v>
      </c>
      <c r="Q838" s="4">
        <f>IFERROR(__xludf.DUMMYFUNCTION("""COMPUTED_VALUE"""),24.5)</f>
        <v>24.5</v>
      </c>
      <c r="R838" s="4">
        <f>IFERROR(__xludf.DUMMYFUNCTION("""COMPUTED_VALUE"""),23.4)</f>
        <v>23.4</v>
      </c>
      <c r="S838" s="4">
        <f>IFERROR(__xludf.DUMMYFUNCTION("""COMPUTED_VALUE"""),24.6)</f>
        <v>24.6</v>
      </c>
      <c r="T838" s="4"/>
      <c r="U838" s="4" t="str">
        <f>IFERROR(__xludf.DUMMYFUNCTION("""COMPUTED_VALUE"""),"BAIK")</f>
        <v>BAIK</v>
      </c>
      <c r="V838" s="4" t="str">
        <f>IFERROR(__xludf.DUMMYFUNCTION("""COMPUTED_VALUE"""),"Tidak Ada")</f>
        <v>Tidak Ada</v>
      </c>
      <c r="W838" s="4"/>
      <c r="X838" s="4"/>
      <c r="Y838" s="4"/>
      <c r="Z838" s="4"/>
      <c r="AA838" s="4"/>
      <c r="AB838" s="4"/>
      <c r="AC838" s="4" t="str">
        <f>IFERROR(__xludf.DUMMYFUNCTION("""COMPUTED_VALUE"""),"INSPEKSI SUTM - T2_Images/052aca8d.FOTO.185526.jpg")</f>
        <v>INSPEKSI SUTM - T2_Images/052aca8d.FOTO.185526.jpg</v>
      </c>
      <c r="AD838" s="4"/>
      <c r="AE838" s="4"/>
      <c r="AF838" s="4" t="str">
        <f>IFERROR(__xludf.DUMMYFUNCTION("""COMPUTED_VALUE"""),"BELUM")</f>
        <v>BELUM</v>
      </c>
      <c r="AG838" s="6">
        <f>IFERROR(__xludf.DUMMYFUNCTION("""COMPUTED_VALUE"""),46107.0)</f>
        <v>46107</v>
      </c>
      <c r="AH838" s="4"/>
      <c r="AI838" s="4"/>
    </row>
    <row r="839" ht="15.75" customHeight="1">
      <c r="A839" s="4" t="str">
        <f>IFERROR(__xludf.DUMMYFUNCTION("""COMPUTED_VALUE"""),"b0158ba9")</f>
        <v>b0158ba9</v>
      </c>
      <c r="B839" s="5">
        <f>IFERROR(__xludf.DUMMYFUNCTION("""COMPUTED_VALUE"""),46107.08038194444)</f>
        <v>46107.08038</v>
      </c>
      <c r="C839" s="4" t="str">
        <f>IFERROR(__xludf.DUMMYFUNCTION("""COMPUTED_VALUE"""),"-6.916123, 107.709289")</f>
        <v>-6.916123, 107.709289</v>
      </c>
      <c r="D839" s="4" t="str">
        <f>IFERROR(__xludf.DUMMYFUNCTION("""COMPUTED_VALUE"""),"Heri chandr")</f>
        <v>Heri chandr</v>
      </c>
      <c r="E839" s="4" t="str">
        <f>IFERROR(__xludf.DUMMYFUNCTION("""COMPUTED_VALUE"""),"BANDUNG")</f>
        <v>BANDUNG</v>
      </c>
      <c r="F839" s="4" t="str">
        <f>IFERROR(__xludf.DUMMYFUNCTION("""COMPUTED_VALUE"""),"UJUNGBERUNG")</f>
        <v>UJUNGBERUNG</v>
      </c>
      <c r="G839" s="4" t="str">
        <f>IFERROR(__xludf.DUMMYFUNCTION("""COMPUTED_VALUE"""),"UJUNGBERUNG")</f>
        <v>UJUNGBERUNG</v>
      </c>
      <c r="H839" s="4" t="str">
        <f>IFERROR(__xludf.DUMMYFUNCTION("""COMPUTED_VALUE"""),"UTWU")</f>
        <v>UTWU</v>
      </c>
      <c r="I839" s="4" t="str">
        <f>IFERROR(__xludf.DUMMYFUNCTION("""COMPUTED_VALUE"""),"TWU - LBS CPR")</f>
        <v>TWU - LBS CPR</v>
      </c>
      <c r="J839" s="4" t="str">
        <f>IFERROR(__xludf.DUMMYFUNCTION("""COMPUTED_VALUE"""),"ZONA 2")</f>
        <v>ZONA 2</v>
      </c>
      <c r="K839" s="4" t="str">
        <f>IFERROR(__xludf.DUMMYFUNCTION("""COMPUTED_VALUE"""),"005R010")</f>
        <v>005R010</v>
      </c>
      <c r="L839" s="4" t="str">
        <f>IFERROR(__xludf.DUMMYFUNCTION("""COMPUTED_VALUE"""),"TM - 7B/H (Afspan 90 Derajat)")</f>
        <v>TM - 7B/H (Afspan 90 Derajat)</v>
      </c>
      <c r="M839" s="4" t="str">
        <f>IFERROR(__xludf.DUMMYFUNCTION("""COMPUTED_VALUE"""),"Tidak Ada")</f>
        <v>Tidak Ada</v>
      </c>
      <c r="N839" s="4"/>
      <c r="O839" s="4" t="str">
        <f>IFERROR(__xludf.DUMMYFUNCTION("""COMPUTED_VALUE"""),"PEMBANDING SEJENIS")</f>
        <v>PEMBANDING SEJENIS</v>
      </c>
      <c r="P839" s="4" t="str">
        <f>IFERROR(__xludf.DUMMYFUNCTION("""COMPUTED_VALUE"""),"KONEKTOR/JUMPER")</f>
        <v>KONEKTOR/JUMPER</v>
      </c>
      <c r="Q839" s="4">
        <f>IFERROR(__xludf.DUMMYFUNCTION("""COMPUTED_VALUE"""),24.6)</f>
        <v>24.6</v>
      </c>
      <c r="R839" s="4">
        <f>IFERROR(__xludf.DUMMYFUNCTION("""COMPUTED_VALUE"""),24.7)</f>
        <v>24.7</v>
      </c>
      <c r="S839" s="4">
        <f>IFERROR(__xludf.DUMMYFUNCTION("""COMPUTED_VALUE"""),23.0)</f>
        <v>23</v>
      </c>
      <c r="T839" s="4"/>
      <c r="U839" s="4" t="str">
        <f>IFERROR(__xludf.DUMMYFUNCTION("""COMPUTED_VALUE"""),"BAIK")</f>
        <v>BAIK</v>
      </c>
      <c r="V839" s="4" t="str">
        <f>IFERROR(__xludf.DUMMYFUNCTION("""COMPUTED_VALUE"""),"Tidak Ada")</f>
        <v>Tidak Ada</v>
      </c>
      <c r="W839" s="4"/>
      <c r="X839" s="4"/>
      <c r="Y839" s="4"/>
      <c r="Z839" s="4"/>
      <c r="AA839" s="4"/>
      <c r="AB839" s="4"/>
      <c r="AC839" s="4" t="str">
        <f>IFERROR(__xludf.DUMMYFUNCTION("""COMPUTED_VALUE"""),"INSPEKSI SUTM - T2_Images/b0158ba9.FOTO.185629.jpg")</f>
        <v>INSPEKSI SUTM - T2_Images/b0158ba9.FOTO.185629.jpg</v>
      </c>
      <c r="AD839" s="4"/>
      <c r="AE839" s="4"/>
      <c r="AF839" s="4" t="str">
        <f>IFERROR(__xludf.DUMMYFUNCTION("""COMPUTED_VALUE"""),"BELUM")</f>
        <v>BELUM</v>
      </c>
      <c r="AG839" s="6">
        <f>IFERROR(__xludf.DUMMYFUNCTION("""COMPUTED_VALUE"""),46107.0)</f>
        <v>46107</v>
      </c>
      <c r="AH839" s="4"/>
      <c r="AI839" s="4"/>
    </row>
    <row r="840" ht="15.75" customHeight="1">
      <c r="A840" s="4" t="str">
        <f>IFERROR(__xludf.DUMMYFUNCTION("""COMPUTED_VALUE"""),"1e65bef7")</f>
        <v>1e65bef7</v>
      </c>
      <c r="B840" s="5">
        <f>IFERROR(__xludf.DUMMYFUNCTION("""COMPUTED_VALUE"""),46107.081087962964)</f>
        <v>46107.08109</v>
      </c>
      <c r="C840" s="4" t="str">
        <f>IFERROR(__xludf.DUMMYFUNCTION("""COMPUTED_VALUE"""),"-6.917890, 107.706777")</f>
        <v>-6.917890, 107.706777</v>
      </c>
      <c r="D840" s="4" t="str">
        <f>IFERROR(__xludf.DUMMYFUNCTION("""COMPUTED_VALUE"""),"Herii chandra")</f>
        <v>Herii chandra</v>
      </c>
      <c r="E840" s="4" t="str">
        <f>IFERROR(__xludf.DUMMYFUNCTION("""COMPUTED_VALUE"""),"BANDUNG")</f>
        <v>BANDUNG</v>
      </c>
      <c r="F840" s="4" t="str">
        <f>IFERROR(__xludf.DUMMYFUNCTION("""COMPUTED_VALUE"""),"UJUNGBERUNG")</f>
        <v>UJUNGBERUNG</v>
      </c>
      <c r="G840" s="4" t="str">
        <f>IFERROR(__xludf.DUMMYFUNCTION("""COMPUTED_VALUE"""),"UJUNGBERUNG")</f>
        <v>UJUNGBERUNG</v>
      </c>
      <c r="H840" s="4" t="str">
        <f>IFERROR(__xludf.DUMMYFUNCTION("""COMPUTED_VALUE"""),"UTWU")</f>
        <v>UTWU</v>
      </c>
      <c r="I840" s="4" t="str">
        <f>IFERROR(__xludf.DUMMYFUNCTION("""COMPUTED_VALUE"""),"TWU - LBS CPR")</f>
        <v>TWU - LBS CPR</v>
      </c>
      <c r="J840" s="4" t="str">
        <f>IFERROR(__xludf.DUMMYFUNCTION("""COMPUTED_VALUE"""),"ZONA 2")</f>
        <v>ZONA 2</v>
      </c>
      <c r="K840" s="4" t="str">
        <f>IFERROR(__xludf.DUMMYFUNCTION("""COMPUTED_VALUE"""),"005R01")</f>
        <v>005R01</v>
      </c>
      <c r="L840" s="4" t="str">
        <f>IFERROR(__xludf.DUMMYFUNCTION("""COMPUTED_VALUE"""),"TM - 7B/H (Afspan 90 Derajat)")</f>
        <v>TM - 7B/H (Afspan 90 Derajat)</v>
      </c>
      <c r="M840" s="4" t="str">
        <f>IFERROR(__xludf.DUMMYFUNCTION("""COMPUTED_VALUE"""),"Tidak Ada")</f>
        <v>Tidak Ada</v>
      </c>
      <c r="N840" s="4"/>
      <c r="O840" s="4" t="str">
        <f>IFERROR(__xludf.DUMMYFUNCTION("""COMPUTED_VALUE"""),"PEMBANDING SEJENIS")</f>
        <v>PEMBANDING SEJENIS</v>
      </c>
      <c r="P840" s="4" t="str">
        <f>IFERROR(__xludf.DUMMYFUNCTION("""COMPUTED_VALUE"""),"KONEKTOR/JUMPER")</f>
        <v>KONEKTOR/JUMPER</v>
      </c>
      <c r="Q840" s="4">
        <f>IFERROR(__xludf.DUMMYFUNCTION("""COMPUTED_VALUE"""),24.3)</f>
        <v>24.3</v>
      </c>
      <c r="R840" s="4">
        <f>IFERROR(__xludf.DUMMYFUNCTION("""COMPUTED_VALUE"""),21.8)</f>
        <v>21.8</v>
      </c>
      <c r="S840" s="4">
        <f>IFERROR(__xludf.DUMMYFUNCTION("""COMPUTED_VALUE"""),22.6)</f>
        <v>22.6</v>
      </c>
      <c r="T840" s="4"/>
      <c r="U840" s="4" t="str">
        <f>IFERROR(__xludf.DUMMYFUNCTION("""COMPUTED_VALUE"""),"BAIK")</f>
        <v>BAIK</v>
      </c>
      <c r="V840" s="4" t="str">
        <f>IFERROR(__xludf.DUMMYFUNCTION("""COMPUTED_VALUE"""),"Tidak Ada")</f>
        <v>Tidak Ada</v>
      </c>
      <c r="W840" s="4"/>
      <c r="X840" s="4"/>
      <c r="Y840" s="4"/>
      <c r="Z840" s="4"/>
      <c r="AA840" s="4"/>
      <c r="AB840" s="4"/>
      <c r="AC840" s="4" t="str">
        <f>IFERROR(__xludf.DUMMYFUNCTION("""COMPUTED_VALUE"""),"INSPEKSI SUTM - T2_Images/1e65bef7.FOTO.185731.jpg")</f>
        <v>INSPEKSI SUTM - T2_Images/1e65bef7.FOTO.185731.jpg</v>
      </c>
      <c r="AD840" s="4"/>
      <c r="AE840" s="4"/>
      <c r="AF840" s="4" t="str">
        <f>IFERROR(__xludf.DUMMYFUNCTION("""COMPUTED_VALUE"""),"BELUM")</f>
        <v>BELUM</v>
      </c>
      <c r="AG840" s="6">
        <f>IFERROR(__xludf.DUMMYFUNCTION("""COMPUTED_VALUE"""),46107.0)</f>
        <v>46107</v>
      </c>
      <c r="AH840" s="4"/>
      <c r="AI840" s="4"/>
    </row>
    <row r="841" ht="15.75" customHeight="1">
      <c r="A841" s="4" t="str">
        <f>IFERROR(__xludf.DUMMYFUNCTION("""COMPUTED_VALUE"""),"1b1d9811")</f>
        <v>1b1d9811</v>
      </c>
      <c r="B841" s="5">
        <f>IFERROR(__xludf.DUMMYFUNCTION("""COMPUTED_VALUE"""),46107.081770833334)</f>
        <v>46107.08177</v>
      </c>
      <c r="C841" s="4" t="str">
        <f>IFERROR(__xludf.DUMMYFUNCTION("""COMPUTED_VALUE"""),"-6.917528, 107.706302")</f>
        <v>-6.917528, 107.706302</v>
      </c>
      <c r="D841" s="4" t="str">
        <f>IFERROR(__xludf.DUMMYFUNCTION("""COMPUTED_VALUE"""),"Heri xhandra")</f>
        <v>Heri xhandra</v>
      </c>
      <c r="E841" s="4" t="str">
        <f>IFERROR(__xludf.DUMMYFUNCTION("""COMPUTED_VALUE"""),"BANDUNG")</f>
        <v>BANDUNG</v>
      </c>
      <c r="F841" s="4" t="str">
        <f>IFERROR(__xludf.DUMMYFUNCTION("""COMPUTED_VALUE"""),"UJUNGBERUNG")</f>
        <v>UJUNGBERUNG</v>
      </c>
      <c r="G841" s="4" t="str">
        <f>IFERROR(__xludf.DUMMYFUNCTION("""COMPUTED_VALUE"""),"UJUNGBERUNG")</f>
        <v>UJUNGBERUNG</v>
      </c>
      <c r="H841" s="4" t="str">
        <f>IFERROR(__xludf.DUMMYFUNCTION("""COMPUTED_VALUE"""),"UTWU")</f>
        <v>UTWU</v>
      </c>
      <c r="I841" s="4" t="str">
        <f>IFERROR(__xludf.DUMMYFUNCTION("""COMPUTED_VALUE"""),"TWU - LBS CPR")</f>
        <v>TWU - LBS CPR</v>
      </c>
      <c r="J841" s="4" t="str">
        <f>IFERROR(__xludf.DUMMYFUNCTION("""COMPUTED_VALUE"""),"ZONA 2")</f>
        <v>ZONA 2</v>
      </c>
      <c r="K841" s="4" t="str">
        <f>IFERROR(__xludf.DUMMYFUNCTION("""COMPUTED_VALUE"""),"007")</f>
        <v>007</v>
      </c>
      <c r="L841" s="4" t="str">
        <f>IFERROR(__xludf.DUMMYFUNCTION("""COMPUTED_VALUE"""),"TM - 12B/H (KABEL Kabel Naik Dua Saluran)")</f>
        <v>TM - 12B/H (KABEL Kabel Naik Dua Saluran)</v>
      </c>
      <c r="M841" s="4" t="str">
        <f>IFERROR(__xludf.DUMMYFUNCTION("""COMPUTED_VALUE"""),"Tidak Ada")</f>
        <v>Tidak Ada</v>
      </c>
      <c r="N841" s="4"/>
      <c r="O841" s="4" t="str">
        <f>IFERROR(__xludf.DUMMYFUNCTION("""COMPUTED_VALUE"""),"PEMBANDING SEJENIS")</f>
        <v>PEMBANDING SEJENIS</v>
      </c>
      <c r="P841" s="4" t="str">
        <f>IFERROR(__xludf.DUMMYFUNCTION("""COMPUTED_VALUE"""),"TERMINASI")</f>
        <v>TERMINASI</v>
      </c>
      <c r="Q841" s="4">
        <f>IFERROR(__xludf.DUMMYFUNCTION("""COMPUTED_VALUE"""),24.5)</f>
        <v>24.5</v>
      </c>
      <c r="R841" s="4">
        <f>IFERROR(__xludf.DUMMYFUNCTION("""COMPUTED_VALUE"""),25.0)</f>
        <v>25</v>
      </c>
      <c r="S841" s="4">
        <f>IFERROR(__xludf.DUMMYFUNCTION("""COMPUTED_VALUE"""),25.1)</f>
        <v>25.1</v>
      </c>
      <c r="T841" s="4"/>
      <c r="U841" s="4" t="str">
        <f>IFERROR(__xludf.DUMMYFUNCTION("""COMPUTED_VALUE"""),"BAIK")</f>
        <v>BAIK</v>
      </c>
      <c r="V841" s="4" t="str">
        <f>IFERROR(__xludf.DUMMYFUNCTION("""COMPUTED_VALUE"""),"Tidak Ada")</f>
        <v>Tidak Ada</v>
      </c>
      <c r="W841" s="4"/>
      <c r="X841" s="4"/>
      <c r="Y841" s="4"/>
      <c r="Z841" s="4"/>
      <c r="AA841" s="4"/>
      <c r="AB841" s="4"/>
      <c r="AC841" s="4" t="str">
        <f>IFERROR(__xludf.DUMMYFUNCTION("""COMPUTED_VALUE"""),"INSPEKSI SUTM - T2_Images/1b1d9811.FOTO.185833.jpg")</f>
        <v>INSPEKSI SUTM - T2_Images/1b1d9811.FOTO.185833.jpg</v>
      </c>
      <c r="AD841" s="4"/>
      <c r="AE841" s="4"/>
      <c r="AF841" s="4" t="str">
        <f>IFERROR(__xludf.DUMMYFUNCTION("""COMPUTED_VALUE"""),"BELUM")</f>
        <v>BELUM</v>
      </c>
      <c r="AG841" s="6">
        <f>IFERROR(__xludf.DUMMYFUNCTION("""COMPUTED_VALUE"""),46107.0)</f>
        <v>46107</v>
      </c>
      <c r="AH841" s="4"/>
      <c r="AI841" s="4"/>
    </row>
    <row r="842" ht="15.75" customHeight="1">
      <c r="A842" s="4" t="str">
        <f>IFERROR(__xludf.DUMMYFUNCTION("""COMPUTED_VALUE"""),"20c91630")</f>
        <v>20c91630</v>
      </c>
      <c r="B842" s="5">
        <f>IFERROR(__xludf.DUMMYFUNCTION("""COMPUTED_VALUE"""),46107.08253472222)</f>
        <v>46107.08253</v>
      </c>
      <c r="C842" s="4" t="str">
        <f>IFERROR(__xludf.DUMMYFUNCTION("""COMPUTED_VALUE"""),"-6.916975, 107.705764")</f>
        <v>-6.916975, 107.705764</v>
      </c>
      <c r="D842" s="4" t="str">
        <f>IFERROR(__xludf.DUMMYFUNCTION("""COMPUTED_VALUE"""),"Heri chandra")</f>
        <v>Heri chandra</v>
      </c>
      <c r="E842" s="4" t="str">
        <f>IFERROR(__xludf.DUMMYFUNCTION("""COMPUTED_VALUE"""),"BANDUNG")</f>
        <v>BANDUNG</v>
      </c>
      <c r="F842" s="4" t="str">
        <f>IFERROR(__xludf.DUMMYFUNCTION("""COMPUTED_VALUE"""),"UJUNGBERUNG")</f>
        <v>UJUNGBERUNG</v>
      </c>
      <c r="G842" s="4" t="str">
        <f>IFERROR(__xludf.DUMMYFUNCTION("""COMPUTED_VALUE"""),"UJUNGBERUNG")</f>
        <v>UJUNGBERUNG</v>
      </c>
      <c r="H842" s="4" t="str">
        <f>IFERROR(__xludf.DUMMYFUNCTION("""COMPUTED_VALUE"""),"UTWU")</f>
        <v>UTWU</v>
      </c>
      <c r="I842" s="4" t="str">
        <f>IFERROR(__xludf.DUMMYFUNCTION("""COMPUTED_VALUE"""),"TWU - LBS CPR")</f>
        <v>TWU - LBS CPR</v>
      </c>
      <c r="J842" s="4" t="str">
        <f>IFERROR(__xludf.DUMMYFUNCTION("""COMPUTED_VALUE"""),"ZONA 2")</f>
        <v>ZONA 2</v>
      </c>
      <c r="K842" s="4" t="str">
        <f>IFERROR(__xludf.DUMMYFUNCTION("""COMPUTED_VALUE"""),"009")</f>
        <v>009</v>
      </c>
      <c r="L842" s="4" t="str">
        <f>IFERROR(__xludf.DUMMYFUNCTION("""COMPUTED_VALUE"""),"TM - 8BC/HC (Percabangan dengan CO)")</f>
        <v>TM - 8BC/HC (Percabangan dengan CO)</v>
      </c>
      <c r="M842" s="4" t="str">
        <f>IFERROR(__xludf.DUMMYFUNCTION("""COMPUTED_VALUE"""),"FCO")</f>
        <v>FCO</v>
      </c>
      <c r="N842" s="4" t="str">
        <f>IFERROR(__xludf.DUMMYFUNCTION("""COMPUTED_VALUE"""),"Aftak cpr")</f>
        <v>Aftak cpr</v>
      </c>
      <c r="O842" s="4" t="str">
        <f>IFERROR(__xludf.DUMMYFUNCTION("""COMPUTED_VALUE"""),"PEMBANDING SEJENIS")</f>
        <v>PEMBANDING SEJENIS</v>
      </c>
      <c r="P842" s="4" t="str">
        <f>IFERROR(__xludf.DUMMYFUNCTION("""COMPUTED_VALUE"""),"FCO")</f>
        <v>FCO</v>
      </c>
      <c r="Q842" s="4">
        <f>IFERROR(__xludf.DUMMYFUNCTION("""COMPUTED_VALUE"""),24.0)</f>
        <v>24</v>
      </c>
      <c r="R842" s="4">
        <f>IFERROR(__xludf.DUMMYFUNCTION("""COMPUTED_VALUE"""),30.3)</f>
        <v>30.3</v>
      </c>
      <c r="S842" s="4">
        <f>IFERROR(__xludf.DUMMYFUNCTION("""COMPUTED_VALUE"""),25.6)</f>
        <v>25.6</v>
      </c>
      <c r="T842" s="4"/>
      <c r="U842" s="4" t="str">
        <f>IFERROR(__xludf.DUMMYFUNCTION("""COMPUTED_VALUE"""),"CUKUP")</f>
        <v>CUKUP</v>
      </c>
      <c r="V842" s="4" t="str">
        <f>IFERROR(__xludf.DUMMYFUNCTION("""COMPUTED_VALUE"""),"Tidak Ada")</f>
        <v>Tidak Ada</v>
      </c>
      <c r="W842" s="4"/>
      <c r="X842" s="4"/>
      <c r="Y842" s="4"/>
      <c r="Z842" s="4"/>
      <c r="AA842" s="4"/>
      <c r="AB842" s="4"/>
      <c r="AC842" s="4" t="str">
        <f>IFERROR(__xludf.DUMMYFUNCTION("""COMPUTED_VALUE"""),"INSPEKSI SUTM - T2_Images/20c91630.FOTO.185945.jpg")</f>
        <v>INSPEKSI SUTM - T2_Images/20c91630.FOTO.185945.jpg</v>
      </c>
      <c r="AD842" s="4"/>
      <c r="AE842" s="4"/>
      <c r="AF842" s="4" t="str">
        <f>IFERROR(__xludf.DUMMYFUNCTION("""COMPUTED_VALUE"""),"BELUM")</f>
        <v>BELUM</v>
      </c>
      <c r="AG842" s="6">
        <f>IFERROR(__xludf.DUMMYFUNCTION("""COMPUTED_VALUE"""),46107.0)</f>
        <v>46107</v>
      </c>
      <c r="AH842" s="4"/>
      <c r="AI842" s="4"/>
    </row>
    <row r="843" ht="15.75" customHeight="1">
      <c r="A843" s="4" t="str">
        <f>IFERROR(__xludf.DUMMYFUNCTION("""COMPUTED_VALUE"""),"588f0e08")</f>
        <v>588f0e08</v>
      </c>
      <c r="B843" s="5">
        <f>IFERROR(__xludf.DUMMYFUNCTION("""COMPUTED_VALUE"""),46107.08346064815)</f>
        <v>46107.08346</v>
      </c>
      <c r="C843" s="4" t="str">
        <f>IFERROR(__xludf.DUMMYFUNCTION("""COMPUTED_VALUE"""),"-6.916271, 107.707086")</f>
        <v>-6.916271, 107.707086</v>
      </c>
      <c r="D843" s="4" t="str">
        <f>IFERROR(__xludf.DUMMYFUNCTION("""COMPUTED_VALUE"""),"Heri chandra")</f>
        <v>Heri chandra</v>
      </c>
      <c r="E843" s="4" t="str">
        <f>IFERROR(__xludf.DUMMYFUNCTION("""COMPUTED_VALUE"""),"BANDUNG")</f>
        <v>BANDUNG</v>
      </c>
      <c r="F843" s="4" t="str">
        <f>IFERROR(__xludf.DUMMYFUNCTION("""COMPUTED_VALUE"""),"UJUNGBERUNG")</f>
        <v>UJUNGBERUNG</v>
      </c>
      <c r="G843" s="4" t="str">
        <f>IFERROR(__xludf.DUMMYFUNCTION("""COMPUTED_VALUE"""),"UJUNGBERUNG")</f>
        <v>UJUNGBERUNG</v>
      </c>
      <c r="H843" s="4" t="str">
        <f>IFERROR(__xludf.DUMMYFUNCTION("""COMPUTED_VALUE"""),"UTWU")</f>
        <v>UTWU</v>
      </c>
      <c r="I843" s="4" t="str">
        <f>IFERROR(__xludf.DUMMYFUNCTION("""COMPUTED_VALUE"""),"TWU - LBS CPR")</f>
        <v>TWU - LBS CPR</v>
      </c>
      <c r="J843" s="4" t="str">
        <f>IFERROR(__xludf.DUMMYFUNCTION("""COMPUTED_VALUE"""),"ZONA 2")</f>
        <v>ZONA 2</v>
      </c>
      <c r="K843" s="4" t="str">
        <f>IFERROR(__xludf.DUMMYFUNCTION("""COMPUTED_VALUE"""),"009R04")</f>
        <v>009R04</v>
      </c>
      <c r="L843" s="4" t="str">
        <f>IFERROR(__xludf.DUMMYFUNCTION("""COMPUTED_VALUE"""),"TM - 1B/H (Tumpu)")</f>
        <v>TM - 1B/H (Tumpu)</v>
      </c>
      <c r="M843" s="4" t="str">
        <f>IFERROR(__xludf.DUMMYFUNCTION("""COMPUTED_VALUE"""),"Tidak Ada")</f>
        <v>Tidak Ada</v>
      </c>
      <c r="N843" s="4"/>
      <c r="O843" s="4" t="str">
        <f>IFERROR(__xludf.DUMMYFUNCTION("""COMPUTED_VALUE"""),"PEMBANDING SEJENIS")</f>
        <v>PEMBANDING SEJENIS</v>
      </c>
      <c r="P843" s="4" t="str">
        <f>IFERROR(__xludf.DUMMYFUNCTION("""COMPUTED_VALUE"""),"ARRESTER")</f>
        <v>ARRESTER</v>
      </c>
      <c r="Q843" s="4">
        <f>IFERROR(__xludf.DUMMYFUNCTION("""COMPUTED_VALUE"""),24.1)</f>
        <v>24.1</v>
      </c>
      <c r="R843" s="4">
        <f>IFERROR(__xludf.DUMMYFUNCTION("""COMPUTED_VALUE"""),24.0)</f>
        <v>24</v>
      </c>
      <c r="S843" s="4">
        <f>IFERROR(__xludf.DUMMYFUNCTION("""COMPUTED_VALUE"""),24.0)</f>
        <v>24</v>
      </c>
      <c r="T843" s="4"/>
      <c r="U843" s="4" t="str">
        <f>IFERROR(__xludf.DUMMYFUNCTION("""COMPUTED_VALUE"""),"BAIK")</f>
        <v>BAIK</v>
      </c>
      <c r="V843" s="4" t="str">
        <f>IFERROR(__xludf.DUMMYFUNCTION("""COMPUTED_VALUE"""),"Tidak Ada")</f>
        <v>Tidak Ada</v>
      </c>
      <c r="W843" s="4"/>
      <c r="X843" s="4"/>
      <c r="Y843" s="4"/>
      <c r="Z843" s="4"/>
      <c r="AA843" s="4"/>
      <c r="AB843" s="4"/>
      <c r="AC843" s="4" t="str">
        <f>IFERROR(__xludf.DUMMYFUNCTION("""COMPUTED_VALUE"""),"INSPEKSI SUTM - T2_Images/588f0e08.FOTO.190053.jpg")</f>
        <v>INSPEKSI SUTM - T2_Images/588f0e08.FOTO.190053.jpg</v>
      </c>
      <c r="AD843" s="4"/>
      <c r="AE843" s="4"/>
      <c r="AF843" s="4" t="str">
        <f>IFERROR(__xludf.DUMMYFUNCTION("""COMPUTED_VALUE"""),"BELUM")</f>
        <v>BELUM</v>
      </c>
      <c r="AG843" s="6">
        <f>IFERROR(__xludf.DUMMYFUNCTION("""COMPUTED_VALUE"""),46107.0)</f>
        <v>46107</v>
      </c>
      <c r="AH843" s="4"/>
      <c r="AI843" s="4"/>
    </row>
    <row r="844" ht="15.75" customHeight="1">
      <c r="A844" s="4" t="str">
        <f>IFERROR(__xludf.DUMMYFUNCTION("""COMPUTED_VALUE"""),"d469a581")</f>
        <v>d469a581</v>
      </c>
      <c r="B844" s="5">
        <f>IFERROR(__xludf.DUMMYFUNCTION("""COMPUTED_VALUE"""),46107.08414351852)</f>
        <v>46107.08414</v>
      </c>
      <c r="C844" s="4" t="str">
        <f>IFERROR(__xludf.DUMMYFUNCTION("""COMPUTED_VALUE"""),"-6.915888, 107.707854")</f>
        <v>-6.915888, 107.707854</v>
      </c>
      <c r="D844" s="4" t="str">
        <f>IFERROR(__xludf.DUMMYFUNCTION("""COMPUTED_VALUE"""),"Heri chandra")</f>
        <v>Heri chandra</v>
      </c>
      <c r="E844" s="4" t="str">
        <f>IFERROR(__xludf.DUMMYFUNCTION("""COMPUTED_VALUE"""),"BANDUNG")</f>
        <v>BANDUNG</v>
      </c>
      <c r="F844" s="4" t="str">
        <f>IFERROR(__xludf.DUMMYFUNCTION("""COMPUTED_VALUE"""),"UJUNGBERUNG")</f>
        <v>UJUNGBERUNG</v>
      </c>
      <c r="G844" s="4" t="str">
        <f>IFERROR(__xludf.DUMMYFUNCTION("""COMPUTED_VALUE"""),"UJUNGBERUNG")</f>
        <v>UJUNGBERUNG</v>
      </c>
      <c r="H844" s="4" t="str">
        <f>IFERROR(__xludf.DUMMYFUNCTION("""COMPUTED_VALUE"""),"UTWU")</f>
        <v>UTWU</v>
      </c>
      <c r="I844" s="4" t="str">
        <f>IFERROR(__xludf.DUMMYFUNCTION("""COMPUTED_VALUE"""),"TWU - LBS CPR")</f>
        <v>TWU - LBS CPR</v>
      </c>
      <c r="J844" s="4" t="str">
        <f>IFERROR(__xludf.DUMMYFUNCTION("""COMPUTED_VALUE"""),"ZONA 2")</f>
        <v>ZONA 2</v>
      </c>
      <c r="K844" s="4" t="str">
        <f>IFERROR(__xludf.DUMMYFUNCTION("""COMPUTED_VALUE"""),"009R09")</f>
        <v>009R09</v>
      </c>
      <c r="L844" s="4" t="str">
        <f>IFERROR(__xludf.DUMMYFUNCTION("""COMPUTED_VALUE"""),"TM - 7B/H (Afspan 90 Derajat)")</f>
        <v>TM - 7B/H (Afspan 90 Derajat)</v>
      </c>
      <c r="M844" s="4" t="str">
        <f>IFERROR(__xludf.DUMMYFUNCTION("""COMPUTED_VALUE"""),"Tidak Ada")</f>
        <v>Tidak Ada</v>
      </c>
      <c r="N844" s="4"/>
      <c r="O844" s="4" t="str">
        <f>IFERROR(__xludf.DUMMYFUNCTION("""COMPUTED_VALUE"""),"PEMBANDING SEJENIS")</f>
        <v>PEMBANDING SEJENIS</v>
      </c>
      <c r="P844" s="4" t="str">
        <f>IFERROR(__xludf.DUMMYFUNCTION("""COMPUTED_VALUE"""),"KONEKTOR/JUMPER")</f>
        <v>KONEKTOR/JUMPER</v>
      </c>
      <c r="Q844" s="4">
        <f>IFERROR(__xludf.DUMMYFUNCTION("""COMPUTED_VALUE"""),20.5)</f>
        <v>20.5</v>
      </c>
      <c r="R844" s="4">
        <f>IFERROR(__xludf.DUMMYFUNCTION("""COMPUTED_VALUE"""),19.4)</f>
        <v>19.4</v>
      </c>
      <c r="S844" s="4">
        <f>IFERROR(__xludf.DUMMYFUNCTION("""COMPUTED_VALUE"""),22.2)</f>
        <v>22.2</v>
      </c>
      <c r="T844" s="4"/>
      <c r="U844" s="4" t="str">
        <f>IFERROR(__xludf.DUMMYFUNCTION("""COMPUTED_VALUE"""),"BAIK")</f>
        <v>BAIK</v>
      </c>
      <c r="V844" s="4" t="str">
        <f>IFERROR(__xludf.DUMMYFUNCTION("""COMPUTED_VALUE"""),"Tidak Ada")</f>
        <v>Tidak Ada</v>
      </c>
      <c r="W844" s="4"/>
      <c r="X844" s="4"/>
      <c r="Y844" s="4"/>
      <c r="Z844" s="4"/>
      <c r="AA844" s="4"/>
      <c r="AB844" s="4"/>
      <c r="AC844" s="4" t="str">
        <f>IFERROR(__xludf.DUMMYFUNCTION("""COMPUTED_VALUE"""),"INSPEKSI SUTM - T2_Images/d469a581.FOTO.190201.jpg")</f>
        <v>INSPEKSI SUTM - T2_Images/d469a581.FOTO.190201.jpg</v>
      </c>
      <c r="AD844" s="4"/>
      <c r="AE844" s="4"/>
      <c r="AF844" s="4" t="str">
        <f>IFERROR(__xludf.DUMMYFUNCTION("""COMPUTED_VALUE"""),"BELUM")</f>
        <v>BELUM</v>
      </c>
      <c r="AG844" s="6">
        <f>IFERROR(__xludf.DUMMYFUNCTION("""COMPUTED_VALUE"""),46107.0)</f>
        <v>46107</v>
      </c>
      <c r="AH844" s="4"/>
      <c r="AI844" s="4"/>
    </row>
    <row r="845" ht="15.75" customHeight="1">
      <c r="A845" s="4" t="str">
        <f>IFERROR(__xludf.DUMMYFUNCTION("""COMPUTED_VALUE"""),"3ae61834")</f>
        <v>3ae61834</v>
      </c>
      <c r="B845" s="5">
        <f>IFERROR(__xludf.DUMMYFUNCTION("""COMPUTED_VALUE"""),46107.08489583333)</f>
        <v>46107.0849</v>
      </c>
      <c r="C845" s="4" t="str">
        <f>IFERROR(__xludf.DUMMYFUNCTION("""COMPUTED_VALUE"""),"-6.914699, 107.707223")</f>
        <v>-6.914699, 107.707223</v>
      </c>
      <c r="D845" s="4" t="str">
        <f>IFERROR(__xludf.DUMMYFUNCTION("""COMPUTED_VALUE"""),"Heri chandra")</f>
        <v>Heri chandra</v>
      </c>
      <c r="E845" s="4" t="str">
        <f>IFERROR(__xludf.DUMMYFUNCTION("""COMPUTED_VALUE"""),"BANDUNG")</f>
        <v>BANDUNG</v>
      </c>
      <c r="F845" s="4" t="str">
        <f>IFERROR(__xludf.DUMMYFUNCTION("""COMPUTED_VALUE"""),"UJUNGBERUNG")</f>
        <v>UJUNGBERUNG</v>
      </c>
      <c r="G845" s="4" t="str">
        <f>IFERROR(__xludf.DUMMYFUNCTION("""COMPUTED_VALUE"""),"UJUNGBERUNG")</f>
        <v>UJUNGBERUNG</v>
      </c>
      <c r="H845" s="4" t="str">
        <f>IFERROR(__xludf.DUMMYFUNCTION("""COMPUTED_VALUE"""),"UTWU")</f>
        <v>UTWU</v>
      </c>
      <c r="I845" s="4" t="str">
        <f>IFERROR(__xludf.DUMMYFUNCTION("""COMPUTED_VALUE"""),"TWU - LBS CPR")</f>
        <v>TWU - LBS CPR</v>
      </c>
      <c r="J845" s="4" t="str">
        <f>IFERROR(__xludf.DUMMYFUNCTION("""COMPUTED_VALUE"""),"ZONA 2")</f>
        <v>ZONA 2</v>
      </c>
      <c r="K845" s="4" t="str">
        <f>IFERROR(__xludf.DUMMYFUNCTION("""COMPUTED_VALUE"""),"009R013")</f>
        <v>009R013</v>
      </c>
      <c r="L845" s="4" t="str">
        <f>IFERROR(__xludf.DUMMYFUNCTION("""COMPUTED_VALUE"""),"TM - 8B/H (Percabangan)")</f>
        <v>TM - 8B/H (Percabangan)</v>
      </c>
      <c r="M845" s="4" t="str">
        <f>IFERROR(__xludf.DUMMYFUNCTION("""COMPUTED_VALUE"""),"Tidak Ada")</f>
        <v>Tidak Ada</v>
      </c>
      <c r="N845" s="4"/>
      <c r="O845" s="4" t="str">
        <f>IFERROR(__xludf.DUMMYFUNCTION("""COMPUTED_VALUE"""),"PEMBANDING SEJENIS")</f>
        <v>PEMBANDING SEJENIS</v>
      </c>
      <c r="P845" s="4" t="str">
        <f>IFERROR(__xludf.DUMMYFUNCTION("""COMPUTED_VALUE"""),"KONEKTOR/JUMPER")</f>
        <v>KONEKTOR/JUMPER</v>
      </c>
      <c r="Q845" s="4">
        <f>IFERROR(__xludf.DUMMYFUNCTION("""COMPUTED_VALUE"""),24.0)</f>
        <v>24</v>
      </c>
      <c r="R845" s="4">
        <f>IFERROR(__xludf.DUMMYFUNCTION("""COMPUTED_VALUE"""),24.5)</f>
        <v>24.5</v>
      </c>
      <c r="S845" s="4">
        <f>IFERROR(__xludf.DUMMYFUNCTION("""COMPUTED_VALUE"""),25.1)</f>
        <v>25.1</v>
      </c>
      <c r="T845" s="4"/>
      <c r="U845" s="4" t="str">
        <f>IFERROR(__xludf.DUMMYFUNCTION("""COMPUTED_VALUE"""),"BAIK")</f>
        <v>BAIK</v>
      </c>
      <c r="V845" s="4" t="str">
        <f>IFERROR(__xludf.DUMMYFUNCTION("""COMPUTED_VALUE"""),"Tidak Ada")</f>
        <v>Tidak Ada</v>
      </c>
      <c r="W845" s="4"/>
      <c r="X845" s="4"/>
      <c r="Y845" s="4"/>
      <c r="Z845" s="4"/>
      <c r="AA845" s="4"/>
      <c r="AB845" s="4"/>
      <c r="AC845" s="4" t="str">
        <f>IFERROR(__xludf.DUMMYFUNCTION("""COMPUTED_VALUE"""),"INSPEKSI SUTM - T2_Images/3ae61834.FOTO.190309.jpg")</f>
        <v>INSPEKSI SUTM - T2_Images/3ae61834.FOTO.190309.jpg</v>
      </c>
      <c r="AD845" s="4"/>
      <c r="AE845" s="4"/>
      <c r="AF845" s="4" t="str">
        <f>IFERROR(__xludf.DUMMYFUNCTION("""COMPUTED_VALUE"""),"BELUM")</f>
        <v>BELUM</v>
      </c>
      <c r="AG845" s="6">
        <f>IFERROR(__xludf.DUMMYFUNCTION("""COMPUTED_VALUE"""),46107.0)</f>
        <v>46107</v>
      </c>
      <c r="AH845" s="4"/>
      <c r="AI845" s="4"/>
    </row>
    <row r="846" ht="15.75" customHeight="1">
      <c r="A846" s="4" t="str">
        <f>IFERROR(__xludf.DUMMYFUNCTION("""COMPUTED_VALUE"""),"e4aba7ec")</f>
        <v>e4aba7ec</v>
      </c>
      <c r="B846" s="5">
        <f>IFERROR(__xludf.DUMMYFUNCTION("""COMPUTED_VALUE"""),46107.08565972222)</f>
        <v>46107.08566</v>
      </c>
      <c r="C846" s="4" t="str">
        <f>IFERROR(__xludf.DUMMYFUNCTION("""COMPUTED_VALUE"""),"-6.914695, 107.707220")</f>
        <v>-6.914695, 107.707220</v>
      </c>
      <c r="D846" s="4" t="str">
        <f>IFERROR(__xludf.DUMMYFUNCTION("""COMPUTED_VALUE"""),"Heri xhandra")</f>
        <v>Heri xhandra</v>
      </c>
      <c r="E846" s="4" t="str">
        <f>IFERROR(__xludf.DUMMYFUNCTION("""COMPUTED_VALUE"""),"BANDUNG")</f>
        <v>BANDUNG</v>
      </c>
      <c r="F846" s="4" t="str">
        <f>IFERROR(__xludf.DUMMYFUNCTION("""COMPUTED_VALUE"""),"UJUNGBERUNG")</f>
        <v>UJUNGBERUNG</v>
      </c>
      <c r="G846" s="4" t="str">
        <f>IFERROR(__xludf.DUMMYFUNCTION("""COMPUTED_VALUE"""),"UJUNGBERUNG")</f>
        <v>UJUNGBERUNG</v>
      </c>
      <c r="H846" s="4" t="str">
        <f>IFERROR(__xludf.DUMMYFUNCTION("""COMPUTED_VALUE"""),"UTWU")</f>
        <v>UTWU</v>
      </c>
      <c r="I846" s="4" t="str">
        <f>IFERROR(__xludf.DUMMYFUNCTION("""COMPUTED_VALUE"""),"TWU - LBS CPR")</f>
        <v>TWU - LBS CPR</v>
      </c>
      <c r="J846" s="4" t="str">
        <f>IFERROR(__xludf.DUMMYFUNCTION("""COMPUTED_VALUE"""),"ZONA 2")</f>
        <v>ZONA 2</v>
      </c>
      <c r="K846" s="4" t="str">
        <f>IFERROR(__xludf.DUMMYFUNCTION("""COMPUTED_VALUE"""),"009R013R01")</f>
        <v>009R013R01</v>
      </c>
      <c r="L846" s="4" t="str">
        <f>IFERROR(__xludf.DUMMYFUNCTION("""COMPUTED_VALUE"""),"TM - 7B/H (Afspan 90 Derajat)")</f>
        <v>TM - 7B/H (Afspan 90 Derajat)</v>
      </c>
      <c r="M846" s="4" t="str">
        <f>IFERROR(__xludf.DUMMYFUNCTION("""COMPUTED_VALUE"""),"Tidak Ada")</f>
        <v>Tidak Ada</v>
      </c>
      <c r="N846" s="4"/>
      <c r="O846" s="4" t="str">
        <f>IFERROR(__xludf.DUMMYFUNCTION("""COMPUTED_VALUE"""),"PEMBANDING SEJENIS")</f>
        <v>PEMBANDING SEJENIS</v>
      </c>
      <c r="P846" s="4" t="str">
        <f>IFERROR(__xludf.DUMMYFUNCTION("""COMPUTED_VALUE"""),"KONEKTOR/JUMPER")</f>
        <v>KONEKTOR/JUMPER</v>
      </c>
      <c r="Q846" s="4">
        <f>IFERROR(__xludf.DUMMYFUNCTION("""COMPUTED_VALUE"""),21.7)</f>
        <v>21.7</v>
      </c>
      <c r="R846" s="4">
        <f>IFERROR(__xludf.DUMMYFUNCTION("""COMPUTED_VALUE"""),21.6)</f>
        <v>21.6</v>
      </c>
      <c r="S846" s="4">
        <f>IFERROR(__xludf.DUMMYFUNCTION("""COMPUTED_VALUE"""),22.5)</f>
        <v>22.5</v>
      </c>
      <c r="T846" s="4"/>
      <c r="U846" s="4" t="str">
        <f>IFERROR(__xludf.DUMMYFUNCTION("""COMPUTED_VALUE"""),"BAIK")</f>
        <v>BAIK</v>
      </c>
      <c r="V846" s="4" t="str">
        <f>IFERROR(__xludf.DUMMYFUNCTION("""COMPUTED_VALUE"""),"Tidak Ada")</f>
        <v>Tidak Ada</v>
      </c>
      <c r="W846" s="4"/>
      <c r="X846" s="4"/>
      <c r="Y846" s="4"/>
      <c r="Z846" s="4"/>
      <c r="AA846" s="4"/>
      <c r="AB846" s="4"/>
      <c r="AC846" s="4" t="str">
        <f>IFERROR(__xludf.DUMMYFUNCTION("""COMPUTED_VALUE"""),"INSPEKSI SUTM - T2_Images/e4aba7ec.FOTO.190407.jpg")</f>
        <v>INSPEKSI SUTM - T2_Images/e4aba7ec.FOTO.190407.jpg</v>
      </c>
      <c r="AD846" s="4"/>
      <c r="AE846" s="4"/>
      <c r="AF846" s="4" t="str">
        <f>IFERROR(__xludf.DUMMYFUNCTION("""COMPUTED_VALUE"""),"BELUM")</f>
        <v>BELUM</v>
      </c>
      <c r="AG846" s="6">
        <f>IFERROR(__xludf.DUMMYFUNCTION("""COMPUTED_VALUE"""),46107.0)</f>
        <v>46107</v>
      </c>
      <c r="AH846" s="4"/>
      <c r="AI846" s="4"/>
    </row>
    <row r="847" ht="15.75" customHeight="1">
      <c r="A847" s="4" t="str">
        <f>IFERROR(__xludf.DUMMYFUNCTION("""COMPUTED_VALUE"""),"071e97d2")</f>
        <v>071e97d2</v>
      </c>
      <c r="B847" s="5">
        <f>IFERROR(__xludf.DUMMYFUNCTION("""COMPUTED_VALUE"""),46107.086597222224)</f>
        <v>46107.0866</v>
      </c>
      <c r="C847" s="4" t="str">
        <f>IFERROR(__xludf.DUMMYFUNCTION("""COMPUTED_VALUE"""),"-6.914563, 107.707432")</f>
        <v>-6.914563, 107.707432</v>
      </c>
      <c r="D847" s="4" t="str">
        <f>IFERROR(__xludf.DUMMYFUNCTION("""COMPUTED_VALUE"""),"Herixhandra")</f>
        <v>Herixhandra</v>
      </c>
      <c r="E847" s="4" t="str">
        <f>IFERROR(__xludf.DUMMYFUNCTION("""COMPUTED_VALUE"""),"BANDUNG")</f>
        <v>BANDUNG</v>
      </c>
      <c r="F847" s="4" t="str">
        <f>IFERROR(__xludf.DUMMYFUNCTION("""COMPUTED_VALUE"""),"UJUNGBERUNG")</f>
        <v>UJUNGBERUNG</v>
      </c>
      <c r="G847" s="4" t="str">
        <f>IFERROR(__xludf.DUMMYFUNCTION("""COMPUTED_VALUE"""),"UJUNGBERUNG")</f>
        <v>UJUNGBERUNG</v>
      </c>
      <c r="H847" s="4" t="str">
        <f>IFERROR(__xludf.DUMMYFUNCTION("""COMPUTED_VALUE"""),"UTWU")</f>
        <v>UTWU</v>
      </c>
      <c r="I847" s="4" t="str">
        <f>IFERROR(__xludf.DUMMYFUNCTION("""COMPUTED_VALUE"""),"TWU - LBS CPR")</f>
        <v>TWU - LBS CPR</v>
      </c>
      <c r="J847" s="4" t="str">
        <f>IFERROR(__xludf.DUMMYFUNCTION("""COMPUTED_VALUE"""),"ZONA 2")</f>
        <v>ZONA 2</v>
      </c>
      <c r="K847" s="4" t="str">
        <f>IFERROR(__xludf.DUMMYFUNCTION("""COMPUTED_VALUE"""),"009R013R02")</f>
        <v>009R013R02</v>
      </c>
      <c r="L847" s="4" t="str">
        <f>IFERROR(__xludf.DUMMYFUNCTION("""COMPUTED_VALUE"""),"TM - 7B/H (Afspan 90 Derajat)")</f>
        <v>TM - 7B/H (Afspan 90 Derajat)</v>
      </c>
      <c r="M847" s="4" t="str">
        <f>IFERROR(__xludf.DUMMYFUNCTION("""COMPUTED_VALUE"""),"Tidak Ada")</f>
        <v>Tidak Ada</v>
      </c>
      <c r="N847" s="4"/>
      <c r="O847" s="4" t="str">
        <f>IFERROR(__xludf.DUMMYFUNCTION("""COMPUTED_VALUE"""),"PEMBANDING SEJENIS")</f>
        <v>PEMBANDING SEJENIS</v>
      </c>
      <c r="P847" s="4" t="str">
        <f>IFERROR(__xludf.DUMMYFUNCTION("""COMPUTED_VALUE"""),"KONEKTOR/JUMPER")</f>
        <v>KONEKTOR/JUMPER</v>
      </c>
      <c r="Q847" s="4">
        <f>IFERROR(__xludf.DUMMYFUNCTION("""COMPUTED_VALUE"""),24.5)</f>
        <v>24.5</v>
      </c>
      <c r="R847" s="4">
        <f>IFERROR(__xludf.DUMMYFUNCTION("""COMPUTED_VALUE"""),24.5)</f>
        <v>24.5</v>
      </c>
      <c r="S847" s="4">
        <f>IFERROR(__xludf.DUMMYFUNCTION("""COMPUTED_VALUE"""),24.4)</f>
        <v>24.4</v>
      </c>
      <c r="T847" s="4"/>
      <c r="U847" s="4" t="str">
        <f>IFERROR(__xludf.DUMMYFUNCTION("""COMPUTED_VALUE"""),"BAIK")</f>
        <v>BAIK</v>
      </c>
      <c r="V847" s="4" t="str">
        <f>IFERROR(__xludf.DUMMYFUNCTION("""COMPUTED_VALUE"""),"Tidak Ada")</f>
        <v>Tidak Ada</v>
      </c>
      <c r="W847" s="4"/>
      <c r="X847" s="4"/>
      <c r="Y847" s="4"/>
      <c r="Z847" s="4"/>
      <c r="AA847" s="4"/>
      <c r="AB847" s="4"/>
      <c r="AC847" s="4" t="str">
        <f>IFERROR(__xludf.DUMMYFUNCTION("""COMPUTED_VALUE"""),"INSPEKSI SUTM - T2_Images/071e97d2.FOTO.190529.jpg")</f>
        <v>INSPEKSI SUTM - T2_Images/071e97d2.FOTO.190529.jpg</v>
      </c>
      <c r="AD847" s="4"/>
      <c r="AE847" s="4"/>
      <c r="AF847" s="4" t="str">
        <f>IFERROR(__xludf.DUMMYFUNCTION("""COMPUTED_VALUE"""),"BELUM")</f>
        <v>BELUM</v>
      </c>
      <c r="AG847" s="6">
        <f>IFERROR(__xludf.DUMMYFUNCTION("""COMPUTED_VALUE"""),46107.0)</f>
        <v>46107</v>
      </c>
      <c r="AH847" s="4"/>
      <c r="AI847" s="4"/>
    </row>
    <row r="848" ht="15.75" customHeight="1">
      <c r="A848" s="4" t="str">
        <f>IFERROR(__xludf.DUMMYFUNCTION("""COMPUTED_VALUE"""),"6f5d3dff")</f>
        <v>6f5d3dff</v>
      </c>
      <c r="B848" s="5">
        <f>IFERROR(__xludf.DUMMYFUNCTION("""COMPUTED_VALUE"""),46107.08728009259)</f>
        <v>46107.08728</v>
      </c>
      <c r="C848" s="4" t="str">
        <f>IFERROR(__xludf.DUMMYFUNCTION("""COMPUTED_VALUE"""),"-6.914059, 107.707909")</f>
        <v>-6.914059, 107.707909</v>
      </c>
      <c r="D848" s="4" t="str">
        <f>IFERROR(__xludf.DUMMYFUNCTION("""COMPUTED_VALUE"""),"Heri chandra")</f>
        <v>Heri chandra</v>
      </c>
      <c r="E848" s="4" t="str">
        <f>IFERROR(__xludf.DUMMYFUNCTION("""COMPUTED_VALUE"""),"BANDUNG")</f>
        <v>BANDUNG</v>
      </c>
      <c r="F848" s="4" t="str">
        <f>IFERROR(__xludf.DUMMYFUNCTION("""COMPUTED_VALUE"""),"UJUNGBERUNG")</f>
        <v>UJUNGBERUNG</v>
      </c>
      <c r="G848" s="4" t="str">
        <f>IFERROR(__xludf.DUMMYFUNCTION("""COMPUTED_VALUE"""),"UJUNGBERUNG")</f>
        <v>UJUNGBERUNG</v>
      </c>
      <c r="H848" s="4" t="str">
        <f>IFERROR(__xludf.DUMMYFUNCTION("""COMPUTED_VALUE"""),"UTWU")</f>
        <v>UTWU</v>
      </c>
      <c r="I848" s="4" t="str">
        <f>IFERROR(__xludf.DUMMYFUNCTION("""COMPUTED_VALUE"""),"TWU - LBS CPR")</f>
        <v>TWU - LBS CPR</v>
      </c>
      <c r="J848" s="4" t="str">
        <f>IFERROR(__xludf.DUMMYFUNCTION("""COMPUTED_VALUE"""),"ZONA 2")</f>
        <v>ZONA 2</v>
      </c>
      <c r="K848" s="4" t="str">
        <f>IFERROR(__xludf.DUMMYFUNCTION("""COMPUTED_VALUE"""),"009R013R04")</f>
        <v>009R013R04</v>
      </c>
      <c r="L848" s="4" t="str">
        <f>IFERROR(__xludf.DUMMYFUNCTION("""COMPUTED_VALUE"""),"TM - 7B/H (Afspan 90 Derajat)")</f>
        <v>TM - 7B/H (Afspan 90 Derajat)</v>
      </c>
      <c r="M848" s="4" t="str">
        <f>IFERROR(__xludf.DUMMYFUNCTION("""COMPUTED_VALUE"""),"Tidak Ada")</f>
        <v>Tidak Ada</v>
      </c>
      <c r="N848" s="4"/>
      <c r="O848" s="4" t="str">
        <f>IFERROR(__xludf.DUMMYFUNCTION("""COMPUTED_VALUE"""),"PEMBANDING SEJENIS")</f>
        <v>PEMBANDING SEJENIS</v>
      </c>
      <c r="P848" s="4" t="str">
        <f>IFERROR(__xludf.DUMMYFUNCTION("""COMPUTED_VALUE"""),"KONEKTOR/JUMPER")</f>
        <v>KONEKTOR/JUMPER</v>
      </c>
      <c r="Q848" s="4">
        <f>IFERROR(__xludf.DUMMYFUNCTION("""COMPUTED_VALUE"""),21.1)</f>
        <v>21.1</v>
      </c>
      <c r="R848" s="4">
        <f>IFERROR(__xludf.DUMMYFUNCTION("""COMPUTED_VALUE"""),22.5)</f>
        <v>22.5</v>
      </c>
      <c r="S848" s="4">
        <f>IFERROR(__xludf.DUMMYFUNCTION("""COMPUTED_VALUE"""),23.3)</f>
        <v>23.3</v>
      </c>
      <c r="T848" s="4"/>
      <c r="U848" s="4" t="str">
        <f>IFERROR(__xludf.DUMMYFUNCTION("""COMPUTED_VALUE"""),"BAIK")</f>
        <v>BAIK</v>
      </c>
      <c r="V848" s="4" t="str">
        <f>IFERROR(__xludf.DUMMYFUNCTION("""COMPUTED_VALUE"""),"Tidak Ada")</f>
        <v>Tidak Ada</v>
      </c>
      <c r="W848" s="4"/>
      <c r="X848" s="4"/>
      <c r="Y848" s="4"/>
      <c r="Z848" s="4"/>
      <c r="AA848" s="4"/>
      <c r="AB848" s="4"/>
      <c r="AC848" s="4" t="str">
        <f>IFERROR(__xludf.DUMMYFUNCTION("""COMPUTED_VALUE"""),"INSPEKSI SUTM - T2_Images/6f5d3dff.FOTO.190624.jpg")</f>
        <v>INSPEKSI SUTM - T2_Images/6f5d3dff.FOTO.190624.jpg</v>
      </c>
      <c r="AD848" s="4"/>
      <c r="AE848" s="4"/>
      <c r="AF848" s="4" t="str">
        <f>IFERROR(__xludf.DUMMYFUNCTION("""COMPUTED_VALUE"""),"BELUM")</f>
        <v>BELUM</v>
      </c>
      <c r="AG848" s="6">
        <f>IFERROR(__xludf.DUMMYFUNCTION("""COMPUTED_VALUE"""),46107.0)</f>
        <v>46107</v>
      </c>
      <c r="AH848" s="4"/>
      <c r="AI848" s="4"/>
    </row>
    <row r="849" ht="15.75" customHeight="1">
      <c r="A849" s="4" t="str">
        <f>IFERROR(__xludf.DUMMYFUNCTION("""COMPUTED_VALUE"""),"0bba7b73")</f>
        <v>0bba7b73</v>
      </c>
      <c r="B849" s="5">
        <f>IFERROR(__xludf.DUMMYFUNCTION("""COMPUTED_VALUE"""),46107.08806712963)</f>
        <v>46107.08807</v>
      </c>
      <c r="C849" s="4" t="str">
        <f>IFERROR(__xludf.DUMMYFUNCTION("""COMPUTED_VALUE"""),"-6.916618, 107.705365")</f>
        <v>-6.916618, 107.705365</v>
      </c>
      <c r="D849" s="4" t="str">
        <f>IFERROR(__xludf.DUMMYFUNCTION("""COMPUTED_VALUE"""),"Heri chandra")</f>
        <v>Heri chandra</v>
      </c>
      <c r="E849" s="4" t="str">
        <f>IFERROR(__xludf.DUMMYFUNCTION("""COMPUTED_VALUE"""),"BANDUNG")</f>
        <v>BANDUNG</v>
      </c>
      <c r="F849" s="4" t="str">
        <f>IFERROR(__xludf.DUMMYFUNCTION("""COMPUTED_VALUE"""),"UJUNGBERUNG")</f>
        <v>UJUNGBERUNG</v>
      </c>
      <c r="G849" s="4" t="str">
        <f>IFERROR(__xludf.DUMMYFUNCTION("""COMPUTED_VALUE"""),"UJUNGBERUNG")</f>
        <v>UJUNGBERUNG</v>
      </c>
      <c r="H849" s="4" t="str">
        <f>IFERROR(__xludf.DUMMYFUNCTION("""COMPUTED_VALUE"""),"UTWU")</f>
        <v>UTWU</v>
      </c>
      <c r="I849" s="4" t="str">
        <f>IFERROR(__xludf.DUMMYFUNCTION("""COMPUTED_VALUE"""),"TWU - LBS CPR")</f>
        <v>TWU - LBS CPR</v>
      </c>
      <c r="J849" s="4" t="str">
        <f>IFERROR(__xludf.DUMMYFUNCTION("""COMPUTED_VALUE"""),"ZONA 2")</f>
        <v>ZONA 2</v>
      </c>
      <c r="K849" s="4" t="str">
        <f>IFERROR(__xludf.DUMMYFUNCTION("""COMPUTED_VALUE"""),"010")</f>
        <v>010</v>
      </c>
      <c r="L849" s="4" t="str">
        <f>IFERROR(__xludf.DUMMYFUNCTION("""COMPUTED_VALUE"""),"TM - 7B/H (Afspan 90 Derajat)")</f>
        <v>TM - 7B/H (Afspan 90 Derajat)</v>
      </c>
      <c r="M849" s="4" t="str">
        <f>IFERROR(__xludf.DUMMYFUNCTION("""COMPUTED_VALUE"""),"Tidak Ada")</f>
        <v>Tidak Ada</v>
      </c>
      <c r="N849" s="4"/>
      <c r="O849" s="4" t="str">
        <f>IFERROR(__xludf.DUMMYFUNCTION("""COMPUTED_VALUE"""),"PEMBANDING SEJENIS")</f>
        <v>PEMBANDING SEJENIS</v>
      </c>
      <c r="P849" s="4" t="str">
        <f>IFERROR(__xludf.DUMMYFUNCTION("""COMPUTED_VALUE"""),"KONEKTOR/JUMPER")</f>
        <v>KONEKTOR/JUMPER</v>
      </c>
      <c r="Q849" s="4">
        <f>IFERROR(__xludf.DUMMYFUNCTION("""COMPUTED_VALUE"""),19.4)</f>
        <v>19.4</v>
      </c>
      <c r="R849" s="4">
        <f>IFERROR(__xludf.DUMMYFUNCTION("""COMPUTED_VALUE"""),18.1)</f>
        <v>18.1</v>
      </c>
      <c r="S849" s="4">
        <f>IFERROR(__xludf.DUMMYFUNCTION("""COMPUTED_VALUE"""),18.1)</f>
        <v>18.1</v>
      </c>
      <c r="T849" s="4"/>
      <c r="U849" s="4" t="str">
        <f>IFERROR(__xludf.DUMMYFUNCTION("""COMPUTED_VALUE"""),"BAIK")</f>
        <v>BAIK</v>
      </c>
      <c r="V849" s="4" t="str">
        <f>IFERROR(__xludf.DUMMYFUNCTION("""COMPUTED_VALUE"""),"Tidak Ada")</f>
        <v>Tidak Ada</v>
      </c>
      <c r="W849" s="4"/>
      <c r="X849" s="4"/>
      <c r="Y849" s="4"/>
      <c r="Z849" s="4"/>
      <c r="AA849" s="4"/>
      <c r="AB849" s="4"/>
      <c r="AC849" s="4" t="str">
        <f>IFERROR(__xludf.DUMMYFUNCTION("""COMPUTED_VALUE"""),"INSPEKSI SUTM - T2_Images/0bba7b73.FOTO.190733.jpg")</f>
        <v>INSPEKSI SUTM - T2_Images/0bba7b73.FOTO.190733.jpg</v>
      </c>
      <c r="AD849" s="4"/>
      <c r="AE849" s="4"/>
      <c r="AF849" s="4" t="str">
        <f>IFERROR(__xludf.DUMMYFUNCTION("""COMPUTED_VALUE"""),"BELUM")</f>
        <v>BELUM</v>
      </c>
      <c r="AG849" s="6">
        <f>IFERROR(__xludf.DUMMYFUNCTION("""COMPUTED_VALUE"""),46107.0)</f>
        <v>46107</v>
      </c>
      <c r="AH849" s="4"/>
      <c r="AI849" s="4"/>
    </row>
    <row r="850" ht="15.75" customHeight="1">
      <c r="A850" s="4" t="str">
        <f>IFERROR(__xludf.DUMMYFUNCTION("""COMPUTED_VALUE"""),"ac3e3602")</f>
        <v>ac3e3602</v>
      </c>
      <c r="B850" s="5">
        <f>IFERROR(__xludf.DUMMYFUNCTION("""COMPUTED_VALUE"""),46107.08872685185)</f>
        <v>46107.08873</v>
      </c>
      <c r="C850" s="4" t="str">
        <f>IFERROR(__xludf.DUMMYFUNCTION("""COMPUTED_VALUE"""),"-6.916607, 107.705372")</f>
        <v>-6.916607, 107.705372</v>
      </c>
      <c r="D850" s="4" t="str">
        <f>IFERROR(__xludf.DUMMYFUNCTION("""COMPUTED_VALUE"""),"Heri chandra")</f>
        <v>Heri chandra</v>
      </c>
      <c r="E850" s="4" t="str">
        <f>IFERROR(__xludf.DUMMYFUNCTION("""COMPUTED_VALUE"""),"BANDUNG")</f>
        <v>BANDUNG</v>
      </c>
      <c r="F850" s="4" t="str">
        <f>IFERROR(__xludf.DUMMYFUNCTION("""COMPUTED_VALUE"""),"UJUNGBERUNG")</f>
        <v>UJUNGBERUNG</v>
      </c>
      <c r="G850" s="4" t="str">
        <f>IFERROR(__xludf.DUMMYFUNCTION("""COMPUTED_VALUE"""),"UJUNGBERUNG")</f>
        <v>UJUNGBERUNG</v>
      </c>
      <c r="H850" s="4" t="str">
        <f>IFERROR(__xludf.DUMMYFUNCTION("""COMPUTED_VALUE"""),"UTWU")</f>
        <v>UTWU</v>
      </c>
      <c r="I850" s="4" t="str">
        <f>IFERROR(__xludf.DUMMYFUNCTION("""COMPUTED_VALUE"""),"TWU - LBS CPR")</f>
        <v>TWU - LBS CPR</v>
      </c>
      <c r="J850" s="4" t="str">
        <f>IFERROR(__xludf.DUMMYFUNCTION("""COMPUTED_VALUE"""),"ZONA 2")</f>
        <v>ZONA 2</v>
      </c>
      <c r="K850" s="4" t="str">
        <f>IFERROR(__xludf.DUMMYFUNCTION("""COMPUTED_VALUE"""),"010R01")</f>
        <v>010R01</v>
      </c>
      <c r="L850" s="4" t="str">
        <f>IFERROR(__xludf.DUMMYFUNCTION("""COMPUTED_VALUE"""),"TM - 7B/H (Afspan 90 Derajat)")</f>
        <v>TM - 7B/H (Afspan 90 Derajat)</v>
      </c>
      <c r="M850" s="4" t="str">
        <f>IFERROR(__xludf.DUMMYFUNCTION("""COMPUTED_VALUE"""),"Tidak Ada")</f>
        <v>Tidak Ada</v>
      </c>
      <c r="N850" s="4"/>
      <c r="O850" s="4" t="str">
        <f>IFERROR(__xludf.DUMMYFUNCTION("""COMPUTED_VALUE"""),"PEMBANDING SEJENIS")</f>
        <v>PEMBANDING SEJENIS</v>
      </c>
      <c r="P850" s="4" t="str">
        <f>IFERROR(__xludf.DUMMYFUNCTION("""COMPUTED_VALUE"""),"KONEKTOR/JUMPER")</f>
        <v>KONEKTOR/JUMPER</v>
      </c>
      <c r="Q850" s="4">
        <f>IFERROR(__xludf.DUMMYFUNCTION("""COMPUTED_VALUE"""),21.1)</f>
        <v>21.1</v>
      </c>
      <c r="R850" s="4">
        <f>IFERROR(__xludf.DUMMYFUNCTION("""COMPUTED_VALUE"""),22.5)</f>
        <v>22.5</v>
      </c>
      <c r="S850" s="4">
        <f>IFERROR(__xludf.DUMMYFUNCTION("""COMPUTED_VALUE"""),23.3)</f>
        <v>23.3</v>
      </c>
      <c r="T850" s="4"/>
      <c r="U850" s="4" t="str">
        <f>IFERROR(__xludf.DUMMYFUNCTION("""COMPUTED_VALUE"""),"BAIK")</f>
        <v>BAIK</v>
      </c>
      <c r="V850" s="4" t="str">
        <f>IFERROR(__xludf.DUMMYFUNCTION("""COMPUTED_VALUE"""),"Tidak Ada")</f>
        <v>Tidak Ada</v>
      </c>
      <c r="W850" s="4"/>
      <c r="X850" s="4"/>
      <c r="Y850" s="4"/>
      <c r="Z850" s="4"/>
      <c r="AA850" s="4"/>
      <c r="AB850" s="4"/>
      <c r="AC850" s="4" t="str">
        <f>IFERROR(__xludf.DUMMYFUNCTION("""COMPUTED_VALUE"""),"INSPEKSI SUTM - T2_Images/ac3e3602.FOTO.190827.jpg")</f>
        <v>INSPEKSI SUTM - T2_Images/ac3e3602.FOTO.190827.jpg</v>
      </c>
      <c r="AD850" s="4"/>
      <c r="AE850" s="4"/>
      <c r="AF850" s="4" t="str">
        <f>IFERROR(__xludf.DUMMYFUNCTION("""COMPUTED_VALUE"""),"BELUM")</f>
        <v>BELUM</v>
      </c>
      <c r="AG850" s="6">
        <f>IFERROR(__xludf.DUMMYFUNCTION("""COMPUTED_VALUE"""),46107.0)</f>
        <v>46107</v>
      </c>
      <c r="AH850" s="4"/>
      <c r="AI850" s="4"/>
    </row>
    <row r="851" ht="15.75" customHeight="1">
      <c r="A851" s="4" t="str">
        <f>IFERROR(__xludf.DUMMYFUNCTION("""COMPUTED_VALUE"""),"b707962c")</f>
        <v>b707962c</v>
      </c>
      <c r="B851" s="5">
        <f>IFERROR(__xludf.DUMMYFUNCTION("""COMPUTED_VALUE"""),46107.08943287037)</f>
        <v>46107.08943</v>
      </c>
      <c r="C851" s="4" t="str">
        <f>IFERROR(__xludf.DUMMYFUNCTION("""COMPUTED_VALUE"""),"-6.916358, 107.705151")</f>
        <v>-6.916358, 107.705151</v>
      </c>
      <c r="D851" s="4" t="str">
        <f>IFERROR(__xludf.DUMMYFUNCTION("""COMPUTED_VALUE"""),"Heri chandra")</f>
        <v>Heri chandra</v>
      </c>
      <c r="E851" s="4" t="str">
        <f>IFERROR(__xludf.DUMMYFUNCTION("""COMPUTED_VALUE"""),"BANDUNG")</f>
        <v>BANDUNG</v>
      </c>
      <c r="F851" s="4" t="str">
        <f>IFERROR(__xludf.DUMMYFUNCTION("""COMPUTED_VALUE"""),"UJUNGBERUNG")</f>
        <v>UJUNGBERUNG</v>
      </c>
      <c r="G851" s="4" t="str">
        <f>IFERROR(__xludf.DUMMYFUNCTION("""COMPUTED_VALUE"""),"UJUNGBERUNG")</f>
        <v>UJUNGBERUNG</v>
      </c>
      <c r="H851" s="4" t="str">
        <f>IFERROR(__xludf.DUMMYFUNCTION("""COMPUTED_VALUE"""),"UTWU")</f>
        <v>UTWU</v>
      </c>
      <c r="I851" s="4" t="str">
        <f>IFERROR(__xludf.DUMMYFUNCTION("""COMPUTED_VALUE"""),"TWU - LBS CPR")</f>
        <v>TWU - LBS CPR</v>
      </c>
      <c r="J851" s="4" t="str">
        <f>IFERROR(__xludf.DUMMYFUNCTION("""COMPUTED_VALUE"""),"ZONA 2")</f>
        <v>ZONA 2</v>
      </c>
      <c r="K851" s="4" t="str">
        <f>IFERROR(__xludf.DUMMYFUNCTION("""COMPUTED_VALUE"""),"010R02")</f>
        <v>010R02</v>
      </c>
      <c r="L851" s="4" t="str">
        <f>IFERROR(__xludf.DUMMYFUNCTION("""COMPUTED_VALUE"""),"TM - 13B/H (Kabel Naik Pada Tiang Tumpu)")</f>
        <v>TM - 13B/H (Kabel Naik Pada Tiang Tumpu)</v>
      </c>
      <c r="M851" s="4" t="str">
        <f>IFERROR(__xludf.DUMMYFUNCTION("""COMPUTED_VALUE"""),"Tidak Ada")</f>
        <v>Tidak Ada</v>
      </c>
      <c r="N851" s="4"/>
      <c r="O851" s="4" t="str">
        <f>IFERROR(__xludf.DUMMYFUNCTION("""COMPUTED_VALUE"""),"PEMBANDING SEJENIS")</f>
        <v>PEMBANDING SEJENIS</v>
      </c>
      <c r="P851" s="4" t="str">
        <f>IFERROR(__xludf.DUMMYFUNCTION("""COMPUTED_VALUE"""),"TERMINASI")</f>
        <v>TERMINASI</v>
      </c>
      <c r="Q851" s="4">
        <f>IFERROR(__xludf.DUMMYFUNCTION("""COMPUTED_VALUE"""),24.5)</f>
        <v>24.5</v>
      </c>
      <c r="R851" s="4">
        <f>IFERROR(__xludf.DUMMYFUNCTION("""COMPUTED_VALUE"""),23.0)</f>
        <v>23</v>
      </c>
      <c r="S851" s="4">
        <f>IFERROR(__xludf.DUMMYFUNCTION("""COMPUTED_VALUE"""),22.5)</f>
        <v>22.5</v>
      </c>
      <c r="T851" s="4"/>
      <c r="U851" s="4" t="str">
        <f>IFERROR(__xludf.DUMMYFUNCTION("""COMPUTED_VALUE"""),"BAIK")</f>
        <v>BAIK</v>
      </c>
      <c r="V851" s="4" t="str">
        <f>IFERROR(__xludf.DUMMYFUNCTION("""COMPUTED_VALUE"""),"Tidak Ada")</f>
        <v>Tidak Ada</v>
      </c>
      <c r="W851" s="4"/>
      <c r="X851" s="4"/>
      <c r="Y851" s="4"/>
      <c r="Z851" s="4"/>
      <c r="AA851" s="4"/>
      <c r="AB851" s="4"/>
      <c r="AC851" s="4" t="str">
        <f>IFERROR(__xludf.DUMMYFUNCTION("""COMPUTED_VALUE"""),"INSPEKSI SUTM - T2_Images/b707962c.FOTO.190933.jpg")</f>
        <v>INSPEKSI SUTM - T2_Images/b707962c.FOTO.190933.jpg</v>
      </c>
      <c r="AD851" s="4"/>
      <c r="AE851" s="4"/>
      <c r="AF851" s="4" t="str">
        <f>IFERROR(__xludf.DUMMYFUNCTION("""COMPUTED_VALUE"""),"BELUM")</f>
        <v>BELUM</v>
      </c>
      <c r="AG851" s="6">
        <f>IFERROR(__xludf.DUMMYFUNCTION("""COMPUTED_VALUE"""),46107.0)</f>
        <v>46107</v>
      </c>
      <c r="AH851" s="4"/>
      <c r="AI851" s="4"/>
    </row>
    <row r="852" ht="15.75" customHeight="1">
      <c r="A852" s="4" t="str">
        <f>IFERROR(__xludf.DUMMYFUNCTION("""COMPUTED_VALUE"""),"e83f0a14")</f>
        <v>e83f0a14</v>
      </c>
      <c r="B852" s="5">
        <f>IFERROR(__xludf.DUMMYFUNCTION("""COMPUTED_VALUE"""),46107.09005787037)</f>
        <v>46107.09006</v>
      </c>
      <c r="C852" s="4" t="str">
        <f>IFERROR(__xludf.DUMMYFUNCTION("""COMPUTED_VALUE"""),"-6.916371, 107.705154")</f>
        <v>-6.916371, 107.705154</v>
      </c>
      <c r="D852" s="4" t="str">
        <f>IFERROR(__xludf.DUMMYFUNCTION("""COMPUTED_VALUE"""),"Heri chandra")</f>
        <v>Heri chandra</v>
      </c>
      <c r="E852" s="4" t="str">
        <f>IFERROR(__xludf.DUMMYFUNCTION("""COMPUTED_VALUE"""),"BANDUNG")</f>
        <v>BANDUNG</v>
      </c>
      <c r="F852" s="4" t="str">
        <f>IFERROR(__xludf.DUMMYFUNCTION("""COMPUTED_VALUE"""),"UJUNGBERUNG")</f>
        <v>UJUNGBERUNG</v>
      </c>
      <c r="G852" s="4" t="str">
        <f>IFERROR(__xludf.DUMMYFUNCTION("""COMPUTED_VALUE"""),"UJUNGBERUNG")</f>
        <v>UJUNGBERUNG</v>
      </c>
      <c r="H852" s="4" t="str">
        <f>IFERROR(__xludf.DUMMYFUNCTION("""COMPUTED_VALUE"""),"UTWU")</f>
        <v>UTWU</v>
      </c>
      <c r="I852" s="4" t="str">
        <f>IFERROR(__xludf.DUMMYFUNCTION("""COMPUTED_VALUE"""),"TWU - LBS CPR")</f>
        <v>TWU - LBS CPR</v>
      </c>
      <c r="J852" s="4" t="str">
        <f>IFERROR(__xludf.DUMMYFUNCTION("""COMPUTED_VALUE"""),"ZONA 2")</f>
        <v>ZONA 2</v>
      </c>
      <c r="K852" s="4" t="str">
        <f>IFERROR(__xludf.DUMMYFUNCTION("""COMPUTED_VALUE"""),"010R03")</f>
        <v>010R03</v>
      </c>
      <c r="L852" s="4" t="str">
        <f>IFERROR(__xludf.DUMMYFUNCTION("""COMPUTED_VALUE"""),"TM - 14B/H (Akhir)")</f>
        <v>TM - 14B/H (Akhir)</v>
      </c>
      <c r="M852" s="4" t="str">
        <f>IFERROR(__xludf.DUMMYFUNCTION("""COMPUTED_VALUE"""),"Gardu")</f>
        <v>Gardu</v>
      </c>
      <c r="N852" s="4" t="str">
        <f>IFERROR(__xludf.DUMMYFUNCTION("""COMPUTED_VALUE"""),"Rdb")</f>
        <v>Rdb</v>
      </c>
      <c r="O852" s="4" t="str">
        <f>IFERROR(__xludf.DUMMYFUNCTION("""COMPUTED_VALUE"""),"PEMBANDING SEJENIS")</f>
        <v>PEMBANDING SEJENIS</v>
      </c>
      <c r="P852" s="4" t="str">
        <f>IFERROR(__xludf.DUMMYFUNCTION("""COMPUTED_VALUE"""),"ARRESTER")</f>
        <v>ARRESTER</v>
      </c>
      <c r="Q852" s="4">
        <f>IFERROR(__xludf.DUMMYFUNCTION("""COMPUTED_VALUE"""),23.3)</f>
        <v>23.3</v>
      </c>
      <c r="R852" s="4">
        <f>IFERROR(__xludf.DUMMYFUNCTION("""COMPUTED_VALUE"""),22.5)</f>
        <v>22.5</v>
      </c>
      <c r="S852" s="4">
        <f>IFERROR(__xludf.DUMMYFUNCTION("""COMPUTED_VALUE"""),21.5)</f>
        <v>21.5</v>
      </c>
      <c r="T852" s="4"/>
      <c r="U852" s="4" t="str">
        <f>IFERROR(__xludf.DUMMYFUNCTION("""COMPUTED_VALUE"""),"BAIK")</f>
        <v>BAIK</v>
      </c>
      <c r="V852" s="4" t="str">
        <f>IFERROR(__xludf.DUMMYFUNCTION("""COMPUTED_VALUE"""),"Tidak Ada")</f>
        <v>Tidak Ada</v>
      </c>
      <c r="W852" s="4"/>
      <c r="X852" s="4"/>
      <c r="Y852" s="4"/>
      <c r="Z852" s="4"/>
      <c r="AA852" s="4"/>
      <c r="AB852" s="4"/>
      <c r="AC852" s="4" t="str">
        <f>IFERROR(__xludf.DUMMYFUNCTION("""COMPUTED_VALUE"""),"INSPEKSI SUTM - T2_Images/e83f0a14.FOTO.191043.jpg")</f>
        <v>INSPEKSI SUTM - T2_Images/e83f0a14.FOTO.191043.jpg</v>
      </c>
      <c r="AD852" s="4"/>
      <c r="AE852" s="4"/>
      <c r="AF852" s="4" t="str">
        <f>IFERROR(__xludf.DUMMYFUNCTION("""COMPUTED_VALUE"""),"BELUM")</f>
        <v>BELUM</v>
      </c>
      <c r="AG852" s="6">
        <f>IFERROR(__xludf.DUMMYFUNCTION("""COMPUTED_VALUE"""),46107.0)</f>
        <v>46107</v>
      </c>
      <c r="AH852" s="4"/>
      <c r="AI852" s="4"/>
    </row>
    <row r="853" ht="15.75" customHeight="1">
      <c r="A853" s="4" t="str">
        <f>IFERROR(__xludf.DUMMYFUNCTION("""COMPUTED_VALUE"""),"1afbf9bb")</f>
        <v>1afbf9bb</v>
      </c>
      <c r="B853" s="5">
        <f>IFERROR(__xludf.DUMMYFUNCTION("""COMPUTED_VALUE"""),46107.0909375)</f>
        <v>46107.09094</v>
      </c>
      <c r="C853" s="4" t="str">
        <f>IFERROR(__xludf.DUMMYFUNCTION("""COMPUTED_VALUE"""),"-6.917157, 107.703548")</f>
        <v>-6.917157, 107.703548</v>
      </c>
      <c r="D853" s="4" t="str">
        <f>IFERROR(__xludf.DUMMYFUNCTION("""COMPUTED_VALUE"""),"Heri chandra")</f>
        <v>Heri chandra</v>
      </c>
      <c r="E853" s="4" t="str">
        <f>IFERROR(__xludf.DUMMYFUNCTION("""COMPUTED_VALUE"""),"BANDUNG")</f>
        <v>BANDUNG</v>
      </c>
      <c r="F853" s="4" t="str">
        <f>IFERROR(__xludf.DUMMYFUNCTION("""COMPUTED_VALUE"""),"UJUNGBERUNG")</f>
        <v>UJUNGBERUNG</v>
      </c>
      <c r="G853" s="4" t="str">
        <f>IFERROR(__xludf.DUMMYFUNCTION("""COMPUTED_VALUE"""),"UJUNGBERUNG")</f>
        <v>UJUNGBERUNG</v>
      </c>
      <c r="H853" s="4" t="str">
        <f>IFERROR(__xludf.DUMMYFUNCTION("""COMPUTED_VALUE"""),"UTWU")</f>
        <v>UTWU</v>
      </c>
      <c r="I853" s="4" t="str">
        <f>IFERROR(__xludf.DUMMYFUNCTION("""COMPUTED_VALUE"""),"TWU - LBS CPR")</f>
        <v>TWU - LBS CPR</v>
      </c>
      <c r="J853" s="4" t="str">
        <f>IFERROR(__xludf.DUMMYFUNCTION("""COMPUTED_VALUE"""),"ZONA 2")</f>
        <v>ZONA 2</v>
      </c>
      <c r="K853" s="4" t="str">
        <f>IFERROR(__xludf.DUMMYFUNCTION("""COMPUTED_VALUE"""),"010R02L01")</f>
        <v>010R02L01</v>
      </c>
      <c r="L853" s="4" t="str">
        <f>IFERROR(__xludf.DUMMYFUNCTION("""COMPUTED_VALUE"""),"TM - 11B/H (Kabel Naik)")</f>
        <v>TM - 11B/H (Kabel Naik)</v>
      </c>
      <c r="M853" s="4" t="str">
        <f>IFERROR(__xludf.DUMMYFUNCTION("""COMPUTED_VALUE"""),"Gardu")</f>
        <v>Gardu</v>
      </c>
      <c r="N853" s="4" t="str">
        <f>IFERROR(__xludf.DUMMYFUNCTION("""COMPUTED_VALUE"""),"Purd")</f>
        <v>Purd</v>
      </c>
      <c r="O853" s="4" t="str">
        <f>IFERROR(__xludf.DUMMYFUNCTION("""COMPUTED_VALUE"""),"PEMBANDING SEJENIS")</f>
        <v>PEMBANDING SEJENIS</v>
      </c>
      <c r="P853" s="4" t="str">
        <f>IFERROR(__xludf.DUMMYFUNCTION("""COMPUTED_VALUE"""),"TERMINASI")</f>
        <v>TERMINASI</v>
      </c>
      <c r="Q853" s="4">
        <f>IFERROR(__xludf.DUMMYFUNCTION("""COMPUTED_VALUE"""),25.1)</f>
        <v>25.1</v>
      </c>
      <c r="R853" s="4">
        <f>IFERROR(__xludf.DUMMYFUNCTION("""COMPUTED_VALUE"""),24.6)</f>
        <v>24.6</v>
      </c>
      <c r="S853" s="4">
        <f>IFERROR(__xludf.DUMMYFUNCTION("""COMPUTED_VALUE"""),23.6)</f>
        <v>23.6</v>
      </c>
      <c r="T853" s="4"/>
      <c r="U853" s="4" t="str">
        <f>IFERROR(__xludf.DUMMYFUNCTION("""COMPUTED_VALUE"""),"BAIK")</f>
        <v>BAIK</v>
      </c>
      <c r="V853" s="4" t="str">
        <f>IFERROR(__xludf.DUMMYFUNCTION("""COMPUTED_VALUE"""),"Tidak Ada")</f>
        <v>Tidak Ada</v>
      </c>
      <c r="W853" s="4"/>
      <c r="X853" s="4"/>
      <c r="Y853" s="4"/>
      <c r="Z853" s="4"/>
      <c r="AA853" s="4"/>
      <c r="AB853" s="4"/>
      <c r="AC853" s="4" t="str">
        <f>IFERROR(__xludf.DUMMYFUNCTION("""COMPUTED_VALUE"""),"INSPEKSI SUTM - T2_Images/1afbf9bb.FOTO.191146.jpg")</f>
        <v>INSPEKSI SUTM - T2_Images/1afbf9bb.FOTO.191146.jpg</v>
      </c>
      <c r="AD853" s="4"/>
      <c r="AE853" s="4"/>
      <c r="AF853" s="4" t="str">
        <f>IFERROR(__xludf.DUMMYFUNCTION("""COMPUTED_VALUE"""),"BELUM")</f>
        <v>BELUM</v>
      </c>
      <c r="AG853" s="6">
        <f>IFERROR(__xludf.DUMMYFUNCTION("""COMPUTED_VALUE"""),46107.0)</f>
        <v>46107</v>
      </c>
      <c r="AH853" s="4"/>
      <c r="AI853" s="4"/>
    </row>
    <row r="854" ht="15.75" customHeight="1">
      <c r="A854" s="4" t="str">
        <f>IFERROR(__xludf.DUMMYFUNCTION("""COMPUTED_VALUE"""),"2ad81aba")</f>
        <v>2ad81aba</v>
      </c>
      <c r="B854" s="5">
        <f>IFERROR(__xludf.DUMMYFUNCTION("""COMPUTED_VALUE"""),46107.09202546296)</f>
        <v>46107.09203</v>
      </c>
      <c r="C854" s="4" t="str">
        <f>IFERROR(__xludf.DUMMYFUNCTION("""COMPUTED_VALUE"""),"-6.916351, 107.704979")</f>
        <v>-6.916351, 107.704979</v>
      </c>
      <c r="D854" s="4" t="str">
        <f>IFERROR(__xludf.DUMMYFUNCTION("""COMPUTED_VALUE"""),"Heri chandra")</f>
        <v>Heri chandra</v>
      </c>
      <c r="E854" s="4" t="str">
        <f>IFERROR(__xludf.DUMMYFUNCTION("""COMPUTED_VALUE"""),"BANDUNG")</f>
        <v>BANDUNG</v>
      </c>
      <c r="F854" s="4" t="str">
        <f>IFERROR(__xludf.DUMMYFUNCTION("""COMPUTED_VALUE"""),"UJUNGBERUNG")</f>
        <v>UJUNGBERUNG</v>
      </c>
      <c r="G854" s="4" t="str">
        <f>IFERROR(__xludf.DUMMYFUNCTION("""COMPUTED_VALUE"""),"UJUNGBERUNG")</f>
        <v>UJUNGBERUNG</v>
      </c>
      <c r="H854" s="4" t="str">
        <f>IFERROR(__xludf.DUMMYFUNCTION("""COMPUTED_VALUE"""),"UTWU")</f>
        <v>UTWU</v>
      </c>
      <c r="I854" s="4" t="str">
        <f>IFERROR(__xludf.DUMMYFUNCTION("""COMPUTED_VALUE"""),"LBS CPR - LBS CGI")</f>
        <v>LBS CPR - LBS CGI</v>
      </c>
      <c r="J854" s="4" t="str">
        <f>IFERROR(__xludf.DUMMYFUNCTION("""COMPUTED_VALUE"""),"ZONA 2")</f>
        <v>ZONA 2</v>
      </c>
      <c r="K854" s="4" t="str">
        <f>IFERROR(__xludf.DUMMYFUNCTION("""COMPUTED_VALUE"""),"011")</f>
        <v>011</v>
      </c>
      <c r="L854" s="4" t="str">
        <f>IFERROR(__xludf.DUMMYFUNCTION("""COMPUTED_VALUE"""),"TM - 16B/H (REC/SSO/LBS)")</f>
        <v>TM - 16B/H (REC/SSO/LBS)</v>
      </c>
      <c r="M854" s="4" t="str">
        <f>IFERROR(__xludf.DUMMYFUNCTION("""COMPUTED_VALUE"""),"LBS")</f>
        <v>LBS</v>
      </c>
      <c r="N854" s="4" t="str">
        <f>IFERROR(__xludf.DUMMYFUNCTION("""COMPUTED_VALUE"""),"Cpr")</f>
        <v>Cpr</v>
      </c>
      <c r="O854" s="4" t="str">
        <f>IFERROR(__xludf.DUMMYFUNCTION("""COMPUTED_VALUE"""),"PEMBANDING SEJENIS")</f>
        <v>PEMBANDING SEJENIS</v>
      </c>
      <c r="P854" s="4" t="str">
        <f>IFERROR(__xludf.DUMMYFUNCTION("""COMPUTED_VALUE"""),"TERMINAL BUSHING")</f>
        <v>TERMINAL BUSHING</v>
      </c>
      <c r="Q854" s="4">
        <f>IFERROR(__xludf.DUMMYFUNCTION("""COMPUTED_VALUE"""),25.5)</f>
        <v>25.5</v>
      </c>
      <c r="R854" s="4">
        <f>IFERROR(__xludf.DUMMYFUNCTION("""COMPUTED_VALUE"""),24.5)</f>
        <v>24.5</v>
      </c>
      <c r="S854" s="4">
        <f>IFERROR(__xludf.DUMMYFUNCTION("""COMPUTED_VALUE"""),24.3)</f>
        <v>24.3</v>
      </c>
      <c r="T854" s="4"/>
      <c r="U854" s="4" t="str">
        <f>IFERROR(__xludf.DUMMYFUNCTION("""COMPUTED_VALUE"""),"BAIK")</f>
        <v>BAIK</v>
      </c>
      <c r="V854" s="4" t="str">
        <f>IFERROR(__xludf.DUMMYFUNCTION("""COMPUTED_VALUE"""),"Tidak Ada")</f>
        <v>Tidak Ada</v>
      </c>
      <c r="W854" s="4"/>
      <c r="X854" s="4"/>
      <c r="Y854" s="4"/>
      <c r="Z854" s="4"/>
      <c r="AA854" s="4"/>
      <c r="AB854" s="4"/>
      <c r="AC854" s="4" t="str">
        <f>IFERROR(__xludf.DUMMYFUNCTION("""COMPUTED_VALUE"""),"INSPEKSI SUTM - T2_Images/2ad81aba.FOTO.191318.jpg")</f>
        <v>INSPEKSI SUTM - T2_Images/2ad81aba.FOTO.191318.jpg</v>
      </c>
      <c r="AD854" s="4"/>
      <c r="AE854" s="4"/>
      <c r="AF854" s="4" t="str">
        <f>IFERROR(__xludf.DUMMYFUNCTION("""COMPUTED_VALUE"""),"BELUM")</f>
        <v>BELUM</v>
      </c>
      <c r="AG854" s="6">
        <f>IFERROR(__xludf.DUMMYFUNCTION("""COMPUTED_VALUE"""),46107.0)</f>
        <v>46107</v>
      </c>
      <c r="AH854" s="4"/>
      <c r="AI854" s="4"/>
    </row>
    <row r="855" ht="15.75" customHeight="1">
      <c r="A855" s="4" t="str">
        <f>IFERROR(__xludf.DUMMYFUNCTION("""COMPUTED_VALUE"""),"a3c163c8")</f>
        <v>a3c163c8</v>
      </c>
      <c r="B855" s="5">
        <f>IFERROR(__xludf.DUMMYFUNCTION("""COMPUTED_VALUE"""),46107.11126157407)</f>
        <v>46107.11126</v>
      </c>
      <c r="C855" s="4" t="str">
        <f>IFERROR(__xludf.DUMMYFUNCTION("""COMPUTED_VALUE"""),"-6.916121, 107.704786")</f>
        <v>-6.916121, 107.704786</v>
      </c>
      <c r="D855" s="4" t="str">
        <f>IFERROR(__xludf.DUMMYFUNCTION("""COMPUTED_VALUE"""),"Herixhandra")</f>
        <v>Herixhandra</v>
      </c>
      <c r="E855" s="4" t="str">
        <f>IFERROR(__xludf.DUMMYFUNCTION("""COMPUTED_VALUE"""),"BANDUNG")</f>
        <v>BANDUNG</v>
      </c>
      <c r="F855" s="4" t="str">
        <f>IFERROR(__xludf.DUMMYFUNCTION("""COMPUTED_VALUE"""),"UJUNGBERUNG")</f>
        <v>UJUNGBERUNG</v>
      </c>
      <c r="G855" s="4" t="str">
        <f>IFERROR(__xludf.DUMMYFUNCTION("""COMPUTED_VALUE"""),"UJUNGBERUNG")</f>
        <v>UJUNGBERUNG</v>
      </c>
      <c r="H855" s="4" t="str">
        <f>IFERROR(__xludf.DUMMYFUNCTION("""COMPUTED_VALUE"""),"UTWU")</f>
        <v>UTWU</v>
      </c>
      <c r="I855" s="4" t="str">
        <f>IFERROR(__xludf.DUMMYFUNCTION("""COMPUTED_VALUE"""),"LBS CPR - LBS CGI")</f>
        <v>LBS CPR - LBS CGI</v>
      </c>
      <c r="J855" s="4" t="str">
        <f>IFERROR(__xludf.DUMMYFUNCTION("""COMPUTED_VALUE"""),"ZONA 2")</f>
        <v>ZONA 2</v>
      </c>
      <c r="K855" s="4" t="str">
        <f>IFERROR(__xludf.DUMMYFUNCTION("""COMPUTED_VALUE"""),"012")</f>
        <v>012</v>
      </c>
      <c r="L855" s="4" t="str">
        <f>IFERROR(__xludf.DUMMYFUNCTION("""COMPUTED_VALUE"""),"TM - 8B/H (Percabangan)")</f>
        <v>TM - 8B/H (Percabangan)</v>
      </c>
      <c r="M855" s="4" t="str">
        <f>IFERROR(__xludf.DUMMYFUNCTION("""COMPUTED_VALUE"""),"Tidak Ada")</f>
        <v>Tidak Ada</v>
      </c>
      <c r="N855" s="4"/>
      <c r="O855" s="4" t="str">
        <f>IFERROR(__xludf.DUMMYFUNCTION("""COMPUTED_VALUE"""),"PEMBANDING SEJENIS")</f>
        <v>PEMBANDING SEJENIS</v>
      </c>
      <c r="P855" s="4" t="str">
        <f>IFERROR(__xludf.DUMMYFUNCTION("""COMPUTED_VALUE"""),"KONEKTOR/JUMPER")</f>
        <v>KONEKTOR/JUMPER</v>
      </c>
      <c r="Q855" s="4">
        <f>IFERROR(__xludf.DUMMYFUNCTION("""COMPUTED_VALUE"""),23.6)</f>
        <v>23.6</v>
      </c>
      <c r="R855" s="4">
        <f>IFERROR(__xludf.DUMMYFUNCTION("""COMPUTED_VALUE"""),24.6)</f>
        <v>24.6</v>
      </c>
      <c r="S855" s="4">
        <f>IFERROR(__xludf.DUMMYFUNCTION("""COMPUTED_VALUE"""),23.7)</f>
        <v>23.7</v>
      </c>
      <c r="T855" s="4"/>
      <c r="U855" s="4" t="str">
        <f>IFERROR(__xludf.DUMMYFUNCTION("""COMPUTED_VALUE"""),"BAIK")</f>
        <v>BAIK</v>
      </c>
      <c r="V855" s="4" t="str">
        <f>IFERROR(__xludf.DUMMYFUNCTION("""COMPUTED_VALUE"""),"Tidak Ada")</f>
        <v>Tidak Ada</v>
      </c>
      <c r="W855" s="4"/>
      <c r="X855" s="4"/>
      <c r="Y855" s="4"/>
      <c r="Z855" s="4"/>
      <c r="AA855" s="4"/>
      <c r="AB855" s="4"/>
      <c r="AC855" s="4" t="str">
        <f>IFERROR(__xludf.DUMMYFUNCTION("""COMPUTED_VALUE"""),"INSPEKSI SUTM - T2_Images/a3c163c8.FOTO.194110.jpg")</f>
        <v>INSPEKSI SUTM - T2_Images/a3c163c8.FOTO.194110.jpg</v>
      </c>
      <c r="AD855" s="4"/>
      <c r="AE855" s="4"/>
      <c r="AF855" s="4" t="str">
        <f>IFERROR(__xludf.DUMMYFUNCTION("""COMPUTED_VALUE"""),"BELUM")</f>
        <v>BELUM</v>
      </c>
      <c r="AG855" s="6">
        <f>IFERROR(__xludf.DUMMYFUNCTION("""COMPUTED_VALUE"""),46107.0)</f>
        <v>46107</v>
      </c>
      <c r="AH855" s="4"/>
      <c r="AI855" s="4"/>
    </row>
    <row r="856" ht="15.75" customHeight="1">
      <c r="A856" s="4" t="str">
        <f>IFERROR(__xludf.DUMMYFUNCTION("""COMPUTED_VALUE"""),"e3930ef0")</f>
        <v>e3930ef0</v>
      </c>
      <c r="B856" s="5">
        <f>IFERROR(__xludf.DUMMYFUNCTION("""COMPUTED_VALUE"""),46107.111875)</f>
        <v>46107.11188</v>
      </c>
      <c r="C856" s="4" t="str">
        <f>IFERROR(__xludf.DUMMYFUNCTION("""COMPUTED_VALUE"""),"-6.916105, 107.704794")</f>
        <v>-6.916105, 107.704794</v>
      </c>
      <c r="D856" s="4" t="str">
        <f>IFERROR(__xludf.DUMMYFUNCTION("""COMPUTED_VALUE"""),"Heri xhandra")</f>
        <v>Heri xhandra</v>
      </c>
      <c r="E856" s="4" t="str">
        <f>IFERROR(__xludf.DUMMYFUNCTION("""COMPUTED_VALUE"""),"BANDUNG")</f>
        <v>BANDUNG</v>
      </c>
      <c r="F856" s="4" t="str">
        <f>IFERROR(__xludf.DUMMYFUNCTION("""COMPUTED_VALUE"""),"UJUNGBERUNG")</f>
        <v>UJUNGBERUNG</v>
      </c>
      <c r="G856" s="4" t="str">
        <f>IFERROR(__xludf.DUMMYFUNCTION("""COMPUTED_VALUE"""),"UJUNGBERUNG")</f>
        <v>UJUNGBERUNG</v>
      </c>
      <c r="H856" s="4" t="str">
        <f>IFERROR(__xludf.DUMMYFUNCTION("""COMPUTED_VALUE"""),"UTWU")</f>
        <v>UTWU</v>
      </c>
      <c r="I856" s="4" t="str">
        <f>IFERROR(__xludf.DUMMYFUNCTION("""COMPUTED_VALUE"""),"LBS CPR - LBS CGI")</f>
        <v>LBS CPR - LBS CGI</v>
      </c>
      <c r="J856" s="4" t="str">
        <f>IFERROR(__xludf.DUMMYFUNCTION("""COMPUTED_VALUE"""),"ZONA 2")</f>
        <v>ZONA 2</v>
      </c>
      <c r="K856" s="4" t="str">
        <f>IFERROR(__xludf.DUMMYFUNCTION("""COMPUTED_VALUE"""),"012L01")</f>
        <v>012L01</v>
      </c>
      <c r="L856" s="4" t="str">
        <f>IFERROR(__xludf.DUMMYFUNCTION("""COMPUTED_VALUE"""),"TM - 14B/H (Akhir)")</f>
        <v>TM - 14B/H (Akhir)</v>
      </c>
      <c r="M856" s="4" t="str">
        <f>IFERROR(__xludf.DUMMYFUNCTION("""COMPUTED_VALUE"""),"Gardu")</f>
        <v>Gardu</v>
      </c>
      <c r="N856" s="4" t="str">
        <f>IFERROR(__xludf.DUMMYFUNCTION("""COMPUTED_VALUE"""),"Rbd")</f>
        <v>Rbd</v>
      </c>
      <c r="O856" s="4" t="str">
        <f>IFERROR(__xludf.DUMMYFUNCTION("""COMPUTED_VALUE"""),"PEMBANDING SEJENIS")</f>
        <v>PEMBANDING SEJENIS</v>
      </c>
      <c r="P856" s="4" t="str">
        <f>IFERROR(__xludf.DUMMYFUNCTION("""COMPUTED_VALUE"""),"KONEKTOR/JUMPER")</f>
        <v>KONEKTOR/JUMPER</v>
      </c>
      <c r="Q856" s="4">
        <f>IFERROR(__xludf.DUMMYFUNCTION("""COMPUTED_VALUE"""),24.9)</f>
        <v>24.9</v>
      </c>
      <c r="R856" s="4">
        <f>IFERROR(__xludf.DUMMYFUNCTION("""COMPUTED_VALUE"""),24.8)</f>
        <v>24.8</v>
      </c>
      <c r="S856" s="4">
        <f>IFERROR(__xludf.DUMMYFUNCTION("""COMPUTED_VALUE"""),24.4)</f>
        <v>24.4</v>
      </c>
      <c r="T856" s="4"/>
      <c r="U856" s="4" t="str">
        <f>IFERROR(__xludf.DUMMYFUNCTION("""COMPUTED_VALUE"""),"BAIK")</f>
        <v>BAIK</v>
      </c>
      <c r="V856" s="4" t="str">
        <f>IFERROR(__xludf.DUMMYFUNCTION("""COMPUTED_VALUE"""),"Tidak Ada")</f>
        <v>Tidak Ada</v>
      </c>
      <c r="W856" s="4"/>
      <c r="X856" s="4"/>
      <c r="Y856" s="4"/>
      <c r="Z856" s="4"/>
      <c r="AA856" s="4"/>
      <c r="AB856" s="4"/>
      <c r="AC856" s="4" t="str">
        <f>IFERROR(__xludf.DUMMYFUNCTION("""COMPUTED_VALUE"""),"INSPEKSI SUTM - T2_Images/e3930ef0.FOTO.194157.jpg")</f>
        <v>INSPEKSI SUTM - T2_Images/e3930ef0.FOTO.194157.jpg</v>
      </c>
      <c r="AD856" s="4"/>
      <c r="AE856" s="4"/>
      <c r="AF856" s="4" t="str">
        <f>IFERROR(__xludf.DUMMYFUNCTION("""COMPUTED_VALUE"""),"BELUM")</f>
        <v>BELUM</v>
      </c>
      <c r="AG856" s="6">
        <f>IFERROR(__xludf.DUMMYFUNCTION("""COMPUTED_VALUE"""),46107.0)</f>
        <v>46107</v>
      </c>
      <c r="AH856" s="4"/>
      <c r="AI856" s="4"/>
    </row>
    <row r="857" ht="15.75" customHeight="1">
      <c r="A857" s="4" t="str">
        <f>IFERROR(__xludf.DUMMYFUNCTION("""COMPUTED_VALUE"""),"c829bd0a")</f>
        <v>c829bd0a</v>
      </c>
      <c r="B857" s="5">
        <f>IFERROR(__xludf.DUMMYFUNCTION("""COMPUTED_VALUE"""),46107.11258101852)</f>
        <v>46107.11258</v>
      </c>
      <c r="C857" s="4" t="str">
        <f>IFERROR(__xludf.DUMMYFUNCTION("""COMPUTED_VALUE"""),"-6.916098, 107.704781")</f>
        <v>-6.916098, 107.704781</v>
      </c>
      <c r="D857" s="4" t="str">
        <f>IFERROR(__xludf.DUMMYFUNCTION("""COMPUTED_VALUE"""),"Heri chandra")</f>
        <v>Heri chandra</v>
      </c>
      <c r="E857" s="4" t="str">
        <f>IFERROR(__xludf.DUMMYFUNCTION("""COMPUTED_VALUE"""),"BANDUNG")</f>
        <v>BANDUNG</v>
      </c>
      <c r="F857" s="4" t="str">
        <f>IFERROR(__xludf.DUMMYFUNCTION("""COMPUTED_VALUE"""),"UJUNGBERUNG")</f>
        <v>UJUNGBERUNG</v>
      </c>
      <c r="G857" s="4" t="str">
        <f>IFERROR(__xludf.DUMMYFUNCTION("""COMPUTED_VALUE"""),"UJUNGBERUNG")</f>
        <v>UJUNGBERUNG</v>
      </c>
      <c r="H857" s="4" t="str">
        <f>IFERROR(__xludf.DUMMYFUNCTION("""COMPUTED_VALUE"""),"UTWU")</f>
        <v>UTWU</v>
      </c>
      <c r="I857" s="4" t="str">
        <f>IFERROR(__xludf.DUMMYFUNCTION("""COMPUTED_VALUE"""),"LBS CPR - LBS CGI")</f>
        <v>LBS CPR - LBS CGI</v>
      </c>
      <c r="J857" s="4" t="str">
        <f>IFERROR(__xludf.DUMMYFUNCTION("""COMPUTED_VALUE"""),"ZONA 2")</f>
        <v>ZONA 2</v>
      </c>
      <c r="K857" s="4" t="str">
        <f>IFERROR(__xludf.DUMMYFUNCTION("""COMPUTED_VALUE"""),"013")</f>
        <v>013</v>
      </c>
      <c r="L857" s="4" t="str">
        <f>IFERROR(__xludf.DUMMYFUNCTION("""COMPUTED_VALUE"""),"TM - 4B/H (Afspan)")</f>
        <v>TM - 4B/H (Afspan)</v>
      </c>
      <c r="M857" s="4" t="str">
        <f>IFERROR(__xludf.DUMMYFUNCTION("""COMPUTED_VALUE"""),"Tidak Ada")</f>
        <v>Tidak Ada</v>
      </c>
      <c r="N857" s="4"/>
      <c r="O857" s="4" t="str">
        <f>IFERROR(__xludf.DUMMYFUNCTION("""COMPUTED_VALUE"""),"PEMBANDING SEJENIS")</f>
        <v>PEMBANDING SEJENIS</v>
      </c>
      <c r="P857" s="4" t="str">
        <f>IFERROR(__xludf.DUMMYFUNCTION("""COMPUTED_VALUE"""),"KONEKTOR/JUMPER")</f>
        <v>KONEKTOR/JUMPER</v>
      </c>
      <c r="Q857" s="4">
        <f>IFERROR(__xludf.DUMMYFUNCTION("""COMPUTED_VALUE"""),24.7)</f>
        <v>24.7</v>
      </c>
      <c r="R857" s="4">
        <f>IFERROR(__xludf.DUMMYFUNCTION("""COMPUTED_VALUE"""),24.8)</f>
        <v>24.8</v>
      </c>
      <c r="S857" s="4">
        <f>IFERROR(__xludf.DUMMYFUNCTION("""COMPUTED_VALUE"""),23.2)</f>
        <v>23.2</v>
      </c>
      <c r="T857" s="4"/>
      <c r="U857" s="4" t="str">
        <f>IFERROR(__xludf.DUMMYFUNCTION("""COMPUTED_VALUE"""),"BAIK")</f>
        <v>BAIK</v>
      </c>
      <c r="V857" s="4" t="str">
        <f>IFERROR(__xludf.DUMMYFUNCTION("""COMPUTED_VALUE"""),"Tidak Ada")</f>
        <v>Tidak Ada</v>
      </c>
      <c r="W857" s="4"/>
      <c r="X857" s="4"/>
      <c r="Y857" s="4"/>
      <c r="Z857" s="4"/>
      <c r="AA857" s="4"/>
      <c r="AB857" s="4"/>
      <c r="AC857" s="4" t="str">
        <f>IFERROR(__xludf.DUMMYFUNCTION("""COMPUTED_VALUE"""),"INSPEKSI SUTM - T2_Images/c829bd0a.FOTO.194302.jpg")</f>
        <v>INSPEKSI SUTM - T2_Images/c829bd0a.FOTO.194302.jpg</v>
      </c>
      <c r="AD857" s="4"/>
      <c r="AE857" s="4"/>
      <c r="AF857" s="4" t="str">
        <f>IFERROR(__xludf.DUMMYFUNCTION("""COMPUTED_VALUE"""),"BELUM")</f>
        <v>BELUM</v>
      </c>
      <c r="AG857" s="6">
        <f>IFERROR(__xludf.DUMMYFUNCTION("""COMPUTED_VALUE"""),46107.0)</f>
        <v>46107</v>
      </c>
      <c r="AH857" s="4"/>
      <c r="AI857" s="4"/>
    </row>
    <row r="858" ht="15.75" customHeight="1">
      <c r="A858" s="4" t="str">
        <f>IFERROR(__xludf.DUMMYFUNCTION("""COMPUTED_VALUE"""),"6f554051")</f>
        <v>6f554051</v>
      </c>
      <c r="B858" s="5">
        <f>IFERROR(__xludf.DUMMYFUNCTION("""COMPUTED_VALUE"""),46107.11342592593)</f>
        <v>46107.11343</v>
      </c>
      <c r="C858" s="4" t="str">
        <f>IFERROR(__xludf.DUMMYFUNCTION("""COMPUTED_VALUE"""),"-6.915384, 107.703969")</f>
        <v>-6.915384, 107.703969</v>
      </c>
      <c r="D858" s="4" t="str">
        <f>IFERROR(__xludf.DUMMYFUNCTION("""COMPUTED_VALUE"""),"Heri xhandra")</f>
        <v>Heri xhandra</v>
      </c>
      <c r="E858" s="4" t="str">
        <f>IFERROR(__xludf.DUMMYFUNCTION("""COMPUTED_VALUE"""),"BANDUNG")</f>
        <v>BANDUNG</v>
      </c>
      <c r="F858" s="4" t="str">
        <f>IFERROR(__xludf.DUMMYFUNCTION("""COMPUTED_VALUE"""),"UJUNGBERUNG")</f>
        <v>UJUNGBERUNG</v>
      </c>
      <c r="G858" s="4" t="str">
        <f>IFERROR(__xludf.DUMMYFUNCTION("""COMPUTED_VALUE"""),"UJUNGBERUNG")</f>
        <v>UJUNGBERUNG</v>
      </c>
      <c r="H858" s="4" t="str">
        <f>IFERROR(__xludf.DUMMYFUNCTION("""COMPUTED_VALUE"""),"UTWU")</f>
        <v>UTWU</v>
      </c>
      <c r="I858" s="4" t="str">
        <f>IFERROR(__xludf.DUMMYFUNCTION("""COMPUTED_VALUE"""),"LBS CPR - LBS CGI")</f>
        <v>LBS CPR - LBS CGI</v>
      </c>
      <c r="J858" s="4" t="str">
        <f>IFERROR(__xludf.DUMMYFUNCTION("""COMPUTED_VALUE"""),"ZONA 2")</f>
        <v>ZONA 2</v>
      </c>
      <c r="K858" s="4" t="str">
        <f>IFERROR(__xludf.DUMMYFUNCTION("""COMPUTED_VALUE"""),"014")</f>
        <v>014</v>
      </c>
      <c r="L858" s="4" t="str">
        <f>IFERROR(__xludf.DUMMYFUNCTION("""COMPUTED_VALUE"""),"TM - 8B/H (Percabangan)")</f>
        <v>TM - 8B/H (Percabangan)</v>
      </c>
      <c r="M858" s="4" t="str">
        <f>IFERROR(__xludf.DUMMYFUNCTION("""COMPUTED_VALUE"""),"Tidak Ada")</f>
        <v>Tidak Ada</v>
      </c>
      <c r="N858" s="4"/>
      <c r="O858" s="4" t="str">
        <f>IFERROR(__xludf.DUMMYFUNCTION("""COMPUTED_VALUE"""),"PEMBANDING SEJENIS")</f>
        <v>PEMBANDING SEJENIS</v>
      </c>
      <c r="P858" s="4" t="str">
        <f>IFERROR(__xludf.DUMMYFUNCTION("""COMPUTED_VALUE"""),"KONEKTOR/JUMPER")</f>
        <v>KONEKTOR/JUMPER</v>
      </c>
      <c r="Q858" s="4">
        <f>IFERROR(__xludf.DUMMYFUNCTION("""COMPUTED_VALUE"""),21.6)</f>
        <v>21.6</v>
      </c>
      <c r="R858" s="4">
        <f>IFERROR(__xludf.DUMMYFUNCTION("""COMPUTED_VALUE"""),24.0)</f>
        <v>24</v>
      </c>
      <c r="S858" s="4">
        <f>IFERROR(__xludf.DUMMYFUNCTION("""COMPUTED_VALUE"""),21.5)</f>
        <v>21.5</v>
      </c>
      <c r="T858" s="4"/>
      <c r="U858" s="4" t="str">
        <f>IFERROR(__xludf.DUMMYFUNCTION("""COMPUTED_VALUE"""),"BAIK")</f>
        <v>BAIK</v>
      </c>
      <c r="V858" s="4" t="str">
        <f>IFERROR(__xludf.DUMMYFUNCTION("""COMPUTED_VALUE"""),"Tidak Ada")</f>
        <v>Tidak Ada</v>
      </c>
      <c r="W858" s="4"/>
      <c r="X858" s="4"/>
      <c r="Y858" s="4"/>
      <c r="Z858" s="4"/>
      <c r="AA858" s="4"/>
      <c r="AB858" s="4"/>
      <c r="AC858" s="4" t="str">
        <f>IFERROR(__xludf.DUMMYFUNCTION("""COMPUTED_VALUE"""),"INSPEKSI SUTM - T2_Images/6f554051.FOTO.194403.jpg")</f>
        <v>INSPEKSI SUTM - T2_Images/6f554051.FOTO.194403.jpg</v>
      </c>
      <c r="AD858" s="4"/>
      <c r="AE858" s="4"/>
      <c r="AF858" s="4" t="str">
        <f>IFERROR(__xludf.DUMMYFUNCTION("""COMPUTED_VALUE"""),"BELUM")</f>
        <v>BELUM</v>
      </c>
      <c r="AG858" s="6">
        <f>IFERROR(__xludf.DUMMYFUNCTION("""COMPUTED_VALUE"""),46107.0)</f>
        <v>46107</v>
      </c>
      <c r="AH858" s="4"/>
      <c r="AI858" s="4"/>
    </row>
    <row r="859" ht="15.75" customHeight="1">
      <c r="A859" s="4" t="str">
        <f>IFERROR(__xludf.DUMMYFUNCTION("""COMPUTED_VALUE"""),"aeb6b67c")</f>
        <v>aeb6b67c</v>
      </c>
      <c r="B859" s="5">
        <f>IFERROR(__xludf.DUMMYFUNCTION("""COMPUTED_VALUE"""),46107.11398148148)</f>
        <v>46107.11398</v>
      </c>
      <c r="C859" s="4" t="str">
        <f>IFERROR(__xludf.DUMMYFUNCTION("""COMPUTED_VALUE"""),"-6.915158, 107.703718")</f>
        <v>-6.915158, 107.703718</v>
      </c>
      <c r="D859" s="4" t="str">
        <f>IFERROR(__xludf.DUMMYFUNCTION("""COMPUTED_VALUE"""),"Heri xhandra")</f>
        <v>Heri xhandra</v>
      </c>
      <c r="E859" s="4" t="str">
        <f>IFERROR(__xludf.DUMMYFUNCTION("""COMPUTED_VALUE"""),"BANDUNG")</f>
        <v>BANDUNG</v>
      </c>
      <c r="F859" s="4" t="str">
        <f>IFERROR(__xludf.DUMMYFUNCTION("""COMPUTED_VALUE"""),"UJUNGBERUNG")</f>
        <v>UJUNGBERUNG</v>
      </c>
      <c r="G859" s="4" t="str">
        <f>IFERROR(__xludf.DUMMYFUNCTION("""COMPUTED_VALUE"""),"UJUNGBERUNG")</f>
        <v>UJUNGBERUNG</v>
      </c>
      <c r="H859" s="4" t="str">
        <f>IFERROR(__xludf.DUMMYFUNCTION("""COMPUTED_VALUE"""),"UTWU")</f>
        <v>UTWU</v>
      </c>
      <c r="I859" s="4" t="str">
        <f>IFERROR(__xludf.DUMMYFUNCTION("""COMPUTED_VALUE"""),"LBS CPR - LBS CGI")</f>
        <v>LBS CPR - LBS CGI</v>
      </c>
      <c r="J859" s="4" t="str">
        <f>IFERROR(__xludf.DUMMYFUNCTION("""COMPUTED_VALUE"""),"ZONA 2")</f>
        <v>ZONA 2</v>
      </c>
      <c r="K859" s="4" t="str">
        <f>IFERROR(__xludf.DUMMYFUNCTION("""COMPUTED_VALUE"""),"016")</f>
        <v>016</v>
      </c>
      <c r="L859" s="4" t="str">
        <f>IFERROR(__xludf.DUMMYFUNCTION("""COMPUTED_VALUE"""),"TM - 8B/H (Percabangan)")</f>
        <v>TM - 8B/H (Percabangan)</v>
      </c>
      <c r="M859" s="4" t="str">
        <f>IFERROR(__xludf.DUMMYFUNCTION("""COMPUTED_VALUE"""),"Tidak Ada")</f>
        <v>Tidak Ada</v>
      </c>
      <c r="N859" s="4"/>
      <c r="O859" s="4" t="str">
        <f>IFERROR(__xludf.DUMMYFUNCTION("""COMPUTED_VALUE"""),"PEMBANDING SEJENIS")</f>
        <v>PEMBANDING SEJENIS</v>
      </c>
      <c r="P859" s="4" t="str">
        <f>IFERROR(__xludf.DUMMYFUNCTION("""COMPUTED_VALUE"""),"KONEKTOR/JUMPER")</f>
        <v>KONEKTOR/JUMPER</v>
      </c>
      <c r="Q859" s="4">
        <f>IFERROR(__xludf.DUMMYFUNCTION("""COMPUTED_VALUE"""),24.0)</f>
        <v>24</v>
      </c>
      <c r="R859" s="4">
        <f>IFERROR(__xludf.DUMMYFUNCTION("""COMPUTED_VALUE"""),22.2)</f>
        <v>22.2</v>
      </c>
      <c r="S859" s="4">
        <f>IFERROR(__xludf.DUMMYFUNCTION("""COMPUTED_VALUE"""),21.4)</f>
        <v>21.4</v>
      </c>
      <c r="T859" s="4"/>
      <c r="U859" s="4" t="str">
        <f>IFERROR(__xludf.DUMMYFUNCTION("""COMPUTED_VALUE"""),"BAIK")</f>
        <v>BAIK</v>
      </c>
      <c r="V859" s="4" t="str">
        <f>IFERROR(__xludf.DUMMYFUNCTION("""COMPUTED_VALUE"""),"Tidak Ada")</f>
        <v>Tidak Ada</v>
      </c>
      <c r="W859" s="4"/>
      <c r="X859" s="4"/>
      <c r="Y859" s="4"/>
      <c r="Z859" s="4"/>
      <c r="AA859" s="4"/>
      <c r="AB859" s="4"/>
      <c r="AC859" s="4" t="str">
        <f>IFERROR(__xludf.DUMMYFUNCTION("""COMPUTED_VALUE"""),"INSPEKSI SUTM - T2_Images/aeb6b67c.FOTO.194538.jpg")</f>
        <v>INSPEKSI SUTM - T2_Images/aeb6b67c.FOTO.194538.jpg</v>
      </c>
      <c r="AD859" s="4"/>
      <c r="AE859" s="4"/>
      <c r="AF859" s="4" t="str">
        <f>IFERROR(__xludf.DUMMYFUNCTION("""COMPUTED_VALUE"""),"BELUM")</f>
        <v>BELUM</v>
      </c>
      <c r="AG859" s="6">
        <f>IFERROR(__xludf.DUMMYFUNCTION("""COMPUTED_VALUE"""),46107.0)</f>
        <v>46107</v>
      </c>
      <c r="AH859" s="4"/>
      <c r="AI859" s="4"/>
    </row>
    <row r="860" ht="15.75" customHeight="1">
      <c r="A860" s="4" t="str">
        <f>IFERROR(__xludf.DUMMYFUNCTION("""COMPUTED_VALUE"""),"6b9974aa")</f>
        <v>6b9974aa</v>
      </c>
      <c r="B860" s="5">
        <f>IFERROR(__xludf.DUMMYFUNCTION("""COMPUTED_VALUE"""),46107.11454861111)</f>
        <v>46107.11455</v>
      </c>
      <c r="C860" s="4" t="str">
        <f>IFERROR(__xludf.DUMMYFUNCTION("""COMPUTED_VALUE"""),"-6.915145, 107.703720")</f>
        <v>-6.915145, 107.703720</v>
      </c>
      <c r="D860" s="4" t="str">
        <f>IFERROR(__xludf.DUMMYFUNCTION("""COMPUTED_VALUE"""),"Heri xhandta")</f>
        <v>Heri xhandta</v>
      </c>
      <c r="E860" s="4" t="str">
        <f>IFERROR(__xludf.DUMMYFUNCTION("""COMPUTED_VALUE"""),"BANDUNG")</f>
        <v>BANDUNG</v>
      </c>
      <c r="F860" s="4" t="str">
        <f>IFERROR(__xludf.DUMMYFUNCTION("""COMPUTED_VALUE"""),"UJUNGBERUNG")</f>
        <v>UJUNGBERUNG</v>
      </c>
      <c r="G860" s="4" t="str">
        <f>IFERROR(__xludf.DUMMYFUNCTION("""COMPUTED_VALUE"""),"UJUNGBERUNG")</f>
        <v>UJUNGBERUNG</v>
      </c>
      <c r="H860" s="4" t="str">
        <f>IFERROR(__xludf.DUMMYFUNCTION("""COMPUTED_VALUE"""),"UTWU")</f>
        <v>UTWU</v>
      </c>
      <c r="I860" s="4" t="str">
        <f>IFERROR(__xludf.DUMMYFUNCTION("""COMPUTED_VALUE"""),"LBS CPR - LBS CGI")</f>
        <v>LBS CPR - LBS CGI</v>
      </c>
      <c r="J860" s="4" t="str">
        <f>IFERROR(__xludf.DUMMYFUNCTION("""COMPUTED_VALUE"""),"ZONA 2")</f>
        <v>ZONA 2</v>
      </c>
      <c r="K860" s="4" t="str">
        <f>IFERROR(__xludf.DUMMYFUNCTION("""COMPUTED_VALUE"""),"016R01")</f>
        <v>016R01</v>
      </c>
      <c r="L860" s="4" t="str">
        <f>IFERROR(__xludf.DUMMYFUNCTION("""COMPUTED_VALUE"""),"TM - 14B/H (Akhir)")</f>
        <v>TM - 14B/H (Akhir)</v>
      </c>
      <c r="M860" s="4" t="str">
        <f>IFERROR(__xludf.DUMMYFUNCTION("""COMPUTED_VALUE"""),"Gardu")</f>
        <v>Gardu</v>
      </c>
      <c r="N860" s="4" t="str">
        <f>IFERROR(__xludf.DUMMYFUNCTION("""COMPUTED_VALUE"""),"Yguc")</f>
        <v>Yguc</v>
      </c>
      <c r="O860" s="4" t="str">
        <f>IFERROR(__xludf.DUMMYFUNCTION("""COMPUTED_VALUE"""),"PEMBANDING SEJENIS")</f>
        <v>PEMBANDING SEJENIS</v>
      </c>
      <c r="P860" s="4" t="str">
        <f>IFERROR(__xludf.DUMMYFUNCTION("""COMPUTED_VALUE"""),"KONEKTOR/JUMPER")</f>
        <v>KONEKTOR/JUMPER</v>
      </c>
      <c r="Q860" s="4">
        <f>IFERROR(__xludf.DUMMYFUNCTION("""COMPUTED_VALUE"""),24.4)</f>
        <v>24.4</v>
      </c>
      <c r="R860" s="4">
        <f>IFERROR(__xludf.DUMMYFUNCTION("""COMPUTED_VALUE"""),24.4)</f>
        <v>24.4</v>
      </c>
      <c r="S860" s="4">
        <f>IFERROR(__xludf.DUMMYFUNCTION("""COMPUTED_VALUE"""),24.2)</f>
        <v>24.2</v>
      </c>
      <c r="T860" s="4"/>
      <c r="U860" s="4" t="str">
        <f>IFERROR(__xludf.DUMMYFUNCTION("""COMPUTED_VALUE"""),"BAIK")</f>
        <v>BAIK</v>
      </c>
      <c r="V860" s="4" t="str">
        <f>IFERROR(__xludf.DUMMYFUNCTION("""COMPUTED_VALUE"""),"Tidak Ada")</f>
        <v>Tidak Ada</v>
      </c>
      <c r="W860" s="4"/>
      <c r="X860" s="4"/>
      <c r="Y860" s="4"/>
      <c r="Z860" s="4"/>
      <c r="AA860" s="4"/>
      <c r="AB860" s="4"/>
      <c r="AC860" s="4" t="str">
        <f>IFERROR(__xludf.DUMMYFUNCTION("""COMPUTED_VALUE"""),"INSPEKSI SUTM - T2_Images/6b9974aa.FOTO.194544.jpg")</f>
        <v>INSPEKSI SUTM - T2_Images/6b9974aa.FOTO.194544.jpg</v>
      </c>
      <c r="AD860" s="4"/>
      <c r="AE860" s="4"/>
      <c r="AF860" s="4" t="str">
        <f>IFERROR(__xludf.DUMMYFUNCTION("""COMPUTED_VALUE"""),"BELUM")</f>
        <v>BELUM</v>
      </c>
      <c r="AG860" s="6">
        <f>IFERROR(__xludf.DUMMYFUNCTION("""COMPUTED_VALUE"""),46107.0)</f>
        <v>46107</v>
      </c>
      <c r="AH860" s="4"/>
      <c r="AI860" s="4"/>
    </row>
    <row r="861" ht="15.75" customHeight="1">
      <c r="A861" s="4" t="str">
        <f>IFERROR(__xludf.DUMMYFUNCTION("""COMPUTED_VALUE"""),"d47e90ae")</f>
        <v>d47e90ae</v>
      </c>
      <c r="B861" s="5">
        <f>IFERROR(__xludf.DUMMYFUNCTION("""COMPUTED_VALUE"""),46107.11525462963)</f>
        <v>46107.11525</v>
      </c>
      <c r="C861" s="4" t="str">
        <f>IFERROR(__xludf.DUMMYFUNCTION("""COMPUTED_VALUE"""),"-6.914341, 107.702929")</f>
        <v>-6.914341, 107.702929</v>
      </c>
      <c r="D861" s="4" t="str">
        <f>IFERROR(__xludf.DUMMYFUNCTION("""COMPUTED_VALUE"""),"Heri xhandra")</f>
        <v>Heri xhandra</v>
      </c>
      <c r="E861" s="4" t="str">
        <f>IFERROR(__xludf.DUMMYFUNCTION("""COMPUTED_VALUE"""),"BANDUNG")</f>
        <v>BANDUNG</v>
      </c>
      <c r="F861" s="4" t="str">
        <f>IFERROR(__xludf.DUMMYFUNCTION("""COMPUTED_VALUE"""),"UJUNGBERUNG")</f>
        <v>UJUNGBERUNG</v>
      </c>
      <c r="G861" s="4" t="str">
        <f>IFERROR(__xludf.DUMMYFUNCTION("""COMPUTED_VALUE"""),"UJUNGBERUNG")</f>
        <v>UJUNGBERUNG</v>
      </c>
      <c r="H861" s="4" t="str">
        <f>IFERROR(__xludf.DUMMYFUNCTION("""COMPUTED_VALUE"""),"UTWU")</f>
        <v>UTWU</v>
      </c>
      <c r="I861" s="4" t="str">
        <f>IFERROR(__xludf.DUMMYFUNCTION("""COMPUTED_VALUE"""),"LBS CPR - LBS CGI")</f>
        <v>LBS CPR - LBS CGI</v>
      </c>
      <c r="J861" s="4" t="str">
        <f>IFERROR(__xludf.DUMMYFUNCTION("""COMPUTED_VALUE"""),"ZONA 2")</f>
        <v>ZONA 2</v>
      </c>
      <c r="K861" s="4" t="str">
        <f>IFERROR(__xludf.DUMMYFUNCTION("""COMPUTED_VALUE"""),"018")</f>
        <v>018</v>
      </c>
      <c r="L861" s="4" t="str">
        <f>IFERROR(__xludf.DUMMYFUNCTION("""COMPUTED_VALUE"""),"TM - 4B/H (Afspan)")</f>
        <v>TM - 4B/H (Afspan)</v>
      </c>
      <c r="M861" s="4" t="str">
        <f>IFERROR(__xludf.DUMMYFUNCTION("""COMPUTED_VALUE"""),"Tidak Ada")</f>
        <v>Tidak Ada</v>
      </c>
      <c r="N861" s="4"/>
      <c r="O861" s="4" t="str">
        <f>IFERROR(__xludf.DUMMYFUNCTION("""COMPUTED_VALUE"""),"PEMBANDING SEJENIS")</f>
        <v>PEMBANDING SEJENIS</v>
      </c>
      <c r="P861" s="4" t="str">
        <f>IFERROR(__xludf.DUMMYFUNCTION("""COMPUTED_VALUE"""),"KONEKTOR/JUMPER")</f>
        <v>KONEKTOR/JUMPER</v>
      </c>
      <c r="Q861" s="4">
        <f>IFERROR(__xludf.DUMMYFUNCTION("""COMPUTED_VALUE"""),24.0)</f>
        <v>24</v>
      </c>
      <c r="R861" s="4">
        <f>IFERROR(__xludf.DUMMYFUNCTION("""COMPUTED_VALUE"""),24.3)</f>
        <v>24.3</v>
      </c>
      <c r="S861" s="4">
        <f>IFERROR(__xludf.DUMMYFUNCTION("""COMPUTED_VALUE"""),24.0)</f>
        <v>24</v>
      </c>
      <c r="T861" s="4"/>
      <c r="U861" s="4" t="str">
        <f>IFERROR(__xludf.DUMMYFUNCTION("""COMPUTED_VALUE"""),"BAIK")</f>
        <v>BAIK</v>
      </c>
      <c r="V861" s="4" t="str">
        <f>IFERROR(__xludf.DUMMYFUNCTION("""COMPUTED_VALUE"""),"Tidak Ada")</f>
        <v>Tidak Ada</v>
      </c>
      <c r="W861" s="4"/>
      <c r="X861" s="4"/>
      <c r="Y861" s="4"/>
      <c r="Z861" s="4"/>
      <c r="AA861" s="4"/>
      <c r="AB861" s="4"/>
      <c r="AC861" s="4" t="str">
        <f>IFERROR(__xludf.DUMMYFUNCTION("""COMPUTED_VALUE"""),"INSPEKSI SUTM - T2_Images/d47e90ae.FOTO.194635.jpg")</f>
        <v>INSPEKSI SUTM - T2_Images/d47e90ae.FOTO.194635.jpg</v>
      </c>
      <c r="AD861" s="4"/>
      <c r="AE861" s="4"/>
      <c r="AF861" s="4" t="str">
        <f>IFERROR(__xludf.DUMMYFUNCTION("""COMPUTED_VALUE"""),"BELUM")</f>
        <v>BELUM</v>
      </c>
      <c r="AG861" s="6">
        <f>IFERROR(__xludf.DUMMYFUNCTION("""COMPUTED_VALUE"""),46107.0)</f>
        <v>46107</v>
      </c>
      <c r="AH861" s="4"/>
      <c r="AI861" s="4"/>
    </row>
    <row r="862" ht="15.75" customHeight="1">
      <c r="A862" s="4" t="str">
        <f>IFERROR(__xludf.DUMMYFUNCTION("""COMPUTED_VALUE"""),"4a0fef6b")</f>
        <v>4a0fef6b</v>
      </c>
      <c r="B862" s="5">
        <f>IFERROR(__xludf.DUMMYFUNCTION("""COMPUTED_VALUE"""),46107.11576388889)</f>
        <v>46107.11576</v>
      </c>
      <c r="C862" s="4" t="str">
        <f>IFERROR(__xludf.DUMMYFUNCTION("""COMPUTED_VALUE"""),"-6.914119, 107.702856")</f>
        <v>-6.914119, 107.702856</v>
      </c>
      <c r="D862" s="4" t="str">
        <f>IFERROR(__xludf.DUMMYFUNCTION("""COMPUTED_VALUE"""),"Heri chandta")</f>
        <v>Heri chandta</v>
      </c>
      <c r="E862" s="4" t="str">
        <f>IFERROR(__xludf.DUMMYFUNCTION("""COMPUTED_VALUE"""),"BANDUNG")</f>
        <v>BANDUNG</v>
      </c>
      <c r="F862" s="4" t="str">
        <f>IFERROR(__xludf.DUMMYFUNCTION("""COMPUTED_VALUE"""),"UJUNGBERUNG")</f>
        <v>UJUNGBERUNG</v>
      </c>
      <c r="G862" s="4" t="str">
        <f>IFERROR(__xludf.DUMMYFUNCTION("""COMPUTED_VALUE"""),"UJUNGBERUNG")</f>
        <v>UJUNGBERUNG</v>
      </c>
      <c r="H862" s="4" t="str">
        <f>IFERROR(__xludf.DUMMYFUNCTION("""COMPUTED_VALUE"""),"UTWU")</f>
        <v>UTWU</v>
      </c>
      <c r="I862" s="4" t="str">
        <f>IFERROR(__xludf.DUMMYFUNCTION("""COMPUTED_VALUE"""),"LBS CPR - LBS CGI")</f>
        <v>LBS CPR - LBS CGI</v>
      </c>
      <c r="J862" s="4" t="str">
        <f>IFERROR(__xludf.DUMMYFUNCTION("""COMPUTED_VALUE"""),"ZONA 2")</f>
        <v>ZONA 2</v>
      </c>
      <c r="K862" s="4" t="str">
        <f>IFERROR(__xludf.DUMMYFUNCTION("""COMPUTED_VALUE"""),"019")</f>
        <v>019</v>
      </c>
      <c r="L862" s="4" t="str">
        <f>IFERROR(__xludf.DUMMYFUNCTION("""COMPUTED_VALUE"""),"TM - 13B/H (Kabel Naik Pada Tiang Tumpu)")</f>
        <v>TM - 13B/H (Kabel Naik Pada Tiang Tumpu)</v>
      </c>
      <c r="M862" s="4" t="str">
        <f>IFERROR(__xludf.DUMMYFUNCTION("""COMPUTED_VALUE"""),"Tidak Ada")</f>
        <v>Tidak Ada</v>
      </c>
      <c r="N862" s="4"/>
      <c r="O862" s="4" t="str">
        <f>IFERROR(__xludf.DUMMYFUNCTION("""COMPUTED_VALUE"""),"PEMBANDING SEJENIS")</f>
        <v>PEMBANDING SEJENIS</v>
      </c>
      <c r="P862" s="4" t="str">
        <f>IFERROR(__xludf.DUMMYFUNCTION("""COMPUTED_VALUE"""),"KONEKTOR/JUMPER")</f>
        <v>KONEKTOR/JUMPER</v>
      </c>
      <c r="Q862" s="4">
        <f>IFERROR(__xludf.DUMMYFUNCTION("""COMPUTED_VALUE"""),23.2)</f>
        <v>23.2</v>
      </c>
      <c r="R862" s="4">
        <f>IFERROR(__xludf.DUMMYFUNCTION("""COMPUTED_VALUE"""),47.6)</f>
        <v>47.6</v>
      </c>
      <c r="S862" s="4">
        <f>IFERROR(__xludf.DUMMYFUNCTION("""COMPUTED_VALUE"""),23.8)</f>
        <v>23.8</v>
      </c>
      <c r="T862" s="4"/>
      <c r="U862" s="4" t="str">
        <f>IFERROR(__xludf.DUMMYFUNCTION("""COMPUTED_VALUE"""),"BURUK")</f>
        <v>BURUK</v>
      </c>
      <c r="V862" s="4" t="str">
        <f>IFERROR(__xludf.DUMMYFUNCTION("""COMPUTED_VALUE"""),"Tidak Ada")</f>
        <v>Tidak Ada</v>
      </c>
      <c r="W862" s="4"/>
      <c r="X862" s="4"/>
      <c r="Y862" s="4"/>
      <c r="Z862" s="4"/>
      <c r="AA862" s="4"/>
      <c r="AB862" s="4"/>
      <c r="AC862" s="4" t="str">
        <f>IFERROR(__xludf.DUMMYFUNCTION("""COMPUTED_VALUE"""),"INSPEKSI SUTM - T2_Images/4a0fef6b.FOTO.194729.jpg")</f>
        <v>INSPEKSI SUTM - T2_Images/4a0fef6b.FOTO.194729.jpg</v>
      </c>
      <c r="AD862" s="4"/>
      <c r="AE862" s="4"/>
      <c r="AF862" s="4" t="str">
        <f>IFERROR(__xludf.DUMMYFUNCTION("""COMPUTED_VALUE"""),"BELUM")</f>
        <v>BELUM</v>
      </c>
      <c r="AG862" s="6">
        <f>IFERROR(__xludf.DUMMYFUNCTION("""COMPUTED_VALUE"""),46107.0)</f>
        <v>46107</v>
      </c>
      <c r="AH862" s="4"/>
      <c r="AI862" s="4"/>
    </row>
    <row r="863" ht="15.75" customHeight="1">
      <c r="A863" s="4" t="str">
        <f>IFERROR(__xludf.DUMMYFUNCTION("""COMPUTED_VALUE"""),"88660568")</f>
        <v>88660568</v>
      </c>
      <c r="B863" s="5">
        <f>IFERROR(__xludf.DUMMYFUNCTION("""COMPUTED_VALUE"""),46107.11651620371)</f>
        <v>46107.11652</v>
      </c>
      <c r="C863" s="4" t="str">
        <f>IFERROR(__xludf.DUMMYFUNCTION("""COMPUTED_VALUE"""),"-6.914057, 107.700971")</f>
        <v>-6.914057, 107.700971</v>
      </c>
      <c r="D863" s="4" t="str">
        <f>IFERROR(__xludf.DUMMYFUNCTION("""COMPUTED_VALUE"""),"Heri chandra")</f>
        <v>Heri chandra</v>
      </c>
      <c r="E863" s="4" t="str">
        <f>IFERROR(__xludf.DUMMYFUNCTION("""COMPUTED_VALUE"""),"BANDUNG")</f>
        <v>BANDUNG</v>
      </c>
      <c r="F863" s="4" t="str">
        <f>IFERROR(__xludf.DUMMYFUNCTION("""COMPUTED_VALUE"""),"UJUNGBERUNG")</f>
        <v>UJUNGBERUNG</v>
      </c>
      <c r="G863" s="4" t="str">
        <f>IFERROR(__xludf.DUMMYFUNCTION("""COMPUTED_VALUE"""),"UJUNGBERUNG")</f>
        <v>UJUNGBERUNG</v>
      </c>
      <c r="H863" s="4" t="str">
        <f>IFERROR(__xludf.DUMMYFUNCTION("""COMPUTED_VALUE"""),"UTWU")</f>
        <v>UTWU</v>
      </c>
      <c r="I863" s="4" t="str">
        <f>IFERROR(__xludf.DUMMYFUNCTION("""COMPUTED_VALUE"""),"LBS CPR - LBS CGI")</f>
        <v>LBS CPR - LBS CGI</v>
      </c>
      <c r="J863" s="4" t="str">
        <f>IFERROR(__xludf.DUMMYFUNCTION("""COMPUTED_VALUE"""),"ZONA 2")</f>
        <v>ZONA 2</v>
      </c>
      <c r="K863" s="4" t="str">
        <f>IFERROR(__xludf.DUMMYFUNCTION("""COMPUTED_VALUE"""),"023")</f>
        <v>023</v>
      </c>
      <c r="L863" s="4" t="str">
        <f>IFERROR(__xludf.DUMMYFUNCTION("""COMPUTED_VALUE"""),"TM - 4B/H (Afspan)")</f>
        <v>TM - 4B/H (Afspan)</v>
      </c>
      <c r="M863" s="4" t="str">
        <f>IFERROR(__xludf.DUMMYFUNCTION("""COMPUTED_VALUE"""),"Tidak Ada")</f>
        <v>Tidak Ada</v>
      </c>
      <c r="N863" s="4"/>
      <c r="O863" s="4" t="str">
        <f>IFERROR(__xludf.DUMMYFUNCTION("""COMPUTED_VALUE"""),"PEMBANDING SEJENIS")</f>
        <v>PEMBANDING SEJENIS</v>
      </c>
      <c r="P863" s="4" t="str">
        <f>IFERROR(__xludf.DUMMYFUNCTION("""COMPUTED_VALUE"""),"KONEKTOR/JUMPER")</f>
        <v>KONEKTOR/JUMPER</v>
      </c>
      <c r="Q863" s="4">
        <f>IFERROR(__xludf.DUMMYFUNCTION("""COMPUTED_VALUE"""),21.4)</f>
        <v>21.4</v>
      </c>
      <c r="R863" s="4">
        <f>IFERROR(__xludf.DUMMYFUNCTION("""COMPUTED_VALUE"""),20.8)</f>
        <v>20.8</v>
      </c>
      <c r="S863" s="4">
        <f>IFERROR(__xludf.DUMMYFUNCTION("""COMPUTED_VALUE"""),20.9)</f>
        <v>20.9</v>
      </c>
      <c r="T863" s="4"/>
      <c r="U863" s="4" t="str">
        <f>IFERROR(__xludf.DUMMYFUNCTION("""COMPUTED_VALUE"""),"BAIK")</f>
        <v>BAIK</v>
      </c>
      <c r="V863" s="4" t="str">
        <f>IFERROR(__xludf.DUMMYFUNCTION("""COMPUTED_VALUE"""),"Tidak Ada")</f>
        <v>Tidak Ada</v>
      </c>
      <c r="W863" s="4"/>
      <c r="X863" s="4"/>
      <c r="Y863" s="4"/>
      <c r="Z863" s="4"/>
      <c r="AA863" s="4"/>
      <c r="AB863" s="4"/>
      <c r="AC863" s="4" t="str">
        <f>IFERROR(__xludf.DUMMYFUNCTION("""COMPUTED_VALUE"""),"INSPEKSI SUTM - T2_Images/88660568.FOTO.194841.jpg")</f>
        <v>INSPEKSI SUTM - T2_Images/88660568.FOTO.194841.jpg</v>
      </c>
      <c r="AD863" s="4"/>
      <c r="AE863" s="4"/>
      <c r="AF863" s="4" t="str">
        <f>IFERROR(__xludf.DUMMYFUNCTION("""COMPUTED_VALUE"""),"BELUM")</f>
        <v>BELUM</v>
      </c>
      <c r="AG863" s="6">
        <f>IFERROR(__xludf.DUMMYFUNCTION("""COMPUTED_VALUE"""),46107.0)</f>
        <v>46107</v>
      </c>
      <c r="AH863" s="4"/>
      <c r="AI863" s="4"/>
    </row>
    <row r="864" ht="15.75" customHeight="1">
      <c r="A864" s="4" t="str">
        <f>IFERROR(__xludf.DUMMYFUNCTION("""COMPUTED_VALUE"""),"91e0bc06")</f>
        <v>91e0bc06</v>
      </c>
      <c r="B864" s="5">
        <f>IFERROR(__xludf.DUMMYFUNCTION("""COMPUTED_VALUE"""),46107.11717592592)</f>
        <v>46107.11718</v>
      </c>
      <c r="C864" s="4" t="str">
        <f>IFERROR(__xludf.DUMMYFUNCTION("""COMPUTED_VALUE"""),"-6.914071, 107.700962")</f>
        <v>-6.914071, 107.700962</v>
      </c>
      <c r="D864" s="4" t="str">
        <f>IFERROR(__xludf.DUMMYFUNCTION("""COMPUTED_VALUE"""),"Herixhandra")</f>
        <v>Herixhandra</v>
      </c>
      <c r="E864" s="4" t="str">
        <f>IFERROR(__xludf.DUMMYFUNCTION("""COMPUTED_VALUE"""),"BANDUNG")</f>
        <v>BANDUNG</v>
      </c>
      <c r="F864" s="4" t="str">
        <f>IFERROR(__xludf.DUMMYFUNCTION("""COMPUTED_VALUE"""),"UJUNGBERUNG")</f>
        <v>UJUNGBERUNG</v>
      </c>
      <c r="G864" s="4" t="str">
        <f>IFERROR(__xludf.DUMMYFUNCTION("""COMPUTED_VALUE"""),"UJUNGBERUNG")</f>
        <v>UJUNGBERUNG</v>
      </c>
      <c r="H864" s="4" t="str">
        <f>IFERROR(__xludf.DUMMYFUNCTION("""COMPUTED_VALUE"""),"UTWU")</f>
        <v>UTWU</v>
      </c>
      <c r="I864" s="4" t="str">
        <f>IFERROR(__xludf.DUMMYFUNCTION("""COMPUTED_VALUE"""),"LBS CPR - LBS CGI")</f>
        <v>LBS CPR - LBS CGI</v>
      </c>
      <c r="J864" s="4" t="str">
        <f>IFERROR(__xludf.DUMMYFUNCTION("""COMPUTED_VALUE"""),"ZONA 2")</f>
        <v>ZONA 2</v>
      </c>
      <c r="K864" s="4" t="str">
        <f>IFERROR(__xludf.DUMMYFUNCTION("""COMPUTED_VALUE"""),"024")</f>
        <v>024</v>
      </c>
      <c r="L864" s="4" t="str">
        <f>IFERROR(__xludf.DUMMYFUNCTION("""COMPUTED_VALUE"""),"TM - 16B/H (REC/SSO/LBS)")</f>
        <v>TM - 16B/H (REC/SSO/LBS)</v>
      </c>
      <c r="M864" s="4" t="str">
        <f>IFERROR(__xludf.DUMMYFUNCTION("""COMPUTED_VALUE"""),"LBS")</f>
        <v>LBS</v>
      </c>
      <c r="N864" s="4" t="str">
        <f>IFERROR(__xludf.DUMMYFUNCTION("""COMPUTED_VALUE"""),"Ptu")</f>
        <v>Ptu</v>
      </c>
      <c r="O864" s="4" t="str">
        <f>IFERROR(__xludf.DUMMYFUNCTION("""COMPUTED_VALUE"""),"PEMBANDING SEJENIS")</f>
        <v>PEMBANDING SEJENIS</v>
      </c>
      <c r="P864" s="4" t="str">
        <f>IFERROR(__xludf.DUMMYFUNCTION("""COMPUTED_VALUE"""),"TERMINAL BUSHING")</f>
        <v>TERMINAL BUSHING</v>
      </c>
      <c r="Q864" s="4">
        <f>IFERROR(__xludf.DUMMYFUNCTION("""COMPUTED_VALUE"""),23.2)</f>
        <v>23.2</v>
      </c>
      <c r="R864" s="4">
        <f>IFERROR(__xludf.DUMMYFUNCTION("""COMPUTED_VALUE"""),23.2)</f>
        <v>23.2</v>
      </c>
      <c r="S864" s="4">
        <f>IFERROR(__xludf.DUMMYFUNCTION("""COMPUTED_VALUE"""),22.3)</f>
        <v>22.3</v>
      </c>
      <c r="T864" s="4"/>
      <c r="U864" s="4" t="str">
        <f>IFERROR(__xludf.DUMMYFUNCTION("""COMPUTED_VALUE"""),"BAIK")</f>
        <v>BAIK</v>
      </c>
      <c r="V864" s="4" t="str">
        <f>IFERROR(__xludf.DUMMYFUNCTION("""COMPUTED_VALUE"""),"Tidak Ada")</f>
        <v>Tidak Ada</v>
      </c>
      <c r="W864" s="4"/>
      <c r="X864" s="4"/>
      <c r="Y864" s="4"/>
      <c r="Z864" s="4"/>
      <c r="AA864" s="4"/>
      <c r="AB864" s="4"/>
      <c r="AC864" s="4" t="str">
        <f>IFERROR(__xludf.DUMMYFUNCTION("""COMPUTED_VALUE"""),"INSPEKSI SUTM - T2_Images/91e0bc06.FOTO.194933.jpg")</f>
        <v>INSPEKSI SUTM - T2_Images/91e0bc06.FOTO.194933.jpg</v>
      </c>
      <c r="AD864" s="4"/>
      <c r="AE864" s="4"/>
      <c r="AF864" s="4" t="str">
        <f>IFERROR(__xludf.DUMMYFUNCTION("""COMPUTED_VALUE"""),"BELUM")</f>
        <v>BELUM</v>
      </c>
      <c r="AG864" s="6">
        <f>IFERROR(__xludf.DUMMYFUNCTION("""COMPUTED_VALUE"""),46107.0)</f>
        <v>46107</v>
      </c>
      <c r="AH864" s="4"/>
      <c r="AI864" s="4"/>
    </row>
    <row r="865" ht="15.75" customHeight="1">
      <c r="A865" s="4" t="str">
        <f>IFERROR(__xludf.DUMMYFUNCTION("""COMPUTED_VALUE"""),"8282dd46")</f>
        <v>8282dd46</v>
      </c>
      <c r="B865" s="5">
        <f>IFERROR(__xludf.DUMMYFUNCTION("""COMPUTED_VALUE"""),46107.146886574075)</f>
        <v>46107.14689</v>
      </c>
      <c r="C865" s="4" t="str">
        <f>IFERROR(__xludf.DUMMYFUNCTION("""COMPUTED_VALUE"""),"-6.913723, 107.703027")</f>
        <v>-6.913723, 107.703027</v>
      </c>
      <c r="D865" s="4" t="str">
        <f>IFERROR(__xludf.DUMMYFUNCTION("""COMPUTED_VALUE"""),"Heri chandta")</f>
        <v>Heri chandta</v>
      </c>
      <c r="E865" s="4" t="str">
        <f>IFERROR(__xludf.DUMMYFUNCTION("""COMPUTED_VALUE"""),"BANDUNG")</f>
        <v>BANDUNG</v>
      </c>
      <c r="F865" s="4" t="str">
        <f>IFERROR(__xludf.DUMMYFUNCTION("""COMPUTED_VALUE"""),"UJUNGBERUNG")</f>
        <v>UJUNGBERUNG</v>
      </c>
      <c r="G865" s="4" t="str">
        <f>IFERROR(__xludf.DUMMYFUNCTION("""COMPUTED_VALUE"""),"UJUNGBERUNG")</f>
        <v>UJUNGBERUNG</v>
      </c>
      <c r="H865" s="4" t="str">
        <f>IFERROR(__xludf.DUMMYFUNCTION("""COMPUTED_VALUE"""),"UTWU")</f>
        <v>UTWU</v>
      </c>
      <c r="I865" s="4" t="str">
        <f>IFERROR(__xludf.DUMMYFUNCTION("""COMPUTED_VALUE"""),"LBS CPR - LBS CGI")</f>
        <v>LBS CPR - LBS CGI</v>
      </c>
      <c r="J865" s="4" t="str">
        <f>IFERROR(__xludf.DUMMYFUNCTION("""COMPUTED_VALUE"""),"ZONA 2")</f>
        <v>ZONA 2</v>
      </c>
      <c r="K865" s="4" t="str">
        <f>IFERROR(__xludf.DUMMYFUNCTION("""COMPUTED_VALUE"""),"025")</f>
        <v>025</v>
      </c>
      <c r="L865" s="4" t="str">
        <f>IFERROR(__xludf.DUMMYFUNCTION("""COMPUTED_VALUE"""),"TM - 11B/H (Kabel Naik)")</f>
        <v>TM - 11B/H (Kabel Naik)</v>
      </c>
      <c r="M865" s="4" t="str">
        <f>IFERROR(__xludf.DUMMYFUNCTION("""COMPUTED_VALUE"""),"Tidak Ada")</f>
        <v>Tidak Ada</v>
      </c>
      <c r="N865" s="4"/>
      <c r="O865" s="4" t="str">
        <f>IFERROR(__xludf.DUMMYFUNCTION("""COMPUTED_VALUE"""),"PEMBANDING SEJENIS")</f>
        <v>PEMBANDING SEJENIS</v>
      </c>
      <c r="P865" s="4" t="str">
        <f>IFERROR(__xludf.DUMMYFUNCTION("""COMPUTED_VALUE"""),"KONEKTOR/JUMPER")</f>
        <v>KONEKTOR/JUMPER</v>
      </c>
      <c r="Q865" s="4">
        <f>IFERROR(__xludf.DUMMYFUNCTION("""COMPUTED_VALUE"""),25.0)</f>
        <v>25</v>
      </c>
      <c r="R865" s="4">
        <f>IFERROR(__xludf.DUMMYFUNCTION("""COMPUTED_VALUE"""),24.9)</f>
        <v>24.9</v>
      </c>
      <c r="S865" s="4">
        <f>IFERROR(__xludf.DUMMYFUNCTION("""COMPUTED_VALUE"""),25.1)</f>
        <v>25.1</v>
      </c>
      <c r="T865" s="4"/>
      <c r="U865" s="4" t="str">
        <f>IFERROR(__xludf.DUMMYFUNCTION("""COMPUTED_VALUE"""),"BAIK")</f>
        <v>BAIK</v>
      </c>
      <c r="V865" s="4" t="str">
        <f>IFERROR(__xludf.DUMMYFUNCTION("""COMPUTED_VALUE"""),"Tidak Ada")</f>
        <v>Tidak Ada</v>
      </c>
      <c r="W865" s="4"/>
      <c r="X865" s="4"/>
      <c r="Y865" s="4"/>
      <c r="Z865" s="4"/>
      <c r="AA865" s="4"/>
      <c r="AB865" s="4"/>
      <c r="AC865" s="4" t="str">
        <f>IFERROR(__xludf.DUMMYFUNCTION("""COMPUTED_VALUE"""),"INSPEKSI SUTM - T2_Images/8282dd46.FOTO.203221.jpg")</f>
        <v>INSPEKSI SUTM - T2_Images/8282dd46.FOTO.203221.jpg</v>
      </c>
      <c r="AD865" s="4"/>
      <c r="AE865" s="4"/>
      <c r="AF865" s="4" t="str">
        <f>IFERROR(__xludf.DUMMYFUNCTION("""COMPUTED_VALUE"""),"BELUM")</f>
        <v>BELUM</v>
      </c>
      <c r="AG865" s="6">
        <f>IFERROR(__xludf.DUMMYFUNCTION("""COMPUTED_VALUE"""),46107.0)</f>
        <v>46107</v>
      </c>
      <c r="AH865" s="4"/>
      <c r="AI865" s="4"/>
    </row>
    <row r="866" ht="15.75" customHeight="1">
      <c r="A866" s="4" t="str">
        <f>IFERROR(__xludf.DUMMYFUNCTION("""COMPUTED_VALUE"""),"a8aed86a")</f>
        <v>a8aed86a</v>
      </c>
      <c r="B866" s="5">
        <f>IFERROR(__xludf.DUMMYFUNCTION("""COMPUTED_VALUE"""),46107.14771990741)</f>
        <v>46107.14772</v>
      </c>
      <c r="C866" s="4" t="str">
        <f>IFERROR(__xludf.DUMMYFUNCTION("""COMPUTED_VALUE"""),"-6.912209, 107.703668")</f>
        <v>-6.912209, 107.703668</v>
      </c>
      <c r="D866" s="4" t="str">
        <f>IFERROR(__xludf.DUMMYFUNCTION("""COMPUTED_VALUE"""),"Heri chandra")</f>
        <v>Heri chandra</v>
      </c>
      <c r="E866" s="4" t="str">
        <f>IFERROR(__xludf.DUMMYFUNCTION("""COMPUTED_VALUE"""),"BANDUNG")</f>
        <v>BANDUNG</v>
      </c>
      <c r="F866" s="4" t="str">
        <f>IFERROR(__xludf.DUMMYFUNCTION("""COMPUTED_VALUE"""),"UJUNGBERUNG")</f>
        <v>UJUNGBERUNG</v>
      </c>
      <c r="G866" s="4" t="str">
        <f>IFERROR(__xludf.DUMMYFUNCTION("""COMPUTED_VALUE"""),"UJUNGBERUNG")</f>
        <v>UJUNGBERUNG</v>
      </c>
      <c r="H866" s="4" t="str">
        <f>IFERROR(__xludf.DUMMYFUNCTION("""COMPUTED_VALUE"""),"UTWU")</f>
        <v>UTWU</v>
      </c>
      <c r="I866" s="4" t="str">
        <f>IFERROR(__xludf.DUMMYFUNCTION("""COMPUTED_VALUE"""),"LBS CPR - LBS CGI")</f>
        <v>LBS CPR - LBS CGI</v>
      </c>
      <c r="J866" s="4" t="str">
        <f>IFERROR(__xludf.DUMMYFUNCTION("""COMPUTED_VALUE"""),"ZONA 2")</f>
        <v>ZONA 2</v>
      </c>
      <c r="K866" s="4" t="str">
        <f>IFERROR(__xludf.DUMMYFUNCTION("""COMPUTED_VALUE"""),"030")</f>
        <v>030</v>
      </c>
      <c r="L866" s="4" t="str">
        <f>IFERROR(__xludf.DUMMYFUNCTION("""COMPUTED_VALUE"""),"TM - 8B/H (Percabangan)")</f>
        <v>TM - 8B/H (Percabangan)</v>
      </c>
      <c r="M866" s="4" t="str">
        <f>IFERROR(__xludf.DUMMYFUNCTION("""COMPUTED_VALUE"""),"Tidak Ada")</f>
        <v>Tidak Ada</v>
      </c>
      <c r="N866" s="4"/>
      <c r="O866" s="4" t="str">
        <f>IFERROR(__xludf.DUMMYFUNCTION("""COMPUTED_VALUE"""),"PEMBANDING SEJENIS")</f>
        <v>PEMBANDING SEJENIS</v>
      </c>
      <c r="P866" s="4" t="str">
        <f>IFERROR(__xludf.DUMMYFUNCTION("""COMPUTED_VALUE"""),"KONEKTOR/JUMPER")</f>
        <v>KONEKTOR/JUMPER</v>
      </c>
      <c r="Q866" s="4">
        <f>IFERROR(__xludf.DUMMYFUNCTION("""COMPUTED_VALUE"""),25.7)</f>
        <v>25.7</v>
      </c>
      <c r="R866" s="4">
        <f>IFERROR(__xludf.DUMMYFUNCTION("""COMPUTED_VALUE"""),25.9)</f>
        <v>25.9</v>
      </c>
      <c r="S866" s="4">
        <f>IFERROR(__xludf.DUMMYFUNCTION("""COMPUTED_VALUE"""),25.4)</f>
        <v>25.4</v>
      </c>
      <c r="T866" s="4"/>
      <c r="U866" s="4" t="str">
        <f>IFERROR(__xludf.DUMMYFUNCTION("""COMPUTED_VALUE"""),"BAIK")</f>
        <v>BAIK</v>
      </c>
      <c r="V866" s="4" t="str">
        <f>IFERROR(__xludf.DUMMYFUNCTION("""COMPUTED_VALUE"""),"Tidak Ada")</f>
        <v>Tidak Ada</v>
      </c>
      <c r="W866" s="4"/>
      <c r="X866" s="4"/>
      <c r="Y866" s="4"/>
      <c r="Z866" s="4"/>
      <c r="AA866" s="4"/>
      <c r="AB866" s="4"/>
      <c r="AC866" s="4" t="str">
        <f>IFERROR(__xludf.DUMMYFUNCTION("""COMPUTED_VALUE"""),"INSPEKSI SUTM - T2_Images/a8aed86a.FOTO.203328.jpg")</f>
        <v>INSPEKSI SUTM - T2_Images/a8aed86a.FOTO.203328.jpg</v>
      </c>
      <c r="AD866" s="4"/>
      <c r="AE866" s="4"/>
      <c r="AF866" s="4" t="str">
        <f>IFERROR(__xludf.DUMMYFUNCTION("""COMPUTED_VALUE"""),"BELUM")</f>
        <v>BELUM</v>
      </c>
      <c r="AG866" s="6">
        <f>IFERROR(__xludf.DUMMYFUNCTION("""COMPUTED_VALUE"""),46107.0)</f>
        <v>46107</v>
      </c>
      <c r="AH866" s="4"/>
      <c r="AI866" s="4"/>
    </row>
    <row r="867" ht="15.75" customHeight="1">
      <c r="A867" s="4" t="str">
        <f>IFERROR(__xludf.DUMMYFUNCTION("""COMPUTED_VALUE"""),"074560c3")</f>
        <v>074560c3</v>
      </c>
      <c r="B867" s="5">
        <f>IFERROR(__xludf.DUMMYFUNCTION("""COMPUTED_VALUE"""),46107.148368055554)</f>
        <v>46107.14837</v>
      </c>
      <c r="C867" s="4" t="str">
        <f>IFERROR(__xludf.DUMMYFUNCTION("""COMPUTED_VALUE"""),"-6.911632, 107.703916")</f>
        <v>-6.911632, 107.703916</v>
      </c>
      <c r="D867" s="4" t="str">
        <f>IFERROR(__xludf.DUMMYFUNCTION("""COMPUTED_VALUE"""),"Heri xhabdra")</f>
        <v>Heri xhabdra</v>
      </c>
      <c r="E867" s="4" t="str">
        <f>IFERROR(__xludf.DUMMYFUNCTION("""COMPUTED_VALUE"""),"BANDUNG")</f>
        <v>BANDUNG</v>
      </c>
      <c r="F867" s="4" t="str">
        <f>IFERROR(__xludf.DUMMYFUNCTION("""COMPUTED_VALUE"""),"UJUNGBERUNG")</f>
        <v>UJUNGBERUNG</v>
      </c>
      <c r="G867" s="4" t="str">
        <f>IFERROR(__xludf.DUMMYFUNCTION("""COMPUTED_VALUE"""),"UJUNGBERUNG")</f>
        <v>UJUNGBERUNG</v>
      </c>
      <c r="H867" s="4" t="str">
        <f>IFERROR(__xludf.DUMMYFUNCTION("""COMPUTED_VALUE"""),"UTWU")</f>
        <v>UTWU</v>
      </c>
      <c r="I867" s="4" t="str">
        <f>IFERROR(__xludf.DUMMYFUNCTION("""COMPUTED_VALUE"""),"LBS CPR - LBS CGI")</f>
        <v>LBS CPR - LBS CGI</v>
      </c>
      <c r="J867" s="4" t="str">
        <f>IFERROR(__xludf.DUMMYFUNCTION("""COMPUTED_VALUE"""),"ZONA 2")</f>
        <v>ZONA 2</v>
      </c>
      <c r="K867" s="4" t="str">
        <f>IFERROR(__xludf.DUMMYFUNCTION("""COMPUTED_VALUE"""),"033")</f>
        <v>033</v>
      </c>
      <c r="L867" s="4" t="str">
        <f>IFERROR(__xludf.DUMMYFUNCTION("""COMPUTED_VALUE"""),"TM - 4B/H (Afspan)")</f>
        <v>TM - 4B/H (Afspan)</v>
      </c>
      <c r="M867" s="4" t="str">
        <f>IFERROR(__xludf.DUMMYFUNCTION("""COMPUTED_VALUE"""),"Tidak Ada")</f>
        <v>Tidak Ada</v>
      </c>
      <c r="N867" s="4"/>
      <c r="O867" s="4" t="str">
        <f>IFERROR(__xludf.DUMMYFUNCTION("""COMPUTED_VALUE"""),"PEMBANDING SEJENIS")</f>
        <v>PEMBANDING SEJENIS</v>
      </c>
      <c r="P867" s="4" t="str">
        <f>IFERROR(__xludf.DUMMYFUNCTION("""COMPUTED_VALUE"""),"KONEKTOR/JUMPER")</f>
        <v>KONEKTOR/JUMPER</v>
      </c>
      <c r="Q867" s="4">
        <f>IFERROR(__xludf.DUMMYFUNCTION("""COMPUTED_VALUE"""),24.0)</f>
        <v>24</v>
      </c>
      <c r="R867" s="4">
        <f>IFERROR(__xludf.DUMMYFUNCTION("""COMPUTED_VALUE"""),24.9)</f>
        <v>24.9</v>
      </c>
      <c r="S867" s="4">
        <f>IFERROR(__xludf.DUMMYFUNCTION("""COMPUTED_VALUE"""),25.0)</f>
        <v>25</v>
      </c>
      <c r="T867" s="4"/>
      <c r="U867" s="4" t="str">
        <f>IFERROR(__xludf.DUMMYFUNCTION("""COMPUTED_VALUE"""),"BAIK")</f>
        <v>BAIK</v>
      </c>
      <c r="V867" s="4" t="str">
        <f>IFERROR(__xludf.DUMMYFUNCTION("""COMPUTED_VALUE"""),"Tidak Ada")</f>
        <v>Tidak Ada</v>
      </c>
      <c r="W867" s="4"/>
      <c r="X867" s="4"/>
      <c r="Y867" s="4"/>
      <c r="Z867" s="4"/>
      <c r="AA867" s="4"/>
      <c r="AB867" s="4"/>
      <c r="AC867" s="4" t="str">
        <f>IFERROR(__xludf.DUMMYFUNCTION("""COMPUTED_VALUE"""),"INSPEKSI SUTM - T2_Images/074560c3.FOTO.203430.jpg")</f>
        <v>INSPEKSI SUTM - T2_Images/074560c3.FOTO.203430.jpg</v>
      </c>
      <c r="AD867" s="4"/>
      <c r="AE867" s="4"/>
      <c r="AF867" s="4" t="str">
        <f>IFERROR(__xludf.DUMMYFUNCTION("""COMPUTED_VALUE"""),"BELUM")</f>
        <v>BELUM</v>
      </c>
      <c r="AG867" s="6">
        <f>IFERROR(__xludf.DUMMYFUNCTION("""COMPUTED_VALUE"""),46107.0)</f>
        <v>46107</v>
      </c>
      <c r="AH867" s="4"/>
      <c r="AI867" s="4"/>
    </row>
    <row r="868" ht="15.75" customHeight="1">
      <c r="A868" s="4" t="str">
        <f>IFERROR(__xludf.DUMMYFUNCTION("""COMPUTED_VALUE"""),"4ced8772")</f>
        <v>4ced8772</v>
      </c>
      <c r="B868" s="5">
        <f>IFERROR(__xludf.DUMMYFUNCTION("""COMPUTED_VALUE"""),46107.149189814816)</f>
        <v>46107.14919</v>
      </c>
      <c r="C868" s="4" t="str">
        <f>IFERROR(__xludf.DUMMYFUNCTION("""COMPUTED_VALUE"""),"-6.910858, 107.704180")</f>
        <v>-6.910858, 107.704180</v>
      </c>
      <c r="D868" s="4" t="str">
        <f>IFERROR(__xludf.DUMMYFUNCTION("""COMPUTED_VALUE"""),"Herichandra")</f>
        <v>Herichandra</v>
      </c>
      <c r="E868" s="4" t="str">
        <f>IFERROR(__xludf.DUMMYFUNCTION("""COMPUTED_VALUE"""),"BANDUNG")</f>
        <v>BANDUNG</v>
      </c>
      <c r="F868" s="4" t="str">
        <f>IFERROR(__xludf.DUMMYFUNCTION("""COMPUTED_VALUE"""),"UJUNGBERUNG")</f>
        <v>UJUNGBERUNG</v>
      </c>
      <c r="G868" s="4" t="str">
        <f>IFERROR(__xludf.DUMMYFUNCTION("""COMPUTED_VALUE"""),"UJUNGBERUNG")</f>
        <v>UJUNGBERUNG</v>
      </c>
      <c r="H868" s="4" t="str">
        <f>IFERROR(__xludf.DUMMYFUNCTION("""COMPUTED_VALUE"""),"UTWU")</f>
        <v>UTWU</v>
      </c>
      <c r="I868" s="4" t="str">
        <f>IFERROR(__xludf.DUMMYFUNCTION("""COMPUTED_VALUE"""),"LBS CPR - LBS CGI")</f>
        <v>LBS CPR - LBS CGI</v>
      </c>
      <c r="J868" s="4" t="str">
        <f>IFERROR(__xludf.DUMMYFUNCTION("""COMPUTED_VALUE"""),"ZONA 2")</f>
        <v>ZONA 2</v>
      </c>
      <c r="K868" s="4" t="str">
        <f>IFERROR(__xludf.DUMMYFUNCTION("""COMPUTED_VALUE"""),"035")</f>
        <v>035</v>
      </c>
      <c r="L868" s="4" t="str">
        <f>IFERROR(__xludf.DUMMYFUNCTION("""COMPUTED_VALUE"""),"TM - 8B/H (Percabangan)")</f>
        <v>TM - 8B/H (Percabangan)</v>
      </c>
      <c r="M868" s="4" t="str">
        <f>IFERROR(__xludf.DUMMYFUNCTION("""COMPUTED_VALUE"""),"Tidak Ada")</f>
        <v>Tidak Ada</v>
      </c>
      <c r="N868" s="4"/>
      <c r="O868" s="4" t="str">
        <f>IFERROR(__xludf.DUMMYFUNCTION("""COMPUTED_VALUE"""),"PEMBANDING SEJENIS")</f>
        <v>PEMBANDING SEJENIS</v>
      </c>
      <c r="P868" s="4" t="str">
        <f>IFERROR(__xludf.DUMMYFUNCTION("""COMPUTED_VALUE"""),"KONEKTOR/JUMPER")</f>
        <v>KONEKTOR/JUMPER</v>
      </c>
      <c r="Q868" s="4">
        <f>IFERROR(__xludf.DUMMYFUNCTION("""COMPUTED_VALUE"""),24.7)</f>
        <v>24.7</v>
      </c>
      <c r="R868" s="4">
        <f>IFERROR(__xludf.DUMMYFUNCTION("""COMPUTED_VALUE"""),24.7)</f>
        <v>24.7</v>
      </c>
      <c r="S868" s="4">
        <f>IFERROR(__xludf.DUMMYFUNCTION("""COMPUTED_VALUE"""),24.5)</f>
        <v>24.5</v>
      </c>
      <c r="T868" s="4"/>
      <c r="U868" s="4" t="str">
        <f>IFERROR(__xludf.DUMMYFUNCTION("""COMPUTED_VALUE"""),"BAIK")</f>
        <v>BAIK</v>
      </c>
      <c r="V868" s="4" t="str">
        <f>IFERROR(__xludf.DUMMYFUNCTION("""COMPUTED_VALUE"""),"Tidak Ada")</f>
        <v>Tidak Ada</v>
      </c>
      <c r="W868" s="4"/>
      <c r="X868" s="4"/>
      <c r="Y868" s="4"/>
      <c r="Z868" s="4"/>
      <c r="AA868" s="4"/>
      <c r="AB868" s="4"/>
      <c r="AC868" s="4" t="str">
        <f>IFERROR(__xludf.DUMMYFUNCTION("""COMPUTED_VALUE"""),"INSPEKSI SUTM - T2_Images/4ced8772.FOTO.203531.jpg")</f>
        <v>INSPEKSI SUTM - T2_Images/4ced8772.FOTO.203531.jpg</v>
      </c>
      <c r="AD868" s="4"/>
      <c r="AE868" s="4"/>
      <c r="AF868" s="4" t="str">
        <f>IFERROR(__xludf.DUMMYFUNCTION("""COMPUTED_VALUE"""),"BELUM")</f>
        <v>BELUM</v>
      </c>
      <c r="AG868" s="6">
        <f>IFERROR(__xludf.DUMMYFUNCTION("""COMPUTED_VALUE"""),46107.0)</f>
        <v>46107</v>
      </c>
      <c r="AH868" s="4"/>
      <c r="AI868" s="4"/>
    </row>
    <row r="869" ht="15.75" customHeight="1">
      <c r="A869" s="4" t="str">
        <f>IFERROR(__xludf.DUMMYFUNCTION("""COMPUTED_VALUE"""),"80d09f55")</f>
        <v>80d09f55</v>
      </c>
      <c r="B869" s="5">
        <f>IFERROR(__xludf.DUMMYFUNCTION("""COMPUTED_VALUE"""),46107.14984953704)</f>
        <v>46107.14985</v>
      </c>
      <c r="C869" s="4" t="str">
        <f>IFERROR(__xludf.DUMMYFUNCTION("""COMPUTED_VALUE"""),"-6.910330, 107.703582")</f>
        <v>-6.910330, 107.703582</v>
      </c>
      <c r="D869" s="4" t="str">
        <f>IFERROR(__xludf.DUMMYFUNCTION("""COMPUTED_VALUE"""),"Heri chandra")</f>
        <v>Heri chandra</v>
      </c>
      <c r="E869" s="4" t="str">
        <f>IFERROR(__xludf.DUMMYFUNCTION("""COMPUTED_VALUE"""),"BANDUNG")</f>
        <v>BANDUNG</v>
      </c>
      <c r="F869" s="4" t="str">
        <f>IFERROR(__xludf.DUMMYFUNCTION("""COMPUTED_VALUE"""),"UJUNGBERUNG")</f>
        <v>UJUNGBERUNG</v>
      </c>
      <c r="G869" s="4" t="str">
        <f>IFERROR(__xludf.DUMMYFUNCTION("""COMPUTED_VALUE"""),"UJUNGBERUNG")</f>
        <v>UJUNGBERUNG</v>
      </c>
      <c r="H869" s="4" t="str">
        <f>IFERROR(__xludf.DUMMYFUNCTION("""COMPUTED_VALUE"""),"UTWU")</f>
        <v>UTWU</v>
      </c>
      <c r="I869" s="4" t="str">
        <f>IFERROR(__xludf.DUMMYFUNCTION("""COMPUTED_VALUE"""),"LBS CPR - LBS CGI")</f>
        <v>LBS CPR - LBS CGI</v>
      </c>
      <c r="J869" s="4" t="str">
        <f>IFERROR(__xludf.DUMMYFUNCTION("""COMPUTED_VALUE"""),"ZONA 2")</f>
        <v>ZONA 2</v>
      </c>
      <c r="K869" s="4" t="str">
        <f>IFERROR(__xludf.DUMMYFUNCTION("""COMPUTED_VALUE"""),"035L02")</f>
        <v>035L02</v>
      </c>
      <c r="L869" s="4" t="str">
        <f>IFERROR(__xludf.DUMMYFUNCTION("""COMPUTED_VALUE"""),"TM - 7B/H (Afspan 90 Derajat)")</f>
        <v>TM - 7B/H (Afspan 90 Derajat)</v>
      </c>
      <c r="M869" s="4" t="str">
        <f>IFERROR(__xludf.DUMMYFUNCTION("""COMPUTED_VALUE"""),"Tidak Ada")</f>
        <v>Tidak Ada</v>
      </c>
      <c r="N869" s="4"/>
      <c r="O869" s="4" t="str">
        <f>IFERROR(__xludf.DUMMYFUNCTION("""COMPUTED_VALUE"""),"PEMBANDING SEJENIS")</f>
        <v>PEMBANDING SEJENIS</v>
      </c>
      <c r="P869" s="4" t="str">
        <f>IFERROR(__xludf.DUMMYFUNCTION("""COMPUTED_VALUE"""),"KONEKTOR/JUMPER")</f>
        <v>KONEKTOR/JUMPER</v>
      </c>
      <c r="Q869" s="4">
        <f>IFERROR(__xludf.DUMMYFUNCTION("""COMPUTED_VALUE"""),27.9)</f>
        <v>27.9</v>
      </c>
      <c r="R869" s="4">
        <f>IFERROR(__xludf.DUMMYFUNCTION("""COMPUTED_VALUE"""),27.9)</f>
        <v>27.9</v>
      </c>
      <c r="S869" s="4">
        <f>IFERROR(__xludf.DUMMYFUNCTION("""COMPUTED_VALUE"""),28.0)</f>
        <v>28</v>
      </c>
      <c r="T869" s="4"/>
      <c r="U869" s="4" t="str">
        <f>IFERROR(__xludf.DUMMYFUNCTION("""COMPUTED_VALUE"""),"BAIK")</f>
        <v>BAIK</v>
      </c>
      <c r="V869" s="4" t="str">
        <f>IFERROR(__xludf.DUMMYFUNCTION("""COMPUTED_VALUE"""),"Tidak Ada")</f>
        <v>Tidak Ada</v>
      </c>
      <c r="W869" s="4"/>
      <c r="X869" s="4"/>
      <c r="Y869" s="4"/>
      <c r="Z869" s="4"/>
      <c r="AA869" s="4"/>
      <c r="AB869" s="4"/>
      <c r="AC869" s="4" t="str">
        <f>IFERROR(__xludf.DUMMYFUNCTION("""COMPUTED_VALUE"""),"INSPEKSI SUTM - T2_Images/80d09f55.FOTO.203630.jpg")</f>
        <v>INSPEKSI SUTM - T2_Images/80d09f55.FOTO.203630.jpg</v>
      </c>
      <c r="AD869" s="4"/>
      <c r="AE869" s="4"/>
      <c r="AF869" s="4" t="str">
        <f>IFERROR(__xludf.DUMMYFUNCTION("""COMPUTED_VALUE"""),"BELUM")</f>
        <v>BELUM</v>
      </c>
      <c r="AG869" s="6">
        <f>IFERROR(__xludf.DUMMYFUNCTION("""COMPUTED_VALUE"""),46107.0)</f>
        <v>46107</v>
      </c>
      <c r="AH869" s="4"/>
      <c r="AI869" s="4"/>
    </row>
    <row r="870" ht="15.75" customHeight="1">
      <c r="A870" s="4" t="str">
        <f>IFERROR(__xludf.DUMMYFUNCTION("""COMPUTED_VALUE"""),"b44ee095")</f>
        <v>b44ee095</v>
      </c>
      <c r="B870" s="5">
        <f>IFERROR(__xludf.DUMMYFUNCTION("""COMPUTED_VALUE"""),46107.15053240741)</f>
        <v>46107.15053</v>
      </c>
      <c r="C870" s="4" t="str">
        <f>IFERROR(__xludf.DUMMYFUNCTION("""COMPUTED_VALUE"""),"-6.909737, 107.703922")</f>
        <v>-6.909737, 107.703922</v>
      </c>
      <c r="D870" s="4" t="str">
        <f>IFERROR(__xludf.DUMMYFUNCTION("""COMPUTED_VALUE"""),"Heri chandra")</f>
        <v>Heri chandra</v>
      </c>
      <c r="E870" s="4" t="str">
        <f>IFERROR(__xludf.DUMMYFUNCTION("""COMPUTED_VALUE"""),"BANDUNG")</f>
        <v>BANDUNG</v>
      </c>
      <c r="F870" s="4" t="str">
        <f>IFERROR(__xludf.DUMMYFUNCTION("""COMPUTED_VALUE"""),"UJUNGBERUNG")</f>
        <v>UJUNGBERUNG</v>
      </c>
      <c r="G870" s="4" t="str">
        <f>IFERROR(__xludf.DUMMYFUNCTION("""COMPUTED_VALUE"""),"UJUNGBERUNG")</f>
        <v>UJUNGBERUNG</v>
      </c>
      <c r="H870" s="4" t="str">
        <f>IFERROR(__xludf.DUMMYFUNCTION("""COMPUTED_VALUE"""),"UTWU")</f>
        <v>UTWU</v>
      </c>
      <c r="I870" s="4" t="str">
        <f>IFERROR(__xludf.DUMMYFUNCTION("""COMPUTED_VALUE"""),"LBS CPR - LBS CGI")</f>
        <v>LBS CPR - LBS CGI</v>
      </c>
      <c r="J870" s="4" t="str">
        <f>IFERROR(__xludf.DUMMYFUNCTION("""COMPUTED_VALUE"""),"ZONA 2")</f>
        <v>ZONA 2</v>
      </c>
      <c r="K870" s="4" t="str">
        <f>IFERROR(__xludf.DUMMYFUNCTION("""COMPUTED_VALUE"""),"035L04")</f>
        <v>035L04</v>
      </c>
      <c r="L870" s="4" t="str">
        <f>IFERROR(__xludf.DUMMYFUNCTION("""COMPUTED_VALUE"""),"TM - 8B/H (Percabangan)")</f>
        <v>TM - 8B/H (Percabangan)</v>
      </c>
      <c r="M870" s="4" t="str">
        <f>IFERROR(__xludf.DUMMYFUNCTION("""COMPUTED_VALUE"""),"Tidak Ada")</f>
        <v>Tidak Ada</v>
      </c>
      <c r="N870" s="4"/>
      <c r="O870" s="4" t="str">
        <f>IFERROR(__xludf.DUMMYFUNCTION("""COMPUTED_VALUE"""),"PEMBANDING SEJENIS")</f>
        <v>PEMBANDING SEJENIS</v>
      </c>
      <c r="P870" s="4" t="str">
        <f>IFERROR(__xludf.DUMMYFUNCTION("""COMPUTED_VALUE"""),"KONEKTOR/JUMPER")</f>
        <v>KONEKTOR/JUMPER</v>
      </c>
      <c r="Q870" s="4">
        <f>IFERROR(__xludf.DUMMYFUNCTION("""COMPUTED_VALUE"""),26.6)</f>
        <v>26.6</v>
      </c>
      <c r="R870" s="4">
        <f>IFERROR(__xludf.DUMMYFUNCTION("""COMPUTED_VALUE"""),26.4)</f>
        <v>26.4</v>
      </c>
      <c r="S870" s="4">
        <f>IFERROR(__xludf.DUMMYFUNCTION("""COMPUTED_VALUE"""),26.8)</f>
        <v>26.8</v>
      </c>
      <c r="T870" s="4"/>
      <c r="U870" s="4" t="str">
        <f>IFERROR(__xludf.DUMMYFUNCTION("""COMPUTED_VALUE"""),"BAIK")</f>
        <v>BAIK</v>
      </c>
      <c r="V870" s="4" t="str">
        <f>IFERROR(__xludf.DUMMYFUNCTION("""COMPUTED_VALUE"""),"Tidak Ada")</f>
        <v>Tidak Ada</v>
      </c>
      <c r="W870" s="4"/>
      <c r="X870" s="4"/>
      <c r="Y870" s="4"/>
      <c r="Z870" s="4"/>
      <c r="AA870" s="4"/>
      <c r="AB870" s="4"/>
      <c r="AC870" s="4" t="str">
        <f>IFERROR(__xludf.DUMMYFUNCTION("""COMPUTED_VALUE"""),"INSPEKSI SUTM - T2_Images/b44ee095.FOTO.203732.jpg")</f>
        <v>INSPEKSI SUTM - T2_Images/b44ee095.FOTO.203732.jpg</v>
      </c>
      <c r="AD870" s="4"/>
      <c r="AE870" s="4"/>
      <c r="AF870" s="4" t="str">
        <f>IFERROR(__xludf.DUMMYFUNCTION("""COMPUTED_VALUE"""),"BELUM")</f>
        <v>BELUM</v>
      </c>
      <c r="AG870" s="6">
        <f>IFERROR(__xludf.DUMMYFUNCTION("""COMPUTED_VALUE"""),46107.0)</f>
        <v>46107</v>
      </c>
      <c r="AH870" s="4"/>
      <c r="AI870" s="4"/>
    </row>
    <row r="871" ht="15.75" customHeight="1">
      <c r="A871" s="4" t="str">
        <f>IFERROR(__xludf.DUMMYFUNCTION("""COMPUTED_VALUE"""),"745acd27")</f>
        <v>745acd27</v>
      </c>
      <c r="B871" s="5">
        <f>IFERROR(__xludf.DUMMYFUNCTION("""COMPUTED_VALUE"""),46107.15121527778)</f>
        <v>46107.15122</v>
      </c>
      <c r="C871" s="4" t="str">
        <f>IFERROR(__xludf.DUMMYFUNCTION("""COMPUTED_VALUE"""),"-6.909611, 107.703837")</f>
        <v>-6.909611, 107.703837</v>
      </c>
      <c r="D871" s="4" t="str">
        <f>IFERROR(__xludf.DUMMYFUNCTION("""COMPUTED_VALUE"""),"Herichanfra")</f>
        <v>Herichanfra</v>
      </c>
      <c r="E871" s="4" t="str">
        <f>IFERROR(__xludf.DUMMYFUNCTION("""COMPUTED_VALUE"""),"BANDUNG")</f>
        <v>BANDUNG</v>
      </c>
      <c r="F871" s="4" t="str">
        <f>IFERROR(__xludf.DUMMYFUNCTION("""COMPUTED_VALUE"""),"UJUNGBERUNG")</f>
        <v>UJUNGBERUNG</v>
      </c>
      <c r="G871" s="4" t="str">
        <f>IFERROR(__xludf.DUMMYFUNCTION("""COMPUTED_VALUE"""),"UJUNGBERUNG")</f>
        <v>UJUNGBERUNG</v>
      </c>
      <c r="H871" s="4" t="str">
        <f>IFERROR(__xludf.DUMMYFUNCTION("""COMPUTED_VALUE"""),"UTWU")</f>
        <v>UTWU</v>
      </c>
      <c r="I871" s="4" t="str">
        <f>IFERROR(__xludf.DUMMYFUNCTION("""COMPUTED_VALUE"""),"LBS CPR - LBS CGI")</f>
        <v>LBS CPR - LBS CGI</v>
      </c>
      <c r="J871" s="4" t="str">
        <f>IFERROR(__xludf.DUMMYFUNCTION("""COMPUTED_VALUE"""),"ZONA 2")</f>
        <v>ZONA 2</v>
      </c>
      <c r="K871" s="4" t="str">
        <f>IFERROR(__xludf.DUMMYFUNCTION("""COMPUTED_VALUE"""),"035L04L01")</f>
        <v>035L04L01</v>
      </c>
      <c r="L871" s="4" t="str">
        <f>IFERROR(__xludf.DUMMYFUNCTION("""COMPUTED_VALUE"""),"TM - 4BC/HC (Afspan dengan CO)")</f>
        <v>TM - 4BC/HC (Afspan dengan CO)</v>
      </c>
      <c r="M871" s="4" t="str">
        <f>IFERROR(__xludf.DUMMYFUNCTION("""COMPUTED_VALUE"""),"FCO")</f>
        <v>FCO</v>
      </c>
      <c r="N871" s="4" t="str">
        <f>IFERROR(__xludf.DUMMYFUNCTION("""COMPUTED_VALUE"""),"Aftak cgia")</f>
        <v>Aftak cgia</v>
      </c>
      <c r="O871" s="4" t="str">
        <f>IFERROR(__xludf.DUMMYFUNCTION("""COMPUTED_VALUE"""),"PEMBANDING SEJENIS")</f>
        <v>PEMBANDING SEJENIS</v>
      </c>
      <c r="P871" s="4" t="str">
        <f>IFERROR(__xludf.DUMMYFUNCTION("""COMPUTED_VALUE"""),"FCO")</f>
        <v>FCO</v>
      </c>
      <c r="Q871" s="4">
        <f>IFERROR(__xludf.DUMMYFUNCTION("""COMPUTED_VALUE"""),27.6)</f>
        <v>27.6</v>
      </c>
      <c r="R871" s="4">
        <f>IFERROR(__xludf.DUMMYFUNCTION("""COMPUTED_VALUE"""),32.8)</f>
        <v>32.8</v>
      </c>
      <c r="S871" s="4">
        <f>IFERROR(__xludf.DUMMYFUNCTION("""COMPUTED_VALUE"""),28.0)</f>
        <v>28</v>
      </c>
      <c r="T871" s="4"/>
      <c r="U871" s="4" t="str">
        <f>IFERROR(__xludf.DUMMYFUNCTION("""COMPUTED_VALUE"""),"CUKUP")</f>
        <v>CUKUP</v>
      </c>
      <c r="V871" s="4" t="str">
        <f>IFERROR(__xludf.DUMMYFUNCTION("""COMPUTED_VALUE"""),"Tidak Ada")</f>
        <v>Tidak Ada</v>
      </c>
      <c r="W871" s="4"/>
      <c r="X871" s="4"/>
      <c r="Y871" s="4"/>
      <c r="Z871" s="4"/>
      <c r="AA871" s="4"/>
      <c r="AB871" s="4"/>
      <c r="AC871" s="4" t="str">
        <f>IFERROR(__xludf.DUMMYFUNCTION("""COMPUTED_VALUE"""),"INSPEKSI SUTM - T2_Images/745acd27.FOTO.203848.jpg")</f>
        <v>INSPEKSI SUTM - T2_Images/745acd27.FOTO.203848.jpg</v>
      </c>
      <c r="AD871" s="4"/>
      <c r="AE871" s="4"/>
      <c r="AF871" s="4" t="str">
        <f>IFERROR(__xludf.DUMMYFUNCTION("""COMPUTED_VALUE"""),"BELUM")</f>
        <v>BELUM</v>
      </c>
      <c r="AG871" s="6">
        <f>IFERROR(__xludf.DUMMYFUNCTION("""COMPUTED_VALUE"""),46107.0)</f>
        <v>46107</v>
      </c>
      <c r="AH871" s="4"/>
      <c r="AI871" s="4"/>
    </row>
    <row r="872" ht="15.75" customHeight="1">
      <c r="A872" s="4" t="str">
        <f>IFERROR(__xludf.DUMMYFUNCTION("""COMPUTED_VALUE"""),"a2a1634f")</f>
        <v>a2a1634f</v>
      </c>
      <c r="B872" s="5">
        <f>IFERROR(__xludf.DUMMYFUNCTION("""COMPUTED_VALUE"""),46107.85125)</f>
        <v>46107.85125</v>
      </c>
      <c r="C872" s="4" t="str">
        <f>IFERROR(__xludf.DUMMYFUNCTION("""COMPUTED_VALUE"""),"-6.946802, 107.728354")</f>
        <v>-6.946802, 107.728354</v>
      </c>
      <c r="D872" s="4" t="str">
        <f>IFERROR(__xludf.DUMMYFUNCTION("""COMPUTED_VALUE"""),"Canra heri")</f>
        <v>Canra heri</v>
      </c>
      <c r="E872" s="4" t="str">
        <f>IFERROR(__xludf.DUMMYFUNCTION("""COMPUTED_VALUE"""),"BANDUNG")</f>
        <v>BANDUNG</v>
      </c>
      <c r="F872" s="4" t="str">
        <f>IFERROR(__xludf.DUMMYFUNCTION("""COMPUTED_VALUE"""),"UJUNGBERUNG")</f>
        <v>UJUNGBERUNG</v>
      </c>
      <c r="G872" s="4" t="str">
        <f>IFERROR(__xludf.DUMMYFUNCTION("""COMPUTED_VALUE"""),"UJUNGBERUNG")</f>
        <v>UJUNGBERUNG</v>
      </c>
      <c r="H872" s="4" t="str">
        <f>IFERROR(__xludf.DUMMYFUNCTION("""COMPUTED_VALUE"""),"UTWU")</f>
        <v>UTWU</v>
      </c>
      <c r="I872" s="4" t="str">
        <f>IFERROR(__xludf.DUMMYFUNCTION("""COMPUTED_VALUE"""),"LBS CPR - LBS CGI")</f>
        <v>LBS CPR - LBS CGI</v>
      </c>
      <c r="J872" s="4" t="str">
        <f>IFERROR(__xludf.DUMMYFUNCTION("""COMPUTED_VALUE"""),"ZONA 2")</f>
        <v>ZONA 2</v>
      </c>
      <c r="K872" s="4" t="str">
        <f>IFERROR(__xludf.DUMMYFUNCTION("""COMPUTED_VALUE"""),"035L04L02")</f>
        <v>035L04L02</v>
      </c>
      <c r="L872" s="4" t="str">
        <f>IFERROR(__xludf.DUMMYFUNCTION("""COMPUTED_VALUE"""),"TM - 8BC/HC (Percabangan dengan CO)")</f>
        <v>TM - 8BC/HC (Percabangan dengan CO)</v>
      </c>
      <c r="M872" s="4" t="str">
        <f>IFERROR(__xludf.DUMMYFUNCTION("""COMPUTED_VALUE"""),"Gardu")</f>
        <v>Gardu</v>
      </c>
      <c r="N872" s="4" t="str">
        <f>IFERROR(__xludf.DUMMYFUNCTION("""COMPUTED_VALUE"""),"A")</f>
        <v>A</v>
      </c>
      <c r="O872" s="4" t="str">
        <f>IFERROR(__xludf.DUMMYFUNCTION("""COMPUTED_VALUE"""),"PEMBANDING SEJENIS")</f>
        <v>PEMBANDING SEJENIS</v>
      </c>
      <c r="P872" s="4" t="str">
        <f>IFERROR(__xludf.DUMMYFUNCTION("""COMPUTED_VALUE"""),"KONEKTOR/JUMPER")</f>
        <v>KONEKTOR/JUMPER</v>
      </c>
      <c r="Q872" s="4">
        <f>IFERROR(__xludf.DUMMYFUNCTION("""COMPUTED_VALUE"""),28.0)</f>
        <v>28</v>
      </c>
      <c r="R872" s="4">
        <f>IFERROR(__xludf.DUMMYFUNCTION("""COMPUTED_VALUE"""),28.0)</f>
        <v>28</v>
      </c>
      <c r="S872" s="4">
        <f>IFERROR(__xludf.DUMMYFUNCTION("""COMPUTED_VALUE"""),28.0)</f>
        <v>28</v>
      </c>
      <c r="T872" s="4"/>
      <c r="U872" s="4" t="str">
        <f>IFERROR(__xludf.DUMMYFUNCTION("""COMPUTED_VALUE"""),"BAIK")</f>
        <v>BAIK</v>
      </c>
      <c r="V872" s="4" t="str">
        <f>IFERROR(__xludf.DUMMYFUNCTION("""COMPUTED_VALUE"""),"Tidak Ada")</f>
        <v>Tidak Ada</v>
      </c>
      <c r="W872" s="4"/>
      <c r="X872" s="4"/>
      <c r="Y872" s="4"/>
      <c r="Z872" s="4"/>
      <c r="AA872" s="4"/>
      <c r="AB872" s="4"/>
      <c r="AC872" s="4" t="str">
        <f>IFERROR(__xludf.DUMMYFUNCTION("""COMPUTED_VALUE"""),"INSPEKSI SUTM - T2_Images/a2a1634f.FOTO.132708.jpg")</f>
        <v>INSPEKSI SUTM - T2_Images/a2a1634f.FOTO.132708.jpg</v>
      </c>
      <c r="AD872" s="4"/>
      <c r="AE872" s="4"/>
      <c r="AF872" s="4" t="str">
        <f>IFERROR(__xludf.DUMMYFUNCTION("""COMPUTED_VALUE"""),"BELUM")</f>
        <v>BELUM</v>
      </c>
      <c r="AG872" s="6">
        <f>IFERROR(__xludf.DUMMYFUNCTION("""COMPUTED_VALUE"""),46107.0)</f>
        <v>46107</v>
      </c>
      <c r="AH872" s="4"/>
      <c r="AI872" s="4"/>
    </row>
    <row r="873" ht="15.75" customHeight="1">
      <c r="A873" s="4" t="str">
        <f>IFERROR(__xludf.DUMMYFUNCTION("""COMPUTED_VALUE"""),"64a78cf3")</f>
        <v>64a78cf3</v>
      </c>
      <c r="B873" s="5">
        <f>IFERROR(__xludf.DUMMYFUNCTION("""COMPUTED_VALUE"""),46107.852997685186)</f>
        <v>46107.853</v>
      </c>
      <c r="C873" s="4" t="str">
        <f>IFERROR(__xludf.DUMMYFUNCTION("""COMPUTED_VALUE"""),"-6.946803, 107.728345")</f>
        <v>-6.946803, 107.728345</v>
      </c>
      <c r="D873" s="4" t="str">
        <f>IFERROR(__xludf.DUMMYFUNCTION("""COMPUTED_VALUE"""),"Canra heri")</f>
        <v>Canra heri</v>
      </c>
      <c r="E873" s="4" t="str">
        <f>IFERROR(__xludf.DUMMYFUNCTION("""COMPUTED_VALUE"""),"BANDUNG")</f>
        <v>BANDUNG</v>
      </c>
      <c r="F873" s="4" t="str">
        <f>IFERROR(__xludf.DUMMYFUNCTION("""COMPUTED_VALUE"""),"UJUNGBERUNG")</f>
        <v>UJUNGBERUNG</v>
      </c>
      <c r="G873" s="4" t="str">
        <f>IFERROR(__xludf.DUMMYFUNCTION("""COMPUTED_VALUE"""),"UJUNGBERUNG")</f>
        <v>UJUNGBERUNG</v>
      </c>
      <c r="H873" s="4" t="str">
        <f>IFERROR(__xludf.DUMMYFUNCTION("""COMPUTED_VALUE"""),"UTWU")</f>
        <v>UTWU</v>
      </c>
      <c r="I873" s="4" t="str">
        <f>IFERROR(__xludf.DUMMYFUNCTION("""COMPUTED_VALUE"""),"LBS CPR - LBS CGI")</f>
        <v>LBS CPR - LBS CGI</v>
      </c>
      <c r="J873" s="4" t="str">
        <f>IFERROR(__xludf.DUMMYFUNCTION("""COMPUTED_VALUE"""),"ZONA 2")</f>
        <v>ZONA 2</v>
      </c>
      <c r="K873" s="4" t="str">
        <f>IFERROR(__xludf.DUMMYFUNCTION("""COMPUTED_VALUE"""),"035L04L02L01")</f>
        <v>035L04L02L01</v>
      </c>
      <c r="L873" s="4" t="str">
        <f>IFERROR(__xludf.DUMMYFUNCTION("""COMPUTED_VALUE"""),"TM - 4B/H (Afspan)")</f>
        <v>TM - 4B/H (Afspan)</v>
      </c>
      <c r="M873" s="4" t="str">
        <f>IFERROR(__xludf.DUMMYFUNCTION("""COMPUTED_VALUE"""),"Gardu")</f>
        <v>Gardu</v>
      </c>
      <c r="N873" s="4" t="str">
        <f>IFERROR(__xludf.DUMMYFUNCTION("""COMPUTED_VALUE"""),"A")</f>
        <v>A</v>
      </c>
      <c r="O873" s="4" t="str">
        <f>IFERROR(__xludf.DUMMYFUNCTION("""COMPUTED_VALUE"""),"PEMBANDING SEJENIS")</f>
        <v>PEMBANDING SEJENIS</v>
      </c>
      <c r="P873" s="4" t="str">
        <f>IFERROR(__xludf.DUMMYFUNCTION("""COMPUTED_VALUE"""),"KONEKTOR/JUMPER")</f>
        <v>KONEKTOR/JUMPER</v>
      </c>
      <c r="Q873" s="4">
        <f>IFERROR(__xludf.DUMMYFUNCTION("""COMPUTED_VALUE"""),25.0)</f>
        <v>25</v>
      </c>
      <c r="R873" s="4">
        <f>IFERROR(__xludf.DUMMYFUNCTION("""COMPUTED_VALUE"""),25.0)</f>
        <v>25</v>
      </c>
      <c r="S873" s="4">
        <f>IFERROR(__xludf.DUMMYFUNCTION("""COMPUTED_VALUE"""),25.0)</f>
        <v>25</v>
      </c>
      <c r="T873" s="4"/>
      <c r="U873" s="4" t="str">
        <f>IFERROR(__xludf.DUMMYFUNCTION("""COMPUTED_VALUE"""),"BAIK")</f>
        <v>BAIK</v>
      </c>
      <c r="V873" s="4" t="str">
        <f>IFERROR(__xludf.DUMMYFUNCTION("""COMPUTED_VALUE"""),"Tidak Ada")</f>
        <v>Tidak Ada</v>
      </c>
      <c r="W873" s="4"/>
      <c r="X873" s="4"/>
      <c r="Y873" s="4"/>
      <c r="Z873" s="4"/>
      <c r="AA873" s="4"/>
      <c r="AB873" s="4"/>
      <c r="AC873" s="4" t="str">
        <f>IFERROR(__xludf.DUMMYFUNCTION("""COMPUTED_VALUE"""),"INSPEKSI SUTM - T2_Images/64a78cf3.FOTO.132910.jpg")</f>
        <v>INSPEKSI SUTM - T2_Images/64a78cf3.FOTO.132910.jpg</v>
      </c>
      <c r="AD873" s="4"/>
      <c r="AE873" s="4"/>
      <c r="AF873" s="4" t="str">
        <f>IFERROR(__xludf.DUMMYFUNCTION("""COMPUTED_VALUE"""),"BELUM")</f>
        <v>BELUM</v>
      </c>
      <c r="AG873" s="6">
        <f>IFERROR(__xludf.DUMMYFUNCTION("""COMPUTED_VALUE"""),46107.0)</f>
        <v>46107</v>
      </c>
      <c r="AH873" s="4"/>
      <c r="AI873" s="4"/>
    </row>
    <row r="874" ht="15.75" customHeight="1">
      <c r="A874" s="4" t="str">
        <f>IFERROR(__xludf.DUMMYFUNCTION("""COMPUTED_VALUE"""),"dedf59c0")</f>
        <v>dedf59c0</v>
      </c>
      <c r="B874" s="5">
        <f>IFERROR(__xludf.DUMMYFUNCTION("""COMPUTED_VALUE"""),46107.85513888889)</f>
        <v>46107.85514</v>
      </c>
      <c r="C874" s="4" t="str">
        <f>IFERROR(__xludf.DUMMYFUNCTION("""COMPUTED_VALUE"""),"-6.946820, 107.728361")</f>
        <v>-6.946820, 107.728361</v>
      </c>
      <c r="D874" s="4" t="str">
        <f>IFERROR(__xludf.DUMMYFUNCTION("""COMPUTED_VALUE"""),"Canra hrri")</f>
        <v>Canra hrri</v>
      </c>
      <c r="E874" s="4" t="str">
        <f>IFERROR(__xludf.DUMMYFUNCTION("""COMPUTED_VALUE"""),"BANDUNG")</f>
        <v>BANDUNG</v>
      </c>
      <c r="F874" s="4" t="str">
        <f>IFERROR(__xludf.DUMMYFUNCTION("""COMPUTED_VALUE"""),"UJUNGBERUNG")</f>
        <v>UJUNGBERUNG</v>
      </c>
      <c r="G874" s="4" t="str">
        <f>IFERROR(__xludf.DUMMYFUNCTION("""COMPUTED_VALUE"""),"UJUNGBERUNG")</f>
        <v>UJUNGBERUNG</v>
      </c>
      <c r="H874" s="4" t="str">
        <f>IFERROR(__xludf.DUMMYFUNCTION("""COMPUTED_VALUE"""),"UTWU")</f>
        <v>UTWU</v>
      </c>
      <c r="I874" s="4" t="str">
        <f>IFERROR(__xludf.DUMMYFUNCTION("""COMPUTED_VALUE"""),"LBS CPR - LBS CGI")</f>
        <v>LBS CPR - LBS CGI</v>
      </c>
      <c r="J874" s="4" t="str">
        <f>IFERROR(__xludf.DUMMYFUNCTION("""COMPUTED_VALUE"""),"ZONA 2")</f>
        <v>ZONA 2</v>
      </c>
      <c r="K874" s="4" t="str">
        <f>IFERROR(__xludf.DUMMYFUNCTION("""COMPUTED_VALUE"""),"035L04L03")</f>
        <v>035L04L03</v>
      </c>
      <c r="L874" s="4" t="str">
        <f>IFERROR(__xludf.DUMMYFUNCTION("""COMPUTED_VALUE"""),"TM - 4B/H (Afspan)")</f>
        <v>TM - 4B/H (Afspan)</v>
      </c>
      <c r="M874" s="4" t="str">
        <f>IFERROR(__xludf.DUMMYFUNCTION("""COMPUTED_VALUE"""),"Tidak Ada")</f>
        <v>Tidak Ada</v>
      </c>
      <c r="N874" s="4"/>
      <c r="O874" s="4" t="str">
        <f>IFERROR(__xludf.DUMMYFUNCTION("""COMPUTED_VALUE"""),"PEMBANDING SEJENIS")</f>
        <v>PEMBANDING SEJENIS</v>
      </c>
      <c r="P874" s="4" t="str">
        <f>IFERROR(__xludf.DUMMYFUNCTION("""COMPUTED_VALUE"""),"KONEKTOR/JUMPER")</f>
        <v>KONEKTOR/JUMPER</v>
      </c>
      <c r="Q874" s="4">
        <f>IFERROR(__xludf.DUMMYFUNCTION("""COMPUTED_VALUE"""),26.0)</f>
        <v>26</v>
      </c>
      <c r="R874" s="4">
        <f>IFERROR(__xludf.DUMMYFUNCTION("""COMPUTED_VALUE"""),24.0)</f>
        <v>24</v>
      </c>
      <c r="S874" s="4">
        <f>IFERROR(__xludf.DUMMYFUNCTION("""COMPUTED_VALUE"""),26.0)</f>
        <v>26</v>
      </c>
      <c r="T874" s="4"/>
      <c r="U874" s="4" t="str">
        <f>IFERROR(__xludf.DUMMYFUNCTION("""COMPUTED_VALUE"""),"BAIK")</f>
        <v>BAIK</v>
      </c>
      <c r="V874" s="4" t="str">
        <f>IFERROR(__xludf.DUMMYFUNCTION("""COMPUTED_VALUE"""),"Tidak Ada")</f>
        <v>Tidak Ada</v>
      </c>
      <c r="W874" s="4"/>
      <c r="X874" s="4"/>
      <c r="Y874" s="4"/>
      <c r="Z874" s="4"/>
      <c r="AA874" s="4"/>
      <c r="AB874" s="4"/>
      <c r="AC874" s="4" t="str">
        <f>IFERROR(__xludf.DUMMYFUNCTION("""COMPUTED_VALUE"""),"INSPEKSI SUTM - T2_Images/dedf59c0.FOTO.133214.jpg")</f>
        <v>INSPEKSI SUTM - T2_Images/dedf59c0.FOTO.133214.jpg</v>
      </c>
      <c r="AD874" s="4"/>
      <c r="AE874" s="4"/>
      <c r="AF874" s="4" t="str">
        <f>IFERROR(__xludf.DUMMYFUNCTION("""COMPUTED_VALUE"""),"BELUM")</f>
        <v>BELUM</v>
      </c>
      <c r="AG874" s="6">
        <f>IFERROR(__xludf.DUMMYFUNCTION("""COMPUTED_VALUE"""),46107.0)</f>
        <v>46107</v>
      </c>
      <c r="AH874" s="4"/>
      <c r="AI874" s="4"/>
    </row>
    <row r="875" ht="15.75" customHeight="1">
      <c r="A875" s="4" t="str">
        <f>IFERROR(__xludf.DUMMYFUNCTION("""COMPUTED_VALUE"""),"73fb7028")</f>
        <v>73fb7028</v>
      </c>
      <c r="B875" s="5">
        <f>IFERROR(__xludf.DUMMYFUNCTION("""COMPUTED_VALUE"""),46107.85821759259)</f>
        <v>46107.85822</v>
      </c>
      <c r="C875" s="4" t="str">
        <f>IFERROR(__xludf.DUMMYFUNCTION("""COMPUTED_VALUE"""),"-6.908214, 107.702041")</f>
        <v>-6.908214, 107.702041</v>
      </c>
      <c r="D875" s="4" t="str">
        <f>IFERROR(__xludf.DUMMYFUNCTION("""COMPUTED_VALUE"""),"Canra heri")</f>
        <v>Canra heri</v>
      </c>
      <c r="E875" s="4" t="str">
        <f>IFERROR(__xludf.DUMMYFUNCTION("""COMPUTED_VALUE"""),"BANDUNG")</f>
        <v>BANDUNG</v>
      </c>
      <c r="F875" s="4" t="str">
        <f>IFERROR(__xludf.DUMMYFUNCTION("""COMPUTED_VALUE"""),"UJUNGBERUNG")</f>
        <v>UJUNGBERUNG</v>
      </c>
      <c r="G875" s="4" t="str">
        <f>IFERROR(__xludf.DUMMYFUNCTION("""COMPUTED_VALUE"""),"UJUNGBERUNG")</f>
        <v>UJUNGBERUNG</v>
      </c>
      <c r="H875" s="4" t="str">
        <f>IFERROR(__xludf.DUMMYFUNCTION("""COMPUTED_VALUE"""),"UTWU")</f>
        <v>UTWU</v>
      </c>
      <c r="I875" s="4" t="str">
        <f>IFERROR(__xludf.DUMMYFUNCTION("""COMPUTED_VALUE"""),"LBS CPR - LBS CGI")</f>
        <v>LBS CPR - LBS CGI</v>
      </c>
      <c r="J875" s="4" t="str">
        <f>IFERROR(__xludf.DUMMYFUNCTION("""COMPUTED_VALUE"""),"ZONA 2")</f>
        <v>ZONA 2</v>
      </c>
      <c r="K875" s="4" t="str">
        <f>IFERROR(__xludf.DUMMYFUNCTION("""COMPUTED_VALUE"""),"035L04L08")</f>
        <v>035L04L08</v>
      </c>
      <c r="L875" s="4" t="str">
        <f>IFERROR(__xludf.DUMMYFUNCTION("""COMPUTED_VALUE"""),"TM - 4B/H (Afspan)")</f>
        <v>TM - 4B/H (Afspan)</v>
      </c>
      <c r="M875" s="4" t="str">
        <f>IFERROR(__xludf.DUMMYFUNCTION("""COMPUTED_VALUE"""),"Tidak Ada")</f>
        <v>Tidak Ada</v>
      </c>
      <c r="N875" s="4"/>
      <c r="O875" s="4" t="str">
        <f>IFERROR(__xludf.DUMMYFUNCTION("""COMPUTED_VALUE"""),"PEMBANDING SEJENIS")</f>
        <v>PEMBANDING SEJENIS</v>
      </c>
      <c r="P875" s="4" t="str">
        <f>IFERROR(__xludf.DUMMYFUNCTION("""COMPUTED_VALUE"""),"KONEKTOR/JUMPER")</f>
        <v>KONEKTOR/JUMPER</v>
      </c>
      <c r="Q875" s="4">
        <f>IFERROR(__xludf.DUMMYFUNCTION("""COMPUTED_VALUE"""),27.0)</f>
        <v>27</v>
      </c>
      <c r="R875" s="4">
        <f>IFERROR(__xludf.DUMMYFUNCTION("""COMPUTED_VALUE"""),27.0)</f>
        <v>27</v>
      </c>
      <c r="S875" s="4">
        <f>IFERROR(__xludf.DUMMYFUNCTION("""COMPUTED_VALUE"""),26.0)</f>
        <v>26</v>
      </c>
      <c r="T875" s="4"/>
      <c r="U875" s="4" t="str">
        <f>IFERROR(__xludf.DUMMYFUNCTION("""COMPUTED_VALUE"""),"BAIK")</f>
        <v>BAIK</v>
      </c>
      <c r="V875" s="4" t="str">
        <f>IFERROR(__xludf.DUMMYFUNCTION("""COMPUTED_VALUE"""),"Tidak Ada")</f>
        <v>Tidak Ada</v>
      </c>
      <c r="W875" s="4"/>
      <c r="X875" s="4"/>
      <c r="Y875" s="4"/>
      <c r="Z875" s="4"/>
      <c r="AA875" s="4"/>
      <c r="AB875" s="4"/>
      <c r="AC875" s="4" t="str">
        <f>IFERROR(__xludf.DUMMYFUNCTION("""COMPUTED_VALUE"""),"INSPEKSI SUTM - T2_Images/73fb7028.FOTO.133646.jpg")</f>
        <v>INSPEKSI SUTM - T2_Images/73fb7028.FOTO.133646.jpg</v>
      </c>
      <c r="AD875" s="4"/>
      <c r="AE875" s="4"/>
      <c r="AF875" s="4" t="str">
        <f>IFERROR(__xludf.DUMMYFUNCTION("""COMPUTED_VALUE"""),"BELUM")</f>
        <v>BELUM</v>
      </c>
      <c r="AG875" s="6">
        <f>IFERROR(__xludf.DUMMYFUNCTION("""COMPUTED_VALUE"""),46107.0)</f>
        <v>46107</v>
      </c>
      <c r="AH875" s="4"/>
      <c r="AI875" s="4"/>
    </row>
    <row r="876" ht="15.75" customHeight="1">
      <c r="A876" s="4" t="str">
        <f>IFERROR(__xludf.DUMMYFUNCTION("""COMPUTED_VALUE"""),"2902ad47")</f>
        <v>2902ad47</v>
      </c>
      <c r="B876" s="5">
        <f>IFERROR(__xludf.DUMMYFUNCTION("""COMPUTED_VALUE"""),46107.859814814816)</f>
        <v>46107.85981</v>
      </c>
      <c r="C876" s="4" t="str">
        <f>IFERROR(__xludf.DUMMYFUNCTION("""COMPUTED_VALUE"""),"-6.907573, 107.700522")</f>
        <v>-6.907573, 107.700522</v>
      </c>
      <c r="D876" s="4" t="str">
        <f>IFERROR(__xludf.DUMMYFUNCTION("""COMPUTED_VALUE"""),"Canrs heri")</f>
        <v>Canrs heri</v>
      </c>
      <c r="E876" s="4" t="str">
        <f>IFERROR(__xludf.DUMMYFUNCTION("""COMPUTED_VALUE"""),"BANDUNG")</f>
        <v>BANDUNG</v>
      </c>
      <c r="F876" s="4" t="str">
        <f>IFERROR(__xludf.DUMMYFUNCTION("""COMPUTED_VALUE"""),"UJUNGBERUNG")</f>
        <v>UJUNGBERUNG</v>
      </c>
      <c r="G876" s="4" t="str">
        <f>IFERROR(__xludf.DUMMYFUNCTION("""COMPUTED_VALUE"""),"UJUNGBERUNG")</f>
        <v>UJUNGBERUNG</v>
      </c>
      <c r="H876" s="4" t="str">
        <f>IFERROR(__xludf.DUMMYFUNCTION("""COMPUTED_VALUE"""),"UTWU")</f>
        <v>UTWU</v>
      </c>
      <c r="I876" s="4" t="str">
        <f>IFERROR(__xludf.DUMMYFUNCTION("""COMPUTED_VALUE"""),"LBS CPR - LBS CGI")</f>
        <v>LBS CPR - LBS CGI</v>
      </c>
      <c r="J876" s="4" t="str">
        <f>IFERROR(__xludf.DUMMYFUNCTION("""COMPUTED_VALUE"""),"ZONA 2")</f>
        <v>ZONA 2</v>
      </c>
      <c r="K876" s="4" t="str">
        <f>IFERROR(__xludf.DUMMYFUNCTION("""COMPUTED_VALUE"""),"035L04L014")</f>
        <v>035L04L014</v>
      </c>
      <c r="L876" s="4" t="str">
        <f>IFERROR(__xludf.DUMMYFUNCTION("""COMPUTED_VALUE"""),"TM - 7B/H (Afspan 90 Derajat)")</f>
        <v>TM - 7B/H (Afspan 90 Derajat)</v>
      </c>
      <c r="M876" s="4" t="str">
        <f>IFERROR(__xludf.DUMMYFUNCTION("""COMPUTED_VALUE"""),"Tidak Ada")</f>
        <v>Tidak Ada</v>
      </c>
      <c r="N876" s="4"/>
      <c r="O876" s="4" t="str">
        <f>IFERROR(__xludf.DUMMYFUNCTION("""COMPUTED_VALUE"""),"PEMBANDING SEJENIS")</f>
        <v>PEMBANDING SEJENIS</v>
      </c>
      <c r="P876" s="4" t="str">
        <f>IFERROR(__xludf.DUMMYFUNCTION("""COMPUTED_VALUE"""),"KONEKTOR/JUMPER")</f>
        <v>KONEKTOR/JUMPER</v>
      </c>
      <c r="Q876" s="4">
        <f>IFERROR(__xludf.DUMMYFUNCTION("""COMPUTED_VALUE"""),25.0)</f>
        <v>25</v>
      </c>
      <c r="R876" s="4">
        <f>IFERROR(__xludf.DUMMYFUNCTION("""COMPUTED_VALUE"""),24.0)</f>
        <v>24</v>
      </c>
      <c r="S876" s="4">
        <f>IFERROR(__xludf.DUMMYFUNCTION("""COMPUTED_VALUE"""),25.0)</f>
        <v>25</v>
      </c>
      <c r="T876" s="4"/>
      <c r="U876" s="4" t="str">
        <f>IFERROR(__xludf.DUMMYFUNCTION("""COMPUTED_VALUE"""),"BAIK")</f>
        <v>BAIK</v>
      </c>
      <c r="V876" s="4" t="str">
        <f>IFERROR(__xludf.DUMMYFUNCTION("""COMPUTED_VALUE"""),"Tidak Ada")</f>
        <v>Tidak Ada</v>
      </c>
      <c r="W876" s="4"/>
      <c r="X876" s="4"/>
      <c r="Y876" s="4"/>
      <c r="Z876" s="4"/>
      <c r="AA876" s="4"/>
      <c r="AB876" s="4"/>
      <c r="AC876" s="4" t="str">
        <f>IFERROR(__xludf.DUMMYFUNCTION("""COMPUTED_VALUE"""),"INSPEKSI SUTM - T2_Images/2902ad47.FOTO.133912.jpg")</f>
        <v>INSPEKSI SUTM - T2_Images/2902ad47.FOTO.133912.jpg</v>
      </c>
      <c r="AD876" s="4"/>
      <c r="AE876" s="4"/>
      <c r="AF876" s="4" t="str">
        <f>IFERROR(__xludf.DUMMYFUNCTION("""COMPUTED_VALUE"""),"BELUM")</f>
        <v>BELUM</v>
      </c>
      <c r="AG876" s="6">
        <f>IFERROR(__xludf.DUMMYFUNCTION("""COMPUTED_VALUE"""),46107.0)</f>
        <v>46107</v>
      </c>
      <c r="AH876" s="4"/>
      <c r="AI876" s="4"/>
    </row>
    <row r="877" ht="15.75" customHeight="1">
      <c r="A877" s="4" t="str">
        <f>IFERROR(__xludf.DUMMYFUNCTION("""COMPUTED_VALUE"""),"9e235b73")</f>
        <v>9e235b73</v>
      </c>
      <c r="B877" s="5">
        <f>IFERROR(__xludf.DUMMYFUNCTION("""COMPUTED_VALUE"""),46107.86126157407)</f>
        <v>46107.86126</v>
      </c>
      <c r="C877" s="4" t="str">
        <f>IFERROR(__xludf.DUMMYFUNCTION("""COMPUTED_VALUE"""),"-6.907727, 107.700359")</f>
        <v>-6.907727, 107.700359</v>
      </c>
      <c r="D877" s="4" t="str">
        <f>IFERROR(__xludf.DUMMYFUNCTION("""COMPUTED_VALUE"""),"Canra heri")</f>
        <v>Canra heri</v>
      </c>
      <c r="E877" s="4" t="str">
        <f>IFERROR(__xludf.DUMMYFUNCTION("""COMPUTED_VALUE"""),"BANDUNG")</f>
        <v>BANDUNG</v>
      </c>
      <c r="F877" s="4" t="str">
        <f>IFERROR(__xludf.DUMMYFUNCTION("""COMPUTED_VALUE"""),"UJUNGBERUNG")</f>
        <v>UJUNGBERUNG</v>
      </c>
      <c r="G877" s="4" t="str">
        <f>IFERROR(__xludf.DUMMYFUNCTION("""COMPUTED_VALUE"""),"UJUNGBERUNG")</f>
        <v>UJUNGBERUNG</v>
      </c>
      <c r="H877" s="4" t="str">
        <f>IFERROR(__xludf.DUMMYFUNCTION("""COMPUTED_VALUE"""),"UTWU")</f>
        <v>UTWU</v>
      </c>
      <c r="I877" s="4" t="str">
        <f>IFERROR(__xludf.DUMMYFUNCTION("""COMPUTED_VALUE"""),"LBS CPR - LBS CGI")</f>
        <v>LBS CPR - LBS CGI</v>
      </c>
      <c r="J877" s="4" t="str">
        <f>IFERROR(__xludf.DUMMYFUNCTION("""COMPUTED_VALUE"""),"ZONA 2")</f>
        <v>ZONA 2</v>
      </c>
      <c r="K877" s="4" t="str">
        <f>IFERROR(__xludf.DUMMYFUNCTION("""COMPUTED_VALUE"""),"035L04L015")</f>
        <v>035L04L015</v>
      </c>
      <c r="L877" s="4" t="str">
        <f>IFERROR(__xludf.DUMMYFUNCTION("""COMPUTED_VALUE"""),"TM - 8B/H (Percabangan)")</f>
        <v>TM - 8B/H (Percabangan)</v>
      </c>
      <c r="M877" s="4" t="str">
        <f>IFERROR(__xludf.DUMMYFUNCTION("""COMPUTED_VALUE"""),"Tidak Ada")</f>
        <v>Tidak Ada</v>
      </c>
      <c r="N877" s="4"/>
      <c r="O877" s="4" t="str">
        <f>IFERROR(__xludf.DUMMYFUNCTION("""COMPUTED_VALUE"""),"PEMBANDING SEJENIS")</f>
        <v>PEMBANDING SEJENIS</v>
      </c>
      <c r="P877" s="4" t="str">
        <f>IFERROR(__xludf.DUMMYFUNCTION("""COMPUTED_VALUE"""),"KONEKTOR/JUMPER")</f>
        <v>KONEKTOR/JUMPER</v>
      </c>
      <c r="Q877" s="4">
        <f>IFERROR(__xludf.DUMMYFUNCTION("""COMPUTED_VALUE"""),25.0)</f>
        <v>25</v>
      </c>
      <c r="R877" s="4">
        <f>IFERROR(__xludf.DUMMYFUNCTION("""COMPUTED_VALUE"""),26.0)</f>
        <v>26</v>
      </c>
      <c r="S877" s="4">
        <f>IFERROR(__xludf.DUMMYFUNCTION("""COMPUTED_VALUE"""),26.0)</f>
        <v>26</v>
      </c>
      <c r="T877" s="4"/>
      <c r="U877" s="4" t="str">
        <f>IFERROR(__xludf.DUMMYFUNCTION("""COMPUTED_VALUE"""),"BAIK")</f>
        <v>BAIK</v>
      </c>
      <c r="V877" s="4" t="str">
        <f>IFERROR(__xludf.DUMMYFUNCTION("""COMPUTED_VALUE"""),"Tidak Ada")</f>
        <v>Tidak Ada</v>
      </c>
      <c r="W877" s="4"/>
      <c r="X877" s="4"/>
      <c r="Y877" s="4"/>
      <c r="Z877" s="4"/>
      <c r="AA877" s="4"/>
      <c r="AB877" s="4"/>
      <c r="AC877" s="4" t="str">
        <f>IFERROR(__xludf.DUMMYFUNCTION("""COMPUTED_VALUE"""),"INSPEKSI SUTM - T2_Images/9e235b73.FOTO.134106.jpg")</f>
        <v>INSPEKSI SUTM - T2_Images/9e235b73.FOTO.134106.jpg</v>
      </c>
      <c r="AD877" s="4"/>
      <c r="AE877" s="4"/>
      <c r="AF877" s="4" t="str">
        <f>IFERROR(__xludf.DUMMYFUNCTION("""COMPUTED_VALUE"""),"BELUM")</f>
        <v>BELUM</v>
      </c>
      <c r="AG877" s="6">
        <f>IFERROR(__xludf.DUMMYFUNCTION("""COMPUTED_VALUE"""),46107.0)</f>
        <v>46107</v>
      </c>
      <c r="AH877" s="4"/>
      <c r="AI877" s="4"/>
    </row>
    <row r="878" ht="15.75" customHeight="1">
      <c r="A878" s="4" t="str">
        <f>IFERROR(__xludf.DUMMYFUNCTION("""COMPUTED_VALUE"""),"bc939d15")</f>
        <v>bc939d15</v>
      </c>
      <c r="B878" s="5">
        <f>IFERROR(__xludf.DUMMYFUNCTION("""COMPUTED_VALUE"""),46107.86247685185)</f>
        <v>46107.86248</v>
      </c>
      <c r="C878" s="4" t="str">
        <f>IFERROR(__xludf.DUMMYFUNCTION("""COMPUTED_VALUE"""),"-6.906557, 107.700430")</f>
        <v>-6.906557, 107.700430</v>
      </c>
      <c r="D878" s="4" t="str">
        <f>IFERROR(__xludf.DUMMYFUNCTION("""COMPUTED_VALUE"""),"Canra heri")</f>
        <v>Canra heri</v>
      </c>
      <c r="E878" s="4" t="str">
        <f>IFERROR(__xludf.DUMMYFUNCTION("""COMPUTED_VALUE"""),"BANDUNG")</f>
        <v>BANDUNG</v>
      </c>
      <c r="F878" s="4" t="str">
        <f>IFERROR(__xludf.DUMMYFUNCTION("""COMPUTED_VALUE"""),"UJUNGBERUNG")</f>
        <v>UJUNGBERUNG</v>
      </c>
      <c r="G878" s="4" t="str">
        <f>IFERROR(__xludf.DUMMYFUNCTION("""COMPUTED_VALUE"""),"UJUNGBERUNG")</f>
        <v>UJUNGBERUNG</v>
      </c>
      <c r="H878" s="4" t="str">
        <f>IFERROR(__xludf.DUMMYFUNCTION("""COMPUTED_VALUE"""),"UTWU")</f>
        <v>UTWU</v>
      </c>
      <c r="I878" s="4" t="str">
        <f>IFERROR(__xludf.DUMMYFUNCTION("""COMPUTED_VALUE"""),"LBS CPR - LBS CGI")</f>
        <v>LBS CPR - LBS CGI</v>
      </c>
      <c r="J878" s="4" t="str">
        <f>IFERROR(__xludf.DUMMYFUNCTION("""COMPUTED_VALUE"""),"ZONA 2")</f>
        <v>ZONA 2</v>
      </c>
      <c r="K878" s="4" t="str">
        <f>IFERROR(__xludf.DUMMYFUNCTION("""COMPUTED_VALUE"""),"035L04L020")</f>
        <v>035L04L020</v>
      </c>
      <c r="L878" s="4" t="str">
        <f>IFERROR(__xludf.DUMMYFUNCTION("""COMPUTED_VALUE"""),"TM - 7B/H (Afspan 90 Derajat)")</f>
        <v>TM - 7B/H (Afspan 90 Derajat)</v>
      </c>
      <c r="M878" s="4" t="str">
        <f>IFERROR(__xludf.DUMMYFUNCTION("""COMPUTED_VALUE"""),"Tidak Ada")</f>
        <v>Tidak Ada</v>
      </c>
      <c r="N878" s="4"/>
      <c r="O878" s="4" t="str">
        <f>IFERROR(__xludf.DUMMYFUNCTION("""COMPUTED_VALUE"""),"PEMBANDING SEJENIS")</f>
        <v>PEMBANDING SEJENIS</v>
      </c>
      <c r="P878" s="4" t="str">
        <f>IFERROR(__xludf.DUMMYFUNCTION("""COMPUTED_VALUE"""),"KONEKTOR/JUMPER")</f>
        <v>KONEKTOR/JUMPER</v>
      </c>
      <c r="Q878" s="4">
        <f>IFERROR(__xludf.DUMMYFUNCTION("""COMPUTED_VALUE"""),23.0)</f>
        <v>23</v>
      </c>
      <c r="R878" s="4">
        <f>IFERROR(__xludf.DUMMYFUNCTION("""COMPUTED_VALUE"""),22.0)</f>
        <v>22</v>
      </c>
      <c r="S878" s="4">
        <f>IFERROR(__xludf.DUMMYFUNCTION("""COMPUTED_VALUE"""),22.0)</f>
        <v>22</v>
      </c>
      <c r="T878" s="4"/>
      <c r="U878" s="4" t="str">
        <f>IFERROR(__xludf.DUMMYFUNCTION("""COMPUTED_VALUE"""),"BAIK")</f>
        <v>BAIK</v>
      </c>
      <c r="V878" s="4" t="str">
        <f>IFERROR(__xludf.DUMMYFUNCTION("""COMPUTED_VALUE"""),"Tidak Ada")</f>
        <v>Tidak Ada</v>
      </c>
      <c r="W878" s="4"/>
      <c r="X878" s="4"/>
      <c r="Y878" s="4"/>
      <c r="Z878" s="4"/>
      <c r="AA878" s="4"/>
      <c r="AB878" s="4"/>
      <c r="AC878" s="4" t="str">
        <f>IFERROR(__xludf.DUMMYFUNCTION("""COMPUTED_VALUE"""),"INSPEKSI SUTM - T2_Images/bc939d15.FOTO.134244.jpg")</f>
        <v>INSPEKSI SUTM - T2_Images/bc939d15.FOTO.134244.jpg</v>
      </c>
      <c r="AD878" s="4"/>
      <c r="AE878" s="4"/>
      <c r="AF878" s="4" t="str">
        <f>IFERROR(__xludf.DUMMYFUNCTION("""COMPUTED_VALUE"""),"BELUM")</f>
        <v>BELUM</v>
      </c>
      <c r="AG878" s="6">
        <f>IFERROR(__xludf.DUMMYFUNCTION("""COMPUTED_VALUE"""),46107.0)</f>
        <v>46107</v>
      </c>
      <c r="AH878" s="4"/>
      <c r="AI878" s="4"/>
    </row>
    <row r="879" ht="15.75" customHeight="1">
      <c r="A879" s="4" t="str">
        <f>IFERROR(__xludf.DUMMYFUNCTION("""COMPUTED_VALUE"""),"97e5aefb")</f>
        <v>97e5aefb</v>
      </c>
      <c r="B879" s="5">
        <f>IFERROR(__xludf.DUMMYFUNCTION("""COMPUTED_VALUE"""),46107.86357638889)</f>
        <v>46107.86358</v>
      </c>
      <c r="C879" s="4" t="str">
        <f>IFERROR(__xludf.DUMMYFUNCTION("""COMPUTED_VALUE"""),"-6.906363, 107.699608")</f>
        <v>-6.906363, 107.699608</v>
      </c>
      <c r="D879" s="4" t="str">
        <f>IFERROR(__xludf.DUMMYFUNCTION("""COMPUTED_VALUE"""),"Canra heei")</f>
        <v>Canra heei</v>
      </c>
      <c r="E879" s="4" t="str">
        <f>IFERROR(__xludf.DUMMYFUNCTION("""COMPUTED_VALUE"""),"BANDUNG")</f>
        <v>BANDUNG</v>
      </c>
      <c r="F879" s="4" t="str">
        <f>IFERROR(__xludf.DUMMYFUNCTION("""COMPUTED_VALUE"""),"UJUNGBERUNG")</f>
        <v>UJUNGBERUNG</v>
      </c>
      <c r="G879" s="4" t="str">
        <f>IFERROR(__xludf.DUMMYFUNCTION("""COMPUTED_VALUE"""),"UJUNGBERUNG")</f>
        <v>UJUNGBERUNG</v>
      </c>
      <c r="H879" s="4" t="str">
        <f>IFERROR(__xludf.DUMMYFUNCTION("""COMPUTED_VALUE"""),"UTWU")</f>
        <v>UTWU</v>
      </c>
      <c r="I879" s="4" t="str">
        <f>IFERROR(__xludf.DUMMYFUNCTION("""COMPUTED_VALUE"""),"LBS CPR - LBS CGI")</f>
        <v>LBS CPR - LBS CGI</v>
      </c>
      <c r="J879" s="4" t="str">
        <f>IFERROR(__xludf.DUMMYFUNCTION("""COMPUTED_VALUE"""),"ZONA 2")</f>
        <v>ZONA 2</v>
      </c>
      <c r="K879" s="4" t="str">
        <f>IFERROR(__xludf.DUMMYFUNCTION("""COMPUTED_VALUE"""),"035L04L024")</f>
        <v>035L04L024</v>
      </c>
      <c r="L879" s="4" t="str">
        <f>IFERROR(__xludf.DUMMYFUNCTION("""COMPUTED_VALUE"""),"TM - 7B/H (Afspan 90 Derajat)")</f>
        <v>TM - 7B/H (Afspan 90 Derajat)</v>
      </c>
      <c r="M879" s="4" t="str">
        <f>IFERROR(__xludf.DUMMYFUNCTION("""COMPUTED_VALUE"""),"Tidak Ada")</f>
        <v>Tidak Ada</v>
      </c>
      <c r="N879" s="4"/>
      <c r="O879" s="4" t="str">
        <f>IFERROR(__xludf.DUMMYFUNCTION("""COMPUTED_VALUE"""),"PEMBANDING SEJENIS")</f>
        <v>PEMBANDING SEJENIS</v>
      </c>
      <c r="P879" s="4" t="str">
        <f>IFERROR(__xludf.DUMMYFUNCTION("""COMPUTED_VALUE"""),"KONEKTOR/JUMPER")</f>
        <v>KONEKTOR/JUMPER</v>
      </c>
      <c r="Q879" s="4">
        <f>IFERROR(__xludf.DUMMYFUNCTION("""COMPUTED_VALUE"""),21.0)</f>
        <v>21</v>
      </c>
      <c r="R879" s="4">
        <f>IFERROR(__xludf.DUMMYFUNCTION("""COMPUTED_VALUE"""),22.0)</f>
        <v>22</v>
      </c>
      <c r="S879" s="4">
        <f>IFERROR(__xludf.DUMMYFUNCTION("""COMPUTED_VALUE"""),23.0)</f>
        <v>23</v>
      </c>
      <c r="T879" s="4"/>
      <c r="U879" s="4" t="str">
        <f>IFERROR(__xludf.DUMMYFUNCTION("""COMPUTED_VALUE"""),"BAIK")</f>
        <v>BAIK</v>
      </c>
      <c r="V879" s="4" t="str">
        <f>IFERROR(__xludf.DUMMYFUNCTION("""COMPUTED_VALUE"""),"Tidak Ada")</f>
        <v>Tidak Ada</v>
      </c>
      <c r="W879" s="4"/>
      <c r="X879" s="4"/>
      <c r="Y879" s="4"/>
      <c r="Z879" s="4"/>
      <c r="AA879" s="4"/>
      <c r="AB879" s="4"/>
      <c r="AC879" s="4" t="str">
        <f>IFERROR(__xludf.DUMMYFUNCTION("""COMPUTED_VALUE"""),"INSPEKSI SUTM - T2_Images/97e5aefb.FOTO.134420.jpg")</f>
        <v>INSPEKSI SUTM - T2_Images/97e5aefb.FOTO.134420.jpg</v>
      </c>
      <c r="AD879" s="4"/>
      <c r="AE879" s="4"/>
      <c r="AF879" s="4" t="str">
        <f>IFERROR(__xludf.DUMMYFUNCTION("""COMPUTED_VALUE"""),"BELUM")</f>
        <v>BELUM</v>
      </c>
      <c r="AG879" s="6">
        <f>IFERROR(__xludf.DUMMYFUNCTION("""COMPUTED_VALUE"""),46107.0)</f>
        <v>46107</v>
      </c>
      <c r="AH879" s="4"/>
      <c r="AI879" s="4"/>
    </row>
    <row r="880" ht="15.75" customHeight="1">
      <c r="A880" s="4" t="str">
        <f>IFERROR(__xludf.DUMMYFUNCTION("""COMPUTED_VALUE"""),"e167ad3e")</f>
        <v>e167ad3e</v>
      </c>
      <c r="B880" s="5">
        <f>IFERROR(__xludf.DUMMYFUNCTION("""COMPUTED_VALUE"""),46107.86457175926)</f>
        <v>46107.86457</v>
      </c>
      <c r="C880" s="4" t="str">
        <f>IFERROR(__xludf.DUMMYFUNCTION("""COMPUTED_VALUE"""),"-6.905589, 107.699666")</f>
        <v>-6.905589, 107.699666</v>
      </c>
      <c r="D880" s="4" t="str">
        <f>IFERROR(__xludf.DUMMYFUNCTION("""COMPUTED_VALUE"""),"Canra heei")</f>
        <v>Canra heei</v>
      </c>
      <c r="E880" s="4" t="str">
        <f>IFERROR(__xludf.DUMMYFUNCTION("""COMPUTED_VALUE"""),"BANDUNG")</f>
        <v>BANDUNG</v>
      </c>
      <c r="F880" s="4" t="str">
        <f>IFERROR(__xludf.DUMMYFUNCTION("""COMPUTED_VALUE"""),"UJUNGBERUNG")</f>
        <v>UJUNGBERUNG</v>
      </c>
      <c r="G880" s="4" t="str">
        <f>IFERROR(__xludf.DUMMYFUNCTION("""COMPUTED_VALUE"""),"UJUNGBERUNG")</f>
        <v>UJUNGBERUNG</v>
      </c>
      <c r="H880" s="4" t="str">
        <f>IFERROR(__xludf.DUMMYFUNCTION("""COMPUTED_VALUE"""),"UTWU")</f>
        <v>UTWU</v>
      </c>
      <c r="I880" s="4" t="str">
        <f>IFERROR(__xludf.DUMMYFUNCTION("""COMPUTED_VALUE"""),"LBS CPR - LBS CGI")</f>
        <v>LBS CPR - LBS CGI</v>
      </c>
      <c r="J880" s="4" t="str">
        <f>IFERROR(__xludf.DUMMYFUNCTION("""COMPUTED_VALUE"""),"ZONA 2")</f>
        <v>ZONA 2</v>
      </c>
      <c r="K880" s="4" t="str">
        <f>IFERROR(__xludf.DUMMYFUNCTION("""COMPUTED_VALUE"""),"035L04L027")</f>
        <v>035L04L027</v>
      </c>
      <c r="L880" s="4" t="str">
        <f>IFERROR(__xludf.DUMMYFUNCTION("""COMPUTED_VALUE"""),"TM - 2B/H (Double Tumpu)")</f>
        <v>TM - 2B/H (Double Tumpu)</v>
      </c>
      <c r="M880" s="4" t="str">
        <f>IFERROR(__xludf.DUMMYFUNCTION("""COMPUTED_VALUE"""),"Tidak Ada")</f>
        <v>Tidak Ada</v>
      </c>
      <c r="N880" s="4"/>
      <c r="O880" s="4" t="str">
        <f>IFERROR(__xludf.DUMMYFUNCTION("""COMPUTED_VALUE"""),"PEMBANDING SEJENIS")</f>
        <v>PEMBANDING SEJENIS</v>
      </c>
      <c r="P880" s="4" t="str">
        <f>IFERROR(__xludf.DUMMYFUNCTION("""COMPUTED_VALUE"""),"ARRESTER")</f>
        <v>ARRESTER</v>
      </c>
      <c r="Q880" s="4">
        <f>IFERROR(__xludf.DUMMYFUNCTION("""COMPUTED_VALUE"""),22.0)</f>
        <v>22</v>
      </c>
      <c r="R880" s="4">
        <f>IFERROR(__xludf.DUMMYFUNCTION("""COMPUTED_VALUE"""),21.0)</f>
        <v>21</v>
      </c>
      <c r="S880" s="4">
        <f>IFERROR(__xludf.DUMMYFUNCTION("""COMPUTED_VALUE"""),21.0)</f>
        <v>21</v>
      </c>
      <c r="T880" s="4"/>
      <c r="U880" s="4" t="str">
        <f>IFERROR(__xludf.DUMMYFUNCTION("""COMPUTED_VALUE"""),"BAIK")</f>
        <v>BAIK</v>
      </c>
      <c r="V880" s="4" t="str">
        <f>IFERROR(__xludf.DUMMYFUNCTION("""COMPUTED_VALUE"""),"Tidak Ada")</f>
        <v>Tidak Ada</v>
      </c>
      <c r="W880" s="4"/>
      <c r="X880" s="4"/>
      <c r="Y880" s="4"/>
      <c r="Z880" s="4"/>
      <c r="AA880" s="4"/>
      <c r="AB880" s="4"/>
      <c r="AC880" s="4" t="str">
        <f>IFERROR(__xludf.DUMMYFUNCTION("""COMPUTED_VALUE"""),"INSPEKSI SUTM - T2_Images/e167ad3e.FOTO.134548.jpg")</f>
        <v>INSPEKSI SUTM - T2_Images/e167ad3e.FOTO.134548.jpg</v>
      </c>
      <c r="AD880" s="4"/>
      <c r="AE880" s="4"/>
      <c r="AF880" s="4" t="str">
        <f>IFERROR(__xludf.DUMMYFUNCTION("""COMPUTED_VALUE"""),"BELUM")</f>
        <v>BELUM</v>
      </c>
      <c r="AG880" s="6">
        <f>IFERROR(__xludf.DUMMYFUNCTION("""COMPUTED_VALUE"""),46107.0)</f>
        <v>46107</v>
      </c>
      <c r="AH880" s="4"/>
      <c r="AI880" s="4"/>
    </row>
    <row r="881" ht="15.75" customHeight="1">
      <c r="A881" s="4" t="str">
        <f>IFERROR(__xludf.DUMMYFUNCTION("""COMPUTED_VALUE"""),"a79a938d")</f>
        <v>a79a938d</v>
      </c>
      <c r="B881" s="5">
        <f>IFERROR(__xludf.DUMMYFUNCTION("""COMPUTED_VALUE"""),46107.86565972222)</f>
        <v>46107.86566</v>
      </c>
      <c r="C881" s="4" t="str">
        <f>IFERROR(__xludf.DUMMYFUNCTION("""COMPUTED_VALUE"""),"-6.905261, 107.699785")</f>
        <v>-6.905261, 107.699785</v>
      </c>
      <c r="D881" s="4" t="str">
        <f>IFERROR(__xludf.DUMMYFUNCTION("""COMPUTED_VALUE"""),"Canra heei")</f>
        <v>Canra heei</v>
      </c>
      <c r="E881" s="4" t="str">
        <f>IFERROR(__xludf.DUMMYFUNCTION("""COMPUTED_VALUE"""),"BANDUNG")</f>
        <v>BANDUNG</v>
      </c>
      <c r="F881" s="4" t="str">
        <f>IFERROR(__xludf.DUMMYFUNCTION("""COMPUTED_VALUE"""),"UJUNGBERUNG")</f>
        <v>UJUNGBERUNG</v>
      </c>
      <c r="G881" s="4" t="str">
        <f>IFERROR(__xludf.DUMMYFUNCTION("""COMPUTED_VALUE"""),"UJUNGBERUNG")</f>
        <v>UJUNGBERUNG</v>
      </c>
      <c r="H881" s="4" t="str">
        <f>IFERROR(__xludf.DUMMYFUNCTION("""COMPUTED_VALUE"""),"UTWU")</f>
        <v>UTWU</v>
      </c>
      <c r="I881" s="4" t="str">
        <f>IFERROR(__xludf.DUMMYFUNCTION("""COMPUTED_VALUE"""),"LBS CPR - LBS CGI")</f>
        <v>LBS CPR - LBS CGI</v>
      </c>
      <c r="J881" s="4" t="str">
        <f>IFERROR(__xludf.DUMMYFUNCTION("""COMPUTED_VALUE"""),"ZONA 2")</f>
        <v>ZONA 2</v>
      </c>
      <c r="K881" s="4" t="str">
        <f>IFERROR(__xludf.DUMMYFUNCTION("""COMPUTED_VALUE"""),"035L04L028")</f>
        <v>035L04L028</v>
      </c>
      <c r="L881" s="4" t="str">
        <f>IFERROR(__xludf.DUMMYFUNCTION("""COMPUTED_VALUE"""),"TM - 7B/H (Afspan 90 Derajat)")</f>
        <v>TM - 7B/H (Afspan 90 Derajat)</v>
      </c>
      <c r="M881" s="4" t="str">
        <f>IFERROR(__xludf.DUMMYFUNCTION("""COMPUTED_VALUE"""),"Tidak Ada")</f>
        <v>Tidak Ada</v>
      </c>
      <c r="N881" s="4"/>
      <c r="O881" s="4" t="str">
        <f>IFERROR(__xludf.DUMMYFUNCTION("""COMPUTED_VALUE"""),"PEMBANDING SEJENIS")</f>
        <v>PEMBANDING SEJENIS</v>
      </c>
      <c r="P881" s="4" t="str">
        <f>IFERROR(__xludf.DUMMYFUNCTION("""COMPUTED_VALUE"""),"KONEKTOR/JUMPER")</f>
        <v>KONEKTOR/JUMPER</v>
      </c>
      <c r="Q881" s="4">
        <f>IFERROR(__xludf.DUMMYFUNCTION("""COMPUTED_VALUE"""),22.0)</f>
        <v>22</v>
      </c>
      <c r="R881" s="4">
        <f>IFERROR(__xludf.DUMMYFUNCTION("""COMPUTED_VALUE"""),22.0)</f>
        <v>22</v>
      </c>
      <c r="S881" s="4">
        <f>IFERROR(__xludf.DUMMYFUNCTION("""COMPUTED_VALUE"""),21.0)</f>
        <v>21</v>
      </c>
      <c r="T881" s="4"/>
      <c r="U881" s="4" t="str">
        <f>IFERROR(__xludf.DUMMYFUNCTION("""COMPUTED_VALUE"""),"BAIK")</f>
        <v>BAIK</v>
      </c>
      <c r="V881" s="4" t="str">
        <f>IFERROR(__xludf.DUMMYFUNCTION("""COMPUTED_VALUE"""),"Tidak Ada")</f>
        <v>Tidak Ada</v>
      </c>
      <c r="W881" s="4"/>
      <c r="X881" s="4"/>
      <c r="Y881" s="4"/>
      <c r="Z881" s="4"/>
      <c r="AA881" s="4"/>
      <c r="AB881" s="4"/>
      <c r="AC881" s="4" t="str">
        <f>IFERROR(__xludf.DUMMYFUNCTION("""COMPUTED_VALUE"""),"INSPEKSI SUTM - T2_Images/a79a938d.FOTO.134719.jpg")</f>
        <v>INSPEKSI SUTM - T2_Images/a79a938d.FOTO.134719.jpg</v>
      </c>
      <c r="AD881" s="4"/>
      <c r="AE881" s="4"/>
      <c r="AF881" s="4" t="str">
        <f>IFERROR(__xludf.DUMMYFUNCTION("""COMPUTED_VALUE"""),"BELUM")</f>
        <v>BELUM</v>
      </c>
      <c r="AG881" s="6">
        <f>IFERROR(__xludf.DUMMYFUNCTION("""COMPUTED_VALUE"""),46107.0)</f>
        <v>46107</v>
      </c>
      <c r="AH881" s="4"/>
      <c r="AI881" s="4"/>
    </row>
    <row r="882" ht="15.75" customHeight="1">
      <c r="A882" s="4" t="str">
        <f>IFERROR(__xludf.DUMMYFUNCTION("""COMPUTED_VALUE"""),"13c3e809")</f>
        <v>13c3e809</v>
      </c>
      <c r="B882" s="5">
        <f>IFERROR(__xludf.DUMMYFUNCTION("""COMPUTED_VALUE"""),46107.86645833333)</f>
        <v>46107.86646</v>
      </c>
      <c r="C882" s="4" t="str">
        <f>IFERROR(__xludf.DUMMYFUNCTION("""COMPUTED_VALUE"""),"-6.907929, 107.688521")</f>
        <v>-6.907929, 107.688521</v>
      </c>
      <c r="D882" s="4" t="str">
        <f>IFERROR(__xludf.DUMMYFUNCTION("""COMPUTED_VALUE"""),"Canra heri")</f>
        <v>Canra heri</v>
      </c>
      <c r="E882" s="4" t="str">
        <f>IFERROR(__xludf.DUMMYFUNCTION("""COMPUTED_VALUE"""),"BANDUNG")</f>
        <v>BANDUNG</v>
      </c>
      <c r="F882" s="4" t="str">
        <f>IFERROR(__xludf.DUMMYFUNCTION("""COMPUTED_VALUE"""),"UJUNGBERUNG")</f>
        <v>UJUNGBERUNG</v>
      </c>
      <c r="G882" s="4" t="str">
        <f>IFERROR(__xludf.DUMMYFUNCTION("""COMPUTED_VALUE"""),"UJUNGBERUNG")</f>
        <v>UJUNGBERUNG</v>
      </c>
      <c r="H882" s="4" t="str">
        <f>IFERROR(__xludf.DUMMYFUNCTION("""COMPUTED_VALUE"""),"UTWU")</f>
        <v>UTWU</v>
      </c>
      <c r="I882" s="4" t="str">
        <f>IFERROR(__xludf.DUMMYFUNCTION("""COMPUTED_VALUE"""),"LBS CPR - LBS CGI")</f>
        <v>LBS CPR - LBS CGI</v>
      </c>
      <c r="J882" s="4" t="str">
        <f>IFERROR(__xludf.DUMMYFUNCTION("""COMPUTED_VALUE"""),"ZONA 2")</f>
        <v>ZONA 2</v>
      </c>
      <c r="K882" s="4" t="str">
        <f>IFERROR(__xludf.DUMMYFUNCTION("""COMPUTED_VALUE"""),"035L04L030")</f>
        <v>035L04L030</v>
      </c>
      <c r="L882" s="4" t="str">
        <f>IFERROR(__xludf.DUMMYFUNCTION("""COMPUTED_VALUE"""),"TM - 7B/H (Afspan 90 Derajat)")</f>
        <v>TM - 7B/H (Afspan 90 Derajat)</v>
      </c>
      <c r="M882" s="4" t="str">
        <f>IFERROR(__xludf.DUMMYFUNCTION("""COMPUTED_VALUE"""),"Tidak Ada")</f>
        <v>Tidak Ada</v>
      </c>
      <c r="N882" s="4"/>
      <c r="O882" s="4" t="str">
        <f>IFERROR(__xludf.DUMMYFUNCTION("""COMPUTED_VALUE"""),"PEMBANDING SEJENIS")</f>
        <v>PEMBANDING SEJENIS</v>
      </c>
      <c r="P882" s="4" t="str">
        <f>IFERROR(__xludf.DUMMYFUNCTION("""COMPUTED_VALUE"""),"KONEKTOR/JUMPER")</f>
        <v>KONEKTOR/JUMPER</v>
      </c>
      <c r="Q882" s="4">
        <f>IFERROR(__xludf.DUMMYFUNCTION("""COMPUTED_VALUE"""),23.0)</f>
        <v>23</v>
      </c>
      <c r="R882" s="4">
        <f>IFERROR(__xludf.DUMMYFUNCTION("""COMPUTED_VALUE"""),22.0)</f>
        <v>22</v>
      </c>
      <c r="S882" s="4">
        <f>IFERROR(__xludf.DUMMYFUNCTION("""COMPUTED_VALUE"""),22.0)</f>
        <v>22</v>
      </c>
      <c r="T882" s="4"/>
      <c r="U882" s="4" t="str">
        <f>IFERROR(__xludf.DUMMYFUNCTION("""COMPUTED_VALUE"""),"BAIK")</f>
        <v>BAIK</v>
      </c>
      <c r="V882" s="4" t="str">
        <f>IFERROR(__xludf.DUMMYFUNCTION("""COMPUTED_VALUE"""),"Tidak Ada")</f>
        <v>Tidak Ada</v>
      </c>
      <c r="W882" s="4"/>
      <c r="X882" s="4"/>
      <c r="Y882" s="4"/>
      <c r="Z882" s="4"/>
      <c r="AA882" s="4"/>
      <c r="AB882" s="4"/>
      <c r="AC882" s="4" t="str">
        <f>IFERROR(__xludf.DUMMYFUNCTION("""COMPUTED_VALUE"""),"INSPEKSI SUTM - T2_Images/13c3e809.FOTO.134832.jpg")</f>
        <v>INSPEKSI SUTM - T2_Images/13c3e809.FOTO.134832.jpg</v>
      </c>
      <c r="AD882" s="4"/>
      <c r="AE882" s="4"/>
      <c r="AF882" s="4" t="str">
        <f>IFERROR(__xludf.DUMMYFUNCTION("""COMPUTED_VALUE"""),"BELUM")</f>
        <v>BELUM</v>
      </c>
      <c r="AG882" s="6">
        <f>IFERROR(__xludf.DUMMYFUNCTION("""COMPUTED_VALUE"""),46107.0)</f>
        <v>46107</v>
      </c>
      <c r="AH882" s="4"/>
      <c r="AI882" s="4"/>
    </row>
    <row r="883" ht="15.75" customHeight="1">
      <c r="A883" s="4" t="str">
        <f>IFERROR(__xludf.DUMMYFUNCTION("""COMPUTED_VALUE"""),"069927b7")</f>
        <v>069927b7</v>
      </c>
      <c r="B883" s="5">
        <f>IFERROR(__xludf.DUMMYFUNCTION("""COMPUTED_VALUE"""),46107.867997685185)</f>
        <v>46107.868</v>
      </c>
      <c r="C883" s="4" t="str">
        <f>IFERROR(__xludf.DUMMYFUNCTION("""COMPUTED_VALUE"""),"-6.907458, 107.703903")</f>
        <v>-6.907458, 107.703903</v>
      </c>
      <c r="D883" s="4" t="str">
        <f>IFERROR(__xludf.DUMMYFUNCTION("""COMPUTED_VALUE"""),"Vanra heei")</f>
        <v>Vanra heei</v>
      </c>
      <c r="E883" s="4" t="str">
        <f>IFERROR(__xludf.DUMMYFUNCTION("""COMPUTED_VALUE"""),"BANDUNG")</f>
        <v>BANDUNG</v>
      </c>
      <c r="F883" s="4" t="str">
        <f>IFERROR(__xludf.DUMMYFUNCTION("""COMPUTED_VALUE"""),"UJUNGBERUNG")</f>
        <v>UJUNGBERUNG</v>
      </c>
      <c r="G883" s="4" t="str">
        <f>IFERROR(__xludf.DUMMYFUNCTION("""COMPUTED_VALUE"""),"UJUNGBERUNG")</f>
        <v>UJUNGBERUNG</v>
      </c>
      <c r="H883" s="4" t="str">
        <f>IFERROR(__xludf.DUMMYFUNCTION("""COMPUTED_VALUE"""),"UTWU")</f>
        <v>UTWU</v>
      </c>
      <c r="I883" s="4" t="str">
        <f>IFERROR(__xludf.DUMMYFUNCTION("""COMPUTED_VALUE"""),"LBS CPR - LBS CGI")</f>
        <v>LBS CPR - LBS CGI</v>
      </c>
      <c r="J883" s="4" t="str">
        <f>IFERROR(__xludf.DUMMYFUNCTION("""COMPUTED_VALUE"""),"ZONA 2")</f>
        <v>ZONA 2</v>
      </c>
      <c r="K883" s="4" t="str">
        <f>IFERROR(__xludf.DUMMYFUNCTION("""COMPUTED_VALUE"""),"035L010")</f>
        <v>035L010</v>
      </c>
      <c r="L883" s="4" t="str">
        <f>IFERROR(__xludf.DUMMYFUNCTION("""COMPUTED_VALUE"""),"TM - 16B/H (REC/SSO/LBS)")</f>
        <v>TM - 16B/H (REC/SSO/LBS)</v>
      </c>
      <c r="M883" s="4" t="str">
        <f>IFERROR(__xludf.DUMMYFUNCTION("""COMPUTED_VALUE"""),"LBS")</f>
        <v>LBS</v>
      </c>
      <c r="N883" s="4" t="str">
        <f>IFERROR(__xludf.DUMMYFUNCTION("""COMPUTED_VALUE"""),"Cgi")</f>
        <v>Cgi</v>
      </c>
      <c r="O883" s="4" t="str">
        <f>IFERROR(__xludf.DUMMYFUNCTION("""COMPUTED_VALUE"""),"PEMBANDING SEJENIS")</f>
        <v>PEMBANDING SEJENIS</v>
      </c>
      <c r="P883" s="4" t="str">
        <f>IFERROR(__xludf.DUMMYFUNCTION("""COMPUTED_VALUE"""),"KONEKTOR/JUMPER")</f>
        <v>KONEKTOR/JUMPER</v>
      </c>
      <c r="Q883" s="4">
        <f>IFERROR(__xludf.DUMMYFUNCTION("""COMPUTED_VALUE"""),24.0)</f>
        <v>24</v>
      </c>
      <c r="R883" s="4">
        <f>IFERROR(__xludf.DUMMYFUNCTION("""COMPUTED_VALUE"""),24.0)</f>
        <v>24</v>
      </c>
      <c r="S883" s="4">
        <f>IFERROR(__xludf.DUMMYFUNCTION("""COMPUTED_VALUE"""),24.0)</f>
        <v>24</v>
      </c>
      <c r="T883" s="4"/>
      <c r="U883" s="4" t="str">
        <f>IFERROR(__xludf.DUMMYFUNCTION("""COMPUTED_VALUE"""),"BAIK")</f>
        <v>BAIK</v>
      </c>
      <c r="V883" s="4" t="str">
        <f>IFERROR(__xludf.DUMMYFUNCTION("""COMPUTED_VALUE"""),"Tidak Ada")</f>
        <v>Tidak Ada</v>
      </c>
      <c r="W883" s="4"/>
      <c r="X883" s="4"/>
      <c r="Y883" s="4"/>
      <c r="Z883" s="4"/>
      <c r="AA883" s="4"/>
      <c r="AB883" s="4"/>
      <c r="AC883" s="4" t="str">
        <f>IFERROR(__xludf.DUMMYFUNCTION("""COMPUTED_VALUE"""),"INSPEKSI SUTM - T2_Images/069927b7.FOTO.135043.jpg")</f>
        <v>INSPEKSI SUTM - T2_Images/069927b7.FOTO.135043.jpg</v>
      </c>
      <c r="AD883" s="4"/>
      <c r="AE883" s="4"/>
      <c r="AF883" s="4" t="str">
        <f>IFERROR(__xludf.DUMMYFUNCTION("""COMPUTED_VALUE"""),"BELUM")</f>
        <v>BELUM</v>
      </c>
      <c r="AG883" s="6">
        <f>IFERROR(__xludf.DUMMYFUNCTION("""COMPUTED_VALUE"""),46107.0)</f>
        <v>46107</v>
      </c>
      <c r="AH883" s="4"/>
      <c r="AI883" s="4"/>
    </row>
    <row r="884" ht="15.75" customHeight="1">
      <c r="A884" s="4" t="str">
        <f>IFERROR(__xludf.DUMMYFUNCTION("""COMPUTED_VALUE"""),"7a130623")</f>
        <v>7a130623</v>
      </c>
      <c r="B884" s="5">
        <f>IFERROR(__xludf.DUMMYFUNCTION("""COMPUTED_VALUE"""),46107.869155092594)</f>
        <v>46107.86916</v>
      </c>
      <c r="C884" s="4" t="str">
        <f>IFERROR(__xludf.DUMMYFUNCTION("""COMPUTED_VALUE"""),"-6.906858, 107.703745")</f>
        <v>-6.906858, 107.703745</v>
      </c>
      <c r="D884" s="4" t="str">
        <f>IFERROR(__xludf.DUMMYFUNCTION("""COMPUTED_VALUE"""),"Canra heei")</f>
        <v>Canra heei</v>
      </c>
      <c r="E884" s="4" t="str">
        <f>IFERROR(__xludf.DUMMYFUNCTION("""COMPUTED_VALUE"""),"BANDUNG")</f>
        <v>BANDUNG</v>
      </c>
      <c r="F884" s="4" t="str">
        <f>IFERROR(__xludf.DUMMYFUNCTION("""COMPUTED_VALUE"""),"UJUNGBERUNG")</f>
        <v>UJUNGBERUNG</v>
      </c>
      <c r="G884" s="4" t="str">
        <f>IFERROR(__xludf.DUMMYFUNCTION("""COMPUTED_VALUE"""),"UJUNGBERUNG")</f>
        <v>UJUNGBERUNG</v>
      </c>
      <c r="H884" s="4" t="str">
        <f>IFERROR(__xludf.DUMMYFUNCTION("""COMPUTED_VALUE"""),"UTWU")</f>
        <v>UTWU</v>
      </c>
      <c r="I884" s="4" t="str">
        <f>IFERROR(__xludf.DUMMYFUNCTION("""COMPUTED_VALUE"""),"LBS CGI - LBS PDO")</f>
        <v>LBS CGI - LBS PDO</v>
      </c>
      <c r="J884" s="4" t="str">
        <f>IFERROR(__xludf.DUMMYFUNCTION("""COMPUTED_VALUE"""),"ZONA 3")</f>
        <v>ZONA 3</v>
      </c>
      <c r="K884" s="4" t="str">
        <f>IFERROR(__xludf.DUMMYFUNCTION("""COMPUTED_VALUE"""),"035L011")</f>
        <v>035L011</v>
      </c>
      <c r="L884" s="4" t="str">
        <f>IFERROR(__xludf.DUMMYFUNCTION("""COMPUTED_VALUE"""),"TM - 4B/H (Afspan)")</f>
        <v>TM - 4B/H (Afspan)</v>
      </c>
      <c r="M884" s="4" t="str">
        <f>IFERROR(__xludf.DUMMYFUNCTION("""COMPUTED_VALUE"""),"Tidak Ada")</f>
        <v>Tidak Ada</v>
      </c>
      <c r="N884" s="4"/>
      <c r="O884" s="4" t="str">
        <f>IFERROR(__xludf.DUMMYFUNCTION("""COMPUTED_VALUE"""),"PEMBANDING SEJENIS")</f>
        <v>PEMBANDING SEJENIS</v>
      </c>
      <c r="P884" s="4" t="str">
        <f>IFERROR(__xludf.DUMMYFUNCTION("""COMPUTED_VALUE"""),"KONEKTOR/JUMPER")</f>
        <v>KONEKTOR/JUMPER</v>
      </c>
      <c r="Q884" s="4">
        <f>IFERROR(__xludf.DUMMYFUNCTION("""COMPUTED_VALUE"""),23.0)</f>
        <v>23</v>
      </c>
      <c r="R884" s="4">
        <f>IFERROR(__xludf.DUMMYFUNCTION("""COMPUTED_VALUE"""),23.0)</f>
        <v>23</v>
      </c>
      <c r="S884" s="4">
        <f>IFERROR(__xludf.DUMMYFUNCTION("""COMPUTED_VALUE"""),24.0)</f>
        <v>24</v>
      </c>
      <c r="T884" s="4"/>
      <c r="U884" s="4" t="str">
        <f>IFERROR(__xludf.DUMMYFUNCTION("""COMPUTED_VALUE"""),"BAIK")</f>
        <v>BAIK</v>
      </c>
      <c r="V884" s="4" t="str">
        <f>IFERROR(__xludf.DUMMYFUNCTION("""COMPUTED_VALUE"""),"Tidak Ada")</f>
        <v>Tidak Ada</v>
      </c>
      <c r="W884" s="4"/>
      <c r="X884" s="4"/>
      <c r="Y884" s="4"/>
      <c r="Z884" s="4"/>
      <c r="AA884" s="4"/>
      <c r="AB884" s="4"/>
      <c r="AC884" s="4" t="str">
        <f>IFERROR(__xludf.DUMMYFUNCTION("""COMPUTED_VALUE"""),"INSPEKSI SUTM - T2_Images/7a130623.FOTO.135221.jpg")</f>
        <v>INSPEKSI SUTM - T2_Images/7a130623.FOTO.135221.jpg</v>
      </c>
      <c r="AD884" s="4"/>
      <c r="AE884" s="4"/>
      <c r="AF884" s="4" t="str">
        <f>IFERROR(__xludf.DUMMYFUNCTION("""COMPUTED_VALUE"""),"BELUM")</f>
        <v>BELUM</v>
      </c>
      <c r="AG884" s="6">
        <f>IFERROR(__xludf.DUMMYFUNCTION("""COMPUTED_VALUE"""),46107.0)</f>
        <v>46107</v>
      </c>
      <c r="AH884" s="4"/>
      <c r="AI884" s="4"/>
    </row>
    <row r="885" ht="15.75" customHeight="1">
      <c r="A885" s="4" t="str">
        <f>IFERROR(__xludf.DUMMYFUNCTION("""COMPUTED_VALUE"""),"99af8a2a")</f>
        <v>99af8a2a</v>
      </c>
      <c r="B885" s="5">
        <f>IFERROR(__xludf.DUMMYFUNCTION("""COMPUTED_VALUE"""),46107.87024305556)</f>
        <v>46107.87024</v>
      </c>
      <c r="C885" s="4" t="str">
        <f>IFERROR(__xludf.DUMMYFUNCTION("""COMPUTED_VALUE"""),"-6.905305, 107.704094")</f>
        <v>-6.905305, 107.704094</v>
      </c>
      <c r="D885" s="4" t="str">
        <f>IFERROR(__xludf.DUMMYFUNCTION("""COMPUTED_VALUE"""),"Vanra heei")</f>
        <v>Vanra heei</v>
      </c>
      <c r="E885" s="4" t="str">
        <f>IFERROR(__xludf.DUMMYFUNCTION("""COMPUTED_VALUE"""),"BANDUNG")</f>
        <v>BANDUNG</v>
      </c>
      <c r="F885" s="4" t="str">
        <f>IFERROR(__xludf.DUMMYFUNCTION("""COMPUTED_VALUE"""),"UJUNGBERUNG")</f>
        <v>UJUNGBERUNG</v>
      </c>
      <c r="G885" s="4" t="str">
        <f>IFERROR(__xludf.DUMMYFUNCTION("""COMPUTED_VALUE"""),"UJUNGBERUNG")</f>
        <v>UJUNGBERUNG</v>
      </c>
      <c r="H885" s="4" t="str">
        <f>IFERROR(__xludf.DUMMYFUNCTION("""COMPUTED_VALUE"""),"UTWU")</f>
        <v>UTWU</v>
      </c>
      <c r="I885" s="4" t="str">
        <f>IFERROR(__xludf.DUMMYFUNCTION("""COMPUTED_VALUE"""),"LBS CGI - LBS PDO")</f>
        <v>LBS CGI - LBS PDO</v>
      </c>
      <c r="J885" s="4" t="str">
        <f>IFERROR(__xludf.DUMMYFUNCTION("""COMPUTED_VALUE"""),"ZONA 3")</f>
        <v>ZONA 3</v>
      </c>
      <c r="K885" s="4" t="str">
        <f>IFERROR(__xludf.DUMMYFUNCTION("""COMPUTED_VALUE"""),"035L015")</f>
        <v>035L015</v>
      </c>
      <c r="L885" s="4" t="str">
        <f>IFERROR(__xludf.DUMMYFUNCTION("""COMPUTED_VALUE"""),"TM - 8B/H (Percabangan)")</f>
        <v>TM - 8B/H (Percabangan)</v>
      </c>
      <c r="M885" s="4" t="str">
        <f>IFERROR(__xludf.DUMMYFUNCTION("""COMPUTED_VALUE"""),"Tidak Ada")</f>
        <v>Tidak Ada</v>
      </c>
      <c r="N885" s="4"/>
      <c r="O885" s="4" t="str">
        <f>IFERROR(__xludf.DUMMYFUNCTION("""COMPUTED_VALUE"""),"PEMBANDING SEJENIS")</f>
        <v>PEMBANDING SEJENIS</v>
      </c>
      <c r="P885" s="4" t="str">
        <f>IFERROR(__xludf.DUMMYFUNCTION("""COMPUTED_VALUE"""),"KONEKTOR/JUMPER")</f>
        <v>KONEKTOR/JUMPER</v>
      </c>
      <c r="Q885" s="4">
        <f>IFERROR(__xludf.DUMMYFUNCTION("""COMPUTED_VALUE"""),24.0)</f>
        <v>24</v>
      </c>
      <c r="R885" s="4">
        <f>IFERROR(__xludf.DUMMYFUNCTION("""COMPUTED_VALUE"""),24.0)</f>
        <v>24</v>
      </c>
      <c r="S885" s="4">
        <f>IFERROR(__xludf.DUMMYFUNCTION("""COMPUTED_VALUE"""),24.0)</f>
        <v>24</v>
      </c>
      <c r="T885" s="4"/>
      <c r="U885" s="4" t="str">
        <f>IFERROR(__xludf.DUMMYFUNCTION("""COMPUTED_VALUE"""),"BAIK")</f>
        <v>BAIK</v>
      </c>
      <c r="V885" s="4" t="str">
        <f>IFERROR(__xludf.DUMMYFUNCTION("""COMPUTED_VALUE"""),"Tidak Ada")</f>
        <v>Tidak Ada</v>
      </c>
      <c r="W885" s="4"/>
      <c r="X885" s="4"/>
      <c r="Y885" s="4"/>
      <c r="Z885" s="4"/>
      <c r="AA885" s="4"/>
      <c r="AB885" s="4"/>
      <c r="AC885" s="4" t="str">
        <f>IFERROR(__xludf.DUMMYFUNCTION("""COMPUTED_VALUE"""),"INSPEKSI SUTM - T2_Images/99af8a2a.FOTO.135355.jpg")</f>
        <v>INSPEKSI SUTM - T2_Images/99af8a2a.FOTO.135355.jpg</v>
      </c>
      <c r="AD885" s="4"/>
      <c r="AE885" s="4"/>
      <c r="AF885" s="4" t="str">
        <f>IFERROR(__xludf.DUMMYFUNCTION("""COMPUTED_VALUE"""),"BELUM")</f>
        <v>BELUM</v>
      </c>
      <c r="AG885" s="6">
        <f>IFERROR(__xludf.DUMMYFUNCTION("""COMPUTED_VALUE"""),46107.0)</f>
        <v>46107</v>
      </c>
      <c r="AH885" s="4"/>
      <c r="AI885" s="4"/>
    </row>
    <row r="886" ht="15.75" customHeight="1">
      <c r="A886" s="4" t="str">
        <f>IFERROR(__xludf.DUMMYFUNCTION("""COMPUTED_VALUE"""),"8ddbe426")</f>
        <v>8ddbe426</v>
      </c>
      <c r="B886" s="5">
        <f>IFERROR(__xludf.DUMMYFUNCTION("""COMPUTED_VALUE"""),46107.871087962965)</f>
        <v>46107.87109</v>
      </c>
      <c r="C886" s="4" t="str">
        <f>IFERROR(__xludf.DUMMYFUNCTION("""COMPUTED_VALUE"""),"-6.905701, 107.705330")</f>
        <v>-6.905701, 107.705330</v>
      </c>
      <c r="D886" s="4" t="str">
        <f>IFERROR(__xludf.DUMMYFUNCTION("""COMPUTED_VALUE"""),"Canta heri")</f>
        <v>Canta heri</v>
      </c>
      <c r="E886" s="4" t="str">
        <f>IFERROR(__xludf.DUMMYFUNCTION("""COMPUTED_VALUE"""),"BANDUNG")</f>
        <v>BANDUNG</v>
      </c>
      <c r="F886" s="4" t="str">
        <f>IFERROR(__xludf.DUMMYFUNCTION("""COMPUTED_VALUE"""),"UJUNGBERUNG")</f>
        <v>UJUNGBERUNG</v>
      </c>
      <c r="G886" s="4" t="str">
        <f>IFERROR(__xludf.DUMMYFUNCTION("""COMPUTED_VALUE"""),"UJUNGBERUNG")</f>
        <v>UJUNGBERUNG</v>
      </c>
      <c r="H886" s="4" t="str">
        <f>IFERROR(__xludf.DUMMYFUNCTION("""COMPUTED_VALUE"""),"UTWU")</f>
        <v>UTWU</v>
      </c>
      <c r="I886" s="4" t="str">
        <f>IFERROR(__xludf.DUMMYFUNCTION("""COMPUTED_VALUE"""),"LBS CGI - LBS PDO")</f>
        <v>LBS CGI - LBS PDO</v>
      </c>
      <c r="J886" s="4" t="str">
        <f>IFERROR(__xludf.DUMMYFUNCTION("""COMPUTED_VALUE"""),"ZONA 3")</f>
        <v>ZONA 3</v>
      </c>
      <c r="K886" s="4" t="str">
        <f>IFERROR(__xludf.DUMMYFUNCTION("""COMPUTED_VALUE"""),"035L015L05")</f>
        <v>035L015L05</v>
      </c>
      <c r="L886" s="4" t="str">
        <f>IFERROR(__xludf.DUMMYFUNCTION("""COMPUTED_VALUE"""),"TM - 7B/H (Afspan 90 Derajat)")</f>
        <v>TM - 7B/H (Afspan 90 Derajat)</v>
      </c>
      <c r="M886" s="4" t="str">
        <f>IFERROR(__xludf.DUMMYFUNCTION("""COMPUTED_VALUE"""),"Tidak Ada")</f>
        <v>Tidak Ada</v>
      </c>
      <c r="N886" s="4"/>
      <c r="O886" s="4" t="str">
        <f>IFERROR(__xludf.DUMMYFUNCTION("""COMPUTED_VALUE"""),"PEMBANDING SEJENIS")</f>
        <v>PEMBANDING SEJENIS</v>
      </c>
      <c r="P886" s="4" t="str">
        <f>IFERROR(__xludf.DUMMYFUNCTION("""COMPUTED_VALUE"""),"KONEKTOR/JUMPER")</f>
        <v>KONEKTOR/JUMPER</v>
      </c>
      <c r="Q886" s="4">
        <f>IFERROR(__xludf.DUMMYFUNCTION("""COMPUTED_VALUE"""),20.0)</f>
        <v>20</v>
      </c>
      <c r="R886" s="4">
        <f>IFERROR(__xludf.DUMMYFUNCTION("""COMPUTED_VALUE"""),19.0)</f>
        <v>19</v>
      </c>
      <c r="S886" s="4">
        <f>IFERROR(__xludf.DUMMYFUNCTION("""COMPUTED_VALUE"""),20.0)</f>
        <v>20</v>
      </c>
      <c r="T886" s="4"/>
      <c r="U886" s="4" t="str">
        <f>IFERROR(__xludf.DUMMYFUNCTION("""COMPUTED_VALUE"""),"BAIK")</f>
        <v>BAIK</v>
      </c>
      <c r="V886" s="4" t="str">
        <f>IFERROR(__xludf.DUMMYFUNCTION("""COMPUTED_VALUE"""),"Tidak Ada")</f>
        <v>Tidak Ada</v>
      </c>
      <c r="W886" s="4"/>
      <c r="X886" s="4"/>
      <c r="Y886" s="4"/>
      <c r="Z886" s="4"/>
      <c r="AA886" s="4"/>
      <c r="AB886" s="4"/>
      <c r="AC886" s="4" t="str">
        <f>IFERROR(__xludf.DUMMYFUNCTION("""COMPUTED_VALUE"""),"INSPEKSI SUTM - T2_Images/8ddbe426.FOTO.135516.jpg")</f>
        <v>INSPEKSI SUTM - T2_Images/8ddbe426.FOTO.135516.jpg</v>
      </c>
      <c r="AD886" s="4"/>
      <c r="AE886" s="4"/>
      <c r="AF886" s="4" t="str">
        <f>IFERROR(__xludf.DUMMYFUNCTION("""COMPUTED_VALUE"""),"BELUM")</f>
        <v>BELUM</v>
      </c>
      <c r="AG886" s="6">
        <f>IFERROR(__xludf.DUMMYFUNCTION("""COMPUTED_VALUE"""),46107.0)</f>
        <v>46107</v>
      </c>
      <c r="AH886" s="4"/>
      <c r="AI886" s="4"/>
    </row>
    <row r="887" ht="15.75" customHeight="1">
      <c r="A887" s="4" t="str">
        <f>IFERROR(__xludf.DUMMYFUNCTION("""COMPUTED_VALUE"""),"122a27d4")</f>
        <v>122a27d4</v>
      </c>
      <c r="B887" s="5">
        <f>IFERROR(__xludf.DUMMYFUNCTION("""COMPUTED_VALUE"""),46107.87362268518)</f>
        <v>46107.87362</v>
      </c>
      <c r="C887" s="4" t="str">
        <f>IFERROR(__xludf.DUMMYFUNCTION("""COMPUTED_VALUE"""),"-6.902204, 107.704890")</f>
        <v>-6.902204, 107.704890</v>
      </c>
      <c r="D887" s="4" t="str">
        <f>IFERROR(__xludf.DUMMYFUNCTION("""COMPUTED_VALUE"""),"Canra heri")</f>
        <v>Canra heri</v>
      </c>
      <c r="E887" s="4" t="str">
        <f>IFERROR(__xludf.DUMMYFUNCTION("""COMPUTED_VALUE"""),"BANDUNG")</f>
        <v>BANDUNG</v>
      </c>
      <c r="F887" s="4" t="str">
        <f>IFERROR(__xludf.DUMMYFUNCTION("""COMPUTED_VALUE"""),"UJUNGBERUNG")</f>
        <v>UJUNGBERUNG</v>
      </c>
      <c r="G887" s="4" t="str">
        <f>IFERROR(__xludf.DUMMYFUNCTION("""COMPUTED_VALUE"""),"UJUNGBERUNG")</f>
        <v>UJUNGBERUNG</v>
      </c>
      <c r="H887" s="4" t="str">
        <f>IFERROR(__xludf.DUMMYFUNCTION("""COMPUTED_VALUE"""),"UTWU")</f>
        <v>UTWU</v>
      </c>
      <c r="I887" s="4" t="str">
        <f>IFERROR(__xludf.DUMMYFUNCTION("""COMPUTED_VALUE"""),"LBS CGI - LBS PDO")</f>
        <v>LBS CGI - LBS PDO</v>
      </c>
      <c r="J887" s="4" t="str">
        <f>IFERROR(__xludf.DUMMYFUNCTION("""COMPUTED_VALUE"""),"ZONA 3")</f>
        <v>ZONA 3</v>
      </c>
      <c r="K887" s="4" t="str">
        <f>IFERROR(__xludf.DUMMYFUNCTION("""COMPUTED_VALUE"""),"035L024")</f>
        <v>035L024</v>
      </c>
      <c r="L887" s="4" t="str">
        <f>IFERROR(__xludf.DUMMYFUNCTION("""COMPUTED_VALUE"""),"TM - 8BC/HC (Percabangan dengan CO)")</f>
        <v>TM - 8BC/HC (Percabangan dengan CO)</v>
      </c>
      <c r="M887" s="4" t="str">
        <f>IFERROR(__xludf.DUMMYFUNCTION("""COMPUTED_VALUE"""),"Tidak Ada")</f>
        <v>Tidak Ada</v>
      </c>
      <c r="N887" s="4"/>
      <c r="O887" s="4" t="str">
        <f>IFERROR(__xludf.DUMMYFUNCTION("""COMPUTED_VALUE"""),"PEMBANDING SEJENIS")</f>
        <v>PEMBANDING SEJENIS</v>
      </c>
      <c r="P887" s="4" t="str">
        <f>IFERROR(__xludf.DUMMYFUNCTION("""COMPUTED_VALUE"""),"KONEKTOR/JUMPER")</f>
        <v>KONEKTOR/JUMPER</v>
      </c>
      <c r="Q887" s="4">
        <f>IFERROR(__xludf.DUMMYFUNCTION("""COMPUTED_VALUE"""),20.0)</f>
        <v>20</v>
      </c>
      <c r="R887" s="4">
        <f>IFERROR(__xludf.DUMMYFUNCTION("""COMPUTED_VALUE"""),19.0)</f>
        <v>19</v>
      </c>
      <c r="S887" s="4">
        <f>IFERROR(__xludf.DUMMYFUNCTION("""COMPUTED_VALUE"""),18.0)</f>
        <v>18</v>
      </c>
      <c r="T887" s="4"/>
      <c r="U887" s="4" t="str">
        <f>IFERROR(__xludf.DUMMYFUNCTION("""COMPUTED_VALUE"""),"BAIK")</f>
        <v>BAIK</v>
      </c>
      <c r="V887" s="4" t="str">
        <f>IFERROR(__xludf.DUMMYFUNCTION("""COMPUTED_VALUE"""),"Tidak Ada")</f>
        <v>Tidak Ada</v>
      </c>
      <c r="W887" s="4"/>
      <c r="X887" s="4"/>
      <c r="Y887" s="4"/>
      <c r="Z887" s="4"/>
      <c r="AA887" s="4"/>
      <c r="AB887" s="4"/>
      <c r="AC887" s="4" t="str">
        <f>IFERROR(__xludf.DUMMYFUNCTION("""COMPUTED_VALUE"""),"INSPEKSI SUTM - T2_Images/122a27d4.FOTO.135848.jpg")</f>
        <v>INSPEKSI SUTM - T2_Images/122a27d4.FOTO.135848.jpg</v>
      </c>
      <c r="AD887" s="4"/>
      <c r="AE887" s="4"/>
      <c r="AF887" s="4" t="str">
        <f>IFERROR(__xludf.DUMMYFUNCTION("""COMPUTED_VALUE"""),"BELUM")</f>
        <v>BELUM</v>
      </c>
      <c r="AG887" s="6">
        <f>IFERROR(__xludf.DUMMYFUNCTION("""COMPUTED_VALUE"""),46107.0)</f>
        <v>46107</v>
      </c>
      <c r="AH887" s="4"/>
      <c r="AI887" s="4"/>
    </row>
    <row r="888" ht="15.75" customHeight="1">
      <c r="A888" s="4" t="str">
        <f>IFERROR(__xludf.DUMMYFUNCTION("""COMPUTED_VALUE"""),"82e2bdae")</f>
        <v>82e2bdae</v>
      </c>
      <c r="B888" s="5">
        <f>IFERROR(__xludf.DUMMYFUNCTION("""COMPUTED_VALUE"""),46107.87483796296)</f>
        <v>46107.87484</v>
      </c>
      <c r="C888" s="4" t="str">
        <f>IFERROR(__xludf.DUMMYFUNCTION("""COMPUTED_VALUE"""),"-6.900682, 107.705666")</f>
        <v>-6.900682, 107.705666</v>
      </c>
      <c r="D888" s="4" t="str">
        <f>IFERROR(__xludf.DUMMYFUNCTION("""COMPUTED_VALUE"""),"Canra heri")</f>
        <v>Canra heri</v>
      </c>
      <c r="E888" s="4" t="str">
        <f>IFERROR(__xludf.DUMMYFUNCTION("""COMPUTED_VALUE"""),"BANDUNG")</f>
        <v>BANDUNG</v>
      </c>
      <c r="F888" s="4" t="str">
        <f>IFERROR(__xludf.DUMMYFUNCTION("""COMPUTED_VALUE"""),"UJUNGBERUNG")</f>
        <v>UJUNGBERUNG</v>
      </c>
      <c r="G888" s="4" t="str">
        <f>IFERROR(__xludf.DUMMYFUNCTION("""COMPUTED_VALUE"""),"UJUNGBERUNG")</f>
        <v>UJUNGBERUNG</v>
      </c>
      <c r="H888" s="4" t="str">
        <f>IFERROR(__xludf.DUMMYFUNCTION("""COMPUTED_VALUE"""),"UTWU")</f>
        <v>UTWU</v>
      </c>
      <c r="I888" s="4" t="str">
        <f>IFERROR(__xludf.DUMMYFUNCTION("""COMPUTED_VALUE"""),"LBS CGI - LBS PDO")</f>
        <v>LBS CGI - LBS PDO</v>
      </c>
      <c r="J888" s="4" t="str">
        <f>IFERROR(__xludf.DUMMYFUNCTION("""COMPUTED_VALUE"""),"ZONA 3")</f>
        <v>ZONA 3</v>
      </c>
      <c r="K888" s="4" t="str">
        <f>IFERROR(__xludf.DUMMYFUNCTION("""COMPUTED_VALUE"""),"035L024R05")</f>
        <v>035L024R05</v>
      </c>
      <c r="L888" s="4" t="str">
        <f>IFERROR(__xludf.DUMMYFUNCTION("""COMPUTED_VALUE"""),"TM - 7B/H (Afspan 90 Derajat)")</f>
        <v>TM - 7B/H (Afspan 90 Derajat)</v>
      </c>
      <c r="M888" s="4" t="str">
        <f>IFERROR(__xludf.DUMMYFUNCTION("""COMPUTED_VALUE"""),"Tidak Ada")</f>
        <v>Tidak Ada</v>
      </c>
      <c r="N888" s="4"/>
      <c r="O888" s="4" t="str">
        <f>IFERROR(__xludf.DUMMYFUNCTION("""COMPUTED_VALUE"""),"PEMBANDING SEJENIS")</f>
        <v>PEMBANDING SEJENIS</v>
      </c>
      <c r="P888" s="4" t="str">
        <f>IFERROR(__xludf.DUMMYFUNCTION("""COMPUTED_VALUE"""),"KONEKTOR/JUMPER")</f>
        <v>KONEKTOR/JUMPER</v>
      </c>
      <c r="Q888" s="4">
        <f>IFERROR(__xludf.DUMMYFUNCTION("""COMPUTED_VALUE"""),20.0)</f>
        <v>20</v>
      </c>
      <c r="R888" s="4">
        <f>IFERROR(__xludf.DUMMYFUNCTION("""COMPUTED_VALUE"""),21.0)</f>
        <v>21</v>
      </c>
      <c r="S888" s="4">
        <f>IFERROR(__xludf.DUMMYFUNCTION("""COMPUTED_VALUE"""),21.0)</f>
        <v>21</v>
      </c>
      <c r="T888" s="4"/>
      <c r="U888" s="4" t="str">
        <f>IFERROR(__xludf.DUMMYFUNCTION("""COMPUTED_VALUE"""),"BAIK")</f>
        <v>BAIK</v>
      </c>
      <c r="V888" s="4" t="str">
        <f>IFERROR(__xludf.DUMMYFUNCTION("""COMPUTED_VALUE"""),"Tidak Ada")</f>
        <v>Tidak Ada</v>
      </c>
      <c r="W888" s="4"/>
      <c r="X888" s="4"/>
      <c r="Y888" s="4"/>
      <c r="Z888" s="4"/>
      <c r="AA888" s="4"/>
      <c r="AB888" s="4"/>
      <c r="AC888" s="4" t="str">
        <f>IFERROR(__xludf.DUMMYFUNCTION("""COMPUTED_VALUE"""),"INSPEKSI SUTM - T2_Images/82e2bdae.FOTO.140031.jpg")</f>
        <v>INSPEKSI SUTM - T2_Images/82e2bdae.FOTO.140031.jpg</v>
      </c>
      <c r="AD888" s="4"/>
      <c r="AE888" s="4"/>
      <c r="AF888" s="4" t="str">
        <f>IFERROR(__xludf.DUMMYFUNCTION("""COMPUTED_VALUE"""),"BELUM")</f>
        <v>BELUM</v>
      </c>
      <c r="AG888" s="6">
        <f>IFERROR(__xludf.DUMMYFUNCTION("""COMPUTED_VALUE"""),46107.0)</f>
        <v>46107</v>
      </c>
      <c r="AH888" s="4"/>
      <c r="AI888" s="4"/>
    </row>
    <row r="889" ht="15.75" customHeight="1">
      <c r="A889" s="4" t="str">
        <f>IFERROR(__xludf.DUMMYFUNCTION("""COMPUTED_VALUE"""),"5a149d59")</f>
        <v>5a149d59</v>
      </c>
      <c r="B889" s="5">
        <f>IFERROR(__xludf.DUMMYFUNCTION("""COMPUTED_VALUE"""),46107.87598379629)</f>
        <v>46107.87598</v>
      </c>
      <c r="C889" s="4" t="str">
        <f>IFERROR(__xludf.DUMMYFUNCTION("""COMPUTED_VALUE"""),"-6.901690, 107.708160")</f>
        <v>-6.901690, 107.708160</v>
      </c>
      <c r="D889" s="4" t="str">
        <f>IFERROR(__xludf.DUMMYFUNCTION("""COMPUTED_VALUE"""),"Canra heri")</f>
        <v>Canra heri</v>
      </c>
      <c r="E889" s="4" t="str">
        <f>IFERROR(__xludf.DUMMYFUNCTION("""COMPUTED_VALUE"""),"BANDUNG")</f>
        <v>BANDUNG</v>
      </c>
      <c r="F889" s="4" t="str">
        <f>IFERROR(__xludf.DUMMYFUNCTION("""COMPUTED_VALUE"""),"UJUNGBERUNG")</f>
        <v>UJUNGBERUNG</v>
      </c>
      <c r="G889" s="4" t="str">
        <f>IFERROR(__xludf.DUMMYFUNCTION("""COMPUTED_VALUE"""),"UJUNGBERUNG")</f>
        <v>UJUNGBERUNG</v>
      </c>
      <c r="H889" s="4" t="str">
        <f>IFERROR(__xludf.DUMMYFUNCTION("""COMPUTED_VALUE"""),"UTWU")</f>
        <v>UTWU</v>
      </c>
      <c r="I889" s="4" t="str">
        <f>IFERROR(__xludf.DUMMYFUNCTION("""COMPUTED_VALUE"""),"LBS CGI - LBS PDO")</f>
        <v>LBS CGI - LBS PDO</v>
      </c>
      <c r="J889" s="4" t="str">
        <f>IFERROR(__xludf.DUMMYFUNCTION("""COMPUTED_VALUE"""),"ZONA 3")</f>
        <v>ZONA 3</v>
      </c>
      <c r="K889" s="4" t="str">
        <f>IFERROR(__xludf.DUMMYFUNCTION("""COMPUTED_VALUE"""),"035L024R09")</f>
        <v>035L024R09</v>
      </c>
      <c r="L889" s="4" t="str">
        <f>IFERROR(__xludf.DUMMYFUNCTION("""COMPUTED_VALUE"""),"TM - 1B/H (Tumpu)")</f>
        <v>TM - 1B/H (Tumpu)</v>
      </c>
      <c r="M889" s="4" t="str">
        <f>IFERROR(__xludf.DUMMYFUNCTION("""COMPUTED_VALUE"""),"Tidak Ada")</f>
        <v>Tidak Ada</v>
      </c>
      <c r="N889" s="4"/>
      <c r="O889" s="4" t="str">
        <f>IFERROR(__xludf.DUMMYFUNCTION("""COMPUTED_VALUE"""),"PEMBANDING SEJENIS")</f>
        <v>PEMBANDING SEJENIS</v>
      </c>
      <c r="P889" s="4" t="str">
        <f>IFERROR(__xludf.DUMMYFUNCTION("""COMPUTED_VALUE"""),"ARRESTER")</f>
        <v>ARRESTER</v>
      </c>
      <c r="Q889" s="4">
        <f>IFERROR(__xludf.DUMMYFUNCTION("""COMPUTED_VALUE"""),23.0)</f>
        <v>23</v>
      </c>
      <c r="R889" s="4">
        <f>IFERROR(__xludf.DUMMYFUNCTION("""COMPUTED_VALUE"""),23.0)</f>
        <v>23</v>
      </c>
      <c r="S889" s="4">
        <f>IFERROR(__xludf.DUMMYFUNCTION("""COMPUTED_VALUE"""),23.0)</f>
        <v>23</v>
      </c>
      <c r="T889" s="4"/>
      <c r="U889" s="4" t="str">
        <f>IFERROR(__xludf.DUMMYFUNCTION("""COMPUTED_VALUE"""),"BAIK")</f>
        <v>BAIK</v>
      </c>
      <c r="V889" s="4" t="str">
        <f>IFERROR(__xludf.DUMMYFUNCTION("""COMPUTED_VALUE"""),"Tidak Ada")</f>
        <v>Tidak Ada</v>
      </c>
      <c r="W889" s="4"/>
      <c r="X889" s="4"/>
      <c r="Y889" s="4"/>
      <c r="Z889" s="4"/>
      <c r="AA889" s="4"/>
      <c r="AB889" s="4"/>
      <c r="AC889" s="4" t="str">
        <f>IFERROR(__xludf.DUMMYFUNCTION("""COMPUTED_VALUE"""),"INSPEKSI SUTM - T2_Images/5a149d59.FOTO.140209.jpg")</f>
        <v>INSPEKSI SUTM - T2_Images/5a149d59.FOTO.140209.jpg</v>
      </c>
      <c r="AD889" s="4"/>
      <c r="AE889" s="4"/>
      <c r="AF889" s="4" t="str">
        <f>IFERROR(__xludf.DUMMYFUNCTION("""COMPUTED_VALUE"""),"BELUM")</f>
        <v>BELUM</v>
      </c>
      <c r="AG889" s="6">
        <f>IFERROR(__xludf.DUMMYFUNCTION("""COMPUTED_VALUE"""),46107.0)</f>
        <v>46107</v>
      </c>
      <c r="AH889" s="4"/>
      <c r="AI889" s="4"/>
    </row>
    <row r="890" ht="15.75" customHeight="1">
      <c r="A890" s="4" t="str">
        <f>IFERROR(__xludf.DUMMYFUNCTION("""COMPUTED_VALUE"""),"310037a6")</f>
        <v>310037a6</v>
      </c>
      <c r="B890" s="5">
        <f>IFERROR(__xludf.DUMMYFUNCTION("""COMPUTED_VALUE"""),46107.87732638889)</f>
        <v>46107.87733</v>
      </c>
      <c r="C890" s="4" t="str">
        <f>IFERROR(__xludf.DUMMYFUNCTION("""COMPUTED_VALUE"""),"-6.901351, 107.707246")</f>
        <v>-6.901351, 107.707246</v>
      </c>
      <c r="D890" s="4" t="str">
        <f>IFERROR(__xludf.DUMMYFUNCTION("""COMPUTED_VALUE"""),"Canra heri")</f>
        <v>Canra heri</v>
      </c>
      <c r="E890" s="4" t="str">
        <f>IFERROR(__xludf.DUMMYFUNCTION("""COMPUTED_VALUE"""),"BANDUNG")</f>
        <v>BANDUNG</v>
      </c>
      <c r="F890" s="4" t="str">
        <f>IFERROR(__xludf.DUMMYFUNCTION("""COMPUTED_VALUE"""),"UJUNGBERUNG")</f>
        <v>UJUNGBERUNG</v>
      </c>
      <c r="G890" s="4" t="str">
        <f>IFERROR(__xludf.DUMMYFUNCTION("""COMPUTED_VALUE"""),"UJUNGBERUNG")</f>
        <v>UJUNGBERUNG</v>
      </c>
      <c r="H890" s="4" t="str">
        <f>IFERROR(__xludf.DUMMYFUNCTION("""COMPUTED_VALUE"""),"UTWU")</f>
        <v>UTWU</v>
      </c>
      <c r="I890" s="4" t="str">
        <f>IFERROR(__xludf.DUMMYFUNCTION("""COMPUTED_VALUE"""),"LBS CGI - LBS PDO")</f>
        <v>LBS CGI - LBS PDO</v>
      </c>
      <c r="J890" s="4" t="str">
        <f>IFERROR(__xludf.DUMMYFUNCTION("""COMPUTED_VALUE"""),"ZONA 3")</f>
        <v>ZONA 3</v>
      </c>
      <c r="K890" s="4" t="str">
        <f>IFERROR(__xludf.DUMMYFUNCTION("""COMPUTED_VALUE"""),"035L024R011")</f>
        <v>035L024R011</v>
      </c>
      <c r="L890" s="4" t="str">
        <f>IFERROR(__xludf.DUMMYFUNCTION("""COMPUTED_VALUE"""),"TM - 8B/H (Percabangan)")</f>
        <v>TM - 8B/H (Percabangan)</v>
      </c>
      <c r="M890" s="4" t="str">
        <f>IFERROR(__xludf.DUMMYFUNCTION("""COMPUTED_VALUE"""),"Tidak Ada")</f>
        <v>Tidak Ada</v>
      </c>
      <c r="N890" s="4"/>
      <c r="O890" s="4" t="str">
        <f>IFERROR(__xludf.DUMMYFUNCTION("""COMPUTED_VALUE"""),"PEMBANDING SEJENIS")</f>
        <v>PEMBANDING SEJENIS</v>
      </c>
      <c r="P890" s="4" t="str">
        <f>IFERROR(__xludf.DUMMYFUNCTION("""COMPUTED_VALUE"""),"KONEKTOR/JUMPER")</f>
        <v>KONEKTOR/JUMPER</v>
      </c>
      <c r="Q890" s="4">
        <f>IFERROR(__xludf.DUMMYFUNCTION("""COMPUTED_VALUE"""),21.0)</f>
        <v>21</v>
      </c>
      <c r="R890" s="4">
        <f>IFERROR(__xludf.DUMMYFUNCTION("""COMPUTED_VALUE"""),21.0)</f>
        <v>21</v>
      </c>
      <c r="S890" s="4">
        <f>IFERROR(__xludf.DUMMYFUNCTION("""COMPUTED_VALUE"""),21.0)</f>
        <v>21</v>
      </c>
      <c r="T890" s="4"/>
      <c r="U890" s="4" t="str">
        <f>IFERROR(__xludf.DUMMYFUNCTION("""COMPUTED_VALUE"""),"BAIK")</f>
        <v>BAIK</v>
      </c>
      <c r="V890" s="4" t="str">
        <f>IFERROR(__xludf.DUMMYFUNCTION("""COMPUTED_VALUE"""),"Tidak Ada")</f>
        <v>Tidak Ada</v>
      </c>
      <c r="W890" s="4"/>
      <c r="X890" s="4"/>
      <c r="Y890" s="4"/>
      <c r="Z890" s="4"/>
      <c r="AA890" s="4"/>
      <c r="AB890" s="4"/>
      <c r="AC890" s="4" t="str">
        <f>IFERROR(__xludf.DUMMYFUNCTION("""COMPUTED_VALUE"""),"INSPEKSI SUTM - T2_Images/310037a6.FOTO.140404.jpg")</f>
        <v>INSPEKSI SUTM - T2_Images/310037a6.FOTO.140404.jpg</v>
      </c>
      <c r="AD890" s="4"/>
      <c r="AE890" s="4"/>
      <c r="AF890" s="4" t="str">
        <f>IFERROR(__xludf.DUMMYFUNCTION("""COMPUTED_VALUE"""),"BELUM")</f>
        <v>BELUM</v>
      </c>
      <c r="AG890" s="6">
        <f>IFERROR(__xludf.DUMMYFUNCTION("""COMPUTED_VALUE"""),46107.0)</f>
        <v>46107</v>
      </c>
      <c r="AH890" s="4"/>
      <c r="AI890" s="4"/>
    </row>
    <row r="891" ht="15.75" customHeight="1">
      <c r="A891" s="4" t="str">
        <f>IFERROR(__xludf.DUMMYFUNCTION("""COMPUTED_VALUE"""),"73ee522f")</f>
        <v>73ee522f</v>
      </c>
      <c r="B891" s="5">
        <f>IFERROR(__xludf.DUMMYFUNCTION("""COMPUTED_VALUE"""),46107.879016203704)</f>
        <v>46107.87902</v>
      </c>
      <c r="C891" s="4" t="str">
        <f>IFERROR(__xludf.DUMMYFUNCTION("""COMPUTED_VALUE"""),"-6.901627, 107.708160")</f>
        <v>-6.901627, 107.708160</v>
      </c>
      <c r="D891" s="4" t="str">
        <f>IFERROR(__xludf.DUMMYFUNCTION("""COMPUTED_VALUE"""),"Canra heri")</f>
        <v>Canra heri</v>
      </c>
      <c r="E891" s="4" t="str">
        <f>IFERROR(__xludf.DUMMYFUNCTION("""COMPUTED_VALUE"""),"BANDUNG")</f>
        <v>BANDUNG</v>
      </c>
      <c r="F891" s="4" t="str">
        <f>IFERROR(__xludf.DUMMYFUNCTION("""COMPUTED_VALUE"""),"UJUNGBERUNG")</f>
        <v>UJUNGBERUNG</v>
      </c>
      <c r="G891" s="4" t="str">
        <f>IFERROR(__xludf.DUMMYFUNCTION("""COMPUTED_VALUE"""),"UJUNGBERUNG")</f>
        <v>UJUNGBERUNG</v>
      </c>
      <c r="H891" s="4" t="str">
        <f>IFERROR(__xludf.DUMMYFUNCTION("""COMPUTED_VALUE"""),"UTWU")</f>
        <v>UTWU</v>
      </c>
      <c r="I891" s="4" t="str">
        <f>IFERROR(__xludf.DUMMYFUNCTION("""COMPUTED_VALUE"""),"LBS CGI - LBS PDO")</f>
        <v>LBS CGI - LBS PDO</v>
      </c>
      <c r="J891" s="4" t="str">
        <f>IFERROR(__xludf.DUMMYFUNCTION("""COMPUTED_VALUE"""),"ZONA 3")</f>
        <v>ZONA 3</v>
      </c>
      <c r="K891" s="4" t="str">
        <f>IFERROR(__xludf.DUMMYFUNCTION("""COMPUTED_VALUE"""),"035L024R013")</f>
        <v>035L024R013</v>
      </c>
      <c r="L891" s="4" t="str">
        <f>IFERROR(__xludf.DUMMYFUNCTION("""COMPUTED_VALUE"""),"TM - 1B/H (Tumpu)")</f>
        <v>TM - 1B/H (Tumpu)</v>
      </c>
      <c r="M891" s="4" t="str">
        <f>IFERROR(__xludf.DUMMYFUNCTION("""COMPUTED_VALUE"""),"Tidak Ada")</f>
        <v>Tidak Ada</v>
      </c>
      <c r="N891" s="4"/>
      <c r="O891" s="4" t="str">
        <f>IFERROR(__xludf.DUMMYFUNCTION("""COMPUTED_VALUE"""),"PEMBANDING SEJENIS")</f>
        <v>PEMBANDING SEJENIS</v>
      </c>
      <c r="P891" s="4" t="str">
        <f>IFERROR(__xludf.DUMMYFUNCTION("""COMPUTED_VALUE"""),"ARRESTER")</f>
        <v>ARRESTER</v>
      </c>
      <c r="Q891" s="4">
        <f>IFERROR(__xludf.DUMMYFUNCTION("""COMPUTED_VALUE"""),23.0)</f>
        <v>23</v>
      </c>
      <c r="R891" s="4">
        <f>IFERROR(__xludf.DUMMYFUNCTION("""COMPUTED_VALUE"""),22.0)</f>
        <v>22</v>
      </c>
      <c r="S891" s="4">
        <f>IFERROR(__xludf.DUMMYFUNCTION("""COMPUTED_VALUE"""),24.0)</f>
        <v>24</v>
      </c>
      <c r="T891" s="4"/>
      <c r="U891" s="4" t="str">
        <f>IFERROR(__xludf.DUMMYFUNCTION("""COMPUTED_VALUE"""),"BAIK")</f>
        <v>BAIK</v>
      </c>
      <c r="V891" s="4" t="str">
        <f>IFERROR(__xludf.DUMMYFUNCTION("""COMPUTED_VALUE"""),"Tidak Ada")</f>
        <v>Tidak Ada</v>
      </c>
      <c r="W891" s="4"/>
      <c r="X891" s="4"/>
      <c r="Y891" s="4"/>
      <c r="Z891" s="4"/>
      <c r="AA891" s="4"/>
      <c r="AB891" s="4"/>
      <c r="AC891" s="4" t="str">
        <f>IFERROR(__xludf.DUMMYFUNCTION("""COMPUTED_VALUE"""),"INSPEKSI SUTM - T2_Images/73ee522f.FOTO.140635.jpg")</f>
        <v>INSPEKSI SUTM - T2_Images/73ee522f.FOTO.140635.jpg</v>
      </c>
      <c r="AD891" s="4"/>
      <c r="AE891" s="4"/>
      <c r="AF891" s="4" t="str">
        <f>IFERROR(__xludf.DUMMYFUNCTION("""COMPUTED_VALUE"""),"BELUM")</f>
        <v>BELUM</v>
      </c>
      <c r="AG891" s="6">
        <f>IFERROR(__xludf.DUMMYFUNCTION("""COMPUTED_VALUE"""),46107.0)</f>
        <v>46107</v>
      </c>
      <c r="AH891" s="4"/>
      <c r="AI891" s="4"/>
    </row>
    <row r="892" ht="15.75" customHeight="1">
      <c r="A892" s="4" t="str">
        <f>IFERROR(__xludf.DUMMYFUNCTION("""COMPUTED_VALUE"""),"6bbcc002")</f>
        <v>6bbcc002</v>
      </c>
      <c r="B892" s="5">
        <f>IFERROR(__xludf.DUMMYFUNCTION("""COMPUTED_VALUE"""),46107.88019675926)</f>
        <v>46107.8802</v>
      </c>
      <c r="C892" s="4" t="str">
        <f>IFERROR(__xludf.DUMMYFUNCTION("""COMPUTED_VALUE"""),"-6.901930, 107.708713")</f>
        <v>-6.901930, 107.708713</v>
      </c>
      <c r="D892" s="4" t="str">
        <f>IFERROR(__xludf.DUMMYFUNCTION("""COMPUTED_VALUE"""),"Canra heei")</f>
        <v>Canra heei</v>
      </c>
      <c r="E892" s="4" t="str">
        <f>IFERROR(__xludf.DUMMYFUNCTION("""COMPUTED_VALUE"""),"BANDUNG")</f>
        <v>BANDUNG</v>
      </c>
      <c r="F892" s="4" t="str">
        <f>IFERROR(__xludf.DUMMYFUNCTION("""COMPUTED_VALUE"""),"UJUNGBERUNG")</f>
        <v>UJUNGBERUNG</v>
      </c>
      <c r="G892" s="4" t="str">
        <f>IFERROR(__xludf.DUMMYFUNCTION("""COMPUTED_VALUE"""),"UJUNGBERUNG")</f>
        <v>UJUNGBERUNG</v>
      </c>
      <c r="H892" s="4" t="str">
        <f>IFERROR(__xludf.DUMMYFUNCTION("""COMPUTED_VALUE"""),"UTWU")</f>
        <v>UTWU</v>
      </c>
      <c r="I892" s="4" t="str">
        <f>IFERROR(__xludf.DUMMYFUNCTION("""COMPUTED_VALUE"""),"LBS CGI - LBS PDO")</f>
        <v>LBS CGI - LBS PDO</v>
      </c>
      <c r="J892" s="4" t="str">
        <f>IFERROR(__xludf.DUMMYFUNCTION("""COMPUTED_VALUE"""),"ZONA 3")</f>
        <v>ZONA 3</v>
      </c>
      <c r="K892" s="4" t="str">
        <f>IFERROR(__xludf.DUMMYFUNCTION("""COMPUTED_VALUE"""),"035L024R014")</f>
        <v>035L024R014</v>
      </c>
      <c r="L892" s="4" t="str">
        <f>IFERROR(__xludf.DUMMYFUNCTION("""COMPUTED_VALUE"""),"TM - 7B/H (Afspan 90 Derajat)")</f>
        <v>TM - 7B/H (Afspan 90 Derajat)</v>
      </c>
      <c r="M892" s="4" t="str">
        <f>IFERROR(__xludf.DUMMYFUNCTION("""COMPUTED_VALUE"""),"Tidak Ada")</f>
        <v>Tidak Ada</v>
      </c>
      <c r="N892" s="4"/>
      <c r="O892" s="4" t="str">
        <f>IFERROR(__xludf.DUMMYFUNCTION("""COMPUTED_VALUE"""),"PEMBANDING SEJENIS")</f>
        <v>PEMBANDING SEJENIS</v>
      </c>
      <c r="P892" s="4" t="str">
        <f>IFERROR(__xludf.DUMMYFUNCTION("""COMPUTED_VALUE"""),"KONEKTOR/JUMPER")</f>
        <v>KONEKTOR/JUMPER</v>
      </c>
      <c r="Q892" s="4">
        <f>IFERROR(__xludf.DUMMYFUNCTION("""COMPUTED_VALUE"""),23.0)</f>
        <v>23</v>
      </c>
      <c r="R892" s="4">
        <f>IFERROR(__xludf.DUMMYFUNCTION("""COMPUTED_VALUE"""),23.0)</f>
        <v>23</v>
      </c>
      <c r="S892" s="4">
        <f>IFERROR(__xludf.DUMMYFUNCTION("""COMPUTED_VALUE"""),22.0)</f>
        <v>22</v>
      </c>
      <c r="T892" s="4"/>
      <c r="U892" s="4" t="str">
        <f>IFERROR(__xludf.DUMMYFUNCTION("""COMPUTED_VALUE"""),"BAIK")</f>
        <v>BAIK</v>
      </c>
      <c r="V892" s="4" t="str">
        <f>IFERROR(__xludf.DUMMYFUNCTION("""COMPUTED_VALUE"""),"Tidak Ada")</f>
        <v>Tidak Ada</v>
      </c>
      <c r="W892" s="4"/>
      <c r="X892" s="4"/>
      <c r="Y892" s="4"/>
      <c r="Z892" s="4"/>
      <c r="AA892" s="4"/>
      <c r="AB892" s="4"/>
      <c r="AC892" s="4" t="str">
        <f>IFERROR(__xludf.DUMMYFUNCTION("""COMPUTED_VALUE"""),"INSPEKSI SUTM - T2_Images/6bbcc002.FOTO.140817.jpg")</f>
        <v>INSPEKSI SUTM - T2_Images/6bbcc002.FOTO.140817.jpg</v>
      </c>
      <c r="AD892" s="4"/>
      <c r="AE892" s="4"/>
      <c r="AF892" s="4" t="str">
        <f>IFERROR(__xludf.DUMMYFUNCTION("""COMPUTED_VALUE"""),"BELUM")</f>
        <v>BELUM</v>
      </c>
      <c r="AG892" s="6">
        <f>IFERROR(__xludf.DUMMYFUNCTION("""COMPUTED_VALUE"""),46107.0)</f>
        <v>46107</v>
      </c>
      <c r="AH892" s="4"/>
      <c r="AI892" s="4"/>
    </row>
    <row r="893" ht="15.75" customHeight="1">
      <c r="A893" s="4" t="str">
        <f>IFERROR(__xludf.DUMMYFUNCTION("""COMPUTED_VALUE"""),"633a8dd5")</f>
        <v>633a8dd5</v>
      </c>
      <c r="B893" s="5">
        <f>IFERROR(__xludf.DUMMYFUNCTION("""COMPUTED_VALUE"""),46107.88122685185)</f>
        <v>46107.88123</v>
      </c>
      <c r="C893" s="4" t="str">
        <f>IFERROR(__xludf.DUMMYFUNCTION("""COMPUTED_VALUE"""),"-6.901468, 107.708962")</f>
        <v>-6.901468, 107.708962</v>
      </c>
      <c r="D893" s="4" t="str">
        <f>IFERROR(__xludf.DUMMYFUNCTION("""COMPUTED_VALUE"""),"Canra heri")</f>
        <v>Canra heri</v>
      </c>
      <c r="E893" s="4" t="str">
        <f>IFERROR(__xludf.DUMMYFUNCTION("""COMPUTED_VALUE"""),"BANDUNG")</f>
        <v>BANDUNG</v>
      </c>
      <c r="F893" s="4" t="str">
        <f>IFERROR(__xludf.DUMMYFUNCTION("""COMPUTED_VALUE"""),"UJUNGBERUNG")</f>
        <v>UJUNGBERUNG</v>
      </c>
      <c r="G893" s="4" t="str">
        <f>IFERROR(__xludf.DUMMYFUNCTION("""COMPUTED_VALUE"""),"UJUNGBERUNG")</f>
        <v>UJUNGBERUNG</v>
      </c>
      <c r="H893" s="4" t="str">
        <f>IFERROR(__xludf.DUMMYFUNCTION("""COMPUTED_VALUE"""),"UTWU")</f>
        <v>UTWU</v>
      </c>
      <c r="I893" s="4" t="str">
        <f>IFERROR(__xludf.DUMMYFUNCTION("""COMPUTED_VALUE"""),"LBS CGI - LBS PDO")</f>
        <v>LBS CGI - LBS PDO</v>
      </c>
      <c r="J893" s="4" t="str">
        <f>IFERROR(__xludf.DUMMYFUNCTION("""COMPUTED_VALUE"""),"ZONA 3")</f>
        <v>ZONA 3</v>
      </c>
      <c r="K893" s="4" t="str">
        <f>IFERROR(__xludf.DUMMYFUNCTION("""COMPUTED_VALUE"""),"035L024R015")</f>
        <v>035L024R015</v>
      </c>
      <c r="L893" s="4" t="str">
        <f>IFERROR(__xludf.DUMMYFUNCTION("""COMPUTED_VALUE"""),"TM - 14B/H (Akhir)")</f>
        <v>TM - 14B/H (Akhir)</v>
      </c>
      <c r="M893" s="4" t="str">
        <f>IFERROR(__xludf.DUMMYFUNCTION("""COMPUTED_VALUE"""),"Tidak Ada")</f>
        <v>Tidak Ada</v>
      </c>
      <c r="N893" s="4"/>
      <c r="O893" s="4" t="str">
        <f>IFERROR(__xludf.DUMMYFUNCTION("""COMPUTED_VALUE"""),"PEMBANDING SEJENIS")</f>
        <v>PEMBANDING SEJENIS</v>
      </c>
      <c r="P893" s="4" t="str">
        <f>IFERROR(__xludf.DUMMYFUNCTION("""COMPUTED_VALUE"""),"KONEKTOR/JUMPER")</f>
        <v>KONEKTOR/JUMPER</v>
      </c>
      <c r="Q893" s="4">
        <f>IFERROR(__xludf.DUMMYFUNCTION("""COMPUTED_VALUE"""),24.0)</f>
        <v>24</v>
      </c>
      <c r="R893" s="4">
        <f>IFERROR(__xludf.DUMMYFUNCTION("""COMPUTED_VALUE"""),24.0)</f>
        <v>24</v>
      </c>
      <c r="S893" s="4">
        <f>IFERROR(__xludf.DUMMYFUNCTION("""COMPUTED_VALUE"""),23.0)</f>
        <v>23</v>
      </c>
      <c r="T893" s="4"/>
      <c r="U893" s="4" t="str">
        <f>IFERROR(__xludf.DUMMYFUNCTION("""COMPUTED_VALUE"""),"BAIK")</f>
        <v>BAIK</v>
      </c>
      <c r="V893" s="4" t="str">
        <f>IFERROR(__xludf.DUMMYFUNCTION("""COMPUTED_VALUE"""),"Tidak Ada")</f>
        <v>Tidak Ada</v>
      </c>
      <c r="W893" s="4"/>
      <c r="X893" s="4"/>
      <c r="Y893" s="4"/>
      <c r="Z893" s="4"/>
      <c r="AA893" s="4"/>
      <c r="AB893" s="4"/>
      <c r="AC893" s="4" t="str">
        <f>IFERROR(__xludf.DUMMYFUNCTION("""COMPUTED_VALUE"""),"INSPEKSI SUTM - T2_Images/633a8dd5.FOTO.140945.jpg")</f>
        <v>INSPEKSI SUTM - T2_Images/633a8dd5.FOTO.140945.jpg</v>
      </c>
      <c r="AD893" s="4"/>
      <c r="AE893" s="4"/>
      <c r="AF893" s="4" t="str">
        <f>IFERROR(__xludf.DUMMYFUNCTION("""COMPUTED_VALUE"""),"BELUM")</f>
        <v>BELUM</v>
      </c>
      <c r="AG893" s="6">
        <f>IFERROR(__xludf.DUMMYFUNCTION("""COMPUTED_VALUE"""),46107.0)</f>
        <v>46107</v>
      </c>
      <c r="AH893" s="4"/>
      <c r="AI893" s="4"/>
    </row>
    <row r="894" ht="15.75" customHeight="1">
      <c r="A894" s="4" t="str">
        <f>IFERROR(__xludf.DUMMYFUNCTION("""COMPUTED_VALUE"""),"9171d6d8")</f>
        <v>9171d6d8</v>
      </c>
      <c r="B894" s="5">
        <f>IFERROR(__xludf.DUMMYFUNCTION("""COMPUTED_VALUE"""),46107.88297453704)</f>
        <v>46107.88297</v>
      </c>
      <c r="C894" s="4" t="str">
        <f>IFERROR(__xludf.DUMMYFUNCTION("""COMPUTED_VALUE"""),"-6.900770, 107.703775")</f>
        <v>-6.900770, 107.703775</v>
      </c>
      <c r="D894" s="4" t="str">
        <f>IFERROR(__xludf.DUMMYFUNCTION("""COMPUTED_VALUE"""),"Canra heri")</f>
        <v>Canra heri</v>
      </c>
      <c r="E894" s="4" t="str">
        <f>IFERROR(__xludf.DUMMYFUNCTION("""COMPUTED_VALUE"""),"BANDUNG")</f>
        <v>BANDUNG</v>
      </c>
      <c r="F894" s="4" t="str">
        <f>IFERROR(__xludf.DUMMYFUNCTION("""COMPUTED_VALUE"""),"UJUNGBERUNG")</f>
        <v>UJUNGBERUNG</v>
      </c>
      <c r="G894" s="4" t="str">
        <f>IFERROR(__xludf.DUMMYFUNCTION("""COMPUTED_VALUE"""),"UJUNGBERUNG")</f>
        <v>UJUNGBERUNG</v>
      </c>
      <c r="H894" s="4" t="str">
        <f>IFERROR(__xludf.DUMMYFUNCTION("""COMPUTED_VALUE"""),"UTWU")</f>
        <v>UTWU</v>
      </c>
      <c r="I894" s="4" t="str">
        <f>IFERROR(__xludf.DUMMYFUNCTION("""COMPUTED_VALUE"""),"LBS CGI - LBS PDO")</f>
        <v>LBS CGI - LBS PDO</v>
      </c>
      <c r="J894" s="4" t="str">
        <f>IFERROR(__xludf.DUMMYFUNCTION("""COMPUTED_VALUE"""),"ZONA 3")</f>
        <v>ZONA 3</v>
      </c>
      <c r="K894" s="4" t="str">
        <f>IFERROR(__xludf.DUMMYFUNCTION("""COMPUTED_VALUE"""),"035L027L04")</f>
        <v>035L027L04</v>
      </c>
      <c r="L894" s="4" t="str">
        <f>IFERROR(__xludf.DUMMYFUNCTION("""COMPUTED_VALUE"""),"TM - 7B/H (Afspan 90 Derajat)")</f>
        <v>TM - 7B/H (Afspan 90 Derajat)</v>
      </c>
      <c r="M894" s="4" t="str">
        <f>IFERROR(__xludf.DUMMYFUNCTION("""COMPUTED_VALUE"""),"Tidak Ada")</f>
        <v>Tidak Ada</v>
      </c>
      <c r="N894" s="4"/>
      <c r="O894" s="4" t="str">
        <f>IFERROR(__xludf.DUMMYFUNCTION("""COMPUTED_VALUE"""),"PEMBANDING SEJENIS")</f>
        <v>PEMBANDING SEJENIS</v>
      </c>
      <c r="P894" s="4" t="str">
        <f>IFERROR(__xludf.DUMMYFUNCTION("""COMPUTED_VALUE"""),"KONEKTOR/JUMPER")</f>
        <v>KONEKTOR/JUMPER</v>
      </c>
      <c r="Q894" s="4">
        <f>IFERROR(__xludf.DUMMYFUNCTION("""COMPUTED_VALUE"""),25.0)</f>
        <v>25</v>
      </c>
      <c r="R894" s="4">
        <f>IFERROR(__xludf.DUMMYFUNCTION("""COMPUTED_VALUE"""),25.0)</f>
        <v>25</v>
      </c>
      <c r="S894" s="4">
        <f>IFERROR(__xludf.DUMMYFUNCTION("""COMPUTED_VALUE"""),25.0)</f>
        <v>25</v>
      </c>
      <c r="T894" s="4"/>
      <c r="U894" s="4" t="str">
        <f>IFERROR(__xludf.DUMMYFUNCTION("""COMPUTED_VALUE"""),"BAIK")</f>
        <v>BAIK</v>
      </c>
      <c r="V894" s="4" t="str">
        <f>IFERROR(__xludf.DUMMYFUNCTION("""COMPUTED_VALUE"""),"Tidak Ada")</f>
        <v>Tidak Ada</v>
      </c>
      <c r="W894" s="4"/>
      <c r="X894" s="4"/>
      <c r="Y894" s="4"/>
      <c r="Z894" s="4"/>
      <c r="AA894" s="4"/>
      <c r="AB894" s="4"/>
      <c r="AC894" s="4" t="str">
        <f>IFERROR(__xludf.DUMMYFUNCTION("""COMPUTED_VALUE"""),"INSPEKSI SUTM - T2_Images/9171d6d8.FOTO.141216.jpg")</f>
        <v>INSPEKSI SUTM - T2_Images/9171d6d8.FOTO.141216.jpg</v>
      </c>
      <c r="AD894" s="4"/>
      <c r="AE894" s="4"/>
      <c r="AF894" s="4" t="str">
        <f>IFERROR(__xludf.DUMMYFUNCTION("""COMPUTED_VALUE"""),"BELUM")</f>
        <v>BELUM</v>
      </c>
      <c r="AG894" s="6">
        <f>IFERROR(__xludf.DUMMYFUNCTION("""COMPUTED_VALUE"""),46107.0)</f>
        <v>46107</v>
      </c>
      <c r="AH894" s="4"/>
      <c r="AI894" s="4"/>
    </row>
    <row r="895" ht="15.75" customHeight="1">
      <c r="A895" s="4" t="str">
        <f>IFERROR(__xludf.DUMMYFUNCTION("""COMPUTED_VALUE"""),"4e001aae")</f>
        <v>4e001aae</v>
      </c>
      <c r="B895" s="5">
        <f>IFERROR(__xludf.DUMMYFUNCTION("""COMPUTED_VALUE"""),46107.88447916666)</f>
        <v>46107.88448</v>
      </c>
      <c r="C895" s="4" t="str">
        <f>IFERROR(__xludf.DUMMYFUNCTION("""COMPUTED_VALUE"""),"-6.901030, 107.703592")</f>
        <v>-6.901030, 107.703592</v>
      </c>
      <c r="D895" s="4" t="str">
        <f>IFERROR(__xludf.DUMMYFUNCTION("""COMPUTED_VALUE"""),"Csnra heri")</f>
        <v>Csnra heri</v>
      </c>
      <c r="E895" s="4" t="str">
        <f>IFERROR(__xludf.DUMMYFUNCTION("""COMPUTED_VALUE"""),"BANDUNG")</f>
        <v>BANDUNG</v>
      </c>
      <c r="F895" s="4" t="str">
        <f>IFERROR(__xludf.DUMMYFUNCTION("""COMPUTED_VALUE"""),"UJUNGBERUNG")</f>
        <v>UJUNGBERUNG</v>
      </c>
      <c r="G895" s="4" t="str">
        <f>IFERROR(__xludf.DUMMYFUNCTION("""COMPUTED_VALUE"""),"UJUNGBERUNG")</f>
        <v>UJUNGBERUNG</v>
      </c>
      <c r="H895" s="4" t="str">
        <f>IFERROR(__xludf.DUMMYFUNCTION("""COMPUTED_VALUE"""),"UTWU")</f>
        <v>UTWU</v>
      </c>
      <c r="I895" s="4" t="str">
        <f>IFERROR(__xludf.DUMMYFUNCTION("""COMPUTED_VALUE"""),"LBS CGI - LBS PDO")</f>
        <v>LBS CGI - LBS PDO</v>
      </c>
      <c r="J895" s="4" t="str">
        <f>IFERROR(__xludf.DUMMYFUNCTION("""COMPUTED_VALUE"""),"ZONA 3")</f>
        <v>ZONA 3</v>
      </c>
      <c r="K895" s="4" t="str">
        <f>IFERROR(__xludf.DUMMYFUNCTION("""COMPUTED_VALUE"""),"035L027L05")</f>
        <v>035L027L05</v>
      </c>
      <c r="L895" s="4" t="str">
        <f>IFERROR(__xludf.DUMMYFUNCTION("""COMPUTED_VALUE"""),"TM - 4B/H (Afspan)")</f>
        <v>TM - 4B/H (Afspan)</v>
      </c>
      <c r="M895" s="4" t="str">
        <f>IFERROR(__xludf.DUMMYFUNCTION("""COMPUTED_VALUE"""),"Gardu")</f>
        <v>Gardu</v>
      </c>
      <c r="N895" s="4" t="str">
        <f>IFERROR(__xludf.DUMMYFUNCTION("""COMPUTED_VALUE"""),"A")</f>
        <v>A</v>
      </c>
      <c r="O895" s="4" t="str">
        <f>IFERROR(__xludf.DUMMYFUNCTION("""COMPUTED_VALUE"""),"PEMBANDING SEJENIS")</f>
        <v>PEMBANDING SEJENIS</v>
      </c>
      <c r="P895" s="4" t="str">
        <f>IFERROR(__xludf.DUMMYFUNCTION("""COMPUTED_VALUE"""),"KONEKTOR/JUMPER")</f>
        <v>KONEKTOR/JUMPER</v>
      </c>
      <c r="Q895" s="4">
        <f>IFERROR(__xludf.DUMMYFUNCTION("""COMPUTED_VALUE"""),23.0)</f>
        <v>23</v>
      </c>
      <c r="R895" s="4">
        <f>IFERROR(__xludf.DUMMYFUNCTION("""COMPUTED_VALUE"""),23.0)</f>
        <v>23</v>
      </c>
      <c r="S895" s="4">
        <f>IFERROR(__xludf.DUMMYFUNCTION("""COMPUTED_VALUE"""),23.0)</f>
        <v>23</v>
      </c>
      <c r="T895" s="4"/>
      <c r="U895" s="4" t="str">
        <f>IFERROR(__xludf.DUMMYFUNCTION("""COMPUTED_VALUE"""),"BAIK")</f>
        <v>BAIK</v>
      </c>
      <c r="V895" s="4" t="str">
        <f>IFERROR(__xludf.DUMMYFUNCTION("""COMPUTED_VALUE"""),"Tidak Ada")</f>
        <v>Tidak Ada</v>
      </c>
      <c r="W895" s="4"/>
      <c r="X895" s="4"/>
      <c r="Y895" s="4"/>
      <c r="Z895" s="4"/>
      <c r="AA895" s="4"/>
      <c r="AB895" s="4"/>
      <c r="AC895" s="4" t="str">
        <f>IFERROR(__xludf.DUMMYFUNCTION("""COMPUTED_VALUE"""),"INSPEKSI SUTM - T2_Images/4e001aae.FOTO.141424.jpg")</f>
        <v>INSPEKSI SUTM - T2_Images/4e001aae.FOTO.141424.jpg</v>
      </c>
      <c r="AD895" s="4"/>
      <c r="AE895" s="4"/>
      <c r="AF895" s="4" t="str">
        <f>IFERROR(__xludf.DUMMYFUNCTION("""COMPUTED_VALUE"""),"BELUM")</f>
        <v>BELUM</v>
      </c>
      <c r="AG895" s="6">
        <f>IFERROR(__xludf.DUMMYFUNCTION("""COMPUTED_VALUE"""),46107.0)</f>
        <v>46107</v>
      </c>
      <c r="AH895" s="4"/>
      <c r="AI895" s="4"/>
    </row>
    <row r="896" ht="15.75" customHeight="1">
      <c r="A896" s="4" t="str">
        <f>IFERROR(__xludf.DUMMYFUNCTION("""COMPUTED_VALUE"""),"6951ba18")</f>
        <v>6951ba18</v>
      </c>
      <c r="B896" s="5">
        <f>IFERROR(__xludf.DUMMYFUNCTION("""COMPUTED_VALUE"""),46107.88550925926)</f>
        <v>46107.88551</v>
      </c>
      <c r="C896" s="4" t="str">
        <f>IFERROR(__xludf.DUMMYFUNCTION("""COMPUTED_VALUE"""),"-6.900476, 107.704624")</f>
        <v>-6.900476, 107.704624</v>
      </c>
      <c r="D896" s="4" t="str">
        <f>IFERROR(__xludf.DUMMYFUNCTION("""COMPUTED_VALUE"""),"Canra heri")</f>
        <v>Canra heri</v>
      </c>
      <c r="E896" s="4" t="str">
        <f>IFERROR(__xludf.DUMMYFUNCTION("""COMPUTED_VALUE"""),"BANDUNG")</f>
        <v>BANDUNG</v>
      </c>
      <c r="F896" s="4" t="str">
        <f>IFERROR(__xludf.DUMMYFUNCTION("""COMPUTED_VALUE"""),"UJUNGBERUNG")</f>
        <v>UJUNGBERUNG</v>
      </c>
      <c r="G896" s="4" t="str">
        <f>IFERROR(__xludf.DUMMYFUNCTION("""COMPUTED_VALUE"""),"UJUNGBERUNG")</f>
        <v>UJUNGBERUNG</v>
      </c>
      <c r="H896" s="4" t="str">
        <f>IFERROR(__xludf.DUMMYFUNCTION("""COMPUTED_VALUE"""),"UTWU")</f>
        <v>UTWU</v>
      </c>
      <c r="I896" s="4" t="str">
        <f>IFERROR(__xludf.DUMMYFUNCTION("""COMPUTED_VALUE"""),"LBS CGI - LBS PDO")</f>
        <v>LBS CGI - LBS PDO</v>
      </c>
      <c r="J896" s="4" t="str">
        <f>IFERROR(__xludf.DUMMYFUNCTION("""COMPUTED_VALUE"""),"ZONA 3")</f>
        <v>ZONA 3</v>
      </c>
      <c r="K896" s="4" t="str">
        <f>IFERROR(__xludf.DUMMYFUNCTION("""COMPUTED_VALUE"""),"035L028")</f>
        <v>035L028</v>
      </c>
      <c r="L896" s="4" t="str">
        <f>IFERROR(__xludf.DUMMYFUNCTION("""COMPUTED_VALUE"""),"TM - 4B/H (Afspan)")</f>
        <v>TM - 4B/H (Afspan)</v>
      </c>
      <c r="M896" s="4" t="str">
        <f>IFERROR(__xludf.DUMMYFUNCTION("""COMPUTED_VALUE"""),"Tidak Ada")</f>
        <v>Tidak Ada</v>
      </c>
      <c r="N896" s="4"/>
      <c r="O896" s="4" t="str">
        <f>IFERROR(__xludf.DUMMYFUNCTION("""COMPUTED_VALUE"""),"PEMBANDING SEJENIS")</f>
        <v>PEMBANDING SEJENIS</v>
      </c>
      <c r="P896" s="4" t="str">
        <f>IFERROR(__xludf.DUMMYFUNCTION("""COMPUTED_VALUE"""),"KONEKTOR/JUMPER")</f>
        <v>KONEKTOR/JUMPER</v>
      </c>
      <c r="Q896" s="4">
        <f>IFERROR(__xludf.DUMMYFUNCTION("""COMPUTED_VALUE"""),24.0)</f>
        <v>24</v>
      </c>
      <c r="R896" s="4">
        <f>IFERROR(__xludf.DUMMYFUNCTION("""COMPUTED_VALUE"""),23.0)</f>
        <v>23</v>
      </c>
      <c r="S896" s="4">
        <f>IFERROR(__xludf.DUMMYFUNCTION("""COMPUTED_VALUE"""),22.0)</f>
        <v>22</v>
      </c>
      <c r="T896" s="4"/>
      <c r="U896" s="4" t="str">
        <f>IFERROR(__xludf.DUMMYFUNCTION("""COMPUTED_VALUE"""),"BAIK")</f>
        <v>BAIK</v>
      </c>
      <c r="V896" s="4" t="str">
        <f>IFERROR(__xludf.DUMMYFUNCTION("""COMPUTED_VALUE"""),"Tidak Ada")</f>
        <v>Tidak Ada</v>
      </c>
      <c r="W896" s="4"/>
      <c r="X896" s="4"/>
      <c r="Y896" s="4"/>
      <c r="Z896" s="4"/>
      <c r="AA896" s="4"/>
      <c r="AB896" s="4"/>
      <c r="AC896" s="4" t="str">
        <f>IFERROR(__xludf.DUMMYFUNCTION("""COMPUTED_VALUE"""),"INSPEKSI SUTM - T2_Images/6951ba18.FOTO.141554.jpg")</f>
        <v>INSPEKSI SUTM - T2_Images/6951ba18.FOTO.141554.jpg</v>
      </c>
      <c r="AD896" s="4"/>
      <c r="AE896" s="4"/>
      <c r="AF896" s="4" t="str">
        <f>IFERROR(__xludf.DUMMYFUNCTION("""COMPUTED_VALUE"""),"BELUM")</f>
        <v>BELUM</v>
      </c>
      <c r="AG896" s="6">
        <f>IFERROR(__xludf.DUMMYFUNCTION("""COMPUTED_VALUE"""),46107.0)</f>
        <v>46107</v>
      </c>
      <c r="AH896" s="4"/>
      <c r="AI896" s="4"/>
    </row>
    <row r="897" ht="15.75" customHeight="1">
      <c r="A897" s="4" t="str">
        <f>IFERROR(__xludf.DUMMYFUNCTION("""COMPUTED_VALUE"""),"9174eca0")</f>
        <v>9174eca0</v>
      </c>
      <c r="B897" s="5">
        <f>IFERROR(__xludf.DUMMYFUNCTION("""COMPUTED_VALUE"""),46107.88664351852)</f>
        <v>46107.88664</v>
      </c>
      <c r="C897" s="4" t="str">
        <f>IFERROR(__xludf.DUMMYFUNCTION("""COMPUTED_VALUE"""),"-6.899420, 107.704636")</f>
        <v>-6.899420, 107.704636</v>
      </c>
      <c r="D897" s="4" t="str">
        <f>IFERROR(__xludf.DUMMYFUNCTION("""COMPUTED_VALUE"""),"Canra heri")</f>
        <v>Canra heri</v>
      </c>
      <c r="E897" s="4" t="str">
        <f>IFERROR(__xludf.DUMMYFUNCTION("""COMPUTED_VALUE"""),"BANDUNG")</f>
        <v>BANDUNG</v>
      </c>
      <c r="F897" s="4" t="str">
        <f>IFERROR(__xludf.DUMMYFUNCTION("""COMPUTED_VALUE"""),"UJUNGBERUNG")</f>
        <v>UJUNGBERUNG</v>
      </c>
      <c r="G897" s="4" t="str">
        <f>IFERROR(__xludf.DUMMYFUNCTION("""COMPUTED_VALUE"""),"UJUNGBERUNG")</f>
        <v>UJUNGBERUNG</v>
      </c>
      <c r="H897" s="4" t="str">
        <f>IFERROR(__xludf.DUMMYFUNCTION("""COMPUTED_VALUE"""),"UTWU")</f>
        <v>UTWU</v>
      </c>
      <c r="I897" s="4" t="str">
        <f>IFERROR(__xludf.DUMMYFUNCTION("""COMPUTED_VALUE"""),"LBS CGI - LBS PDO")</f>
        <v>LBS CGI - LBS PDO</v>
      </c>
      <c r="J897" s="4" t="str">
        <f>IFERROR(__xludf.DUMMYFUNCTION("""COMPUTED_VALUE"""),"ZONA 3")</f>
        <v>ZONA 3</v>
      </c>
      <c r="K897" s="4" t="str">
        <f>IFERROR(__xludf.DUMMYFUNCTION("""COMPUTED_VALUE"""),"035L031")</f>
        <v>035L031</v>
      </c>
      <c r="L897" s="4" t="str">
        <f>IFERROR(__xludf.DUMMYFUNCTION("""COMPUTED_VALUE"""),"TM - 8B/H (Percabangan)")</f>
        <v>TM - 8B/H (Percabangan)</v>
      </c>
      <c r="M897" s="4" t="str">
        <f>IFERROR(__xludf.DUMMYFUNCTION("""COMPUTED_VALUE"""),"Tidak Ada")</f>
        <v>Tidak Ada</v>
      </c>
      <c r="N897" s="4"/>
      <c r="O897" s="4" t="str">
        <f>IFERROR(__xludf.DUMMYFUNCTION("""COMPUTED_VALUE"""),"PEMBANDING SEJENIS")</f>
        <v>PEMBANDING SEJENIS</v>
      </c>
      <c r="P897" s="4" t="str">
        <f>IFERROR(__xludf.DUMMYFUNCTION("""COMPUTED_VALUE"""),"KONEKTOR/JUMPER")</f>
        <v>KONEKTOR/JUMPER</v>
      </c>
      <c r="Q897" s="4">
        <f>IFERROR(__xludf.DUMMYFUNCTION("""COMPUTED_VALUE"""),24.0)</f>
        <v>24</v>
      </c>
      <c r="R897" s="4">
        <f>IFERROR(__xludf.DUMMYFUNCTION("""COMPUTED_VALUE"""),24.0)</f>
        <v>24</v>
      </c>
      <c r="S897" s="4">
        <f>IFERROR(__xludf.DUMMYFUNCTION("""COMPUTED_VALUE"""),24.0)</f>
        <v>24</v>
      </c>
      <c r="T897" s="4"/>
      <c r="U897" s="4" t="str">
        <f>IFERROR(__xludf.DUMMYFUNCTION("""COMPUTED_VALUE"""),"BAIK")</f>
        <v>BAIK</v>
      </c>
      <c r="V897" s="4" t="str">
        <f>IFERROR(__xludf.DUMMYFUNCTION("""COMPUTED_VALUE"""),"Tidak Ada")</f>
        <v>Tidak Ada</v>
      </c>
      <c r="W897" s="4"/>
      <c r="X897" s="4"/>
      <c r="Y897" s="4"/>
      <c r="Z897" s="4"/>
      <c r="AA897" s="4"/>
      <c r="AB897" s="4"/>
      <c r="AC897" s="4" t="str">
        <f>IFERROR(__xludf.DUMMYFUNCTION("""COMPUTED_VALUE"""),"INSPEKSI SUTM - T2_Images/9174eca0.FOTO.141743.jpg")</f>
        <v>INSPEKSI SUTM - T2_Images/9174eca0.FOTO.141743.jpg</v>
      </c>
      <c r="AD897" s="4"/>
      <c r="AE897" s="4"/>
      <c r="AF897" s="4" t="str">
        <f>IFERROR(__xludf.DUMMYFUNCTION("""COMPUTED_VALUE"""),"BELUM")</f>
        <v>BELUM</v>
      </c>
      <c r="AG897" s="6">
        <f>IFERROR(__xludf.DUMMYFUNCTION("""COMPUTED_VALUE"""),46107.0)</f>
        <v>46107</v>
      </c>
      <c r="AH897" s="4"/>
      <c r="AI897" s="4"/>
    </row>
    <row r="898" ht="15.75" customHeight="1">
      <c r="A898" s="4" t="str">
        <f>IFERROR(__xludf.DUMMYFUNCTION("""COMPUTED_VALUE"""),"dc316f16")</f>
        <v>dc316f16</v>
      </c>
      <c r="B898" s="5">
        <f>IFERROR(__xludf.DUMMYFUNCTION("""COMPUTED_VALUE"""),46107.8878587963)</f>
        <v>46107.88786</v>
      </c>
      <c r="C898" s="4" t="str">
        <f>IFERROR(__xludf.DUMMYFUNCTION("""COMPUTED_VALUE"""),"-6.898710, 107.703227")</f>
        <v>-6.898710, 107.703227</v>
      </c>
      <c r="D898" s="4" t="str">
        <f>IFERROR(__xludf.DUMMYFUNCTION("""COMPUTED_VALUE"""),"Canra heri")</f>
        <v>Canra heri</v>
      </c>
      <c r="E898" s="4" t="str">
        <f>IFERROR(__xludf.DUMMYFUNCTION("""COMPUTED_VALUE"""),"BANDUNG")</f>
        <v>BANDUNG</v>
      </c>
      <c r="F898" s="4" t="str">
        <f>IFERROR(__xludf.DUMMYFUNCTION("""COMPUTED_VALUE"""),"UJUNGBERUNG")</f>
        <v>UJUNGBERUNG</v>
      </c>
      <c r="G898" s="4" t="str">
        <f>IFERROR(__xludf.DUMMYFUNCTION("""COMPUTED_VALUE"""),"UJUNGBERUNG")</f>
        <v>UJUNGBERUNG</v>
      </c>
      <c r="H898" s="4" t="str">
        <f>IFERROR(__xludf.DUMMYFUNCTION("""COMPUTED_VALUE"""),"UTWU")</f>
        <v>UTWU</v>
      </c>
      <c r="I898" s="4" t="str">
        <f>IFERROR(__xludf.DUMMYFUNCTION("""COMPUTED_VALUE"""),"LBS CGI - LBS PDO")</f>
        <v>LBS CGI - LBS PDO</v>
      </c>
      <c r="J898" s="4" t="str">
        <f>IFERROR(__xludf.DUMMYFUNCTION("""COMPUTED_VALUE"""),"ZONA 3")</f>
        <v>ZONA 3</v>
      </c>
      <c r="K898" s="4" t="str">
        <f>IFERROR(__xludf.DUMMYFUNCTION("""COMPUTED_VALUE"""),"035L031L05")</f>
        <v>035L031L05</v>
      </c>
      <c r="L898" s="4" t="str">
        <f>IFERROR(__xludf.DUMMYFUNCTION("""COMPUTED_VALUE"""),"TM - 7B/H (Afspan 90 Derajat)")</f>
        <v>TM - 7B/H (Afspan 90 Derajat)</v>
      </c>
      <c r="M898" s="4" t="str">
        <f>IFERROR(__xludf.DUMMYFUNCTION("""COMPUTED_VALUE"""),"Tidak Ada")</f>
        <v>Tidak Ada</v>
      </c>
      <c r="N898" s="4"/>
      <c r="O898" s="4" t="str">
        <f>IFERROR(__xludf.DUMMYFUNCTION("""COMPUTED_VALUE"""),"PEMBANDING SEJENIS")</f>
        <v>PEMBANDING SEJENIS</v>
      </c>
      <c r="P898" s="4" t="str">
        <f>IFERROR(__xludf.DUMMYFUNCTION("""COMPUTED_VALUE"""),"KONEKTOR/JUMPER")</f>
        <v>KONEKTOR/JUMPER</v>
      </c>
      <c r="Q898" s="4">
        <f>IFERROR(__xludf.DUMMYFUNCTION("""COMPUTED_VALUE"""),22.0)</f>
        <v>22</v>
      </c>
      <c r="R898" s="4">
        <f>IFERROR(__xludf.DUMMYFUNCTION("""COMPUTED_VALUE"""),22.0)</f>
        <v>22</v>
      </c>
      <c r="S898" s="4">
        <f>IFERROR(__xludf.DUMMYFUNCTION("""COMPUTED_VALUE"""),22.0)</f>
        <v>22</v>
      </c>
      <c r="T898" s="4"/>
      <c r="U898" s="4" t="str">
        <f>IFERROR(__xludf.DUMMYFUNCTION("""COMPUTED_VALUE"""),"BAIK")</f>
        <v>BAIK</v>
      </c>
      <c r="V898" s="4" t="str">
        <f>IFERROR(__xludf.DUMMYFUNCTION("""COMPUTED_VALUE"""),"Tidak Ada")</f>
        <v>Tidak Ada</v>
      </c>
      <c r="W898" s="4"/>
      <c r="X898" s="4"/>
      <c r="Y898" s="4"/>
      <c r="Z898" s="4"/>
      <c r="AA898" s="4"/>
      <c r="AB898" s="4"/>
      <c r="AC898" s="4" t="str">
        <f>IFERROR(__xludf.DUMMYFUNCTION("""COMPUTED_VALUE"""),"INSPEKSI SUTM - T2_Images/dc316f16.FOTO.141928.jpg")</f>
        <v>INSPEKSI SUTM - T2_Images/dc316f16.FOTO.141928.jpg</v>
      </c>
      <c r="AD898" s="4"/>
      <c r="AE898" s="4"/>
      <c r="AF898" s="4" t="str">
        <f>IFERROR(__xludf.DUMMYFUNCTION("""COMPUTED_VALUE"""),"BELUM")</f>
        <v>BELUM</v>
      </c>
      <c r="AG898" s="6">
        <f>IFERROR(__xludf.DUMMYFUNCTION("""COMPUTED_VALUE"""),46107.0)</f>
        <v>46107</v>
      </c>
      <c r="AH898" s="4"/>
      <c r="AI898" s="4"/>
    </row>
    <row r="899" ht="15.75" customHeight="1">
      <c r="A899" s="4" t="str">
        <f>IFERROR(__xludf.DUMMYFUNCTION("""COMPUTED_VALUE"""),"6624b2c3")</f>
        <v>6624b2c3</v>
      </c>
      <c r="B899" s="5">
        <f>IFERROR(__xludf.DUMMYFUNCTION("""COMPUTED_VALUE"""),46107.88909722222)</f>
        <v>46107.8891</v>
      </c>
      <c r="C899" s="4" t="str">
        <f>IFERROR(__xludf.DUMMYFUNCTION("""COMPUTED_VALUE"""),"-6.897900, 107.704425")</f>
        <v>-6.897900, 107.704425</v>
      </c>
      <c r="D899" s="4" t="str">
        <f>IFERROR(__xludf.DUMMYFUNCTION("""COMPUTED_VALUE"""),"Canra heri")</f>
        <v>Canra heri</v>
      </c>
      <c r="E899" s="4" t="str">
        <f>IFERROR(__xludf.DUMMYFUNCTION("""COMPUTED_VALUE"""),"BANDUNG")</f>
        <v>BANDUNG</v>
      </c>
      <c r="F899" s="4" t="str">
        <f>IFERROR(__xludf.DUMMYFUNCTION("""COMPUTED_VALUE"""),"UJUNGBERUNG")</f>
        <v>UJUNGBERUNG</v>
      </c>
      <c r="G899" s="4" t="str">
        <f>IFERROR(__xludf.DUMMYFUNCTION("""COMPUTED_VALUE"""),"UJUNGBERUNG")</f>
        <v>UJUNGBERUNG</v>
      </c>
      <c r="H899" s="4" t="str">
        <f>IFERROR(__xludf.DUMMYFUNCTION("""COMPUTED_VALUE"""),"UTWU")</f>
        <v>UTWU</v>
      </c>
      <c r="I899" s="4" t="str">
        <f>IFERROR(__xludf.DUMMYFUNCTION("""COMPUTED_VALUE"""),"LBS CGI - LBS PDO")</f>
        <v>LBS CGI - LBS PDO</v>
      </c>
      <c r="J899" s="4" t="str">
        <f>IFERROR(__xludf.DUMMYFUNCTION("""COMPUTED_VALUE"""),"ZONA 3")</f>
        <v>ZONA 3</v>
      </c>
      <c r="K899" s="4" t="str">
        <f>IFERROR(__xludf.DUMMYFUNCTION("""COMPUTED_VALUE"""),"035L035")</f>
        <v>035L035</v>
      </c>
      <c r="L899" s="4" t="str">
        <f>IFERROR(__xludf.DUMMYFUNCTION("""COMPUTED_VALUE"""),"TM - 8B/H (Percabangan)")</f>
        <v>TM - 8B/H (Percabangan)</v>
      </c>
      <c r="M899" s="4" t="str">
        <f>IFERROR(__xludf.DUMMYFUNCTION("""COMPUTED_VALUE"""),"Tidak Ada")</f>
        <v>Tidak Ada</v>
      </c>
      <c r="N899" s="4"/>
      <c r="O899" s="4" t="str">
        <f>IFERROR(__xludf.DUMMYFUNCTION("""COMPUTED_VALUE"""),"PEMBANDING SEJENIS")</f>
        <v>PEMBANDING SEJENIS</v>
      </c>
      <c r="P899" s="4" t="str">
        <f>IFERROR(__xludf.DUMMYFUNCTION("""COMPUTED_VALUE"""),"KONEKTOR/JUMPER")</f>
        <v>KONEKTOR/JUMPER</v>
      </c>
      <c r="Q899" s="4">
        <f>IFERROR(__xludf.DUMMYFUNCTION("""COMPUTED_VALUE"""),23.0)</f>
        <v>23</v>
      </c>
      <c r="R899" s="4">
        <f>IFERROR(__xludf.DUMMYFUNCTION("""COMPUTED_VALUE"""),23.0)</f>
        <v>23</v>
      </c>
      <c r="S899" s="4">
        <f>IFERROR(__xludf.DUMMYFUNCTION("""COMPUTED_VALUE"""),23.0)</f>
        <v>23</v>
      </c>
      <c r="T899" s="4"/>
      <c r="U899" s="4" t="str">
        <f>IFERROR(__xludf.DUMMYFUNCTION("""COMPUTED_VALUE"""),"BAIK")</f>
        <v>BAIK</v>
      </c>
      <c r="V899" s="4" t="str">
        <f>IFERROR(__xludf.DUMMYFUNCTION("""COMPUTED_VALUE"""),"Tidak Ada")</f>
        <v>Tidak Ada</v>
      </c>
      <c r="W899" s="4"/>
      <c r="X899" s="4"/>
      <c r="Y899" s="4"/>
      <c r="Z899" s="4"/>
      <c r="AA899" s="4"/>
      <c r="AB899" s="4"/>
      <c r="AC899" s="4" t="str">
        <f>IFERROR(__xludf.DUMMYFUNCTION("""COMPUTED_VALUE"""),"INSPEKSI SUTM - T2_Images/6624b2c3.FOTO.142112.jpg")</f>
        <v>INSPEKSI SUTM - T2_Images/6624b2c3.FOTO.142112.jpg</v>
      </c>
      <c r="AD899" s="4"/>
      <c r="AE899" s="4"/>
      <c r="AF899" s="4" t="str">
        <f>IFERROR(__xludf.DUMMYFUNCTION("""COMPUTED_VALUE"""),"BELUM")</f>
        <v>BELUM</v>
      </c>
      <c r="AG899" s="6">
        <f>IFERROR(__xludf.DUMMYFUNCTION("""COMPUTED_VALUE"""),46107.0)</f>
        <v>46107</v>
      </c>
      <c r="AH899" s="4"/>
      <c r="AI899" s="4"/>
    </row>
    <row r="900" ht="15.75" customHeight="1">
      <c r="A900" s="4" t="str">
        <f>IFERROR(__xludf.DUMMYFUNCTION("""COMPUTED_VALUE"""),"b825075a")</f>
        <v>b825075a</v>
      </c>
      <c r="B900" s="5">
        <f>IFERROR(__xludf.DUMMYFUNCTION("""COMPUTED_VALUE"""),46107.890069444446)</f>
        <v>46107.89007</v>
      </c>
      <c r="C900" s="4" t="str">
        <f>IFERROR(__xludf.DUMMYFUNCTION("""COMPUTED_VALUE"""),"-6.897767, 107.704215")</f>
        <v>-6.897767, 107.704215</v>
      </c>
      <c r="D900" s="4" t="str">
        <f>IFERROR(__xludf.DUMMYFUNCTION("""COMPUTED_VALUE"""),"Canra heri")</f>
        <v>Canra heri</v>
      </c>
      <c r="E900" s="4" t="str">
        <f>IFERROR(__xludf.DUMMYFUNCTION("""COMPUTED_VALUE"""),"BANDUNG")</f>
        <v>BANDUNG</v>
      </c>
      <c r="F900" s="4" t="str">
        <f>IFERROR(__xludf.DUMMYFUNCTION("""COMPUTED_VALUE"""),"UJUNGBERUNG")</f>
        <v>UJUNGBERUNG</v>
      </c>
      <c r="G900" s="4" t="str">
        <f>IFERROR(__xludf.DUMMYFUNCTION("""COMPUTED_VALUE"""),"UJUNGBERUNG")</f>
        <v>UJUNGBERUNG</v>
      </c>
      <c r="H900" s="4" t="str">
        <f>IFERROR(__xludf.DUMMYFUNCTION("""COMPUTED_VALUE"""),"UTWU")</f>
        <v>UTWU</v>
      </c>
      <c r="I900" s="4" t="str">
        <f>IFERROR(__xludf.DUMMYFUNCTION("""COMPUTED_VALUE"""),"LBS CGI - LBS PDO")</f>
        <v>LBS CGI - LBS PDO</v>
      </c>
      <c r="J900" s="4" t="str">
        <f>IFERROR(__xludf.DUMMYFUNCTION("""COMPUTED_VALUE"""),"ZONA 3")</f>
        <v>ZONA 3</v>
      </c>
      <c r="K900" s="4" t="str">
        <f>IFERROR(__xludf.DUMMYFUNCTION("""COMPUTED_VALUE"""),"035L035L01")</f>
        <v>035L035L01</v>
      </c>
      <c r="L900" s="4" t="str">
        <f>IFERROR(__xludf.DUMMYFUNCTION("""COMPUTED_VALUE"""),"TM - 1B/H (Tumpu)")</f>
        <v>TM - 1B/H (Tumpu)</v>
      </c>
      <c r="M900" s="4" t="str">
        <f>IFERROR(__xludf.DUMMYFUNCTION("""COMPUTED_VALUE"""),"Tidak Ada")</f>
        <v>Tidak Ada</v>
      </c>
      <c r="N900" s="4"/>
      <c r="O900" s="4" t="str">
        <f>IFERROR(__xludf.DUMMYFUNCTION("""COMPUTED_VALUE"""),"PEMBANDING SEJENIS")</f>
        <v>PEMBANDING SEJENIS</v>
      </c>
      <c r="P900" s="4" t="str">
        <f>IFERROR(__xludf.DUMMYFUNCTION("""COMPUTED_VALUE"""),"ARRESTER")</f>
        <v>ARRESTER</v>
      </c>
      <c r="Q900" s="4">
        <f>IFERROR(__xludf.DUMMYFUNCTION("""COMPUTED_VALUE"""),22.0)</f>
        <v>22</v>
      </c>
      <c r="R900" s="4">
        <f>IFERROR(__xludf.DUMMYFUNCTION("""COMPUTED_VALUE"""),22.0)</f>
        <v>22</v>
      </c>
      <c r="S900" s="4">
        <f>IFERROR(__xludf.DUMMYFUNCTION("""COMPUTED_VALUE"""),22.0)</f>
        <v>22</v>
      </c>
      <c r="T900" s="4"/>
      <c r="U900" s="4" t="str">
        <f>IFERROR(__xludf.DUMMYFUNCTION("""COMPUTED_VALUE"""),"BAIK")</f>
        <v>BAIK</v>
      </c>
      <c r="V900" s="4" t="str">
        <f>IFERROR(__xludf.DUMMYFUNCTION("""COMPUTED_VALUE"""),"Tidak Ada")</f>
        <v>Tidak Ada</v>
      </c>
      <c r="W900" s="4"/>
      <c r="X900" s="4"/>
      <c r="Y900" s="4"/>
      <c r="Z900" s="4"/>
      <c r="AA900" s="4"/>
      <c r="AB900" s="4"/>
      <c r="AC900" s="4" t="str">
        <f>IFERROR(__xludf.DUMMYFUNCTION("""COMPUTED_VALUE"""),"INSPEKSI SUTM - T2_Images/b825075a.FOTO.142226.jpg")</f>
        <v>INSPEKSI SUTM - T2_Images/b825075a.FOTO.142226.jpg</v>
      </c>
      <c r="AD900" s="4"/>
      <c r="AE900" s="4"/>
      <c r="AF900" s="4" t="str">
        <f>IFERROR(__xludf.DUMMYFUNCTION("""COMPUTED_VALUE"""),"BELUM")</f>
        <v>BELUM</v>
      </c>
      <c r="AG900" s="6">
        <f>IFERROR(__xludf.DUMMYFUNCTION("""COMPUTED_VALUE"""),46107.0)</f>
        <v>46107</v>
      </c>
      <c r="AH900" s="4"/>
      <c r="AI900" s="4"/>
    </row>
    <row r="901" ht="15.75" customHeight="1">
      <c r="A901" s="4" t="str">
        <f>IFERROR(__xludf.DUMMYFUNCTION("""COMPUTED_VALUE"""),"8fb79f65")</f>
        <v>8fb79f65</v>
      </c>
      <c r="B901" s="5">
        <f>IFERROR(__xludf.DUMMYFUNCTION("""COMPUTED_VALUE"""),46107.89111111111)</f>
        <v>46107.89111</v>
      </c>
      <c r="C901" s="4" t="str">
        <f>IFERROR(__xludf.DUMMYFUNCTION("""COMPUTED_VALUE"""),"-6.897165, 107.704544")</f>
        <v>-6.897165, 107.704544</v>
      </c>
      <c r="D901" s="4" t="str">
        <f>IFERROR(__xludf.DUMMYFUNCTION("""COMPUTED_VALUE"""),"Canra heri")</f>
        <v>Canra heri</v>
      </c>
      <c r="E901" s="4" t="str">
        <f>IFERROR(__xludf.DUMMYFUNCTION("""COMPUTED_VALUE"""),"BANDUNG")</f>
        <v>BANDUNG</v>
      </c>
      <c r="F901" s="4" t="str">
        <f>IFERROR(__xludf.DUMMYFUNCTION("""COMPUTED_VALUE"""),"UJUNGBERUNG")</f>
        <v>UJUNGBERUNG</v>
      </c>
      <c r="G901" s="4" t="str">
        <f>IFERROR(__xludf.DUMMYFUNCTION("""COMPUTED_VALUE"""),"UJUNGBERUNG")</f>
        <v>UJUNGBERUNG</v>
      </c>
      <c r="H901" s="4" t="str">
        <f>IFERROR(__xludf.DUMMYFUNCTION("""COMPUTED_VALUE"""),"UTWU")</f>
        <v>UTWU</v>
      </c>
      <c r="I901" s="4" t="str">
        <f>IFERROR(__xludf.DUMMYFUNCTION("""COMPUTED_VALUE"""),"LBS CGI - LBS PDO")</f>
        <v>LBS CGI - LBS PDO</v>
      </c>
      <c r="J901" s="4" t="str">
        <f>IFERROR(__xludf.DUMMYFUNCTION("""COMPUTED_VALUE"""),"ZONA 3")</f>
        <v>ZONA 3</v>
      </c>
      <c r="K901" s="4" t="str">
        <f>IFERROR(__xludf.DUMMYFUNCTION("""COMPUTED_VALUE"""),"035L037")</f>
        <v>035L037</v>
      </c>
      <c r="L901" s="4" t="str">
        <f>IFERROR(__xludf.DUMMYFUNCTION("""COMPUTED_VALUE"""),"TM - 4B/H (Afspan)")</f>
        <v>TM - 4B/H (Afspan)</v>
      </c>
      <c r="M901" s="4" t="str">
        <f>IFERROR(__xludf.DUMMYFUNCTION("""COMPUTED_VALUE"""),"Tidak Ada")</f>
        <v>Tidak Ada</v>
      </c>
      <c r="N901" s="4"/>
      <c r="O901" s="4" t="str">
        <f>IFERROR(__xludf.DUMMYFUNCTION("""COMPUTED_VALUE"""),"PEMBANDING SEJENIS")</f>
        <v>PEMBANDING SEJENIS</v>
      </c>
      <c r="P901" s="4" t="str">
        <f>IFERROR(__xludf.DUMMYFUNCTION("""COMPUTED_VALUE"""),"KONEKTOR/JUMPER")</f>
        <v>KONEKTOR/JUMPER</v>
      </c>
      <c r="Q901" s="4">
        <f>IFERROR(__xludf.DUMMYFUNCTION("""COMPUTED_VALUE"""),23.0)</f>
        <v>23</v>
      </c>
      <c r="R901" s="4">
        <f>IFERROR(__xludf.DUMMYFUNCTION("""COMPUTED_VALUE"""),21.0)</f>
        <v>21</v>
      </c>
      <c r="S901" s="4">
        <f>IFERROR(__xludf.DUMMYFUNCTION("""COMPUTED_VALUE"""),22.0)</f>
        <v>22</v>
      </c>
      <c r="T901" s="4"/>
      <c r="U901" s="4" t="str">
        <f>IFERROR(__xludf.DUMMYFUNCTION("""COMPUTED_VALUE"""),"BAIK")</f>
        <v>BAIK</v>
      </c>
      <c r="V901" s="4" t="str">
        <f>IFERROR(__xludf.DUMMYFUNCTION("""COMPUTED_VALUE"""),"Tidak Ada")</f>
        <v>Tidak Ada</v>
      </c>
      <c r="W901" s="4"/>
      <c r="X901" s="4"/>
      <c r="Y901" s="4"/>
      <c r="Z901" s="4"/>
      <c r="AA901" s="4"/>
      <c r="AB901" s="4"/>
      <c r="AC901" s="4" t="str">
        <f>IFERROR(__xludf.DUMMYFUNCTION("""COMPUTED_VALUE"""),"INSPEKSI SUTM - T2_Images/8fb79f65.FOTO.142400.jpg")</f>
        <v>INSPEKSI SUTM - T2_Images/8fb79f65.FOTO.142400.jpg</v>
      </c>
      <c r="AD901" s="4"/>
      <c r="AE901" s="4"/>
      <c r="AF901" s="4" t="str">
        <f>IFERROR(__xludf.DUMMYFUNCTION("""COMPUTED_VALUE"""),"BELUM")</f>
        <v>BELUM</v>
      </c>
      <c r="AG901" s="6">
        <f>IFERROR(__xludf.DUMMYFUNCTION("""COMPUTED_VALUE"""),46107.0)</f>
        <v>46107</v>
      </c>
      <c r="AH901" s="4"/>
      <c r="AI901" s="4"/>
    </row>
    <row r="902" ht="15.75" customHeight="1">
      <c r="A902" s="4" t="str">
        <f>IFERROR(__xludf.DUMMYFUNCTION("""COMPUTED_VALUE"""),"398be7ef")</f>
        <v>398be7ef</v>
      </c>
      <c r="B902" s="5">
        <f>IFERROR(__xludf.DUMMYFUNCTION("""COMPUTED_VALUE"""),46107.89224537037)</f>
        <v>46107.89225</v>
      </c>
      <c r="C902" s="4" t="str">
        <f>IFERROR(__xludf.DUMMYFUNCTION("""COMPUTED_VALUE"""),"-6.896776, 107.704620")</f>
        <v>-6.896776, 107.704620</v>
      </c>
      <c r="D902" s="4" t="str">
        <f>IFERROR(__xludf.DUMMYFUNCTION("""COMPUTED_VALUE"""),"Canra heri")</f>
        <v>Canra heri</v>
      </c>
      <c r="E902" s="4" t="str">
        <f>IFERROR(__xludf.DUMMYFUNCTION("""COMPUTED_VALUE"""),"BANDUNG")</f>
        <v>BANDUNG</v>
      </c>
      <c r="F902" s="4" t="str">
        <f>IFERROR(__xludf.DUMMYFUNCTION("""COMPUTED_VALUE"""),"UJUNGBERUNG")</f>
        <v>UJUNGBERUNG</v>
      </c>
      <c r="G902" s="4" t="str">
        <f>IFERROR(__xludf.DUMMYFUNCTION("""COMPUTED_VALUE"""),"UJUNGBERUNG")</f>
        <v>UJUNGBERUNG</v>
      </c>
      <c r="H902" s="4" t="str">
        <f>IFERROR(__xludf.DUMMYFUNCTION("""COMPUTED_VALUE"""),"UTWU")</f>
        <v>UTWU</v>
      </c>
      <c r="I902" s="4" t="str">
        <f>IFERROR(__xludf.DUMMYFUNCTION("""COMPUTED_VALUE"""),"LBS CGI - LBS PDO")</f>
        <v>LBS CGI - LBS PDO</v>
      </c>
      <c r="J902" s="4" t="str">
        <f>IFERROR(__xludf.DUMMYFUNCTION("""COMPUTED_VALUE"""),"ZONA 3")</f>
        <v>ZONA 3</v>
      </c>
      <c r="K902" s="4" t="str">
        <f>IFERROR(__xludf.DUMMYFUNCTION("""COMPUTED_VALUE"""),"035L038")</f>
        <v>035L038</v>
      </c>
      <c r="L902" s="4" t="str">
        <f>IFERROR(__xludf.DUMMYFUNCTION("""COMPUTED_VALUE"""),"TM - 8B/H (Percabangan)")</f>
        <v>TM - 8B/H (Percabangan)</v>
      </c>
      <c r="M902" s="4" t="str">
        <f>IFERROR(__xludf.DUMMYFUNCTION("""COMPUTED_VALUE"""),"Tidak Ada")</f>
        <v>Tidak Ada</v>
      </c>
      <c r="N902" s="4"/>
      <c r="O902" s="4" t="str">
        <f>IFERROR(__xludf.DUMMYFUNCTION("""COMPUTED_VALUE"""),"PEMBANDING SEJENIS")</f>
        <v>PEMBANDING SEJENIS</v>
      </c>
      <c r="P902" s="4" t="str">
        <f>IFERROR(__xludf.DUMMYFUNCTION("""COMPUTED_VALUE"""),"KONEKTOR/JUMPER")</f>
        <v>KONEKTOR/JUMPER</v>
      </c>
      <c r="Q902" s="4">
        <f>IFERROR(__xludf.DUMMYFUNCTION("""COMPUTED_VALUE"""),22.0)</f>
        <v>22</v>
      </c>
      <c r="R902" s="4">
        <f>IFERROR(__xludf.DUMMYFUNCTION("""COMPUTED_VALUE"""),20.0)</f>
        <v>20</v>
      </c>
      <c r="S902" s="4">
        <f>IFERROR(__xludf.DUMMYFUNCTION("""COMPUTED_VALUE"""),21.0)</f>
        <v>21</v>
      </c>
      <c r="T902" s="4"/>
      <c r="U902" s="4" t="str">
        <f>IFERROR(__xludf.DUMMYFUNCTION("""COMPUTED_VALUE"""),"BAIK")</f>
        <v>BAIK</v>
      </c>
      <c r="V902" s="4" t="str">
        <f>IFERROR(__xludf.DUMMYFUNCTION("""COMPUTED_VALUE"""),"Tidak Ada")</f>
        <v>Tidak Ada</v>
      </c>
      <c r="W902" s="4"/>
      <c r="X902" s="4"/>
      <c r="Y902" s="4"/>
      <c r="Z902" s="4"/>
      <c r="AA902" s="4"/>
      <c r="AB902" s="4"/>
      <c r="AC902" s="4" t="str">
        <f>IFERROR(__xludf.DUMMYFUNCTION("""COMPUTED_VALUE"""),"INSPEKSI SUTM - T2_Images/398be7ef.FOTO.142539.jpg")</f>
        <v>INSPEKSI SUTM - T2_Images/398be7ef.FOTO.142539.jpg</v>
      </c>
      <c r="AD902" s="4"/>
      <c r="AE902" s="4"/>
      <c r="AF902" s="4" t="str">
        <f>IFERROR(__xludf.DUMMYFUNCTION("""COMPUTED_VALUE"""),"BELUM")</f>
        <v>BELUM</v>
      </c>
      <c r="AG902" s="6">
        <f>IFERROR(__xludf.DUMMYFUNCTION("""COMPUTED_VALUE"""),46107.0)</f>
        <v>46107</v>
      </c>
      <c r="AH902" s="4"/>
      <c r="AI902" s="4"/>
    </row>
    <row r="903" ht="15.75" customHeight="1">
      <c r="A903" s="4" t="str">
        <f>IFERROR(__xludf.DUMMYFUNCTION("""COMPUTED_VALUE"""),"4fb8fbe4")</f>
        <v>4fb8fbe4</v>
      </c>
      <c r="B903" s="5">
        <f>IFERROR(__xludf.DUMMYFUNCTION("""COMPUTED_VALUE"""),46107.894375)</f>
        <v>46107.89438</v>
      </c>
      <c r="C903" s="4" t="str">
        <f>IFERROR(__xludf.DUMMYFUNCTION("""COMPUTED_VALUE"""),"-6.896152, 107.704012")</f>
        <v>-6.896152, 107.704012</v>
      </c>
      <c r="D903" s="4" t="str">
        <f>IFERROR(__xludf.DUMMYFUNCTION("""COMPUTED_VALUE"""),"Canra heri")</f>
        <v>Canra heri</v>
      </c>
      <c r="E903" s="4" t="str">
        <f>IFERROR(__xludf.DUMMYFUNCTION("""COMPUTED_VALUE"""),"BANDUNG")</f>
        <v>BANDUNG</v>
      </c>
      <c r="F903" s="4" t="str">
        <f>IFERROR(__xludf.DUMMYFUNCTION("""COMPUTED_VALUE"""),"UJUNGBERUNG")</f>
        <v>UJUNGBERUNG</v>
      </c>
      <c r="G903" s="4" t="str">
        <f>IFERROR(__xludf.DUMMYFUNCTION("""COMPUTED_VALUE"""),"UJUNGBERUNG")</f>
        <v>UJUNGBERUNG</v>
      </c>
      <c r="H903" s="4" t="str">
        <f>IFERROR(__xludf.DUMMYFUNCTION("""COMPUTED_VALUE"""),"UTWU")</f>
        <v>UTWU</v>
      </c>
      <c r="I903" s="4" t="str">
        <f>IFERROR(__xludf.DUMMYFUNCTION("""COMPUTED_VALUE"""),"LBS CGI - LBS PDO")</f>
        <v>LBS CGI - LBS PDO</v>
      </c>
      <c r="J903" s="4" t="str">
        <f>IFERROR(__xludf.DUMMYFUNCTION("""COMPUTED_VALUE"""),"ZONA 3")</f>
        <v>ZONA 3</v>
      </c>
      <c r="K903" s="4" t="str">
        <f>IFERROR(__xludf.DUMMYFUNCTION("""COMPUTED_VALUE"""),"035L038L05")</f>
        <v>035L038L05</v>
      </c>
      <c r="L903" s="4" t="str">
        <f>IFERROR(__xludf.DUMMYFUNCTION("""COMPUTED_VALUE"""),"TM - 7B/H (Afspan 90 Derajat)")</f>
        <v>TM - 7B/H (Afspan 90 Derajat)</v>
      </c>
      <c r="M903" s="4" t="str">
        <f>IFERROR(__xludf.DUMMYFUNCTION("""COMPUTED_VALUE"""),"Tidak Ada")</f>
        <v>Tidak Ada</v>
      </c>
      <c r="N903" s="4"/>
      <c r="O903" s="4" t="str">
        <f>IFERROR(__xludf.DUMMYFUNCTION("""COMPUTED_VALUE"""),"PEMBANDING SEJENIS")</f>
        <v>PEMBANDING SEJENIS</v>
      </c>
      <c r="P903" s="4" t="str">
        <f>IFERROR(__xludf.DUMMYFUNCTION("""COMPUTED_VALUE"""),"KONEKTOR/JUMPER")</f>
        <v>KONEKTOR/JUMPER</v>
      </c>
      <c r="Q903" s="4">
        <f>IFERROR(__xludf.DUMMYFUNCTION("""COMPUTED_VALUE"""),21.0)</f>
        <v>21</v>
      </c>
      <c r="R903" s="4">
        <f>IFERROR(__xludf.DUMMYFUNCTION("""COMPUTED_VALUE"""),23.0)</f>
        <v>23</v>
      </c>
      <c r="S903" s="4">
        <f>IFERROR(__xludf.DUMMYFUNCTION("""COMPUTED_VALUE"""),22.0)</f>
        <v>22</v>
      </c>
      <c r="T903" s="4"/>
      <c r="U903" s="4" t="str">
        <f>IFERROR(__xludf.DUMMYFUNCTION("""COMPUTED_VALUE"""),"BAIK")</f>
        <v>BAIK</v>
      </c>
      <c r="V903" s="4" t="str">
        <f>IFERROR(__xludf.DUMMYFUNCTION("""COMPUTED_VALUE"""),"Tidak Ada")</f>
        <v>Tidak Ada</v>
      </c>
      <c r="W903" s="4"/>
      <c r="X903" s="4"/>
      <c r="Y903" s="4"/>
      <c r="Z903" s="4"/>
      <c r="AA903" s="4"/>
      <c r="AB903" s="4"/>
      <c r="AC903" s="4" t="str">
        <f>IFERROR(__xludf.DUMMYFUNCTION("""COMPUTED_VALUE"""),"INSPEKSI SUTM - T2_Images/4fb8fbe4.FOTO.142840.jpg")</f>
        <v>INSPEKSI SUTM - T2_Images/4fb8fbe4.FOTO.142840.jpg</v>
      </c>
      <c r="AD903" s="4"/>
      <c r="AE903" s="4"/>
      <c r="AF903" s="4" t="str">
        <f>IFERROR(__xludf.DUMMYFUNCTION("""COMPUTED_VALUE"""),"BELUM")</f>
        <v>BELUM</v>
      </c>
      <c r="AG903" s="6">
        <f>IFERROR(__xludf.DUMMYFUNCTION("""COMPUTED_VALUE"""),46107.0)</f>
        <v>46107</v>
      </c>
      <c r="AH903" s="4"/>
      <c r="AI903" s="4"/>
    </row>
    <row r="904" ht="15.75" customHeight="1">
      <c r="A904" s="4" t="str">
        <f>IFERROR(__xludf.DUMMYFUNCTION("""COMPUTED_VALUE"""),"eb0cbcd3")</f>
        <v>eb0cbcd3</v>
      </c>
      <c r="B904" s="5">
        <f>IFERROR(__xludf.DUMMYFUNCTION("""COMPUTED_VALUE"""),46107.89517361111)</f>
        <v>46107.89517</v>
      </c>
      <c r="C904" s="4" t="str">
        <f>IFERROR(__xludf.DUMMYFUNCTION("""COMPUTED_VALUE"""),"-6.896454, 107.703627")</f>
        <v>-6.896454, 107.703627</v>
      </c>
      <c r="D904" s="4" t="str">
        <f>IFERROR(__xludf.DUMMYFUNCTION("""COMPUTED_VALUE"""),"Canra heri")</f>
        <v>Canra heri</v>
      </c>
      <c r="E904" s="4" t="str">
        <f>IFERROR(__xludf.DUMMYFUNCTION("""COMPUTED_VALUE"""),"BANDUNG")</f>
        <v>BANDUNG</v>
      </c>
      <c r="F904" s="4" t="str">
        <f>IFERROR(__xludf.DUMMYFUNCTION("""COMPUTED_VALUE"""),"UJUNGBERUNG")</f>
        <v>UJUNGBERUNG</v>
      </c>
      <c r="G904" s="4" t="str">
        <f>IFERROR(__xludf.DUMMYFUNCTION("""COMPUTED_VALUE"""),"UJUNGBERUNG")</f>
        <v>UJUNGBERUNG</v>
      </c>
      <c r="H904" s="4" t="str">
        <f>IFERROR(__xludf.DUMMYFUNCTION("""COMPUTED_VALUE"""),"UTWU")</f>
        <v>UTWU</v>
      </c>
      <c r="I904" s="4" t="str">
        <f>IFERROR(__xludf.DUMMYFUNCTION("""COMPUTED_VALUE"""),"LBS CGI - LBS PDO")</f>
        <v>LBS CGI - LBS PDO</v>
      </c>
      <c r="J904" s="4" t="str">
        <f>IFERROR(__xludf.DUMMYFUNCTION("""COMPUTED_VALUE"""),"ZONA 3")</f>
        <v>ZONA 3</v>
      </c>
      <c r="K904" s="4" t="str">
        <f>IFERROR(__xludf.DUMMYFUNCTION("""COMPUTED_VALUE"""),"035L038L07")</f>
        <v>035L038L07</v>
      </c>
      <c r="L904" s="4" t="str">
        <f>IFERROR(__xludf.DUMMYFUNCTION("""COMPUTED_VALUE"""),"TM - 7B/H (Afspan 90 Derajat)")</f>
        <v>TM - 7B/H (Afspan 90 Derajat)</v>
      </c>
      <c r="M904" s="4" t="str">
        <f>IFERROR(__xludf.DUMMYFUNCTION("""COMPUTED_VALUE"""),"Tidak Ada")</f>
        <v>Tidak Ada</v>
      </c>
      <c r="N904" s="4"/>
      <c r="O904" s="4" t="str">
        <f>IFERROR(__xludf.DUMMYFUNCTION("""COMPUTED_VALUE"""),"PEMBANDING SEJENIS")</f>
        <v>PEMBANDING SEJENIS</v>
      </c>
      <c r="P904" s="4" t="str">
        <f>IFERROR(__xludf.DUMMYFUNCTION("""COMPUTED_VALUE"""),"KONEKTOR/JUMPER")</f>
        <v>KONEKTOR/JUMPER</v>
      </c>
      <c r="Q904" s="4">
        <f>IFERROR(__xludf.DUMMYFUNCTION("""COMPUTED_VALUE"""),21.0)</f>
        <v>21</v>
      </c>
      <c r="R904" s="4">
        <f>IFERROR(__xludf.DUMMYFUNCTION("""COMPUTED_VALUE"""),21.0)</f>
        <v>21</v>
      </c>
      <c r="S904" s="4">
        <f>IFERROR(__xludf.DUMMYFUNCTION("""COMPUTED_VALUE"""),20.0)</f>
        <v>20</v>
      </c>
      <c r="T904" s="4"/>
      <c r="U904" s="4" t="str">
        <f>IFERROR(__xludf.DUMMYFUNCTION("""COMPUTED_VALUE"""),"BAIK")</f>
        <v>BAIK</v>
      </c>
      <c r="V904" s="4" t="str">
        <f>IFERROR(__xludf.DUMMYFUNCTION("""COMPUTED_VALUE"""),"Tidak Ada")</f>
        <v>Tidak Ada</v>
      </c>
      <c r="W904" s="4"/>
      <c r="X904" s="4"/>
      <c r="Y904" s="4"/>
      <c r="Z904" s="4"/>
      <c r="AA904" s="4"/>
      <c r="AB904" s="4"/>
      <c r="AC904" s="4" t="str">
        <f>IFERROR(__xludf.DUMMYFUNCTION("""COMPUTED_VALUE"""),"INSPEKSI SUTM - T2_Images/eb0cbcd3.FOTO.143002.jpg")</f>
        <v>INSPEKSI SUTM - T2_Images/eb0cbcd3.FOTO.143002.jpg</v>
      </c>
      <c r="AD904" s="4"/>
      <c r="AE904" s="4"/>
      <c r="AF904" s="4" t="str">
        <f>IFERROR(__xludf.DUMMYFUNCTION("""COMPUTED_VALUE"""),"BELUM")</f>
        <v>BELUM</v>
      </c>
      <c r="AG904" s="6">
        <f>IFERROR(__xludf.DUMMYFUNCTION("""COMPUTED_VALUE"""),46107.0)</f>
        <v>46107</v>
      </c>
      <c r="AH904" s="4"/>
      <c r="AI904" s="4"/>
    </row>
    <row r="905" ht="15.75" customHeight="1">
      <c r="A905" s="4" t="str">
        <f>IFERROR(__xludf.DUMMYFUNCTION("""COMPUTED_VALUE"""),"8db29a99")</f>
        <v>8db29a99</v>
      </c>
      <c r="B905" s="5">
        <f>IFERROR(__xludf.DUMMYFUNCTION("""COMPUTED_VALUE"""),46107.89733796296)</f>
        <v>46107.89734</v>
      </c>
      <c r="C905" s="4" t="str">
        <f>IFERROR(__xludf.DUMMYFUNCTION("""COMPUTED_VALUE"""),"-6.892159, 107.704400")</f>
        <v>-6.892159, 107.704400</v>
      </c>
      <c r="D905" s="4" t="str">
        <f>IFERROR(__xludf.DUMMYFUNCTION("""COMPUTED_VALUE"""),"Canra heei")</f>
        <v>Canra heei</v>
      </c>
      <c r="E905" s="4" t="str">
        <f>IFERROR(__xludf.DUMMYFUNCTION("""COMPUTED_VALUE"""),"BANDUNG")</f>
        <v>BANDUNG</v>
      </c>
      <c r="F905" s="4" t="str">
        <f>IFERROR(__xludf.DUMMYFUNCTION("""COMPUTED_VALUE"""),"UJUNGBERUNG")</f>
        <v>UJUNGBERUNG</v>
      </c>
      <c r="G905" s="4" t="str">
        <f>IFERROR(__xludf.DUMMYFUNCTION("""COMPUTED_VALUE"""),"UJUNGBERUNG")</f>
        <v>UJUNGBERUNG</v>
      </c>
      <c r="H905" s="4" t="str">
        <f>IFERROR(__xludf.DUMMYFUNCTION("""COMPUTED_VALUE"""),"UTWU")</f>
        <v>UTWU</v>
      </c>
      <c r="I905" s="4" t="str">
        <f>IFERROR(__xludf.DUMMYFUNCTION("""COMPUTED_VALUE"""),"LBS CGI - LBS PDO")</f>
        <v>LBS CGI - LBS PDO</v>
      </c>
      <c r="J905" s="4" t="str">
        <f>IFERROR(__xludf.DUMMYFUNCTION("""COMPUTED_VALUE"""),"ZONA 3")</f>
        <v>ZONA 3</v>
      </c>
      <c r="K905" s="4" t="str">
        <f>IFERROR(__xludf.DUMMYFUNCTION("""COMPUTED_VALUE"""),"035L051")</f>
        <v>035L051</v>
      </c>
      <c r="L905" s="4" t="str">
        <f>IFERROR(__xludf.DUMMYFUNCTION("""COMPUTED_VALUE"""),"TM - 8BC/HC (Percabangan dengan CO)")</f>
        <v>TM - 8BC/HC (Percabangan dengan CO)</v>
      </c>
      <c r="M905" s="4" t="str">
        <f>IFERROR(__xludf.DUMMYFUNCTION("""COMPUTED_VALUE"""),"Tidak Ada")</f>
        <v>Tidak Ada</v>
      </c>
      <c r="N905" s="4"/>
      <c r="O905" s="4" t="str">
        <f>IFERROR(__xludf.DUMMYFUNCTION("""COMPUTED_VALUE"""),"PEMBANDING SEJENIS")</f>
        <v>PEMBANDING SEJENIS</v>
      </c>
      <c r="P905" s="4" t="str">
        <f>IFERROR(__xludf.DUMMYFUNCTION("""COMPUTED_VALUE"""),"KONEKTOR/JUMPER")</f>
        <v>KONEKTOR/JUMPER</v>
      </c>
      <c r="Q905" s="4">
        <f>IFERROR(__xludf.DUMMYFUNCTION("""COMPUTED_VALUE"""),25.0)</f>
        <v>25</v>
      </c>
      <c r="R905" s="4">
        <f>IFERROR(__xludf.DUMMYFUNCTION("""COMPUTED_VALUE"""),29.0)</f>
        <v>29</v>
      </c>
      <c r="S905" s="4">
        <f>IFERROR(__xludf.DUMMYFUNCTION("""COMPUTED_VALUE"""),26.0)</f>
        <v>26</v>
      </c>
      <c r="T905" s="4"/>
      <c r="U905" s="4" t="str">
        <f>IFERROR(__xludf.DUMMYFUNCTION("""COMPUTED_VALUE"""),"CUKUP")</f>
        <v>CUKUP</v>
      </c>
      <c r="V905" s="4" t="str">
        <f>IFERROR(__xludf.DUMMYFUNCTION("""COMPUTED_VALUE"""),"Tidak Ada")</f>
        <v>Tidak Ada</v>
      </c>
      <c r="W905" s="4"/>
      <c r="X905" s="4"/>
      <c r="Y905" s="4"/>
      <c r="Z905" s="4"/>
      <c r="AA905" s="4"/>
      <c r="AB905" s="4"/>
      <c r="AC905" s="4" t="str">
        <f>IFERROR(__xludf.DUMMYFUNCTION("""COMPUTED_VALUE"""),"INSPEKSI SUTM - T2_Images/8db29a99.FOTO.143529.jpg")</f>
        <v>INSPEKSI SUTM - T2_Images/8db29a99.FOTO.143529.jpg</v>
      </c>
      <c r="AD905" s="4"/>
      <c r="AE905" s="4"/>
      <c r="AF905" s="4" t="str">
        <f>IFERROR(__xludf.DUMMYFUNCTION("""COMPUTED_VALUE"""),"BELUM")</f>
        <v>BELUM</v>
      </c>
      <c r="AG905" s="6">
        <f>IFERROR(__xludf.DUMMYFUNCTION("""COMPUTED_VALUE"""),46107.0)</f>
        <v>46107</v>
      </c>
      <c r="AH905" s="4"/>
      <c r="AI905" s="4"/>
    </row>
    <row r="906" ht="15.75" customHeight="1">
      <c r="A906" s="4" t="str">
        <f>IFERROR(__xludf.DUMMYFUNCTION("""COMPUTED_VALUE"""),"4fa50f2b")</f>
        <v>4fa50f2b</v>
      </c>
      <c r="B906" s="5">
        <f>IFERROR(__xludf.DUMMYFUNCTION("""COMPUTED_VALUE"""),46107.8984837963)</f>
        <v>46107.89848</v>
      </c>
      <c r="C906" s="4" t="str">
        <f>IFERROR(__xludf.DUMMYFUNCTION("""COMPUTED_VALUE"""),"-6.890825, 107.703001")</f>
        <v>-6.890825, 107.703001</v>
      </c>
      <c r="D906" s="4" t="str">
        <f>IFERROR(__xludf.DUMMYFUNCTION("""COMPUTED_VALUE"""),"Canra heei")</f>
        <v>Canra heei</v>
      </c>
      <c r="E906" s="4" t="str">
        <f>IFERROR(__xludf.DUMMYFUNCTION("""COMPUTED_VALUE"""),"BANDUNG")</f>
        <v>BANDUNG</v>
      </c>
      <c r="F906" s="4" t="str">
        <f>IFERROR(__xludf.DUMMYFUNCTION("""COMPUTED_VALUE"""),"UJUNGBERUNG")</f>
        <v>UJUNGBERUNG</v>
      </c>
      <c r="G906" s="4" t="str">
        <f>IFERROR(__xludf.DUMMYFUNCTION("""COMPUTED_VALUE"""),"UJUNGBERUNG")</f>
        <v>UJUNGBERUNG</v>
      </c>
      <c r="H906" s="4" t="str">
        <f>IFERROR(__xludf.DUMMYFUNCTION("""COMPUTED_VALUE"""),"UTWU")</f>
        <v>UTWU</v>
      </c>
      <c r="I906" s="4" t="str">
        <f>IFERROR(__xludf.DUMMYFUNCTION("""COMPUTED_VALUE"""),"LBS CGI - LBS PDO")</f>
        <v>LBS CGI - LBS PDO</v>
      </c>
      <c r="J906" s="4" t="str">
        <f>IFERROR(__xludf.DUMMYFUNCTION("""COMPUTED_VALUE"""),"ZONA 3")</f>
        <v>ZONA 3</v>
      </c>
      <c r="K906" s="4" t="str">
        <f>IFERROR(__xludf.DUMMYFUNCTION("""COMPUTED_VALUE"""),"035L051L05")</f>
        <v>035L051L05</v>
      </c>
      <c r="L906" s="4" t="str">
        <f>IFERROR(__xludf.DUMMYFUNCTION("""COMPUTED_VALUE"""),"TM - 8B/H (Percabangan)")</f>
        <v>TM - 8B/H (Percabangan)</v>
      </c>
      <c r="M906" s="4" t="str">
        <f>IFERROR(__xludf.DUMMYFUNCTION("""COMPUTED_VALUE"""),"Tidak Ada")</f>
        <v>Tidak Ada</v>
      </c>
      <c r="N906" s="4"/>
      <c r="O906" s="4" t="str">
        <f>IFERROR(__xludf.DUMMYFUNCTION("""COMPUTED_VALUE"""),"PEMBANDING SEJENIS")</f>
        <v>PEMBANDING SEJENIS</v>
      </c>
      <c r="P906" s="4" t="str">
        <f>IFERROR(__xludf.DUMMYFUNCTION("""COMPUTED_VALUE"""),"KONEKTOR/JUMPER")</f>
        <v>KONEKTOR/JUMPER</v>
      </c>
      <c r="Q906" s="4">
        <f>IFERROR(__xludf.DUMMYFUNCTION("""COMPUTED_VALUE"""),20.0)</f>
        <v>20</v>
      </c>
      <c r="R906" s="4">
        <f>IFERROR(__xludf.DUMMYFUNCTION("""COMPUTED_VALUE"""),20.0)</f>
        <v>20</v>
      </c>
      <c r="S906" s="4">
        <f>IFERROR(__xludf.DUMMYFUNCTION("""COMPUTED_VALUE"""),21.0)</f>
        <v>21</v>
      </c>
      <c r="T906" s="4"/>
      <c r="U906" s="4" t="str">
        <f>IFERROR(__xludf.DUMMYFUNCTION("""COMPUTED_VALUE"""),"BAIK")</f>
        <v>BAIK</v>
      </c>
      <c r="V906" s="4" t="str">
        <f>IFERROR(__xludf.DUMMYFUNCTION("""COMPUTED_VALUE"""),"Tidak Ada")</f>
        <v>Tidak Ada</v>
      </c>
      <c r="W906" s="4"/>
      <c r="X906" s="4"/>
      <c r="Y906" s="4"/>
      <c r="Z906" s="4"/>
      <c r="AA906" s="4"/>
      <c r="AB906" s="4"/>
      <c r="AC906" s="4" t="str">
        <f>IFERROR(__xludf.DUMMYFUNCTION("""COMPUTED_VALUE"""),"INSPEKSI SUTM - T2_Images/4fa50f2b.FOTO.143535.jpg")</f>
        <v>INSPEKSI SUTM - T2_Images/4fa50f2b.FOTO.143535.jpg</v>
      </c>
      <c r="AD906" s="4"/>
      <c r="AE906" s="4"/>
      <c r="AF906" s="4" t="str">
        <f>IFERROR(__xludf.DUMMYFUNCTION("""COMPUTED_VALUE"""),"BELUM")</f>
        <v>BELUM</v>
      </c>
      <c r="AG906" s="6">
        <f>IFERROR(__xludf.DUMMYFUNCTION("""COMPUTED_VALUE"""),46107.0)</f>
        <v>46107</v>
      </c>
      <c r="AH906" s="4"/>
      <c r="AI906" s="4"/>
    </row>
    <row r="907" ht="15.75" customHeight="1">
      <c r="A907" s="4" t="str">
        <f>IFERROR(__xludf.DUMMYFUNCTION("""COMPUTED_VALUE"""),"e4ae874b")</f>
        <v>e4ae874b</v>
      </c>
      <c r="B907" s="5">
        <f>IFERROR(__xludf.DUMMYFUNCTION("""COMPUTED_VALUE"""),46107.89971064815)</f>
        <v>46107.89971</v>
      </c>
      <c r="C907" s="4" t="str">
        <f>IFERROR(__xludf.DUMMYFUNCTION("""COMPUTED_VALUE"""),"-6.889784, 107.702479")</f>
        <v>-6.889784, 107.702479</v>
      </c>
      <c r="D907" s="4" t="str">
        <f>IFERROR(__xludf.DUMMYFUNCTION("""COMPUTED_VALUE"""),"Canra heri")</f>
        <v>Canra heri</v>
      </c>
      <c r="E907" s="4" t="str">
        <f>IFERROR(__xludf.DUMMYFUNCTION("""COMPUTED_VALUE"""),"BANDUNG")</f>
        <v>BANDUNG</v>
      </c>
      <c r="F907" s="4" t="str">
        <f>IFERROR(__xludf.DUMMYFUNCTION("""COMPUTED_VALUE"""),"UJUNGBERUNG")</f>
        <v>UJUNGBERUNG</v>
      </c>
      <c r="G907" s="4" t="str">
        <f>IFERROR(__xludf.DUMMYFUNCTION("""COMPUTED_VALUE"""),"UJUNGBERUNG")</f>
        <v>UJUNGBERUNG</v>
      </c>
      <c r="H907" s="4" t="str">
        <f>IFERROR(__xludf.DUMMYFUNCTION("""COMPUTED_VALUE"""),"UTWU")</f>
        <v>UTWU</v>
      </c>
      <c r="I907" s="4" t="str">
        <f>IFERROR(__xludf.DUMMYFUNCTION("""COMPUTED_VALUE"""),"LBS CGI - LBS PDO")</f>
        <v>LBS CGI - LBS PDO</v>
      </c>
      <c r="J907" s="4" t="str">
        <f>IFERROR(__xludf.DUMMYFUNCTION("""COMPUTED_VALUE"""),"ZONA 3")</f>
        <v>ZONA 3</v>
      </c>
      <c r="K907" s="4" t="str">
        <f>IFERROR(__xludf.DUMMYFUNCTION("""COMPUTED_VALUE"""),"035L051L05R04")</f>
        <v>035L051L05R04</v>
      </c>
      <c r="L907" s="4" t="str">
        <f>IFERROR(__xludf.DUMMYFUNCTION("""COMPUTED_VALUE"""),"TM - 7B/H (Afspan 90 Derajat)")</f>
        <v>TM - 7B/H (Afspan 90 Derajat)</v>
      </c>
      <c r="M907" s="4" t="str">
        <f>IFERROR(__xludf.DUMMYFUNCTION("""COMPUTED_VALUE"""),"Tidak Ada")</f>
        <v>Tidak Ada</v>
      </c>
      <c r="N907" s="4"/>
      <c r="O907" s="4" t="str">
        <f>IFERROR(__xludf.DUMMYFUNCTION("""COMPUTED_VALUE"""),"PEMBANDING SEJENIS")</f>
        <v>PEMBANDING SEJENIS</v>
      </c>
      <c r="P907" s="4" t="str">
        <f>IFERROR(__xludf.DUMMYFUNCTION("""COMPUTED_VALUE"""),"KONEKTOR/JUMPER")</f>
        <v>KONEKTOR/JUMPER</v>
      </c>
      <c r="Q907" s="4">
        <f>IFERROR(__xludf.DUMMYFUNCTION("""COMPUTED_VALUE"""),20.0)</f>
        <v>20</v>
      </c>
      <c r="R907" s="4">
        <f>IFERROR(__xludf.DUMMYFUNCTION("""COMPUTED_VALUE"""),20.0)</f>
        <v>20</v>
      </c>
      <c r="S907" s="4">
        <f>IFERROR(__xludf.DUMMYFUNCTION("""COMPUTED_VALUE"""),20.0)</f>
        <v>20</v>
      </c>
      <c r="T907" s="4"/>
      <c r="U907" s="4" t="str">
        <f>IFERROR(__xludf.DUMMYFUNCTION("""COMPUTED_VALUE"""),"BAIK")</f>
        <v>BAIK</v>
      </c>
      <c r="V907" s="4" t="str">
        <f>IFERROR(__xludf.DUMMYFUNCTION("""COMPUTED_VALUE"""),"Tidak Ada")</f>
        <v>Tidak Ada</v>
      </c>
      <c r="W907" s="4"/>
      <c r="X907" s="4"/>
      <c r="Y907" s="4"/>
      <c r="Z907" s="4"/>
      <c r="AA907" s="4"/>
      <c r="AB907" s="4"/>
      <c r="AC907" s="4" t="str">
        <f>IFERROR(__xludf.DUMMYFUNCTION("""COMPUTED_VALUE"""),"INSPEKSI SUTM - T2_Images/e4ae874b.FOTO.143620.jpg")</f>
        <v>INSPEKSI SUTM - T2_Images/e4ae874b.FOTO.143620.jpg</v>
      </c>
      <c r="AD907" s="4"/>
      <c r="AE907" s="4"/>
      <c r="AF907" s="4" t="str">
        <f>IFERROR(__xludf.DUMMYFUNCTION("""COMPUTED_VALUE"""),"BELUM")</f>
        <v>BELUM</v>
      </c>
      <c r="AG907" s="6">
        <f>IFERROR(__xludf.DUMMYFUNCTION("""COMPUTED_VALUE"""),46107.0)</f>
        <v>46107</v>
      </c>
      <c r="AH907" s="4"/>
      <c r="AI907" s="4"/>
    </row>
    <row r="908" ht="15.75" customHeight="1">
      <c r="A908" s="4" t="str">
        <f>IFERROR(__xludf.DUMMYFUNCTION("""COMPUTED_VALUE"""),"b3a17f04")</f>
        <v>b3a17f04</v>
      </c>
      <c r="B908" s="5">
        <f>IFERROR(__xludf.DUMMYFUNCTION("""COMPUTED_VALUE"""),46107.900717592594)</f>
        <v>46107.90072</v>
      </c>
      <c r="C908" s="4" t="str">
        <f>IFERROR(__xludf.DUMMYFUNCTION("""COMPUTED_VALUE"""),"-6.890779, 107.702707")</f>
        <v>-6.890779, 107.702707</v>
      </c>
      <c r="D908" s="4" t="str">
        <f>IFERROR(__xludf.DUMMYFUNCTION("""COMPUTED_VALUE"""),"Canra heri")</f>
        <v>Canra heri</v>
      </c>
      <c r="E908" s="4" t="str">
        <f>IFERROR(__xludf.DUMMYFUNCTION("""COMPUTED_VALUE"""),"BANDUNG")</f>
        <v>BANDUNG</v>
      </c>
      <c r="F908" s="4" t="str">
        <f>IFERROR(__xludf.DUMMYFUNCTION("""COMPUTED_VALUE"""),"UJUNGBERUNG")</f>
        <v>UJUNGBERUNG</v>
      </c>
      <c r="G908" s="4" t="str">
        <f>IFERROR(__xludf.DUMMYFUNCTION("""COMPUTED_VALUE"""),"UJUNGBERUNG")</f>
        <v>UJUNGBERUNG</v>
      </c>
      <c r="H908" s="4" t="str">
        <f>IFERROR(__xludf.DUMMYFUNCTION("""COMPUTED_VALUE"""),"UTWU")</f>
        <v>UTWU</v>
      </c>
      <c r="I908" s="4" t="str">
        <f>IFERROR(__xludf.DUMMYFUNCTION("""COMPUTED_VALUE"""),"LBS CGI - LBS PDO")</f>
        <v>LBS CGI - LBS PDO</v>
      </c>
      <c r="J908" s="4" t="str">
        <f>IFERROR(__xludf.DUMMYFUNCTION("""COMPUTED_VALUE"""),"ZONA 3")</f>
        <v>ZONA 3</v>
      </c>
      <c r="K908" s="4" t="str">
        <f>IFERROR(__xludf.DUMMYFUNCTION("""COMPUTED_VALUE"""),"035L051L06")</f>
        <v>035L051L06</v>
      </c>
      <c r="L908" s="4" t="str">
        <f>IFERROR(__xludf.DUMMYFUNCTION("""COMPUTED_VALUE"""),"TM - 7B/H (Afspan 90 Derajat)")</f>
        <v>TM - 7B/H (Afspan 90 Derajat)</v>
      </c>
      <c r="M908" s="4" t="str">
        <f>IFERROR(__xludf.DUMMYFUNCTION("""COMPUTED_VALUE"""),"Tidak Ada")</f>
        <v>Tidak Ada</v>
      </c>
      <c r="N908" s="4"/>
      <c r="O908" s="4" t="str">
        <f>IFERROR(__xludf.DUMMYFUNCTION("""COMPUTED_VALUE"""),"PEMBANDING SEJENIS")</f>
        <v>PEMBANDING SEJENIS</v>
      </c>
      <c r="P908" s="4" t="str">
        <f>IFERROR(__xludf.DUMMYFUNCTION("""COMPUTED_VALUE"""),"KONEKTOR/JUMPER")</f>
        <v>KONEKTOR/JUMPER</v>
      </c>
      <c r="Q908" s="4">
        <f>IFERROR(__xludf.DUMMYFUNCTION("""COMPUTED_VALUE"""),20.0)</f>
        <v>20</v>
      </c>
      <c r="R908" s="4">
        <f>IFERROR(__xludf.DUMMYFUNCTION("""COMPUTED_VALUE"""),20.0)</f>
        <v>20</v>
      </c>
      <c r="S908" s="4">
        <f>IFERROR(__xludf.DUMMYFUNCTION("""COMPUTED_VALUE"""),20.0)</f>
        <v>20</v>
      </c>
      <c r="T908" s="4"/>
      <c r="U908" s="4" t="str">
        <f>IFERROR(__xludf.DUMMYFUNCTION("""COMPUTED_VALUE"""),"BAIK")</f>
        <v>BAIK</v>
      </c>
      <c r="V908" s="4" t="str">
        <f>IFERROR(__xludf.DUMMYFUNCTION("""COMPUTED_VALUE"""),"Tidak Ada")</f>
        <v>Tidak Ada</v>
      </c>
      <c r="W908" s="4"/>
      <c r="X908" s="4"/>
      <c r="Y908" s="4"/>
      <c r="Z908" s="4"/>
      <c r="AA908" s="4"/>
      <c r="AB908" s="4"/>
      <c r="AC908" s="4" t="str">
        <f>IFERROR(__xludf.DUMMYFUNCTION("""COMPUTED_VALUE"""),"INSPEKSI SUTM - T2_Images/b3a17f04.FOTO.143757.jpg")</f>
        <v>INSPEKSI SUTM - T2_Images/b3a17f04.FOTO.143757.jpg</v>
      </c>
      <c r="AD908" s="4"/>
      <c r="AE908" s="4"/>
      <c r="AF908" s="4" t="str">
        <f>IFERROR(__xludf.DUMMYFUNCTION("""COMPUTED_VALUE"""),"BELUM")</f>
        <v>BELUM</v>
      </c>
      <c r="AG908" s="6">
        <f>IFERROR(__xludf.DUMMYFUNCTION("""COMPUTED_VALUE"""),46107.0)</f>
        <v>46107</v>
      </c>
      <c r="AH908" s="4"/>
      <c r="AI908" s="4"/>
    </row>
    <row r="909" ht="15.75" customHeight="1">
      <c r="A909" s="4" t="str">
        <f>IFERROR(__xludf.DUMMYFUNCTION("""COMPUTED_VALUE"""),"0a49d0ff")</f>
        <v>0a49d0ff</v>
      </c>
      <c r="B909" s="5">
        <f>IFERROR(__xludf.DUMMYFUNCTION("""COMPUTED_VALUE"""),46107.903136574074)</f>
        <v>46107.90314</v>
      </c>
      <c r="C909" s="4" t="str">
        <f>IFERROR(__xludf.DUMMYFUNCTION("""COMPUTED_VALUE"""),"-6.890810, 107.702704")</f>
        <v>-6.890810, 107.702704</v>
      </c>
      <c r="D909" s="4" t="str">
        <f>IFERROR(__xludf.DUMMYFUNCTION("""COMPUTED_VALUE"""),"Canra heri")</f>
        <v>Canra heri</v>
      </c>
      <c r="E909" s="4" t="str">
        <f>IFERROR(__xludf.DUMMYFUNCTION("""COMPUTED_VALUE"""),"BANDUNG")</f>
        <v>BANDUNG</v>
      </c>
      <c r="F909" s="4" t="str">
        <f>IFERROR(__xludf.DUMMYFUNCTION("""COMPUTED_VALUE"""),"UJUNGBERUNG")</f>
        <v>UJUNGBERUNG</v>
      </c>
      <c r="G909" s="4" t="str">
        <f>IFERROR(__xludf.DUMMYFUNCTION("""COMPUTED_VALUE"""),"UJUNGBERUNG")</f>
        <v>UJUNGBERUNG</v>
      </c>
      <c r="H909" s="4" t="str">
        <f>IFERROR(__xludf.DUMMYFUNCTION("""COMPUTED_VALUE"""),"UTWU")</f>
        <v>UTWU</v>
      </c>
      <c r="I909" s="4" t="str">
        <f>IFERROR(__xludf.DUMMYFUNCTION("""COMPUTED_VALUE"""),"LBS CGI - LBS PDO")</f>
        <v>LBS CGI - LBS PDO</v>
      </c>
      <c r="J909" s="4" t="str">
        <f>IFERROR(__xludf.DUMMYFUNCTION("""COMPUTED_VALUE"""),"ZONA 3")</f>
        <v>ZONA 3</v>
      </c>
      <c r="K909" s="4" t="str">
        <f>IFERROR(__xludf.DUMMYFUNCTION("""COMPUTED_VALUE"""),"035L051L07")</f>
        <v>035L051L07</v>
      </c>
      <c r="L909" s="4" t="str">
        <f>IFERROR(__xludf.DUMMYFUNCTION("""COMPUTED_VALUE"""),"TM - 7B/H (Afspan 90 Derajat)")</f>
        <v>TM - 7B/H (Afspan 90 Derajat)</v>
      </c>
      <c r="M909" s="4" t="str">
        <f>IFERROR(__xludf.DUMMYFUNCTION("""COMPUTED_VALUE"""),"Tidak Ada")</f>
        <v>Tidak Ada</v>
      </c>
      <c r="N909" s="4"/>
      <c r="O909" s="4" t="str">
        <f>IFERROR(__xludf.DUMMYFUNCTION("""COMPUTED_VALUE"""),"PEMBANDING SEJENIS")</f>
        <v>PEMBANDING SEJENIS</v>
      </c>
      <c r="P909" s="4" t="str">
        <f>IFERROR(__xludf.DUMMYFUNCTION("""COMPUTED_VALUE"""),"KONEKTOR/JUMPER")</f>
        <v>KONEKTOR/JUMPER</v>
      </c>
      <c r="Q909" s="4">
        <f>IFERROR(__xludf.DUMMYFUNCTION("""COMPUTED_VALUE"""),20.0)</f>
        <v>20</v>
      </c>
      <c r="R909" s="4">
        <f>IFERROR(__xludf.DUMMYFUNCTION("""COMPUTED_VALUE"""),20.0)</f>
        <v>20</v>
      </c>
      <c r="S909" s="4">
        <f>IFERROR(__xludf.DUMMYFUNCTION("""COMPUTED_VALUE"""),20.0)</f>
        <v>20</v>
      </c>
      <c r="T909" s="4"/>
      <c r="U909" s="4" t="str">
        <f>IFERROR(__xludf.DUMMYFUNCTION("""COMPUTED_VALUE"""),"BAIK")</f>
        <v>BAIK</v>
      </c>
      <c r="V909" s="4" t="str">
        <f>IFERROR(__xludf.DUMMYFUNCTION("""COMPUTED_VALUE"""),"Tidak Ada")</f>
        <v>Tidak Ada</v>
      </c>
      <c r="W909" s="4"/>
      <c r="X909" s="4"/>
      <c r="Y909" s="4"/>
      <c r="Z909" s="4"/>
      <c r="AA909" s="4"/>
      <c r="AB909" s="4"/>
      <c r="AC909" s="4" t="str">
        <f>IFERROR(__xludf.DUMMYFUNCTION("""COMPUTED_VALUE"""),"INSPEKSI SUTM - T2_Images/0a49d0ff.FOTO.144122.jpg")</f>
        <v>INSPEKSI SUTM - T2_Images/0a49d0ff.FOTO.144122.jpg</v>
      </c>
      <c r="AD909" s="4"/>
      <c r="AE909" s="4"/>
      <c r="AF909" s="4" t="str">
        <f>IFERROR(__xludf.DUMMYFUNCTION("""COMPUTED_VALUE"""),"BELUM")</f>
        <v>BELUM</v>
      </c>
      <c r="AG909" s="6">
        <f>IFERROR(__xludf.DUMMYFUNCTION("""COMPUTED_VALUE"""),46107.0)</f>
        <v>46107</v>
      </c>
      <c r="AH909" s="4"/>
      <c r="AI909" s="4"/>
    </row>
    <row r="910" ht="15.75" customHeight="1">
      <c r="A910" s="4" t="str">
        <f>IFERROR(__xludf.DUMMYFUNCTION("""COMPUTED_VALUE"""),"afffabee")</f>
        <v>afffabee</v>
      </c>
      <c r="B910" s="5">
        <f>IFERROR(__xludf.DUMMYFUNCTION("""COMPUTED_VALUE"""),46107.90418981481)</f>
        <v>46107.90419</v>
      </c>
      <c r="C910" s="4" t="str">
        <f>IFERROR(__xludf.DUMMYFUNCTION("""COMPUTED_VALUE"""),"-6.890576, 107.701635")</f>
        <v>-6.890576, 107.701635</v>
      </c>
      <c r="D910" s="4" t="str">
        <f>IFERROR(__xludf.DUMMYFUNCTION("""COMPUTED_VALUE"""),"Csnta heri")</f>
        <v>Csnta heri</v>
      </c>
      <c r="E910" s="4" t="str">
        <f>IFERROR(__xludf.DUMMYFUNCTION("""COMPUTED_VALUE"""),"BANDUNG")</f>
        <v>BANDUNG</v>
      </c>
      <c r="F910" s="4" t="str">
        <f>IFERROR(__xludf.DUMMYFUNCTION("""COMPUTED_VALUE"""),"UJUNGBERUNG")</f>
        <v>UJUNGBERUNG</v>
      </c>
      <c r="G910" s="4" t="str">
        <f>IFERROR(__xludf.DUMMYFUNCTION("""COMPUTED_VALUE"""),"UJUNGBERUNG")</f>
        <v>UJUNGBERUNG</v>
      </c>
      <c r="H910" s="4" t="str">
        <f>IFERROR(__xludf.DUMMYFUNCTION("""COMPUTED_VALUE"""),"UTWU")</f>
        <v>UTWU</v>
      </c>
      <c r="I910" s="4" t="str">
        <f>IFERROR(__xludf.DUMMYFUNCTION("""COMPUTED_VALUE"""),"LBS CGI - LBS PDO")</f>
        <v>LBS CGI - LBS PDO</v>
      </c>
      <c r="J910" s="4" t="str">
        <f>IFERROR(__xludf.DUMMYFUNCTION("""COMPUTED_VALUE"""),"ZONA 3")</f>
        <v>ZONA 3</v>
      </c>
      <c r="K910" s="4" t="str">
        <f>IFERROR(__xludf.DUMMYFUNCTION("""COMPUTED_VALUE"""),"035L051L010")</f>
        <v>035L051L010</v>
      </c>
      <c r="L910" s="4" t="str">
        <f>IFERROR(__xludf.DUMMYFUNCTION("""COMPUTED_VALUE"""),"TM - 7B/H (Afspan 90 Derajat)")</f>
        <v>TM - 7B/H (Afspan 90 Derajat)</v>
      </c>
      <c r="M910" s="4" t="str">
        <f>IFERROR(__xludf.DUMMYFUNCTION("""COMPUTED_VALUE"""),"Tidak Ada")</f>
        <v>Tidak Ada</v>
      </c>
      <c r="N910" s="4"/>
      <c r="O910" s="4" t="str">
        <f>IFERROR(__xludf.DUMMYFUNCTION("""COMPUTED_VALUE"""),"PEMBANDING SEJENIS")</f>
        <v>PEMBANDING SEJENIS</v>
      </c>
      <c r="P910" s="4" t="str">
        <f>IFERROR(__xludf.DUMMYFUNCTION("""COMPUTED_VALUE"""),"KONEKTOR/JUMPER")</f>
        <v>KONEKTOR/JUMPER</v>
      </c>
      <c r="Q910" s="4">
        <f>IFERROR(__xludf.DUMMYFUNCTION("""COMPUTED_VALUE"""),21.0)</f>
        <v>21</v>
      </c>
      <c r="R910" s="4">
        <f>IFERROR(__xludf.DUMMYFUNCTION("""COMPUTED_VALUE"""),21.0)</f>
        <v>21</v>
      </c>
      <c r="S910" s="4">
        <f>IFERROR(__xludf.DUMMYFUNCTION("""COMPUTED_VALUE"""),20.0)</f>
        <v>20</v>
      </c>
      <c r="T910" s="4"/>
      <c r="U910" s="4" t="str">
        <f>IFERROR(__xludf.DUMMYFUNCTION("""COMPUTED_VALUE"""),"BAIK")</f>
        <v>BAIK</v>
      </c>
      <c r="V910" s="4" t="str">
        <f>IFERROR(__xludf.DUMMYFUNCTION("""COMPUTED_VALUE"""),"Tidak Ada")</f>
        <v>Tidak Ada</v>
      </c>
      <c r="W910" s="4"/>
      <c r="X910" s="4"/>
      <c r="Y910" s="4"/>
      <c r="Z910" s="4"/>
      <c r="AA910" s="4"/>
      <c r="AB910" s="4"/>
      <c r="AC910" s="4" t="str">
        <f>IFERROR(__xludf.DUMMYFUNCTION("""COMPUTED_VALUE"""),"INSPEKSI SUTM - T2_Images/afffabee.FOTO.144252.jpg")</f>
        <v>INSPEKSI SUTM - T2_Images/afffabee.FOTO.144252.jpg</v>
      </c>
      <c r="AD910" s="4"/>
      <c r="AE910" s="4"/>
      <c r="AF910" s="4" t="str">
        <f>IFERROR(__xludf.DUMMYFUNCTION("""COMPUTED_VALUE"""),"BELUM")</f>
        <v>BELUM</v>
      </c>
      <c r="AG910" s="6">
        <f>IFERROR(__xludf.DUMMYFUNCTION("""COMPUTED_VALUE"""),46107.0)</f>
        <v>46107</v>
      </c>
      <c r="AH910" s="4"/>
      <c r="AI910" s="4"/>
    </row>
    <row r="911" ht="15.75" customHeight="1">
      <c r="A911" s="4" t="str">
        <f>IFERROR(__xludf.DUMMYFUNCTION("""COMPUTED_VALUE"""),"235820c2")</f>
        <v>235820c2</v>
      </c>
      <c r="B911" s="5">
        <f>IFERROR(__xludf.DUMMYFUNCTION("""COMPUTED_VALUE"""),46107.905335648145)</f>
        <v>46107.90534</v>
      </c>
      <c r="C911" s="4" t="str">
        <f>IFERROR(__xludf.DUMMYFUNCTION("""COMPUTED_VALUE"""),"-6.890831, 107.701601")</f>
        <v>-6.890831, 107.701601</v>
      </c>
      <c r="D911" s="4" t="str">
        <f>IFERROR(__xludf.DUMMYFUNCTION("""COMPUTED_VALUE"""),"Canra heri")</f>
        <v>Canra heri</v>
      </c>
      <c r="E911" s="4" t="str">
        <f>IFERROR(__xludf.DUMMYFUNCTION("""COMPUTED_VALUE"""),"BANDUNG")</f>
        <v>BANDUNG</v>
      </c>
      <c r="F911" s="4" t="str">
        <f>IFERROR(__xludf.DUMMYFUNCTION("""COMPUTED_VALUE"""),"UJUNGBERUNG")</f>
        <v>UJUNGBERUNG</v>
      </c>
      <c r="G911" s="4" t="str">
        <f>IFERROR(__xludf.DUMMYFUNCTION("""COMPUTED_VALUE"""),"UJUNGBERUNG")</f>
        <v>UJUNGBERUNG</v>
      </c>
      <c r="H911" s="4" t="str">
        <f>IFERROR(__xludf.DUMMYFUNCTION("""COMPUTED_VALUE"""),"UTWU")</f>
        <v>UTWU</v>
      </c>
      <c r="I911" s="4" t="str">
        <f>IFERROR(__xludf.DUMMYFUNCTION("""COMPUTED_VALUE"""),"LBS CGI - LBS PDO")</f>
        <v>LBS CGI - LBS PDO</v>
      </c>
      <c r="J911" s="4" t="str">
        <f>IFERROR(__xludf.DUMMYFUNCTION("""COMPUTED_VALUE"""),"ZONA 3")</f>
        <v>ZONA 3</v>
      </c>
      <c r="K911" s="4" t="str">
        <f>IFERROR(__xludf.DUMMYFUNCTION("""COMPUTED_VALUE"""),"035L051L011")</f>
        <v>035L051L011</v>
      </c>
      <c r="L911" s="4" t="str">
        <f>IFERROR(__xludf.DUMMYFUNCTION("""COMPUTED_VALUE"""),"TM - 7B/H (Afspan 90 Derajat)")</f>
        <v>TM - 7B/H (Afspan 90 Derajat)</v>
      </c>
      <c r="M911" s="4" t="str">
        <f>IFERROR(__xludf.DUMMYFUNCTION("""COMPUTED_VALUE"""),"Tidak Ada")</f>
        <v>Tidak Ada</v>
      </c>
      <c r="N911" s="4"/>
      <c r="O911" s="4" t="str">
        <f>IFERROR(__xludf.DUMMYFUNCTION("""COMPUTED_VALUE"""),"PEMBANDING SEJENIS")</f>
        <v>PEMBANDING SEJENIS</v>
      </c>
      <c r="P911" s="4" t="str">
        <f>IFERROR(__xludf.DUMMYFUNCTION("""COMPUTED_VALUE"""),"KONEKTOR/JUMPER")</f>
        <v>KONEKTOR/JUMPER</v>
      </c>
      <c r="Q911" s="4">
        <f>IFERROR(__xludf.DUMMYFUNCTION("""COMPUTED_VALUE"""),21.0)</f>
        <v>21</v>
      </c>
      <c r="R911" s="4">
        <f>IFERROR(__xludf.DUMMYFUNCTION("""COMPUTED_VALUE"""),21.0)</f>
        <v>21</v>
      </c>
      <c r="S911" s="4">
        <f>IFERROR(__xludf.DUMMYFUNCTION("""COMPUTED_VALUE"""),22.0)</f>
        <v>22</v>
      </c>
      <c r="T911" s="4"/>
      <c r="U911" s="4" t="str">
        <f>IFERROR(__xludf.DUMMYFUNCTION("""COMPUTED_VALUE"""),"BAIK")</f>
        <v>BAIK</v>
      </c>
      <c r="V911" s="4" t="str">
        <f>IFERROR(__xludf.DUMMYFUNCTION("""COMPUTED_VALUE"""),"Tidak Ada")</f>
        <v>Tidak Ada</v>
      </c>
      <c r="W911" s="4"/>
      <c r="X911" s="4"/>
      <c r="Y911" s="4"/>
      <c r="Z911" s="4"/>
      <c r="AA911" s="4"/>
      <c r="AB911" s="4"/>
      <c r="AC911" s="4" t="str">
        <f>IFERROR(__xludf.DUMMYFUNCTION("""COMPUTED_VALUE"""),"INSPEKSI SUTM - T2_Images/235820c2.FOTO.144426.jpg")</f>
        <v>INSPEKSI SUTM - T2_Images/235820c2.FOTO.144426.jpg</v>
      </c>
      <c r="AD911" s="4"/>
      <c r="AE911" s="4"/>
      <c r="AF911" s="4" t="str">
        <f>IFERROR(__xludf.DUMMYFUNCTION("""COMPUTED_VALUE"""),"BELUM")</f>
        <v>BELUM</v>
      </c>
      <c r="AG911" s="6">
        <f>IFERROR(__xludf.DUMMYFUNCTION("""COMPUTED_VALUE"""),46107.0)</f>
        <v>46107</v>
      </c>
      <c r="AH911" s="4"/>
      <c r="AI911" s="4"/>
    </row>
    <row r="912" ht="15.75" customHeight="1">
      <c r="A912" s="4" t="str">
        <f>IFERROR(__xludf.DUMMYFUNCTION("""COMPUTED_VALUE"""),"7f7c5907")</f>
        <v>7f7c5907</v>
      </c>
      <c r="B912" s="5">
        <f>IFERROR(__xludf.DUMMYFUNCTION("""COMPUTED_VALUE"""),46107.908483796295)</f>
        <v>46107.90848</v>
      </c>
      <c r="C912" s="4" t="str">
        <f>IFERROR(__xludf.DUMMYFUNCTION("""COMPUTED_VALUE"""),"-6.890750, 107.701347")</f>
        <v>-6.890750, 107.701347</v>
      </c>
      <c r="D912" s="4" t="str">
        <f>IFERROR(__xludf.DUMMYFUNCTION("""COMPUTED_VALUE"""),"Canra heri")</f>
        <v>Canra heri</v>
      </c>
      <c r="E912" s="4" t="str">
        <f>IFERROR(__xludf.DUMMYFUNCTION("""COMPUTED_VALUE"""),"BANDUNG")</f>
        <v>BANDUNG</v>
      </c>
      <c r="F912" s="4" t="str">
        <f>IFERROR(__xludf.DUMMYFUNCTION("""COMPUTED_VALUE"""),"UJUNGBERUNG")</f>
        <v>UJUNGBERUNG</v>
      </c>
      <c r="G912" s="4" t="str">
        <f>IFERROR(__xludf.DUMMYFUNCTION("""COMPUTED_VALUE"""),"UJUNGBERUNG")</f>
        <v>UJUNGBERUNG</v>
      </c>
      <c r="H912" s="4" t="str">
        <f>IFERROR(__xludf.DUMMYFUNCTION("""COMPUTED_VALUE"""),"UTWU")</f>
        <v>UTWU</v>
      </c>
      <c r="I912" s="4" t="str">
        <f>IFERROR(__xludf.DUMMYFUNCTION("""COMPUTED_VALUE"""),"LBS CGI - LBS PDO")</f>
        <v>LBS CGI - LBS PDO</v>
      </c>
      <c r="J912" s="4" t="str">
        <f>IFERROR(__xludf.DUMMYFUNCTION("""COMPUTED_VALUE"""),"ZONA 3")</f>
        <v>ZONA 3</v>
      </c>
      <c r="K912" s="4" t="str">
        <f>IFERROR(__xludf.DUMMYFUNCTION("""COMPUTED_VALUE"""),"035L0510L012")</f>
        <v>035L0510L012</v>
      </c>
      <c r="L912" s="4" t="str">
        <f>IFERROR(__xludf.DUMMYFUNCTION("""COMPUTED_VALUE"""),"TM - 8B/H (Percabangan)")</f>
        <v>TM - 8B/H (Percabangan)</v>
      </c>
      <c r="M912" s="4" t="str">
        <f>IFERROR(__xludf.DUMMYFUNCTION("""COMPUTED_VALUE"""),"Gardu")</f>
        <v>Gardu</v>
      </c>
      <c r="N912" s="4" t="str">
        <f>IFERROR(__xludf.DUMMYFUNCTION("""COMPUTED_VALUE"""),"A")</f>
        <v>A</v>
      </c>
      <c r="O912" s="4" t="str">
        <f>IFERROR(__xludf.DUMMYFUNCTION("""COMPUTED_VALUE"""),"PEMBANDING SEJENIS")</f>
        <v>PEMBANDING SEJENIS</v>
      </c>
      <c r="P912" s="4" t="str">
        <f>IFERROR(__xludf.DUMMYFUNCTION("""COMPUTED_VALUE"""),"KONEKTOR/JUMPER")</f>
        <v>KONEKTOR/JUMPER</v>
      </c>
      <c r="Q912" s="4">
        <f>IFERROR(__xludf.DUMMYFUNCTION("""COMPUTED_VALUE"""),19.0)</f>
        <v>19</v>
      </c>
      <c r="R912" s="4">
        <f>IFERROR(__xludf.DUMMYFUNCTION("""COMPUTED_VALUE"""),20.0)</f>
        <v>20</v>
      </c>
      <c r="S912" s="4">
        <f>IFERROR(__xludf.DUMMYFUNCTION("""COMPUTED_VALUE"""),19.0)</f>
        <v>19</v>
      </c>
      <c r="T912" s="4"/>
      <c r="U912" s="4" t="str">
        <f>IFERROR(__xludf.DUMMYFUNCTION("""COMPUTED_VALUE"""),"BAIK")</f>
        <v>BAIK</v>
      </c>
      <c r="V912" s="4" t="str">
        <f>IFERROR(__xludf.DUMMYFUNCTION("""COMPUTED_VALUE"""),"Tidak Ada")</f>
        <v>Tidak Ada</v>
      </c>
      <c r="W912" s="4"/>
      <c r="X912" s="4"/>
      <c r="Y912" s="4"/>
      <c r="Z912" s="4"/>
      <c r="AA912" s="4"/>
      <c r="AB912" s="4"/>
      <c r="AC912" s="4" t="str">
        <f>IFERROR(__xludf.DUMMYFUNCTION("""COMPUTED_VALUE"""),"INSPEKSI SUTM - T2_Images/7f7c5907.FOTO.144906.jpg")</f>
        <v>INSPEKSI SUTM - T2_Images/7f7c5907.FOTO.144906.jpg</v>
      </c>
      <c r="AD912" s="4"/>
      <c r="AE912" s="4"/>
      <c r="AF912" s="4" t="str">
        <f>IFERROR(__xludf.DUMMYFUNCTION("""COMPUTED_VALUE"""),"BELUM")</f>
        <v>BELUM</v>
      </c>
      <c r="AG912" s="6">
        <f>IFERROR(__xludf.DUMMYFUNCTION("""COMPUTED_VALUE"""),46107.0)</f>
        <v>46107</v>
      </c>
      <c r="AH912" s="4"/>
      <c r="AI912" s="4"/>
    </row>
    <row r="913" ht="15.75" customHeight="1">
      <c r="A913" s="4" t="str">
        <f>IFERROR(__xludf.DUMMYFUNCTION("""COMPUTED_VALUE"""),"5059938c")</f>
        <v>5059938c</v>
      </c>
      <c r="B913" s="5">
        <f>IFERROR(__xludf.DUMMYFUNCTION("""COMPUTED_VALUE"""),46107.909467592595)</f>
        <v>46107.90947</v>
      </c>
      <c r="C913" s="4" t="str">
        <f>IFERROR(__xludf.DUMMYFUNCTION("""COMPUTED_VALUE"""),"-6.891416, 107.701152")</f>
        <v>-6.891416, 107.701152</v>
      </c>
      <c r="D913" s="4" t="str">
        <f>IFERROR(__xludf.DUMMYFUNCTION("""COMPUTED_VALUE"""),"Canra heri")</f>
        <v>Canra heri</v>
      </c>
      <c r="E913" s="4" t="str">
        <f>IFERROR(__xludf.DUMMYFUNCTION("""COMPUTED_VALUE"""),"BANDUNG")</f>
        <v>BANDUNG</v>
      </c>
      <c r="F913" s="4" t="str">
        <f>IFERROR(__xludf.DUMMYFUNCTION("""COMPUTED_VALUE"""),"UJUNGBERUNG")</f>
        <v>UJUNGBERUNG</v>
      </c>
      <c r="G913" s="4" t="str">
        <f>IFERROR(__xludf.DUMMYFUNCTION("""COMPUTED_VALUE"""),"UJUNGBERUNG")</f>
        <v>UJUNGBERUNG</v>
      </c>
      <c r="H913" s="4" t="str">
        <f>IFERROR(__xludf.DUMMYFUNCTION("""COMPUTED_VALUE"""),"UTWU")</f>
        <v>UTWU</v>
      </c>
      <c r="I913" s="4" t="str">
        <f>IFERROR(__xludf.DUMMYFUNCTION("""COMPUTED_VALUE"""),"LBS CGI - LBS PDO")</f>
        <v>LBS CGI - LBS PDO</v>
      </c>
      <c r="J913" s="4" t="str">
        <f>IFERROR(__xludf.DUMMYFUNCTION("""COMPUTED_VALUE"""),"ZONA 3")</f>
        <v>ZONA 3</v>
      </c>
      <c r="K913" s="4" t="str">
        <f>IFERROR(__xludf.DUMMYFUNCTION("""COMPUTED_VALUE"""),"035L051L015")</f>
        <v>035L051L015</v>
      </c>
      <c r="L913" s="4" t="str">
        <f>IFERROR(__xludf.DUMMYFUNCTION("""COMPUTED_VALUE"""),"TM - 7B/H (Afspan 90 Derajat)")</f>
        <v>TM - 7B/H (Afspan 90 Derajat)</v>
      </c>
      <c r="M913" s="4" t="str">
        <f>IFERROR(__xludf.DUMMYFUNCTION("""COMPUTED_VALUE"""),"Tidak Ada")</f>
        <v>Tidak Ada</v>
      </c>
      <c r="N913" s="4"/>
      <c r="O913" s="4" t="str">
        <f>IFERROR(__xludf.DUMMYFUNCTION("""COMPUTED_VALUE"""),"PEMBANDING SEJENIS")</f>
        <v>PEMBANDING SEJENIS</v>
      </c>
      <c r="P913" s="4" t="str">
        <f>IFERROR(__xludf.DUMMYFUNCTION("""COMPUTED_VALUE"""),"KONEKTOR/JUMPER")</f>
        <v>KONEKTOR/JUMPER</v>
      </c>
      <c r="Q913" s="4">
        <f>IFERROR(__xludf.DUMMYFUNCTION("""COMPUTED_VALUE"""),20.0)</f>
        <v>20</v>
      </c>
      <c r="R913" s="4">
        <f>IFERROR(__xludf.DUMMYFUNCTION("""COMPUTED_VALUE"""),20.0)</f>
        <v>20</v>
      </c>
      <c r="S913" s="4">
        <f>IFERROR(__xludf.DUMMYFUNCTION("""COMPUTED_VALUE"""),21.0)</f>
        <v>21</v>
      </c>
      <c r="T913" s="4"/>
      <c r="U913" s="4" t="str">
        <f>IFERROR(__xludf.DUMMYFUNCTION("""COMPUTED_VALUE"""),"BAIK")</f>
        <v>BAIK</v>
      </c>
      <c r="V913" s="4" t="str">
        <f>IFERROR(__xludf.DUMMYFUNCTION("""COMPUTED_VALUE"""),"Tidak Ada")</f>
        <v>Tidak Ada</v>
      </c>
      <c r="W913" s="4"/>
      <c r="X913" s="4"/>
      <c r="Y913" s="4"/>
      <c r="Z913" s="4"/>
      <c r="AA913" s="4"/>
      <c r="AB913" s="4"/>
      <c r="AC913" s="4" t="str">
        <f>IFERROR(__xludf.DUMMYFUNCTION("""COMPUTED_VALUE"""),"INSPEKSI SUTM - T2_Images/5059938c.FOTO.103322.jpg")</f>
        <v>INSPEKSI SUTM - T2_Images/5059938c.FOTO.103322.jpg</v>
      </c>
      <c r="AD913" s="4"/>
      <c r="AE913" s="4"/>
      <c r="AF913" s="4" t="str">
        <f>IFERROR(__xludf.DUMMYFUNCTION("""COMPUTED_VALUE"""),"BELUM")</f>
        <v>BELUM</v>
      </c>
      <c r="AG913" s="6">
        <f>IFERROR(__xludf.DUMMYFUNCTION("""COMPUTED_VALUE"""),46107.0)</f>
        <v>46107</v>
      </c>
      <c r="AH913" s="4"/>
      <c r="AI913" s="4"/>
    </row>
    <row r="914" ht="15.75" customHeight="1">
      <c r="A914" s="4" t="str">
        <f>IFERROR(__xludf.DUMMYFUNCTION("""COMPUTED_VALUE"""),"986678b9")</f>
        <v>986678b9</v>
      </c>
      <c r="B914" s="5">
        <f>IFERROR(__xludf.DUMMYFUNCTION("""COMPUTED_VALUE"""),46108.82922453704)</f>
        <v>46108.82922</v>
      </c>
      <c r="C914" s="4" t="str">
        <f>IFERROR(__xludf.DUMMYFUNCTION("""COMPUTED_VALUE"""),"-6.910629, 107.704689")</f>
        <v>-6.910629, 107.704689</v>
      </c>
      <c r="D914" s="4" t="str">
        <f>IFERROR(__xludf.DUMMYFUNCTION("""COMPUTED_VALUE"""),"Canra heri")</f>
        <v>Canra heri</v>
      </c>
      <c r="E914" s="4" t="str">
        <f>IFERROR(__xludf.DUMMYFUNCTION("""COMPUTED_VALUE"""),"BANDUNG")</f>
        <v>BANDUNG</v>
      </c>
      <c r="F914" s="4" t="str">
        <f>IFERROR(__xludf.DUMMYFUNCTION("""COMPUTED_VALUE"""),"UJUNGBERUNG")</f>
        <v>UJUNGBERUNG</v>
      </c>
      <c r="G914" s="4" t="str">
        <f>IFERROR(__xludf.DUMMYFUNCTION("""COMPUTED_VALUE"""),"UJUNGBERUNG")</f>
        <v>UJUNGBERUNG</v>
      </c>
      <c r="H914" s="4" t="str">
        <f>IFERROR(__xludf.DUMMYFUNCTION("""COMPUTED_VALUE"""),"UTWU")</f>
        <v>UTWU</v>
      </c>
      <c r="I914" s="4" t="str">
        <f>IFERROR(__xludf.DUMMYFUNCTION("""COMPUTED_VALUE"""),"LBS CPR - LBS JMR")</f>
        <v>LBS CPR - LBS JMR</v>
      </c>
      <c r="J914" s="4"/>
      <c r="K914" s="4" t="str">
        <f>IFERROR(__xludf.DUMMYFUNCTION("""COMPUTED_VALUE"""),"036")</f>
        <v>036</v>
      </c>
      <c r="L914" s="4" t="str">
        <f>IFERROR(__xludf.DUMMYFUNCTION("""COMPUTED_VALUE"""),"TM - 4B/H (Afspan)")</f>
        <v>TM - 4B/H (Afspan)</v>
      </c>
      <c r="M914" s="4" t="str">
        <f>IFERROR(__xludf.DUMMYFUNCTION("""COMPUTED_VALUE"""),"Tidak Ada")</f>
        <v>Tidak Ada</v>
      </c>
      <c r="N914" s="4"/>
      <c r="O914" s="4" t="str">
        <f>IFERROR(__xludf.DUMMYFUNCTION("""COMPUTED_VALUE"""),"PEMBANDING SEJENIS")</f>
        <v>PEMBANDING SEJENIS</v>
      </c>
      <c r="P914" s="4" t="str">
        <f>IFERROR(__xludf.DUMMYFUNCTION("""COMPUTED_VALUE"""),"KONEKTOR/JUMPER")</f>
        <v>KONEKTOR/JUMPER</v>
      </c>
      <c r="Q914" s="4">
        <f>IFERROR(__xludf.DUMMYFUNCTION("""COMPUTED_VALUE"""),24.0)</f>
        <v>24</v>
      </c>
      <c r="R914" s="4">
        <f>IFERROR(__xludf.DUMMYFUNCTION("""COMPUTED_VALUE"""),28.0)</f>
        <v>28</v>
      </c>
      <c r="S914" s="4">
        <f>IFERROR(__xludf.DUMMYFUNCTION("""COMPUTED_VALUE"""),30.0)</f>
        <v>30</v>
      </c>
      <c r="T914" s="4"/>
      <c r="U914" s="4" t="str">
        <f>IFERROR(__xludf.DUMMYFUNCTION("""COMPUTED_VALUE"""),"CUKUP")</f>
        <v>CUKUP</v>
      </c>
      <c r="V914" s="4" t="str">
        <f>IFERROR(__xludf.DUMMYFUNCTION("""COMPUTED_VALUE"""),"Tidak Ada")</f>
        <v>Tidak Ada</v>
      </c>
      <c r="W914" s="4"/>
      <c r="X914" s="4"/>
      <c r="Y914" s="4"/>
      <c r="Z914" s="4"/>
      <c r="AA914" s="4"/>
      <c r="AB914" s="4"/>
      <c r="AC914" s="4" t="str">
        <f>IFERROR(__xludf.DUMMYFUNCTION("""COMPUTED_VALUE"""),"INSPEKSI SUTM - T2_Images/986678b9.FOTO.125518.jpg")</f>
        <v>INSPEKSI SUTM - T2_Images/986678b9.FOTO.125518.jpg</v>
      </c>
      <c r="AD914" s="4"/>
      <c r="AE914" s="4"/>
      <c r="AF914" s="4" t="str">
        <f>IFERROR(__xludf.DUMMYFUNCTION("""COMPUTED_VALUE"""),"BELUM")</f>
        <v>BELUM</v>
      </c>
      <c r="AG914" s="6">
        <f>IFERROR(__xludf.DUMMYFUNCTION("""COMPUTED_VALUE"""),46108.0)</f>
        <v>46108</v>
      </c>
      <c r="AH914" s="4"/>
      <c r="AI914" s="4"/>
    </row>
    <row r="915" ht="15.75" customHeight="1">
      <c r="A915" s="4" t="str">
        <f>IFERROR(__xludf.DUMMYFUNCTION("""COMPUTED_VALUE"""),"e47031ca")</f>
        <v>e47031ca</v>
      </c>
      <c r="B915" s="5">
        <f>IFERROR(__xludf.DUMMYFUNCTION("""COMPUTED_VALUE"""),46108.83105324074)</f>
        <v>46108.83105</v>
      </c>
      <c r="C915" s="4" t="str">
        <f>IFERROR(__xludf.DUMMYFUNCTION("""COMPUTED_VALUE"""),"-6.910758, 107.706046")</f>
        <v>-6.910758, 107.706046</v>
      </c>
      <c r="D915" s="4" t="str">
        <f>IFERROR(__xludf.DUMMYFUNCTION("""COMPUTED_VALUE"""),"Canra jeri")</f>
        <v>Canra jeri</v>
      </c>
      <c r="E915" s="4" t="str">
        <f>IFERROR(__xludf.DUMMYFUNCTION("""COMPUTED_VALUE"""),"BANDUNG")</f>
        <v>BANDUNG</v>
      </c>
      <c r="F915" s="4" t="str">
        <f>IFERROR(__xludf.DUMMYFUNCTION("""COMPUTED_VALUE"""),"UJUNGBERUNG")</f>
        <v>UJUNGBERUNG</v>
      </c>
      <c r="G915" s="4" t="str">
        <f>IFERROR(__xludf.DUMMYFUNCTION("""COMPUTED_VALUE"""),"UJUNGBERUNG")</f>
        <v>UJUNGBERUNG</v>
      </c>
      <c r="H915" s="4" t="str">
        <f>IFERROR(__xludf.DUMMYFUNCTION("""COMPUTED_VALUE"""),"UTWU")</f>
        <v>UTWU</v>
      </c>
      <c r="I915" s="4" t="str">
        <f>IFERROR(__xludf.DUMMYFUNCTION("""COMPUTED_VALUE"""),"LBS CPR - LBS JMR")</f>
        <v>LBS CPR - LBS JMR</v>
      </c>
      <c r="J915" s="4"/>
      <c r="K915" s="4" t="str">
        <f>IFERROR(__xludf.DUMMYFUNCTION("""COMPUTED_VALUE"""),"040")</f>
        <v>040</v>
      </c>
      <c r="L915" s="4" t="str">
        <f>IFERROR(__xludf.DUMMYFUNCTION("""COMPUTED_VALUE"""),"TM - 8B/H (Percabangan)")</f>
        <v>TM - 8B/H (Percabangan)</v>
      </c>
      <c r="M915" s="4" t="str">
        <f>IFERROR(__xludf.DUMMYFUNCTION("""COMPUTED_VALUE"""),"Tidak Ada")</f>
        <v>Tidak Ada</v>
      </c>
      <c r="N915" s="4"/>
      <c r="O915" s="4" t="str">
        <f>IFERROR(__xludf.DUMMYFUNCTION("""COMPUTED_VALUE"""),"PEMBANDING SEJENIS")</f>
        <v>PEMBANDING SEJENIS</v>
      </c>
      <c r="P915" s="4" t="str">
        <f>IFERROR(__xludf.DUMMYFUNCTION("""COMPUTED_VALUE"""),"KONEKTOR/JUMPER")</f>
        <v>KONEKTOR/JUMPER</v>
      </c>
      <c r="Q915" s="4">
        <f>IFERROR(__xludf.DUMMYFUNCTION("""COMPUTED_VALUE"""),24.0)</f>
        <v>24</v>
      </c>
      <c r="R915" s="4">
        <f>IFERROR(__xludf.DUMMYFUNCTION("""COMPUTED_VALUE"""),24.0)</f>
        <v>24</v>
      </c>
      <c r="S915" s="4">
        <f>IFERROR(__xludf.DUMMYFUNCTION("""COMPUTED_VALUE"""),24.0)</f>
        <v>24</v>
      </c>
      <c r="T915" s="4"/>
      <c r="U915" s="4" t="str">
        <f>IFERROR(__xludf.DUMMYFUNCTION("""COMPUTED_VALUE"""),"BAIK")</f>
        <v>BAIK</v>
      </c>
      <c r="V915" s="4" t="str">
        <f>IFERROR(__xludf.DUMMYFUNCTION("""COMPUTED_VALUE"""),"Tidak Ada")</f>
        <v>Tidak Ada</v>
      </c>
      <c r="W915" s="4"/>
      <c r="X915" s="4"/>
      <c r="Y915" s="4"/>
      <c r="Z915" s="4"/>
      <c r="AA915" s="4"/>
      <c r="AB915" s="4"/>
      <c r="AC915" s="4" t="str">
        <f>IFERROR(__xludf.DUMMYFUNCTION("""COMPUTED_VALUE"""),"INSPEKSI SUTM - T2_Images/e47031ca.FOTO.125742.jpg")</f>
        <v>INSPEKSI SUTM - T2_Images/e47031ca.FOTO.125742.jpg</v>
      </c>
      <c r="AD915" s="4"/>
      <c r="AE915" s="4"/>
      <c r="AF915" s="4" t="str">
        <f>IFERROR(__xludf.DUMMYFUNCTION("""COMPUTED_VALUE"""),"BELUM")</f>
        <v>BELUM</v>
      </c>
      <c r="AG915" s="6">
        <f>IFERROR(__xludf.DUMMYFUNCTION("""COMPUTED_VALUE"""),46108.0)</f>
        <v>46108</v>
      </c>
      <c r="AH915" s="4"/>
      <c r="AI915" s="4"/>
    </row>
    <row r="916" ht="15.75" customHeight="1">
      <c r="A916" s="4" t="str">
        <f>IFERROR(__xludf.DUMMYFUNCTION("""COMPUTED_VALUE"""),"d10dbb45")</f>
        <v>d10dbb45</v>
      </c>
      <c r="B916" s="5">
        <f>IFERROR(__xludf.DUMMYFUNCTION("""COMPUTED_VALUE"""),46108.832349537035)</f>
        <v>46108.83235</v>
      </c>
      <c r="C916" s="4" t="str">
        <f>IFERROR(__xludf.DUMMYFUNCTION("""COMPUTED_VALUE"""),"-6.910753, 107.706034")</f>
        <v>-6.910753, 107.706034</v>
      </c>
      <c r="D916" s="4" t="str">
        <f>IFERROR(__xludf.DUMMYFUNCTION("""COMPUTED_VALUE"""),"Canra hwri")</f>
        <v>Canra hwri</v>
      </c>
      <c r="E916" s="4" t="str">
        <f>IFERROR(__xludf.DUMMYFUNCTION("""COMPUTED_VALUE"""),"BANDUNG")</f>
        <v>BANDUNG</v>
      </c>
      <c r="F916" s="4" t="str">
        <f>IFERROR(__xludf.DUMMYFUNCTION("""COMPUTED_VALUE"""),"UJUNGBERUNG")</f>
        <v>UJUNGBERUNG</v>
      </c>
      <c r="G916" s="4" t="str">
        <f>IFERROR(__xludf.DUMMYFUNCTION("""COMPUTED_VALUE"""),"UJUNGBERUNG")</f>
        <v>UJUNGBERUNG</v>
      </c>
      <c r="H916" s="4" t="str">
        <f>IFERROR(__xludf.DUMMYFUNCTION("""COMPUTED_VALUE"""),"UTWU")</f>
        <v>UTWU</v>
      </c>
      <c r="I916" s="4" t="str">
        <f>IFERROR(__xludf.DUMMYFUNCTION("""COMPUTED_VALUE"""),"LBS CPR - LBS JMR")</f>
        <v>LBS CPR - LBS JMR</v>
      </c>
      <c r="J916" s="4"/>
      <c r="K916" s="4" t="str">
        <f>IFERROR(__xludf.DUMMYFUNCTION("""COMPUTED_VALUE"""),"040R01")</f>
        <v>040R01</v>
      </c>
      <c r="L916" s="4" t="str">
        <f>IFERROR(__xludf.DUMMYFUNCTION("""COMPUTED_VALUE"""),"TM - 11B/H (Kabel Naik)")</f>
        <v>TM - 11B/H (Kabel Naik)</v>
      </c>
      <c r="M916" s="4" t="str">
        <f>IFERROR(__xludf.DUMMYFUNCTION("""COMPUTED_VALUE"""),"Gardu")</f>
        <v>Gardu</v>
      </c>
      <c r="N916" s="4" t="str">
        <f>IFERROR(__xludf.DUMMYFUNCTION("""COMPUTED_VALUE"""),"Ngg")</f>
        <v>Ngg</v>
      </c>
      <c r="O916" s="4" t="str">
        <f>IFERROR(__xludf.DUMMYFUNCTION("""COMPUTED_VALUE"""),"PEMBANDING SEJENIS")</f>
        <v>PEMBANDING SEJENIS</v>
      </c>
      <c r="P916" s="4" t="str">
        <f>IFERROR(__xludf.DUMMYFUNCTION("""COMPUTED_VALUE"""),"TERMINASI")</f>
        <v>TERMINASI</v>
      </c>
      <c r="Q916" s="4">
        <f>IFERROR(__xludf.DUMMYFUNCTION("""COMPUTED_VALUE"""),25.0)</f>
        <v>25</v>
      </c>
      <c r="R916" s="4">
        <f>IFERROR(__xludf.DUMMYFUNCTION("""COMPUTED_VALUE"""),25.0)</f>
        <v>25</v>
      </c>
      <c r="S916" s="4">
        <f>IFERROR(__xludf.DUMMYFUNCTION("""COMPUTED_VALUE"""),25.0)</f>
        <v>25</v>
      </c>
      <c r="T916" s="4"/>
      <c r="U916" s="4" t="str">
        <f>IFERROR(__xludf.DUMMYFUNCTION("""COMPUTED_VALUE"""),"BAIK")</f>
        <v>BAIK</v>
      </c>
      <c r="V916" s="4" t="str">
        <f>IFERROR(__xludf.DUMMYFUNCTION("""COMPUTED_VALUE"""),"Tidak Ada")</f>
        <v>Tidak Ada</v>
      </c>
      <c r="W916" s="4"/>
      <c r="X916" s="4"/>
      <c r="Y916" s="4"/>
      <c r="Z916" s="4"/>
      <c r="AA916" s="4"/>
      <c r="AB916" s="4"/>
      <c r="AC916" s="4" t="str">
        <f>IFERROR(__xludf.DUMMYFUNCTION("""COMPUTED_VALUE"""),"INSPEKSI SUTM - T2_Images/d10dbb45.FOTO.130334.jpg")</f>
        <v>INSPEKSI SUTM - T2_Images/d10dbb45.FOTO.130334.jpg</v>
      </c>
      <c r="AD916" s="4"/>
      <c r="AE916" s="4"/>
      <c r="AF916" s="4" t="str">
        <f>IFERROR(__xludf.DUMMYFUNCTION("""COMPUTED_VALUE"""),"BELUM")</f>
        <v>BELUM</v>
      </c>
      <c r="AG916" s="6">
        <f>IFERROR(__xludf.DUMMYFUNCTION("""COMPUTED_VALUE"""),46108.0)</f>
        <v>46108</v>
      </c>
      <c r="AH916" s="4"/>
      <c r="AI916" s="4"/>
    </row>
    <row r="917" ht="15.75" customHeight="1">
      <c r="A917" s="4" t="str">
        <f>IFERROR(__xludf.DUMMYFUNCTION("""COMPUTED_VALUE"""),"57fb3db3")</f>
        <v>57fb3db3</v>
      </c>
      <c r="B917" s="5">
        <f>IFERROR(__xludf.DUMMYFUNCTION("""COMPUTED_VALUE"""),46108.83416666667)</f>
        <v>46108.83417</v>
      </c>
      <c r="C917" s="4" t="str">
        <f>IFERROR(__xludf.DUMMYFUNCTION("""COMPUTED_VALUE"""),"-6.911570, 107.706564")</f>
        <v>-6.911570, 107.706564</v>
      </c>
      <c r="D917" s="4" t="str">
        <f>IFERROR(__xludf.DUMMYFUNCTION("""COMPUTED_VALUE"""),"Canra heri")</f>
        <v>Canra heri</v>
      </c>
      <c r="E917" s="4" t="str">
        <f>IFERROR(__xludf.DUMMYFUNCTION("""COMPUTED_VALUE"""),"BANDUNG")</f>
        <v>BANDUNG</v>
      </c>
      <c r="F917" s="4" t="str">
        <f>IFERROR(__xludf.DUMMYFUNCTION("""COMPUTED_VALUE"""),"UJUNGBERUNG")</f>
        <v>UJUNGBERUNG</v>
      </c>
      <c r="G917" s="4" t="str">
        <f>IFERROR(__xludf.DUMMYFUNCTION("""COMPUTED_VALUE"""),"UJUNGBERUNG")</f>
        <v>UJUNGBERUNG</v>
      </c>
      <c r="H917" s="4" t="str">
        <f>IFERROR(__xludf.DUMMYFUNCTION("""COMPUTED_VALUE"""),"UTWU")</f>
        <v>UTWU</v>
      </c>
      <c r="I917" s="4" t="str">
        <f>IFERROR(__xludf.DUMMYFUNCTION("""COMPUTED_VALUE"""),"LBS CPR - LBS JMR")</f>
        <v>LBS CPR - LBS JMR</v>
      </c>
      <c r="J917" s="4"/>
      <c r="K917" s="4" t="str">
        <f>IFERROR(__xludf.DUMMYFUNCTION("""COMPUTED_VALUE"""),"040R02")</f>
        <v>040R02</v>
      </c>
      <c r="L917" s="4" t="str">
        <f>IFERROR(__xludf.DUMMYFUNCTION("""COMPUTED_VALUE"""),"TM - 11B/H (Kabel Naik)")</f>
        <v>TM - 11B/H (Kabel Naik)</v>
      </c>
      <c r="M917" s="4" t="str">
        <f>IFERROR(__xludf.DUMMYFUNCTION("""COMPUTED_VALUE"""),"Gardu")</f>
        <v>Gardu</v>
      </c>
      <c r="N917" s="4" t="str">
        <f>IFERROR(__xludf.DUMMYFUNCTION("""COMPUTED_VALUE"""),"Jmrc")</f>
        <v>Jmrc</v>
      </c>
      <c r="O917" s="4" t="str">
        <f>IFERROR(__xludf.DUMMYFUNCTION("""COMPUTED_VALUE"""),"PEMBANDING SEJENIS")</f>
        <v>PEMBANDING SEJENIS</v>
      </c>
      <c r="P917" s="4" t="str">
        <f>IFERROR(__xludf.DUMMYFUNCTION("""COMPUTED_VALUE"""),"TERMINASI")</f>
        <v>TERMINASI</v>
      </c>
      <c r="Q917" s="4">
        <f>IFERROR(__xludf.DUMMYFUNCTION("""COMPUTED_VALUE"""),24.0)</f>
        <v>24</v>
      </c>
      <c r="R917" s="4">
        <f>IFERROR(__xludf.DUMMYFUNCTION("""COMPUTED_VALUE"""),24.0)</f>
        <v>24</v>
      </c>
      <c r="S917" s="4">
        <f>IFERROR(__xludf.DUMMYFUNCTION("""COMPUTED_VALUE"""),24.0)</f>
        <v>24</v>
      </c>
      <c r="T917" s="4"/>
      <c r="U917" s="4" t="str">
        <f>IFERROR(__xludf.DUMMYFUNCTION("""COMPUTED_VALUE"""),"BAIK")</f>
        <v>BAIK</v>
      </c>
      <c r="V917" s="4" t="str">
        <f>IFERROR(__xludf.DUMMYFUNCTION("""COMPUTED_VALUE"""),"Tidak Ada")</f>
        <v>Tidak Ada</v>
      </c>
      <c r="W917" s="4"/>
      <c r="X917" s="4"/>
      <c r="Y917" s="4"/>
      <c r="Z917" s="4"/>
      <c r="AA917" s="4"/>
      <c r="AB917" s="4"/>
      <c r="AC917" s="4" t="str">
        <f>IFERROR(__xludf.DUMMYFUNCTION("""COMPUTED_VALUE"""),"INSPEKSI SUTM - T2_Images/57fb3db3.FOTO.130339.jpg")</f>
        <v>INSPEKSI SUTM - T2_Images/57fb3db3.FOTO.130339.jpg</v>
      </c>
      <c r="AD917" s="4"/>
      <c r="AE917" s="4"/>
      <c r="AF917" s="4" t="str">
        <f>IFERROR(__xludf.DUMMYFUNCTION("""COMPUTED_VALUE"""),"BELUM")</f>
        <v>BELUM</v>
      </c>
      <c r="AG917" s="6">
        <f>IFERROR(__xludf.DUMMYFUNCTION("""COMPUTED_VALUE"""),46108.0)</f>
        <v>46108</v>
      </c>
      <c r="AH917" s="4"/>
      <c r="AI917" s="4"/>
    </row>
    <row r="918" ht="15.75" customHeight="1">
      <c r="A918" s="4" t="str">
        <f>IFERROR(__xludf.DUMMYFUNCTION("""COMPUTED_VALUE"""),"45f51be3")</f>
        <v>45f51be3</v>
      </c>
      <c r="B918" s="5">
        <f>IFERROR(__xludf.DUMMYFUNCTION("""COMPUTED_VALUE"""),46108.835185185184)</f>
        <v>46108.83519</v>
      </c>
      <c r="C918" s="4" t="str">
        <f>IFERROR(__xludf.DUMMYFUNCTION("""COMPUTED_VALUE"""),"-6.909944, 107.706647")</f>
        <v>-6.909944, 107.706647</v>
      </c>
      <c r="D918" s="4" t="str">
        <f>IFERROR(__xludf.DUMMYFUNCTION("""COMPUTED_VALUE"""),"Canra heri")</f>
        <v>Canra heri</v>
      </c>
      <c r="E918" s="4" t="str">
        <f>IFERROR(__xludf.DUMMYFUNCTION("""COMPUTED_VALUE"""),"BANDUNG")</f>
        <v>BANDUNG</v>
      </c>
      <c r="F918" s="4" t="str">
        <f>IFERROR(__xludf.DUMMYFUNCTION("""COMPUTED_VALUE"""),"UJUNGBERUNG")</f>
        <v>UJUNGBERUNG</v>
      </c>
      <c r="G918" s="4" t="str">
        <f>IFERROR(__xludf.DUMMYFUNCTION("""COMPUTED_VALUE"""),"UJUNGBERUNG")</f>
        <v>UJUNGBERUNG</v>
      </c>
      <c r="H918" s="4" t="str">
        <f>IFERROR(__xludf.DUMMYFUNCTION("""COMPUTED_VALUE"""),"UTWU")</f>
        <v>UTWU</v>
      </c>
      <c r="I918" s="4" t="str">
        <f>IFERROR(__xludf.DUMMYFUNCTION("""COMPUTED_VALUE"""),"LBS CPR - LBS JMR")</f>
        <v>LBS CPR - LBS JMR</v>
      </c>
      <c r="J918" s="4"/>
      <c r="K918" s="4" t="str">
        <f>IFERROR(__xludf.DUMMYFUNCTION("""COMPUTED_VALUE"""),"042")</f>
        <v>042</v>
      </c>
      <c r="L918" s="4" t="str">
        <f>IFERROR(__xludf.DUMMYFUNCTION("""COMPUTED_VALUE"""),"TM - 7B/H (Afspan 90 Derajat)")</f>
        <v>TM - 7B/H (Afspan 90 Derajat)</v>
      </c>
      <c r="M918" s="4" t="str">
        <f>IFERROR(__xludf.DUMMYFUNCTION("""COMPUTED_VALUE"""),"Tidak Ada")</f>
        <v>Tidak Ada</v>
      </c>
      <c r="N918" s="4"/>
      <c r="O918" s="4" t="str">
        <f>IFERROR(__xludf.DUMMYFUNCTION("""COMPUTED_VALUE"""),"PEMBANDING SEJENIS")</f>
        <v>PEMBANDING SEJENIS</v>
      </c>
      <c r="P918" s="4" t="str">
        <f>IFERROR(__xludf.DUMMYFUNCTION("""COMPUTED_VALUE"""),"KONEKTOR/JUMPER")</f>
        <v>KONEKTOR/JUMPER</v>
      </c>
      <c r="Q918" s="4">
        <f>IFERROR(__xludf.DUMMYFUNCTION("""COMPUTED_VALUE"""),24.0)</f>
        <v>24</v>
      </c>
      <c r="R918" s="4">
        <f>IFERROR(__xludf.DUMMYFUNCTION("""COMPUTED_VALUE"""),24.0)</f>
        <v>24</v>
      </c>
      <c r="S918" s="4">
        <f>IFERROR(__xludf.DUMMYFUNCTION("""COMPUTED_VALUE"""),24.0)</f>
        <v>24</v>
      </c>
      <c r="T918" s="4"/>
      <c r="U918" s="4" t="str">
        <f>IFERROR(__xludf.DUMMYFUNCTION("""COMPUTED_VALUE"""),"BAIK")</f>
        <v>BAIK</v>
      </c>
      <c r="V918" s="4" t="str">
        <f>IFERROR(__xludf.DUMMYFUNCTION("""COMPUTED_VALUE"""),"Tidak Ada")</f>
        <v>Tidak Ada</v>
      </c>
      <c r="W918" s="4"/>
      <c r="X918" s="4"/>
      <c r="Y918" s="4"/>
      <c r="Z918" s="4"/>
      <c r="AA918" s="4"/>
      <c r="AB918" s="4"/>
      <c r="AC918" s="4" t="str">
        <f>IFERROR(__xludf.DUMMYFUNCTION("""COMPUTED_VALUE"""),"INSPEKSI SUTM - T2_Images/45f51be3.FOTO.130344.jpg")</f>
        <v>INSPEKSI SUTM - T2_Images/45f51be3.FOTO.130344.jpg</v>
      </c>
      <c r="AD918" s="4"/>
      <c r="AE918" s="4"/>
      <c r="AF918" s="4" t="str">
        <f>IFERROR(__xludf.DUMMYFUNCTION("""COMPUTED_VALUE"""),"BELUM")</f>
        <v>BELUM</v>
      </c>
      <c r="AG918" s="6">
        <f>IFERROR(__xludf.DUMMYFUNCTION("""COMPUTED_VALUE"""),46108.0)</f>
        <v>46108</v>
      </c>
      <c r="AH918" s="4"/>
      <c r="AI918" s="4"/>
    </row>
    <row r="919" ht="15.75" customHeight="1">
      <c r="A919" s="4" t="str">
        <f>IFERROR(__xludf.DUMMYFUNCTION("""COMPUTED_VALUE"""),"5783b86f")</f>
        <v>5783b86f</v>
      </c>
      <c r="B919" s="5">
        <f>IFERROR(__xludf.DUMMYFUNCTION("""COMPUTED_VALUE"""),46108.836550925924)</f>
        <v>46108.83655</v>
      </c>
      <c r="C919" s="4" t="str">
        <f>IFERROR(__xludf.DUMMYFUNCTION("""COMPUTED_VALUE"""),"-6.909898, 107.708644")</f>
        <v>-6.909898, 107.708644</v>
      </c>
      <c r="D919" s="4" t="str">
        <f>IFERROR(__xludf.DUMMYFUNCTION("""COMPUTED_VALUE"""),"Canra heri")</f>
        <v>Canra heri</v>
      </c>
      <c r="E919" s="4" t="str">
        <f>IFERROR(__xludf.DUMMYFUNCTION("""COMPUTED_VALUE"""),"BANDUNG")</f>
        <v>BANDUNG</v>
      </c>
      <c r="F919" s="4" t="str">
        <f>IFERROR(__xludf.DUMMYFUNCTION("""COMPUTED_VALUE"""),"UJUNGBERUNG")</f>
        <v>UJUNGBERUNG</v>
      </c>
      <c r="G919" s="4" t="str">
        <f>IFERROR(__xludf.DUMMYFUNCTION("""COMPUTED_VALUE"""),"UJUNGBERUNG")</f>
        <v>UJUNGBERUNG</v>
      </c>
      <c r="H919" s="4" t="str">
        <f>IFERROR(__xludf.DUMMYFUNCTION("""COMPUTED_VALUE"""),"UTWU")</f>
        <v>UTWU</v>
      </c>
      <c r="I919" s="4" t="str">
        <f>IFERROR(__xludf.DUMMYFUNCTION("""COMPUTED_VALUE"""),"LBS CPR - LBS JMR")</f>
        <v>LBS CPR - LBS JMR</v>
      </c>
      <c r="J919" s="4"/>
      <c r="K919" s="4" t="str">
        <f>IFERROR(__xludf.DUMMYFUNCTION("""COMPUTED_VALUE"""),"047")</f>
        <v>047</v>
      </c>
      <c r="L919" s="4" t="str">
        <f>IFERROR(__xludf.DUMMYFUNCTION("""COMPUTED_VALUE"""),"TM - 4B/H (Afspan)")</f>
        <v>TM - 4B/H (Afspan)</v>
      </c>
      <c r="M919" s="4" t="str">
        <f>IFERROR(__xludf.DUMMYFUNCTION("""COMPUTED_VALUE"""),"Tidak Ada")</f>
        <v>Tidak Ada</v>
      </c>
      <c r="N919" s="4"/>
      <c r="O919" s="4" t="str">
        <f>IFERROR(__xludf.DUMMYFUNCTION("""COMPUTED_VALUE"""),"PEMBANDING SEJENIS")</f>
        <v>PEMBANDING SEJENIS</v>
      </c>
      <c r="P919" s="4" t="str">
        <f>IFERROR(__xludf.DUMMYFUNCTION("""COMPUTED_VALUE"""),"KONEKTOR/JUMPER")</f>
        <v>KONEKTOR/JUMPER</v>
      </c>
      <c r="Q919" s="4">
        <f>IFERROR(__xludf.DUMMYFUNCTION("""COMPUTED_VALUE"""),24.0)</f>
        <v>24</v>
      </c>
      <c r="R919" s="4">
        <f>IFERROR(__xludf.DUMMYFUNCTION("""COMPUTED_VALUE"""),25.0)</f>
        <v>25</v>
      </c>
      <c r="S919" s="4">
        <f>IFERROR(__xludf.DUMMYFUNCTION("""COMPUTED_VALUE"""),24.0)</f>
        <v>24</v>
      </c>
      <c r="T919" s="4"/>
      <c r="U919" s="4" t="str">
        <f>IFERROR(__xludf.DUMMYFUNCTION("""COMPUTED_VALUE"""),"BAIK")</f>
        <v>BAIK</v>
      </c>
      <c r="V919" s="4" t="str">
        <f>IFERROR(__xludf.DUMMYFUNCTION("""COMPUTED_VALUE"""),"Tidak Ada")</f>
        <v>Tidak Ada</v>
      </c>
      <c r="W919" s="4"/>
      <c r="X919" s="4"/>
      <c r="Y919" s="4"/>
      <c r="Z919" s="4"/>
      <c r="AA919" s="4"/>
      <c r="AB919" s="4"/>
      <c r="AC919" s="4" t="str">
        <f>IFERROR(__xludf.DUMMYFUNCTION("""COMPUTED_VALUE"""),"INSPEKSI SUTM - T2_Images/5783b86f.FOTO.130532.jpg")</f>
        <v>INSPEKSI SUTM - T2_Images/5783b86f.FOTO.130532.jpg</v>
      </c>
      <c r="AD919" s="4"/>
      <c r="AE919" s="4"/>
      <c r="AF919" s="4" t="str">
        <f>IFERROR(__xludf.DUMMYFUNCTION("""COMPUTED_VALUE"""),"BELUM")</f>
        <v>BELUM</v>
      </c>
      <c r="AG919" s="6">
        <f>IFERROR(__xludf.DUMMYFUNCTION("""COMPUTED_VALUE"""),46108.0)</f>
        <v>46108</v>
      </c>
      <c r="AH919" s="4"/>
      <c r="AI919" s="4"/>
    </row>
    <row r="920" ht="15.75" customHeight="1">
      <c r="A920" s="4" t="str">
        <f>IFERROR(__xludf.DUMMYFUNCTION("""COMPUTED_VALUE"""),"13a80938")</f>
        <v>13a80938</v>
      </c>
      <c r="B920" s="5">
        <f>IFERROR(__xludf.DUMMYFUNCTION("""COMPUTED_VALUE"""),46108.837685185186)</f>
        <v>46108.83769</v>
      </c>
      <c r="C920" s="4" t="str">
        <f>IFERROR(__xludf.DUMMYFUNCTION("""COMPUTED_VALUE"""),"-6.909608, 107.709832")</f>
        <v>-6.909608, 107.709832</v>
      </c>
      <c r="D920" s="4" t="str">
        <f>IFERROR(__xludf.DUMMYFUNCTION("""COMPUTED_VALUE"""),"Canra heri")</f>
        <v>Canra heri</v>
      </c>
      <c r="E920" s="4" t="str">
        <f>IFERROR(__xludf.DUMMYFUNCTION("""COMPUTED_VALUE"""),"BANDUNG")</f>
        <v>BANDUNG</v>
      </c>
      <c r="F920" s="4" t="str">
        <f>IFERROR(__xludf.DUMMYFUNCTION("""COMPUTED_VALUE"""),"UJUNGBERUNG")</f>
        <v>UJUNGBERUNG</v>
      </c>
      <c r="G920" s="4" t="str">
        <f>IFERROR(__xludf.DUMMYFUNCTION("""COMPUTED_VALUE"""),"UJUNGBERUNG")</f>
        <v>UJUNGBERUNG</v>
      </c>
      <c r="H920" s="4" t="str">
        <f>IFERROR(__xludf.DUMMYFUNCTION("""COMPUTED_VALUE"""),"UTWU")</f>
        <v>UTWU</v>
      </c>
      <c r="I920" s="4" t="str">
        <f>IFERROR(__xludf.DUMMYFUNCTION("""COMPUTED_VALUE"""),"LBS CPR - LBS JMR")</f>
        <v>LBS CPR - LBS JMR</v>
      </c>
      <c r="J920" s="4"/>
      <c r="K920" s="4" t="str">
        <f>IFERROR(__xludf.DUMMYFUNCTION("""COMPUTED_VALUE"""),"052")</f>
        <v>052</v>
      </c>
      <c r="L920" s="4" t="str">
        <f>IFERROR(__xludf.DUMMYFUNCTION("""COMPUTED_VALUE"""),"TM - 7B/H (Afspan 90 Derajat)")</f>
        <v>TM - 7B/H (Afspan 90 Derajat)</v>
      </c>
      <c r="M920" s="4" t="str">
        <f>IFERROR(__xludf.DUMMYFUNCTION("""COMPUTED_VALUE"""),"Tidak Ada")</f>
        <v>Tidak Ada</v>
      </c>
      <c r="N920" s="4"/>
      <c r="O920" s="4" t="str">
        <f>IFERROR(__xludf.DUMMYFUNCTION("""COMPUTED_VALUE"""),"PEMBANDING SEJENIS")</f>
        <v>PEMBANDING SEJENIS</v>
      </c>
      <c r="P920" s="4" t="str">
        <f>IFERROR(__xludf.DUMMYFUNCTION("""COMPUTED_VALUE"""),"KONEKTOR/JUMPER")</f>
        <v>KONEKTOR/JUMPER</v>
      </c>
      <c r="Q920" s="4">
        <f>IFERROR(__xludf.DUMMYFUNCTION("""COMPUTED_VALUE"""),24.0)</f>
        <v>24</v>
      </c>
      <c r="R920" s="4">
        <f>IFERROR(__xludf.DUMMYFUNCTION("""COMPUTED_VALUE"""),24.0)</f>
        <v>24</v>
      </c>
      <c r="S920" s="4">
        <f>IFERROR(__xludf.DUMMYFUNCTION("""COMPUTED_VALUE"""),25.0)</f>
        <v>25</v>
      </c>
      <c r="T920" s="4"/>
      <c r="U920" s="4" t="str">
        <f>IFERROR(__xludf.DUMMYFUNCTION("""COMPUTED_VALUE"""),"BAIK")</f>
        <v>BAIK</v>
      </c>
      <c r="V920" s="4" t="str">
        <f>IFERROR(__xludf.DUMMYFUNCTION("""COMPUTED_VALUE"""),"Tidak Ada")</f>
        <v>Tidak Ada</v>
      </c>
      <c r="W920" s="4"/>
      <c r="X920" s="4"/>
      <c r="Y920" s="4"/>
      <c r="Z920" s="4"/>
      <c r="AA920" s="4"/>
      <c r="AB920" s="4"/>
      <c r="AC920" s="4" t="str">
        <f>IFERROR(__xludf.DUMMYFUNCTION("""COMPUTED_VALUE"""),"INSPEKSI SUTM - T2_Images/13a80938.FOTO.130723.jpg")</f>
        <v>INSPEKSI SUTM - T2_Images/13a80938.FOTO.130723.jpg</v>
      </c>
      <c r="AD920" s="4"/>
      <c r="AE920" s="4"/>
      <c r="AF920" s="4" t="str">
        <f>IFERROR(__xludf.DUMMYFUNCTION("""COMPUTED_VALUE"""),"BELUM")</f>
        <v>BELUM</v>
      </c>
      <c r="AG920" s="6">
        <f>IFERROR(__xludf.DUMMYFUNCTION("""COMPUTED_VALUE"""),46108.0)</f>
        <v>46108</v>
      </c>
      <c r="AH920" s="4"/>
      <c r="AI920" s="4"/>
    </row>
    <row r="921" ht="15.75" customHeight="1">
      <c r="A921" s="4" t="str">
        <f>IFERROR(__xludf.DUMMYFUNCTION("""COMPUTED_VALUE"""),"736d5cad")</f>
        <v>736d5cad</v>
      </c>
      <c r="B921" s="5">
        <f>IFERROR(__xludf.DUMMYFUNCTION("""COMPUTED_VALUE"""),46108.83876157407)</f>
        <v>46108.83876</v>
      </c>
      <c r="C921" s="4" t="str">
        <f>IFERROR(__xludf.DUMMYFUNCTION("""COMPUTED_VALUE"""),"-6.909721, 107.710061")</f>
        <v>-6.909721, 107.710061</v>
      </c>
      <c r="D921" s="4" t="str">
        <f>IFERROR(__xludf.DUMMYFUNCTION("""COMPUTED_VALUE"""),"Canra heri")</f>
        <v>Canra heri</v>
      </c>
      <c r="E921" s="4" t="str">
        <f>IFERROR(__xludf.DUMMYFUNCTION("""COMPUTED_VALUE"""),"BANDUNG")</f>
        <v>BANDUNG</v>
      </c>
      <c r="F921" s="4" t="str">
        <f>IFERROR(__xludf.DUMMYFUNCTION("""COMPUTED_VALUE"""),"UJUNGBERUNG")</f>
        <v>UJUNGBERUNG</v>
      </c>
      <c r="G921" s="4" t="str">
        <f>IFERROR(__xludf.DUMMYFUNCTION("""COMPUTED_VALUE"""),"UJUNGBERUNG")</f>
        <v>UJUNGBERUNG</v>
      </c>
      <c r="H921" s="4" t="str">
        <f>IFERROR(__xludf.DUMMYFUNCTION("""COMPUTED_VALUE"""),"UTWU")</f>
        <v>UTWU</v>
      </c>
      <c r="I921" s="4" t="str">
        <f>IFERROR(__xludf.DUMMYFUNCTION("""COMPUTED_VALUE"""),"LBS CPR - LBS JMR")</f>
        <v>LBS CPR - LBS JMR</v>
      </c>
      <c r="J921" s="4"/>
      <c r="K921" s="4" t="str">
        <f>IFERROR(__xludf.DUMMYFUNCTION("""COMPUTED_VALUE"""),"053")</f>
        <v>053</v>
      </c>
      <c r="L921" s="4" t="str">
        <f>IFERROR(__xludf.DUMMYFUNCTION("""COMPUTED_VALUE"""),"TM - 4B/H (Afspan)")</f>
        <v>TM - 4B/H (Afspan)</v>
      </c>
      <c r="M921" s="4" t="str">
        <f>IFERROR(__xludf.DUMMYFUNCTION("""COMPUTED_VALUE"""),"Tidak Ada")</f>
        <v>Tidak Ada</v>
      </c>
      <c r="N921" s="4"/>
      <c r="O921" s="4" t="str">
        <f>IFERROR(__xludf.DUMMYFUNCTION("""COMPUTED_VALUE"""),"PEMBANDING SEJENIS")</f>
        <v>PEMBANDING SEJENIS</v>
      </c>
      <c r="P921" s="4" t="str">
        <f>IFERROR(__xludf.DUMMYFUNCTION("""COMPUTED_VALUE"""),"KONEKTOR/JUMPER")</f>
        <v>KONEKTOR/JUMPER</v>
      </c>
      <c r="Q921" s="4">
        <f>IFERROR(__xludf.DUMMYFUNCTION("""COMPUTED_VALUE"""),24.0)</f>
        <v>24</v>
      </c>
      <c r="R921" s="4">
        <f>IFERROR(__xludf.DUMMYFUNCTION("""COMPUTED_VALUE"""),24.0)</f>
        <v>24</v>
      </c>
      <c r="S921" s="4">
        <f>IFERROR(__xludf.DUMMYFUNCTION("""COMPUTED_VALUE"""),25.0)</f>
        <v>25</v>
      </c>
      <c r="T921" s="4"/>
      <c r="U921" s="4" t="str">
        <f>IFERROR(__xludf.DUMMYFUNCTION("""COMPUTED_VALUE"""),"BAIK")</f>
        <v>BAIK</v>
      </c>
      <c r="V921" s="4" t="str">
        <f>IFERROR(__xludf.DUMMYFUNCTION("""COMPUTED_VALUE"""),"Tidak Ada")</f>
        <v>Tidak Ada</v>
      </c>
      <c r="W921" s="4"/>
      <c r="X921" s="4"/>
      <c r="Y921" s="4"/>
      <c r="Z921" s="4"/>
      <c r="AA921" s="4"/>
      <c r="AB921" s="4"/>
      <c r="AC921" s="4" t="str">
        <f>IFERROR(__xludf.DUMMYFUNCTION("""COMPUTED_VALUE"""),"INSPEKSI SUTM - T2_Images/736d5cad.FOTO.130832.jpg")</f>
        <v>INSPEKSI SUTM - T2_Images/736d5cad.FOTO.130832.jpg</v>
      </c>
      <c r="AD921" s="4"/>
      <c r="AE921" s="4"/>
      <c r="AF921" s="4" t="str">
        <f>IFERROR(__xludf.DUMMYFUNCTION("""COMPUTED_VALUE"""),"BELUM")</f>
        <v>BELUM</v>
      </c>
      <c r="AG921" s="6">
        <f>IFERROR(__xludf.DUMMYFUNCTION("""COMPUTED_VALUE"""),46108.0)</f>
        <v>46108</v>
      </c>
      <c r="AH921" s="4"/>
      <c r="AI921" s="4"/>
    </row>
    <row r="922" ht="15.75" customHeight="1">
      <c r="A922" s="4" t="str">
        <f>IFERROR(__xludf.DUMMYFUNCTION("""COMPUTED_VALUE"""),"fce2cf75")</f>
        <v>fce2cf75</v>
      </c>
      <c r="B922" s="5">
        <f>IFERROR(__xludf.DUMMYFUNCTION("""COMPUTED_VALUE"""),46108.8396875)</f>
        <v>46108.83969</v>
      </c>
      <c r="C922" s="4" t="str">
        <f>IFERROR(__xludf.DUMMYFUNCTION("""COMPUTED_VALUE"""),"-6.909764, 107.711439")</f>
        <v>-6.909764, 107.711439</v>
      </c>
      <c r="D922" s="4" t="str">
        <f>IFERROR(__xludf.DUMMYFUNCTION("""COMPUTED_VALUE"""),"Canra heri")</f>
        <v>Canra heri</v>
      </c>
      <c r="E922" s="4" t="str">
        <f>IFERROR(__xludf.DUMMYFUNCTION("""COMPUTED_VALUE"""),"BANDUNG")</f>
        <v>BANDUNG</v>
      </c>
      <c r="F922" s="4" t="str">
        <f>IFERROR(__xludf.DUMMYFUNCTION("""COMPUTED_VALUE"""),"UJUNGBERUNG")</f>
        <v>UJUNGBERUNG</v>
      </c>
      <c r="G922" s="4" t="str">
        <f>IFERROR(__xludf.DUMMYFUNCTION("""COMPUTED_VALUE"""),"UJUNGBERUNG")</f>
        <v>UJUNGBERUNG</v>
      </c>
      <c r="H922" s="4" t="str">
        <f>IFERROR(__xludf.DUMMYFUNCTION("""COMPUTED_VALUE"""),"UTWU")</f>
        <v>UTWU</v>
      </c>
      <c r="I922" s="4" t="str">
        <f>IFERROR(__xludf.DUMMYFUNCTION("""COMPUTED_VALUE"""),"LBS CPR - LBS JMR")</f>
        <v>LBS CPR - LBS JMR</v>
      </c>
      <c r="J922" s="4"/>
      <c r="K922" s="4" t="str">
        <f>IFERROR(__xludf.DUMMYFUNCTION("""COMPUTED_VALUE"""),"056")</f>
        <v>056</v>
      </c>
      <c r="L922" s="4" t="str">
        <f>IFERROR(__xludf.DUMMYFUNCTION("""COMPUTED_VALUE"""),"TM - 16B/H (REC/SSO/LBS)")</f>
        <v>TM - 16B/H (REC/SSO/LBS)</v>
      </c>
      <c r="M922" s="4" t="str">
        <f>IFERROR(__xludf.DUMMYFUNCTION("""COMPUTED_VALUE"""),"LBS")</f>
        <v>LBS</v>
      </c>
      <c r="N922" s="4" t="str">
        <f>IFERROR(__xludf.DUMMYFUNCTION("""COMPUTED_VALUE"""),"Jmr")</f>
        <v>Jmr</v>
      </c>
      <c r="O922" s="4" t="str">
        <f>IFERROR(__xludf.DUMMYFUNCTION("""COMPUTED_VALUE"""),"PEMBANDING SEJENIS")</f>
        <v>PEMBANDING SEJENIS</v>
      </c>
      <c r="P922" s="4" t="str">
        <f>IFERROR(__xludf.DUMMYFUNCTION("""COMPUTED_VALUE"""),"KONEKTOR/JUMPER")</f>
        <v>KONEKTOR/JUMPER</v>
      </c>
      <c r="Q922" s="4">
        <f>IFERROR(__xludf.DUMMYFUNCTION("""COMPUTED_VALUE"""),24.0)</f>
        <v>24</v>
      </c>
      <c r="R922" s="4">
        <f>IFERROR(__xludf.DUMMYFUNCTION("""COMPUTED_VALUE"""),24.0)</f>
        <v>24</v>
      </c>
      <c r="S922" s="4">
        <f>IFERROR(__xludf.DUMMYFUNCTION("""COMPUTED_VALUE"""),24.0)</f>
        <v>24</v>
      </c>
      <c r="T922" s="4"/>
      <c r="U922" s="4" t="str">
        <f>IFERROR(__xludf.DUMMYFUNCTION("""COMPUTED_VALUE"""),"BAIK")</f>
        <v>BAIK</v>
      </c>
      <c r="V922" s="4" t="str">
        <f>IFERROR(__xludf.DUMMYFUNCTION("""COMPUTED_VALUE"""),"Tidak Ada")</f>
        <v>Tidak Ada</v>
      </c>
      <c r="W922" s="4"/>
      <c r="X922" s="4"/>
      <c r="Y922" s="4"/>
      <c r="Z922" s="4"/>
      <c r="AA922" s="4"/>
      <c r="AB922" s="4"/>
      <c r="AC922" s="4" t="str">
        <f>IFERROR(__xludf.DUMMYFUNCTION("""COMPUTED_VALUE"""),"INSPEKSI SUTM - T2_Images/fce2cf75.FOTO.131004.jpg")</f>
        <v>INSPEKSI SUTM - T2_Images/fce2cf75.FOTO.131004.jpg</v>
      </c>
      <c r="AD922" s="4"/>
      <c r="AE922" s="4"/>
      <c r="AF922" s="4" t="str">
        <f>IFERROR(__xludf.DUMMYFUNCTION("""COMPUTED_VALUE"""),"BELUM")</f>
        <v>BELUM</v>
      </c>
      <c r="AG922" s="6">
        <f>IFERROR(__xludf.DUMMYFUNCTION("""COMPUTED_VALUE"""),46108.0)</f>
        <v>46108</v>
      </c>
      <c r="AH922" s="4"/>
      <c r="AI922" s="4"/>
    </row>
    <row r="923" ht="15.75" customHeight="1">
      <c r="A923" s="4" t="str">
        <f>IFERROR(__xludf.DUMMYFUNCTION("""COMPUTED_VALUE"""),"9e65f0dd")</f>
        <v>9e65f0dd</v>
      </c>
      <c r="B923" s="5">
        <f>IFERROR(__xludf.DUMMYFUNCTION("""COMPUTED_VALUE"""),46108.945497685185)</f>
        <v>46108.9455</v>
      </c>
      <c r="C923" s="4" t="str">
        <f>IFERROR(__xludf.DUMMYFUNCTION("""COMPUTED_VALUE"""),"-6.940033, 107.666668")</f>
        <v>-6.940033, 107.666668</v>
      </c>
      <c r="D923" s="4" t="str">
        <f>IFERROR(__xludf.DUMMYFUNCTION("""COMPUTED_VALUE"""),"Jihan kiki")</f>
        <v>Jihan kiki</v>
      </c>
      <c r="E923" s="4" t="str">
        <f>IFERROR(__xludf.DUMMYFUNCTION("""COMPUTED_VALUE"""),"BANDUNG")</f>
        <v>BANDUNG</v>
      </c>
      <c r="F923" s="4" t="str">
        <f>IFERROR(__xludf.DUMMYFUNCTION("""COMPUTED_VALUE"""),"CIJAWURA")</f>
        <v>CIJAWURA</v>
      </c>
      <c r="G923" s="4" t="str">
        <f>IFERROR(__xludf.DUMMYFUNCTION("""COMPUTED_VALUE"""),"GIS KIARACONDONG")</f>
        <v>GIS KIARACONDONG</v>
      </c>
      <c r="H923" s="4" t="str">
        <f>IFERROR(__xludf.DUMMYFUNCTION("""COMPUTED_VALUE"""),"CWRA")</f>
        <v>CWRA</v>
      </c>
      <c r="I923" s="4" t="str">
        <f>IFERROR(__xludf.DUMMYFUNCTION("""COMPUTED_VALUE"""),"GGM - LBS MSHA")</f>
        <v>GGM - LBS MSHA</v>
      </c>
      <c r="J923" s="4" t="str">
        <f>IFERROR(__xludf.DUMMYFUNCTION("""COMPUTED_VALUE"""),"ZONA 2")</f>
        <v>ZONA 2</v>
      </c>
      <c r="K923" s="4" t="str">
        <f>IFERROR(__xludf.DUMMYFUNCTION("""COMPUTED_VALUE"""),"051")</f>
        <v>051</v>
      </c>
      <c r="L923" s="4" t="str">
        <f>IFERROR(__xludf.DUMMYFUNCTION("""COMPUTED_VALUE"""),"TM - 11B/H (Kabel Naik)")</f>
        <v>TM - 11B/H (Kabel Naik)</v>
      </c>
      <c r="M923" s="4" t="str">
        <f>IFERROR(__xludf.DUMMYFUNCTION("""COMPUTED_VALUE"""),"Tidak Ada")</f>
        <v>Tidak Ada</v>
      </c>
      <c r="N923" s="4"/>
      <c r="O923" s="4" t="str">
        <f>IFERROR(__xludf.DUMMYFUNCTION("""COMPUTED_VALUE"""),"PEMBANDING SEJENIS")</f>
        <v>PEMBANDING SEJENIS</v>
      </c>
      <c r="P923" s="4" t="str">
        <f>IFERROR(__xludf.DUMMYFUNCTION("""COMPUTED_VALUE"""),"TERMINASI")</f>
        <v>TERMINASI</v>
      </c>
      <c r="Q923" s="4">
        <f>IFERROR(__xludf.DUMMYFUNCTION("""COMPUTED_VALUE"""),22.0)</f>
        <v>22</v>
      </c>
      <c r="R923" s="4">
        <f>IFERROR(__xludf.DUMMYFUNCTION("""COMPUTED_VALUE"""),23.0)</f>
        <v>23</v>
      </c>
      <c r="S923" s="4">
        <f>IFERROR(__xludf.DUMMYFUNCTION("""COMPUTED_VALUE"""),20.0)</f>
        <v>20</v>
      </c>
      <c r="T923" s="4"/>
      <c r="U923" s="4" t="str">
        <f>IFERROR(__xludf.DUMMYFUNCTION("""COMPUTED_VALUE"""),"CUKUP")</f>
        <v>CUKUP</v>
      </c>
      <c r="V923" s="4" t="str">
        <f>IFERROR(__xludf.DUMMYFUNCTION("""COMPUTED_VALUE"""),"Tidak Ada")</f>
        <v>Tidak Ada</v>
      </c>
      <c r="W923" s="4"/>
      <c r="X923" s="4"/>
      <c r="Y923" s="4"/>
      <c r="Z923" s="4"/>
      <c r="AA923" s="4"/>
      <c r="AB923" s="4"/>
      <c r="AC923" s="4" t="str">
        <f>IFERROR(__xludf.DUMMYFUNCTION("""COMPUTED_VALUE"""),"INSPEKSI SUTM - T2_Images/9e65f0dd.FOTO.154212.jpg")</f>
        <v>INSPEKSI SUTM - T2_Images/9e65f0dd.FOTO.154212.jpg</v>
      </c>
      <c r="AD923" s="4"/>
      <c r="AE923" s="4"/>
      <c r="AF923" s="4" t="str">
        <f>IFERROR(__xludf.DUMMYFUNCTION("""COMPUTED_VALUE"""),"BELUM")</f>
        <v>BELUM</v>
      </c>
      <c r="AG923" s="6">
        <f>IFERROR(__xludf.DUMMYFUNCTION("""COMPUTED_VALUE"""),46108.0)</f>
        <v>46108</v>
      </c>
      <c r="AH923" s="4"/>
      <c r="AI923" s="4"/>
    </row>
    <row r="924" ht="15.75" customHeight="1">
      <c r="A924" s="4" t="str">
        <f>IFERROR(__xludf.DUMMYFUNCTION("""COMPUTED_VALUE"""),"6b267d8c")</f>
        <v>6b267d8c</v>
      </c>
      <c r="B924" s="5">
        <f>IFERROR(__xludf.DUMMYFUNCTION("""COMPUTED_VALUE"""),46108.946863425925)</f>
        <v>46108.94686</v>
      </c>
      <c r="C924" s="4" t="str">
        <f>IFERROR(__xludf.DUMMYFUNCTION("""COMPUTED_VALUE"""),"-6.941705, 107.666778")</f>
        <v>-6.941705, 107.666778</v>
      </c>
      <c r="D924" s="4" t="str">
        <f>IFERROR(__xludf.DUMMYFUNCTION("""COMPUTED_VALUE"""),"Jihan kiki")</f>
        <v>Jihan kiki</v>
      </c>
      <c r="E924" s="4" t="str">
        <f>IFERROR(__xludf.DUMMYFUNCTION("""COMPUTED_VALUE"""),"BANDUNG")</f>
        <v>BANDUNG</v>
      </c>
      <c r="F924" s="4" t="str">
        <f>IFERROR(__xludf.DUMMYFUNCTION("""COMPUTED_VALUE"""),"CIJAWURA")</f>
        <v>CIJAWURA</v>
      </c>
      <c r="G924" s="4" t="str">
        <f>IFERROR(__xludf.DUMMYFUNCTION("""COMPUTED_VALUE"""),"GIS KIARACONDONG")</f>
        <v>GIS KIARACONDONG</v>
      </c>
      <c r="H924" s="4" t="str">
        <f>IFERROR(__xludf.DUMMYFUNCTION("""COMPUTED_VALUE"""),"CWRA")</f>
        <v>CWRA</v>
      </c>
      <c r="I924" s="4" t="str">
        <f>IFERROR(__xludf.DUMMYFUNCTION("""COMPUTED_VALUE"""),"GGM - LBS MSHA")</f>
        <v>GGM - LBS MSHA</v>
      </c>
      <c r="J924" s="4" t="str">
        <f>IFERROR(__xludf.DUMMYFUNCTION("""COMPUTED_VALUE"""),"ZONA 2")</f>
        <v>ZONA 2</v>
      </c>
      <c r="K924" s="4" t="str">
        <f>IFERROR(__xludf.DUMMYFUNCTION("""COMPUTED_VALUE"""),"057")</f>
        <v>057</v>
      </c>
      <c r="L924" s="4" t="str">
        <f>IFERROR(__xludf.DUMMYFUNCTION("""COMPUTED_VALUE"""),"TM - 7B/H (Afspan 90 Derajat)")</f>
        <v>TM - 7B/H (Afspan 90 Derajat)</v>
      </c>
      <c r="M924" s="4" t="str">
        <f>IFERROR(__xludf.DUMMYFUNCTION("""COMPUTED_VALUE"""),"Tidak Ada")</f>
        <v>Tidak Ada</v>
      </c>
      <c r="N924" s="4"/>
      <c r="O924" s="4" t="str">
        <f>IFERROR(__xludf.DUMMYFUNCTION("""COMPUTED_VALUE"""),"PEMBANDING SEJENIS")</f>
        <v>PEMBANDING SEJENIS</v>
      </c>
      <c r="P924" s="4" t="str">
        <f>IFERROR(__xludf.DUMMYFUNCTION("""COMPUTED_VALUE"""),"KONEKTOR/JUMPER")</f>
        <v>KONEKTOR/JUMPER</v>
      </c>
      <c r="Q924" s="4">
        <f>IFERROR(__xludf.DUMMYFUNCTION("""COMPUTED_VALUE"""),22.0)</f>
        <v>22</v>
      </c>
      <c r="R924" s="4">
        <f>IFERROR(__xludf.DUMMYFUNCTION("""COMPUTED_VALUE"""),22.0)</f>
        <v>22</v>
      </c>
      <c r="S924" s="4">
        <f>IFERROR(__xludf.DUMMYFUNCTION("""COMPUTED_VALUE"""),22.0)</f>
        <v>22</v>
      </c>
      <c r="T924" s="4"/>
      <c r="U924" s="4" t="str">
        <f>IFERROR(__xludf.DUMMYFUNCTION("""COMPUTED_VALUE"""),"BAIK")</f>
        <v>BAIK</v>
      </c>
      <c r="V924" s="4" t="str">
        <f>IFERROR(__xludf.DUMMYFUNCTION("""COMPUTED_VALUE"""),"Tidak Ada")</f>
        <v>Tidak Ada</v>
      </c>
      <c r="W924" s="4"/>
      <c r="X924" s="4"/>
      <c r="Y924" s="4"/>
      <c r="Z924" s="4"/>
      <c r="AA924" s="4"/>
      <c r="AB924" s="4"/>
      <c r="AC924" s="4" t="str">
        <f>IFERROR(__xludf.DUMMYFUNCTION("""COMPUTED_VALUE"""),"INSPEKSI SUTM - T2_Images/6b267d8c.FOTO.154712.jpg")</f>
        <v>INSPEKSI SUTM - T2_Images/6b267d8c.FOTO.154712.jpg</v>
      </c>
      <c r="AD924" s="4"/>
      <c r="AE924" s="4"/>
      <c r="AF924" s="4" t="str">
        <f>IFERROR(__xludf.DUMMYFUNCTION("""COMPUTED_VALUE"""),"BELUM")</f>
        <v>BELUM</v>
      </c>
      <c r="AG924" s="6">
        <f>IFERROR(__xludf.DUMMYFUNCTION("""COMPUTED_VALUE"""),46108.0)</f>
        <v>46108</v>
      </c>
      <c r="AH924" s="4"/>
      <c r="AI924" s="4"/>
    </row>
    <row r="925" ht="15.75" customHeight="1">
      <c r="A925" s="4" t="str">
        <f>IFERROR(__xludf.DUMMYFUNCTION("""COMPUTED_VALUE"""),"4d61d9ec")</f>
        <v>4d61d9ec</v>
      </c>
      <c r="B925" s="5">
        <f>IFERROR(__xludf.DUMMYFUNCTION("""COMPUTED_VALUE"""),46108.94740740741)</f>
        <v>46108.94741</v>
      </c>
      <c r="C925" s="4" t="str">
        <f>IFERROR(__xludf.DUMMYFUNCTION("""COMPUTED_VALUE"""),"-6.941842, 107.665907")</f>
        <v>-6.941842, 107.665907</v>
      </c>
      <c r="D925" s="4" t="str">
        <f>IFERROR(__xludf.DUMMYFUNCTION("""COMPUTED_VALUE"""),"Jihan kiki")</f>
        <v>Jihan kiki</v>
      </c>
      <c r="E925" s="4" t="str">
        <f>IFERROR(__xludf.DUMMYFUNCTION("""COMPUTED_VALUE"""),"BANDUNG")</f>
        <v>BANDUNG</v>
      </c>
      <c r="F925" s="4" t="str">
        <f>IFERROR(__xludf.DUMMYFUNCTION("""COMPUTED_VALUE"""),"CIJAWURA")</f>
        <v>CIJAWURA</v>
      </c>
      <c r="G925" s="4" t="str">
        <f>IFERROR(__xludf.DUMMYFUNCTION("""COMPUTED_VALUE"""),"GIS KIARACONDONG")</f>
        <v>GIS KIARACONDONG</v>
      </c>
      <c r="H925" s="4" t="str">
        <f>IFERROR(__xludf.DUMMYFUNCTION("""COMPUTED_VALUE"""),"CWRA")</f>
        <v>CWRA</v>
      </c>
      <c r="I925" s="4" t="str">
        <f>IFERROR(__xludf.DUMMYFUNCTION("""COMPUTED_VALUE"""),"GGM - LBS MSHA")</f>
        <v>GGM - LBS MSHA</v>
      </c>
      <c r="J925" s="4" t="str">
        <f>IFERROR(__xludf.DUMMYFUNCTION("""COMPUTED_VALUE"""),"ZONA 2")</f>
        <v>ZONA 2</v>
      </c>
      <c r="K925" s="4" t="str">
        <f>IFERROR(__xludf.DUMMYFUNCTION("""COMPUTED_VALUE"""),"060")</f>
        <v>060</v>
      </c>
      <c r="L925" s="4" t="str">
        <f>IFERROR(__xludf.DUMMYFUNCTION("""COMPUTED_VALUE"""),"TM - 7B/H (Afspan 90 Derajat)")</f>
        <v>TM - 7B/H (Afspan 90 Derajat)</v>
      </c>
      <c r="M925" s="4" t="str">
        <f>IFERROR(__xludf.DUMMYFUNCTION("""COMPUTED_VALUE"""),"Tidak Ada")</f>
        <v>Tidak Ada</v>
      </c>
      <c r="N925" s="4"/>
      <c r="O925" s="4" t="str">
        <f>IFERROR(__xludf.DUMMYFUNCTION("""COMPUTED_VALUE"""),"PEMBANDING SEJENIS")</f>
        <v>PEMBANDING SEJENIS</v>
      </c>
      <c r="P925" s="4" t="str">
        <f>IFERROR(__xludf.DUMMYFUNCTION("""COMPUTED_VALUE"""),"KONEKTOR/JUMPER")</f>
        <v>KONEKTOR/JUMPER</v>
      </c>
      <c r="Q925" s="4">
        <f>IFERROR(__xludf.DUMMYFUNCTION("""COMPUTED_VALUE"""),22.0)</f>
        <v>22</v>
      </c>
      <c r="R925" s="4">
        <f>IFERROR(__xludf.DUMMYFUNCTION("""COMPUTED_VALUE"""),22.0)</f>
        <v>22</v>
      </c>
      <c r="S925" s="4">
        <f>IFERROR(__xludf.DUMMYFUNCTION("""COMPUTED_VALUE"""),22.0)</f>
        <v>22</v>
      </c>
      <c r="T925" s="4"/>
      <c r="U925" s="4" t="str">
        <f>IFERROR(__xludf.DUMMYFUNCTION("""COMPUTED_VALUE"""),"BAIK")</f>
        <v>BAIK</v>
      </c>
      <c r="V925" s="4" t="str">
        <f>IFERROR(__xludf.DUMMYFUNCTION("""COMPUTED_VALUE"""),"Tidak Ada")</f>
        <v>Tidak Ada</v>
      </c>
      <c r="W925" s="4"/>
      <c r="X925" s="4"/>
      <c r="Y925" s="4"/>
      <c r="Z925" s="4"/>
      <c r="AA925" s="4"/>
      <c r="AB925" s="4"/>
      <c r="AC925" s="4" t="str">
        <f>IFERROR(__xludf.DUMMYFUNCTION("""COMPUTED_VALUE"""),"INSPEKSI SUTM - T2_Images/4d61d9ec.FOTO.154741.jpg")</f>
        <v>INSPEKSI SUTM - T2_Images/4d61d9ec.FOTO.154741.jpg</v>
      </c>
      <c r="AD925" s="4"/>
      <c r="AE925" s="4"/>
      <c r="AF925" s="4" t="str">
        <f>IFERROR(__xludf.DUMMYFUNCTION("""COMPUTED_VALUE"""),"BELUM")</f>
        <v>BELUM</v>
      </c>
      <c r="AG925" s="6">
        <f>IFERROR(__xludf.DUMMYFUNCTION("""COMPUTED_VALUE"""),46108.0)</f>
        <v>46108</v>
      </c>
      <c r="AH925" s="4"/>
      <c r="AI925" s="4"/>
    </row>
    <row r="926" ht="15.75" customHeight="1">
      <c r="A926" s="4" t="str">
        <f>IFERROR(__xludf.DUMMYFUNCTION("""COMPUTED_VALUE"""),"cd86517d")</f>
        <v>cd86517d</v>
      </c>
      <c r="B926" s="5">
        <f>IFERROR(__xludf.DUMMYFUNCTION("""COMPUTED_VALUE"""),46108.94802083333)</f>
        <v>46108.94802</v>
      </c>
      <c r="C926" s="4" t="str">
        <f>IFERROR(__xludf.DUMMYFUNCTION("""COMPUTED_VALUE"""),"-6.942719, 107.665737")</f>
        <v>-6.942719, 107.665737</v>
      </c>
      <c r="D926" s="4" t="str">
        <f>IFERROR(__xludf.DUMMYFUNCTION("""COMPUTED_VALUE"""),"Jihan kiki")</f>
        <v>Jihan kiki</v>
      </c>
      <c r="E926" s="4" t="str">
        <f>IFERROR(__xludf.DUMMYFUNCTION("""COMPUTED_VALUE"""),"BANDUNG")</f>
        <v>BANDUNG</v>
      </c>
      <c r="F926" s="4" t="str">
        <f>IFERROR(__xludf.DUMMYFUNCTION("""COMPUTED_VALUE"""),"CIJAWURA")</f>
        <v>CIJAWURA</v>
      </c>
      <c r="G926" s="4" t="str">
        <f>IFERROR(__xludf.DUMMYFUNCTION("""COMPUTED_VALUE"""),"GIS KIARACONDONG")</f>
        <v>GIS KIARACONDONG</v>
      </c>
      <c r="H926" s="4" t="str">
        <f>IFERROR(__xludf.DUMMYFUNCTION("""COMPUTED_VALUE"""),"CWRA")</f>
        <v>CWRA</v>
      </c>
      <c r="I926" s="4" t="str">
        <f>IFERROR(__xludf.DUMMYFUNCTION("""COMPUTED_VALUE"""),"GGM - LBS MSHA")</f>
        <v>GGM - LBS MSHA</v>
      </c>
      <c r="J926" s="4" t="str">
        <f>IFERROR(__xludf.DUMMYFUNCTION("""COMPUTED_VALUE"""),"ZONA 2")</f>
        <v>ZONA 2</v>
      </c>
      <c r="K926" s="4" t="str">
        <f>IFERROR(__xludf.DUMMYFUNCTION("""COMPUTED_VALUE"""),"062")</f>
        <v>062</v>
      </c>
      <c r="L926" s="4" t="str">
        <f>IFERROR(__xludf.DUMMYFUNCTION("""COMPUTED_VALUE"""),"TM - 11B/H (Kabel Naik)")</f>
        <v>TM - 11B/H (Kabel Naik)</v>
      </c>
      <c r="M926" s="4" t="str">
        <f>IFERROR(__xludf.DUMMYFUNCTION("""COMPUTED_VALUE"""),"Tidak Ada")</f>
        <v>Tidak Ada</v>
      </c>
      <c r="N926" s="4"/>
      <c r="O926" s="4" t="str">
        <f>IFERROR(__xludf.DUMMYFUNCTION("""COMPUTED_VALUE"""),"PEMBANDING SEJENIS")</f>
        <v>PEMBANDING SEJENIS</v>
      </c>
      <c r="P926" s="4" t="str">
        <f>IFERROR(__xludf.DUMMYFUNCTION("""COMPUTED_VALUE"""),"KONEKTOR/JUMPER")</f>
        <v>KONEKTOR/JUMPER</v>
      </c>
      <c r="Q926" s="4">
        <f>IFERROR(__xludf.DUMMYFUNCTION("""COMPUTED_VALUE"""),21.0)</f>
        <v>21</v>
      </c>
      <c r="R926" s="4">
        <f>IFERROR(__xludf.DUMMYFUNCTION("""COMPUTED_VALUE"""),20.0)</f>
        <v>20</v>
      </c>
      <c r="S926" s="4">
        <f>IFERROR(__xludf.DUMMYFUNCTION("""COMPUTED_VALUE"""),22.0)</f>
        <v>22</v>
      </c>
      <c r="T926" s="4"/>
      <c r="U926" s="4" t="str">
        <f>IFERROR(__xludf.DUMMYFUNCTION("""COMPUTED_VALUE"""),"BAIK")</f>
        <v>BAIK</v>
      </c>
      <c r="V926" s="4" t="str">
        <f>IFERROR(__xludf.DUMMYFUNCTION("""COMPUTED_VALUE"""),"Tidak Ada")</f>
        <v>Tidak Ada</v>
      </c>
      <c r="W926" s="4"/>
      <c r="X926" s="4"/>
      <c r="Y926" s="4"/>
      <c r="Z926" s="4"/>
      <c r="AA926" s="4"/>
      <c r="AB926" s="4"/>
      <c r="AC926" s="4" t="str">
        <f>IFERROR(__xludf.DUMMYFUNCTION("""COMPUTED_VALUE"""),"INSPEKSI SUTM - T2_Images/cd86517d.FOTO.154745.jpg")</f>
        <v>INSPEKSI SUTM - T2_Images/cd86517d.FOTO.154745.jpg</v>
      </c>
      <c r="AD926" s="4"/>
      <c r="AE926" s="4"/>
      <c r="AF926" s="4" t="str">
        <f>IFERROR(__xludf.DUMMYFUNCTION("""COMPUTED_VALUE"""),"BELUM")</f>
        <v>BELUM</v>
      </c>
      <c r="AG926" s="6">
        <f>IFERROR(__xludf.DUMMYFUNCTION("""COMPUTED_VALUE"""),46108.0)</f>
        <v>46108</v>
      </c>
      <c r="AH926" s="4"/>
      <c r="AI926" s="4"/>
    </row>
    <row r="927" ht="15.75" customHeight="1">
      <c r="A927" s="4" t="str">
        <f>IFERROR(__xludf.DUMMYFUNCTION("""COMPUTED_VALUE"""),"3e97a64a")</f>
        <v>3e97a64a</v>
      </c>
      <c r="B927" s="5">
        <f>IFERROR(__xludf.DUMMYFUNCTION("""COMPUTED_VALUE"""),46108.94861111111)</f>
        <v>46108.94861</v>
      </c>
      <c r="C927" s="4" t="str">
        <f>IFERROR(__xludf.DUMMYFUNCTION("""COMPUTED_VALUE"""),"-6.942704, 107.665739")</f>
        <v>-6.942704, 107.665739</v>
      </c>
      <c r="D927" s="4" t="str">
        <f>IFERROR(__xludf.DUMMYFUNCTION("""COMPUTED_VALUE"""),"Jihan kiki")</f>
        <v>Jihan kiki</v>
      </c>
      <c r="E927" s="4" t="str">
        <f>IFERROR(__xludf.DUMMYFUNCTION("""COMPUTED_VALUE"""),"BANDUNG")</f>
        <v>BANDUNG</v>
      </c>
      <c r="F927" s="4" t="str">
        <f>IFERROR(__xludf.DUMMYFUNCTION("""COMPUTED_VALUE"""),"CIJAWURA")</f>
        <v>CIJAWURA</v>
      </c>
      <c r="G927" s="4" t="str">
        <f>IFERROR(__xludf.DUMMYFUNCTION("""COMPUTED_VALUE"""),"GIS KIARACONDONG")</f>
        <v>GIS KIARACONDONG</v>
      </c>
      <c r="H927" s="4" t="str">
        <f>IFERROR(__xludf.DUMMYFUNCTION("""COMPUTED_VALUE"""),"CWRA")</f>
        <v>CWRA</v>
      </c>
      <c r="I927" s="4" t="str">
        <f>IFERROR(__xludf.DUMMYFUNCTION("""COMPUTED_VALUE"""),"GGM - LBS MSHA")</f>
        <v>GGM - LBS MSHA</v>
      </c>
      <c r="J927" s="4" t="str">
        <f>IFERROR(__xludf.DUMMYFUNCTION("""COMPUTED_VALUE"""),"ZONA 2")</f>
        <v>ZONA 2</v>
      </c>
      <c r="K927" s="4" t="str">
        <f>IFERROR(__xludf.DUMMYFUNCTION("""COMPUTED_VALUE"""),"063")</f>
        <v>063</v>
      </c>
      <c r="L927" s="4" t="str">
        <f>IFERROR(__xludf.DUMMYFUNCTION("""COMPUTED_VALUE"""),"TM - 11B/H (Kabel Naik)")</f>
        <v>TM - 11B/H (Kabel Naik)</v>
      </c>
      <c r="M927" s="4" t="str">
        <f>IFERROR(__xludf.DUMMYFUNCTION("""COMPUTED_VALUE"""),"Tidak Ada")</f>
        <v>Tidak Ada</v>
      </c>
      <c r="N927" s="4"/>
      <c r="O927" s="4" t="str">
        <f>IFERROR(__xludf.DUMMYFUNCTION("""COMPUTED_VALUE"""),"PEMBANDING SEJENIS")</f>
        <v>PEMBANDING SEJENIS</v>
      </c>
      <c r="P927" s="4" t="str">
        <f>IFERROR(__xludf.DUMMYFUNCTION("""COMPUTED_VALUE"""),"KONEKTOR/JUMPER")</f>
        <v>KONEKTOR/JUMPER</v>
      </c>
      <c r="Q927" s="4">
        <f>IFERROR(__xludf.DUMMYFUNCTION("""COMPUTED_VALUE"""),21.0)</f>
        <v>21</v>
      </c>
      <c r="R927" s="4">
        <f>IFERROR(__xludf.DUMMYFUNCTION("""COMPUTED_VALUE"""),22.0)</f>
        <v>22</v>
      </c>
      <c r="S927" s="4">
        <f>IFERROR(__xludf.DUMMYFUNCTION("""COMPUTED_VALUE"""),21.0)</f>
        <v>21</v>
      </c>
      <c r="T927" s="4"/>
      <c r="U927" s="4" t="str">
        <f>IFERROR(__xludf.DUMMYFUNCTION("""COMPUTED_VALUE"""),"BAIK")</f>
        <v>BAIK</v>
      </c>
      <c r="V927" s="4" t="str">
        <f>IFERROR(__xludf.DUMMYFUNCTION("""COMPUTED_VALUE"""),"Tidak Ada")</f>
        <v>Tidak Ada</v>
      </c>
      <c r="W927" s="4"/>
      <c r="X927" s="4"/>
      <c r="Y927" s="4"/>
      <c r="Z927" s="4"/>
      <c r="AA927" s="4"/>
      <c r="AB927" s="4"/>
      <c r="AC927" s="4" t="str">
        <f>IFERROR(__xludf.DUMMYFUNCTION("""COMPUTED_VALUE"""),"INSPEKSI SUTM - T2_Images/3e97a64a.FOTO.154749.jpg")</f>
        <v>INSPEKSI SUTM - T2_Images/3e97a64a.FOTO.154749.jpg</v>
      </c>
      <c r="AD927" s="4"/>
      <c r="AE927" s="4"/>
      <c r="AF927" s="4" t="str">
        <f>IFERROR(__xludf.DUMMYFUNCTION("""COMPUTED_VALUE"""),"BELUM")</f>
        <v>BELUM</v>
      </c>
      <c r="AG927" s="6">
        <f>IFERROR(__xludf.DUMMYFUNCTION("""COMPUTED_VALUE"""),46108.0)</f>
        <v>46108</v>
      </c>
      <c r="AH927" s="4"/>
      <c r="AI927" s="4"/>
    </row>
    <row r="928" ht="15.75" customHeight="1">
      <c r="A928" s="4" t="str">
        <f>IFERROR(__xludf.DUMMYFUNCTION("""COMPUTED_VALUE"""),"46e0ac8f")</f>
        <v>46e0ac8f</v>
      </c>
      <c r="B928" s="5">
        <f>IFERROR(__xludf.DUMMYFUNCTION("""COMPUTED_VALUE"""),46108.94909722222)</f>
        <v>46108.9491</v>
      </c>
      <c r="C928" s="4" t="str">
        <f>IFERROR(__xludf.DUMMYFUNCTION("""COMPUTED_VALUE"""),"-6.943123, 107.665709")</f>
        <v>-6.943123, 107.665709</v>
      </c>
      <c r="D928" s="4" t="str">
        <f>IFERROR(__xludf.DUMMYFUNCTION("""COMPUTED_VALUE"""),"Jihan kiki")</f>
        <v>Jihan kiki</v>
      </c>
      <c r="E928" s="4" t="str">
        <f>IFERROR(__xludf.DUMMYFUNCTION("""COMPUTED_VALUE"""),"BANDUNG")</f>
        <v>BANDUNG</v>
      </c>
      <c r="F928" s="4" t="str">
        <f>IFERROR(__xludf.DUMMYFUNCTION("""COMPUTED_VALUE"""),"CIJAWURA")</f>
        <v>CIJAWURA</v>
      </c>
      <c r="G928" s="4" t="str">
        <f>IFERROR(__xludf.DUMMYFUNCTION("""COMPUTED_VALUE"""),"GIS KIARACONDONG")</f>
        <v>GIS KIARACONDONG</v>
      </c>
      <c r="H928" s="4" t="str">
        <f>IFERROR(__xludf.DUMMYFUNCTION("""COMPUTED_VALUE"""),"CWRA")</f>
        <v>CWRA</v>
      </c>
      <c r="I928" s="4" t="str">
        <f>IFERROR(__xludf.DUMMYFUNCTION("""COMPUTED_VALUE"""),"GGM - LBS MSHA")</f>
        <v>GGM - LBS MSHA</v>
      </c>
      <c r="J928" s="4" t="str">
        <f>IFERROR(__xludf.DUMMYFUNCTION("""COMPUTED_VALUE"""),"ZONA 2")</f>
        <v>ZONA 2</v>
      </c>
      <c r="K928" s="4" t="str">
        <f>IFERROR(__xludf.DUMMYFUNCTION("""COMPUTED_VALUE"""),"064")</f>
        <v>064</v>
      </c>
      <c r="L928" s="4" t="str">
        <f>IFERROR(__xludf.DUMMYFUNCTION("""COMPUTED_VALUE"""),"TM - 4B/H (Afspan)")</f>
        <v>TM - 4B/H (Afspan)</v>
      </c>
      <c r="M928" s="4" t="str">
        <f>IFERROR(__xludf.DUMMYFUNCTION("""COMPUTED_VALUE"""),"Tidak Ada")</f>
        <v>Tidak Ada</v>
      </c>
      <c r="N928" s="4"/>
      <c r="O928" s="4" t="str">
        <f>IFERROR(__xludf.DUMMYFUNCTION("""COMPUTED_VALUE"""),"PEMBANDING SEJENIS")</f>
        <v>PEMBANDING SEJENIS</v>
      </c>
      <c r="P928" s="4" t="str">
        <f>IFERROR(__xludf.DUMMYFUNCTION("""COMPUTED_VALUE"""),"KONEKTOR/JUMPER")</f>
        <v>KONEKTOR/JUMPER</v>
      </c>
      <c r="Q928" s="4">
        <f>IFERROR(__xludf.DUMMYFUNCTION("""COMPUTED_VALUE"""),21.0)</f>
        <v>21</v>
      </c>
      <c r="R928" s="4">
        <f>IFERROR(__xludf.DUMMYFUNCTION("""COMPUTED_VALUE"""),21.0)</f>
        <v>21</v>
      </c>
      <c r="S928" s="4">
        <f>IFERROR(__xludf.DUMMYFUNCTION("""COMPUTED_VALUE"""),22.0)</f>
        <v>22</v>
      </c>
      <c r="T928" s="4"/>
      <c r="U928" s="4" t="str">
        <f>IFERROR(__xludf.DUMMYFUNCTION("""COMPUTED_VALUE"""),"BAIK")</f>
        <v>BAIK</v>
      </c>
      <c r="V928" s="4" t="str">
        <f>IFERROR(__xludf.DUMMYFUNCTION("""COMPUTED_VALUE"""),"Tidak Ada")</f>
        <v>Tidak Ada</v>
      </c>
      <c r="W928" s="4"/>
      <c r="X928" s="4"/>
      <c r="Y928" s="4"/>
      <c r="Z928" s="4"/>
      <c r="AA928" s="4"/>
      <c r="AB928" s="4"/>
      <c r="AC928" s="4" t="str">
        <f>IFERROR(__xludf.DUMMYFUNCTION("""COMPUTED_VALUE"""),"INSPEKSI SUTM - T2_Images/46e0ac8f.FOTO.154806.jpg")</f>
        <v>INSPEKSI SUTM - T2_Images/46e0ac8f.FOTO.154806.jpg</v>
      </c>
      <c r="AD928" s="4"/>
      <c r="AE928" s="4"/>
      <c r="AF928" s="4" t="str">
        <f>IFERROR(__xludf.DUMMYFUNCTION("""COMPUTED_VALUE"""),"BELUM")</f>
        <v>BELUM</v>
      </c>
      <c r="AG928" s="6">
        <f>IFERROR(__xludf.DUMMYFUNCTION("""COMPUTED_VALUE"""),46108.0)</f>
        <v>46108</v>
      </c>
      <c r="AH928" s="4"/>
      <c r="AI928" s="4"/>
    </row>
    <row r="929" ht="15.75" customHeight="1">
      <c r="A929" s="4" t="str">
        <f>IFERROR(__xludf.DUMMYFUNCTION("""COMPUTED_VALUE"""),"8630b029")</f>
        <v>8630b029</v>
      </c>
      <c r="B929" s="5">
        <f>IFERROR(__xludf.DUMMYFUNCTION("""COMPUTED_VALUE"""),46108.94978009259)</f>
        <v>46108.94978</v>
      </c>
      <c r="C929" s="4" t="str">
        <f>IFERROR(__xludf.DUMMYFUNCTION("""COMPUTED_VALUE"""),"-6.947551, 107.665042")</f>
        <v>-6.947551, 107.665042</v>
      </c>
      <c r="D929" s="4" t="str">
        <f>IFERROR(__xludf.DUMMYFUNCTION("""COMPUTED_VALUE"""),"Jihan kiki")</f>
        <v>Jihan kiki</v>
      </c>
      <c r="E929" s="4" t="str">
        <f>IFERROR(__xludf.DUMMYFUNCTION("""COMPUTED_VALUE"""),"BANDUNG")</f>
        <v>BANDUNG</v>
      </c>
      <c r="F929" s="4" t="str">
        <f>IFERROR(__xludf.DUMMYFUNCTION("""COMPUTED_VALUE"""),"CIJAWURA")</f>
        <v>CIJAWURA</v>
      </c>
      <c r="G929" s="4" t="str">
        <f>IFERROR(__xludf.DUMMYFUNCTION("""COMPUTED_VALUE"""),"GIS KIARACONDONG")</f>
        <v>GIS KIARACONDONG</v>
      </c>
      <c r="H929" s="4" t="str">
        <f>IFERROR(__xludf.DUMMYFUNCTION("""COMPUTED_VALUE"""),"CWRA")</f>
        <v>CWRA</v>
      </c>
      <c r="I929" s="4" t="str">
        <f>IFERROR(__xludf.DUMMYFUNCTION("""COMPUTED_VALUE"""),"GGM - LBS MSHA")</f>
        <v>GGM - LBS MSHA</v>
      </c>
      <c r="J929" s="4" t="str">
        <f>IFERROR(__xludf.DUMMYFUNCTION("""COMPUTED_VALUE"""),"ZONA 2")</f>
        <v>ZONA 2</v>
      </c>
      <c r="K929" s="4" t="str">
        <f>IFERROR(__xludf.DUMMYFUNCTION("""COMPUTED_VALUE"""),"078")</f>
        <v>078</v>
      </c>
      <c r="L929" s="4" t="str">
        <f>IFERROR(__xludf.DUMMYFUNCTION("""COMPUTED_VALUE"""),"TM - 7B/H (Afspan 90 Derajat)")</f>
        <v>TM - 7B/H (Afspan 90 Derajat)</v>
      </c>
      <c r="M929" s="4" t="str">
        <f>IFERROR(__xludf.DUMMYFUNCTION("""COMPUTED_VALUE"""),"Tidak Ada")</f>
        <v>Tidak Ada</v>
      </c>
      <c r="N929" s="4"/>
      <c r="O929" s="4" t="str">
        <f>IFERROR(__xludf.DUMMYFUNCTION("""COMPUTED_VALUE"""),"PEMBANDING SEJENIS")</f>
        <v>PEMBANDING SEJENIS</v>
      </c>
      <c r="P929" s="4" t="str">
        <f>IFERROR(__xludf.DUMMYFUNCTION("""COMPUTED_VALUE"""),"KONEKTOR/JUMPER")</f>
        <v>KONEKTOR/JUMPER</v>
      </c>
      <c r="Q929" s="4">
        <f>IFERROR(__xludf.DUMMYFUNCTION("""COMPUTED_VALUE"""),22.0)</f>
        <v>22</v>
      </c>
      <c r="R929" s="4">
        <f>IFERROR(__xludf.DUMMYFUNCTION("""COMPUTED_VALUE"""),21.0)</f>
        <v>21</v>
      </c>
      <c r="S929" s="4">
        <f>IFERROR(__xludf.DUMMYFUNCTION("""COMPUTED_VALUE"""),21.0)</f>
        <v>21</v>
      </c>
      <c r="T929" s="4"/>
      <c r="U929" s="4" t="str">
        <f>IFERROR(__xludf.DUMMYFUNCTION("""COMPUTED_VALUE"""),"BAIK")</f>
        <v>BAIK</v>
      </c>
      <c r="V929" s="4" t="str">
        <f>IFERROR(__xludf.DUMMYFUNCTION("""COMPUTED_VALUE"""),"Tidak Ada")</f>
        <v>Tidak Ada</v>
      </c>
      <c r="W929" s="4"/>
      <c r="X929" s="4"/>
      <c r="Y929" s="4"/>
      <c r="Z929" s="4"/>
      <c r="AA929" s="4"/>
      <c r="AB929" s="4"/>
      <c r="AC929" s="4" t="str">
        <f>IFERROR(__xludf.DUMMYFUNCTION("""COMPUTED_VALUE"""),"INSPEKSI SUTM - T2_Images/8630b029.FOTO.154819.jpg")</f>
        <v>INSPEKSI SUTM - T2_Images/8630b029.FOTO.154819.jpg</v>
      </c>
      <c r="AD929" s="4"/>
      <c r="AE929" s="4"/>
      <c r="AF929" s="4" t="str">
        <f>IFERROR(__xludf.DUMMYFUNCTION("""COMPUTED_VALUE"""),"BELUM")</f>
        <v>BELUM</v>
      </c>
      <c r="AG929" s="6">
        <f>IFERROR(__xludf.DUMMYFUNCTION("""COMPUTED_VALUE"""),46108.0)</f>
        <v>46108</v>
      </c>
      <c r="AH929" s="4"/>
      <c r="AI929" s="4"/>
    </row>
    <row r="930" ht="15.75" customHeight="1">
      <c r="A930" s="4" t="str">
        <f>IFERROR(__xludf.DUMMYFUNCTION("""COMPUTED_VALUE"""),"45c36a1c")</f>
        <v>45c36a1c</v>
      </c>
      <c r="B930" s="5">
        <f>IFERROR(__xludf.DUMMYFUNCTION("""COMPUTED_VALUE"""),46108.950266203705)</f>
        <v>46108.95027</v>
      </c>
      <c r="C930" s="4" t="str">
        <f>IFERROR(__xludf.DUMMYFUNCTION("""COMPUTED_VALUE"""),"-6.947553, 107.664487")</f>
        <v>-6.947553, 107.664487</v>
      </c>
      <c r="D930" s="4" t="str">
        <f>IFERROR(__xludf.DUMMYFUNCTION("""COMPUTED_VALUE"""),"Jihan kiki")</f>
        <v>Jihan kiki</v>
      </c>
      <c r="E930" s="4" t="str">
        <f>IFERROR(__xludf.DUMMYFUNCTION("""COMPUTED_VALUE"""),"BANDUNG")</f>
        <v>BANDUNG</v>
      </c>
      <c r="F930" s="4" t="str">
        <f>IFERROR(__xludf.DUMMYFUNCTION("""COMPUTED_VALUE"""),"CIJAWURA")</f>
        <v>CIJAWURA</v>
      </c>
      <c r="G930" s="4" t="str">
        <f>IFERROR(__xludf.DUMMYFUNCTION("""COMPUTED_VALUE"""),"GIS KIARACONDONG")</f>
        <v>GIS KIARACONDONG</v>
      </c>
      <c r="H930" s="4" t="str">
        <f>IFERROR(__xludf.DUMMYFUNCTION("""COMPUTED_VALUE"""),"CWRA")</f>
        <v>CWRA</v>
      </c>
      <c r="I930" s="4" t="str">
        <f>IFERROR(__xludf.DUMMYFUNCTION("""COMPUTED_VALUE"""),"GGM - LBS MSHA")</f>
        <v>GGM - LBS MSHA</v>
      </c>
      <c r="J930" s="4" t="str">
        <f>IFERROR(__xludf.DUMMYFUNCTION("""COMPUTED_VALUE"""),"ZONA 2")</f>
        <v>ZONA 2</v>
      </c>
      <c r="K930" s="4" t="str">
        <f>IFERROR(__xludf.DUMMYFUNCTION("""COMPUTED_VALUE"""),"080")</f>
        <v>080</v>
      </c>
      <c r="L930" s="4" t="str">
        <f>IFERROR(__xludf.DUMMYFUNCTION("""COMPUTED_VALUE"""),"TM - 8B/H (Percabangan)")</f>
        <v>TM - 8B/H (Percabangan)</v>
      </c>
      <c r="M930" s="4" t="str">
        <f>IFERROR(__xludf.DUMMYFUNCTION("""COMPUTED_VALUE"""),"Tidak Ada")</f>
        <v>Tidak Ada</v>
      </c>
      <c r="N930" s="4"/>
      <c r="O930" s="4" t="str">
        <f>IFERROR(__xludf.DUMMYFUNCTION("""COMPUTED_VALUE"""),"PEMBANDING SEJENIS")</f>
        <v>PEMBANDING SEJENIS</v>
      </c>
      <c r="P930" s="4" t="str">
        <f>IFERROR(__xludf.DUMMYFUNCTION("""COMPUTED_VALUE"""),"KONEKTOR/JUMPER")</f>
        <v>KONEKTOR/JUMPER</v>
      </c>
      <c r="Q930" s="4">
        <f>IFERROR(__xludf.DUMMYFUNCTION("""COMPUTED_VALUE"""),22.0)</f>
        <v>22</v>
      </c>
      <c r="R930" s="4">
        <f>IFERROR(__xludf.DUMMYFUNCTION("""COMPUTED_VALUE"""),21.0)</f>
        <v>21</v>
      </c>
      <c r="S930" s="4">
        <f>IFERROR(__xludf.DUMMYFUNCTION("""COMPUTED_VALUE"""),21.0)</f>
        <v>21</v>
      </c>
      <c r="T930" s="4"/>
      <c r="U930" s="4" t="str">
        <f>IFERROR(__xludf.DUMMYFUNCTION("""COMPUTED_VALUE"""),"BAIK")</f>
        <v>BAIK</v>
      </c>
      <c r="V930" s="4" t="str">
        <f>IFERROR(__xludf.DUMMYFUNCTION("""COMPUTED_VALUE"""),"Tidak Ada")</f>
        <v>Tidak Ada</v>
      </c>
      <c r="W930" s="4"/>
      <c r="X930" s="4"/>
      <c r="Y930" s="4"/>
      <c r="Z930" s="4"/>
      <c r="AA930" s="4"/>
      <c r="AB930" s="4"/>
      <c r="AC930" s="4" t="str">
        <f>IFERROR(__xludf.DUMMYFUNCTION("""COMPUTED_VALUE"""),"INSPEKSI SUTM - T2_Images/45c36a1c.FOTO.154912.jpg")</f>
        <v>INSPEKSI SUTM - T2_Images/45c36a1c.FOTO.154912.jpg</v>
      </c>
      <c r="AD930" s="4"/>
      <c r="AE930" s="4"/>
      <c r="AF930" s="4" t="str">
        <f>IFERROR(__xludf.DUMMYFUNCTION("""COMPUTED_VALUE"""),"BELUM")</f>
        <v>BELUM</v>
      </c>
      <c r="AG930" s="6">
        <f>IFERROR(__xludf.DUMMYFUNCTION("""COMPUTED_VALUE"""),46108.0)</f>
        <v>46108</v>
      </c>
      <c r="AH930" s="4"/>
      <c r="AI930" s="4"/>
    </row>
    <row r="931" ht="15.75" customHeight="1">
      <c r="A931" s="4" t="str">
        <f>IFERROR(__xludf.DUMMYFUNCTION("""COMPUTED_VALUE"""),"b80c128d")</f>
        <v>b80c128d</v>
      </c>
      <c r="B931" s="5">
        <f>IFERROR(__xludf.DUMMYFUNCTION("""COMPUTED_VALUE"""),46108.950844907406)</f>
        <v>46108.95084</v>
      </c>
      <c r="C931" s="4" t="str">
        <f>IFERROR(__xludf.DUMMYFUNCTION("""COMPUTED_VALUE"""),"-6.950709, 107.664058")</f>
        <v>-6.950709, 107.664058</v>
      </c>
      <c r="D931" s="4" t="str">
        <f>IFERROR(__xludf.DUMMYFUNCTION("""COMPUTED_VALUE"""),"Jihan kiki")</f>
        <v>Jihan kiki</v>
      </c>
      <c r="E931" s="4" t="str">
        <f>IFERROR(__xludf.DUMMYFUNCTION("""COMPUTED_VALUE"""),"BANDUNG")</f>
        <v>BANDUNG</v>
      </c>
      <c r="F931" s="4" t="str">
        <f>IFERROR(__xludf.DUMMYFUNCTION("""COMPUTED_VALUE"""),"CIJAWURA")</f>
        <v>CIJAWURA</v>
      </c>
      <c r="G931" s="4" t="str">
        <f>IFERROR(__xludf.DUMMYFUNCTION("""COMPUTED_VALUE"""),"GIS KIARACONDONG")</f>
        <v>GIS KIARACONDONG</v>
      </c>
      <c r="H931" s="4" t="str">
        <f>IFERROR(__xludf.DUMMYFUNCTION("""COMPUTED_VALUE"""),"CWRA")</f>
        <v>CWRA</v>
      </c>
      <c r="I931" s="4" t="str">
        <f>IFERROR(__xludf.DUMMYFUNCTION("""COMPUTED_VALUE"""),"GGM - LBS MSHA")</f>
        <v>GGM - LBS MSHA</v>
      </c>
      <c r="J931" s="4" t="str">
        <f>IFERROR(__xludf.DUMMYFUNCTION("""COMPUTED_VALUE"""),"ZONA 2")</f>
        <v>ZONA 2</v>
      </c>
      <c r="K931" s="4" t="str">
        <f>IFERROR(__xludf.DUMMYFUNCTION("""COMPUTED_VALUE"""),"090")</f>
        <v>090</v>
      </c>
      <c r="L931" s="4" t="str">
        <f>IFERROR(__xludf.DUMMYFUNCTION("""COMPUTED_VALUE"""),"TM - 7B/H (Afspan 90 Derajat)")</f>
        <v>TM - 7B/H (Afspan 90 Derajat)</v>
      </c>
      <c r="M931" s="4" t="str">
        <f>IFERROR(__xludf.DUMMYFUNCTION("""COMPUTED_VALUE"""),"Tidak Ada")</f>
        <v>Tidak Ada</v>
      </c>
      <c r="N931" s="4"/>
      <c r="O931" s="4" t="str">
        <f>IFERROR(__xludf.DUMMYFUNCTION("""COMPUTED_VALUE"""),"PEMBANDING SEJENIS")</f>
        <v>PEMBANDING SEJENIS</v>
      </c>
      <c r="P931" s="4" t="str">
        <f>IFERROR(__xludf.DUMMYFUNCTION("""COMPUTED_VALUE"""),"KONEKTOR/JUMPER")</f>
        <v>KONEKTOR/JUMPER</v>
      </c>
      <c r="Q931" s="4">
        <f>IFERROR(__xludf.DUMMYFUNCTION("""COMPUTED_VALUE"""),19.0)</f>
        <v>19</v>
      </c>
      <c r="R931" s="4">
        <f>IFERROR(__xludf.DUMMYFUNCTION("""COMPUTED_VALUE"""),19.0)</f>
        <v>19</v>
      </c>
      <c r="S931" s="4">
        <f>IFERROR(__xludf.DUMMYFUNCTION("""COMPUTED_VALUE"""),19.0)</f>
        <v>19</v>
      </c>
      <c r="T931" s="4"/>
      <c r="U931" s="4" t="str">
        <f>IFERROR(__xludf.DUMMYFUNCTION("""COMPUTED_VALUE"""),"BAIK")</f>
        <v>BAIK</v>
      </c>
      <c r="V931" s="4" t="str">
        <f>IFERROR(__xludf.DUMMYFUNCTION("""COMPUTED_VALUE"""),"Tidak Ada")</f>
        <v>Tidak Ada</v>
      </c>
      <c r="W931" s="4"/>
      <c r="X931" s="4"/>
      <c r="Y931" s="4"/>
      <c r="Z931" s="4"/>
      <c r="AA931" s="4"/>
      <c r="AB931" s="4"/>
      <c r="AC931" s="4" t="str">
        <f>IFERROR(__xludf.DUMMYFUNCTION("""COMPUTED_VALUE"""),"INSPEKSI SUTM - T2_Images/b80c128d.FOTO.155005.jpg")</f>
        <v>INSPEKSI SUTM - T2_Images/b80c128d.FOTO.155005.jpg</v>
      </c>
      <c r="AD931" s="4"/>
      <c r="AE931" s="4"/>
      <c r="AF931" s="4" t="str">
        <f>IFERROR(__xludf.DUMMYFUNCTION("""COMPUTED_VALUE"""),"BELUM")</f>
        <v>BELUM</v>
      </c>
      <c r="AG931" s="6">
        <f>IFERROR(__xludf.DUMMYFUNCTION("""COMPUTED_VALUE"""),46108.0)</f>
        <v>46108</v>
      </c>
      <c r="AH931" s="4"/>
      <c r="AI931" s="4"/>
    </row>
    <row r="932" ht="15.75" customHeight="1">
      <c r="A932" s="4" t="str">
        <f>IFERROR(__xludf.DUMMYFUNCTION("""COMPUTED_VALUE"""),"2a837a9e")</f>
        <v>2a837a9e</v>
      </c>
      <c r="B932" s="5">
        <f>IFERROR(__xludf.DUMMYFUNCTION("""COMPUTED_VALUE"""),46108.95145833334)</f>
        <v>46108.95146</v>
      </c>
      <c r="C932" s="4" t="str">
        <f>IFERROR(__xludf.DUMMYFUNCTION("""COMPUTED_VALUE"""),"-6.950892, 107.665084")</f>
        <v>-6.950892, 107.665084</v>
      </c>
      <c r="D932" s="4" t="str">
        <f>IFERROR(__xludf.DUMMYFUNCTION("""COMPUTED_VALUE"""),"Jihan kiki")</f>
        <v>Jihan kiki</v>
      </c>
      <c r="E932" s="4" t="str">
        <f>IFERROR(__xludf.DUMMYFUNCTION("""COMPUTED_VALUE"""),"BANDUNG")</f>
        <v>BANDUNG</v>
      </c>
      <c r="F932" s="4" t="str">
        <f>IFERROR(__xludf.DUMMYFUNCTION("""COMPUTED_VALUE"""),"CIJAWURA")</f>
        <v>CIJAWURA</v>
      </c>
      <c r="G932" s="4" t="str">
        <f>IFERROR(__xludf.DUMMYFUNCTION("""COMPUTED_VALUE"""),"GIS KIARACONDONG")</f>
        <v>GIS KIARACONDONG</v>
      </c>
      <c r="H932" s="4" t="str">
        <f>IFERROR(__xludf.DUMMYFUNCTION("""COMPUTED_VALUE"""),"CWRA")</f>
        <v>CWRA</v>
      </c>
      <c r="I932" s="4" t="str">
        <f>IFERROR(__xludf.DUMMYFUNCTION("""COMPUTED_VALUE"""),"GGM - LBS MSHA")</f>
        <v>GGM - LBS MSHA</v>
      </c>
      <c r="J932" s="4" t="str">
        <f>IFERROR(__xludf.DUMMYFUNCTION("""COMPUTED_VALUE"""),"ZONA 2")</f>
        <v>ZONA 2</v>
      </c>
      <c r="K932" s="4" t="str">
        <f>IFERROR(__xludf.DUMMYFUNCTION("""COMPUTED_VALUE"""),"093")</f>
        <v>093</v>
      </c>
      <c r="L932" s="4" t="str">
        <f>IFERROR(__xludf.DUMMYFUNCTION("""COMPUTED_VALUE"""),"TM - 7B/H (Afspan 90 Derajat)")</f>
        <v>TM - 7B/H (Afspan 90 Derajat)</v>
      </c>
      <c r="M932" s="4" t="str">
        <f>IFERROR(__xludf.DUMMYFUNCTION("""COMPUTED_VALUE"""),"Tidak Ada")</f>
        <v>Tidak Ada</v>
      </c>
      <c r="N932" s="4"/>
      <c r="O932" s="4" t="str">
        <f>IFERROR(__xludf.DUMMYFUNCTION("""COMPUTED_VALUE"""),"PEMBANDING SEJENIS")</f>
        <v>PEMBANDING SEJENIS</v>
      </c>
      <c r="P932" s="4" t="str">
        <f>IFERROR(__xludf.DUMMYFUNCTION("""COMPUTED_VALUE"""),"KONEKTOR/JUMPER")</f>
        <v>KONEKTOR/JUMPER</v>
      </c>
      <c r="Q932" s="4">
        <f>IFERROR(__xludf.DUMMYFUNCTION("""COMPUTED_VALUE"""),19.0)</f>
        <v>19</v>
      </c>
      <c r="R932" s="4">
        <f>IFERROR(__xludf.DUMMYFUNCTION("""COMPUTED_VALUE"""),20.0)</f>
        <v>20</v>
      </c>
      <c r="S932" s="4">
        <f>IFERROR(__xludf.DUMMYFUNCTION("""COMPUTED_VALUE"""),19.0)</f>
        <v>19</v>
      </c>
      <c r="T932" s="4"/>
      <c r="U932" s="4" t="str">
        <f>IFERROR(__xludf.DUMMYFUNCTION("""COMPUTED_VALUE"""),"BAIK")</f>
        <v>BAIK</v>
      </c>
      <c r="V932" s="4" t="str">
        <f>IFERROR(__xludf.DUMMYFUNCTION("""COMPUTED_VALUE"""),"Tidak Ada")</f>
        <v>Tidak Ada</v>
      </c>
      <c r="W932" s="4"/>
      <c r="X932" s="4"/>
      <c r="Y932" s="4"/>
      <c r="Z932" s="4"/>
      <c r="AA932" s="4"/>
      <c r="AB932" s="4"/>
      <c r="AC932" s="4" t="str">
        <f>IFERROR(__xludf.DUMMYFUNCTION("""COMPUTED_VALUE"""),"INSPEKSI SUTM - T2_Images/2a837a9e.FOTO.155047.jpg")</f>
        <v>INSPEKSI SUTM - T2_Images/2a837a9e.FOTO.155047.jpg</v>
      </c>
      <c r="AD932" s="4"/>
      <c r="AE932" s="4"/>
      <c r="AF932" s="4" t="str">
        <f>IFERROR(__xludf.DUMMYFUNCTION("""COMPUTED_VALUE"""),"BELUM")</f>
        <v>BELUM</v>
      </c>
      <c r="AG932" s="6">
        <f>IFERROR(__xludf.DUMMYFUNCTION("""COMPUTED_VALUE"""),46108.0)</f>
        <v>46108</v>
      </c>
      <c r="AH932" s="4"/>
      <c r="AI932" s="4"/>
    </row>
    <row r="933" ht="15.75" customHeight="1">
      <c r="A933" s="4" t="str">
        <f>IFERROR(__xludf.DUMMYFUNCTION("""COMPUTED_VALUE"""),"5d21a5a9")</f>
        <v>5d21a5a9</v>
      </c>
      <c r="B933" s="5">
        <f>IFERROR(__xludf.DUMMYFUNCTION("""COMPUTED_VALUE"""),46108.951944444445)</f>
        <v>46108.95194</v>
      </c>
      <c r="C933" s="4" t="str">
        <f>IFERROR(__xludf.DUMMYFUNCTION("""COMPUTED_VALUE"""),"-6.952330, 107.664848")</f>
        <v>-6.952330, 107.664848</v>
      </c>
      <c r="D933" s="4" t="str">
        <f>IFERROR(__xludf.DUMMYFUNCTION("""COMPUTED_VALUE"""),"Jihan kiki")</f>
        <v>Jihan kiki</v>
      </c>
      <c r="E933" s="4" t="str">
        <f>IFERROR(__xludf.DUMMYFUNCTION("""COMPUTED_VALUE"""),"BANDUNG")</f>
        <v>BANDUNG</v>
      </c>
      <c r="F933" s="4" t="str">
        <f>IFERROR(__xludf.DUMMYFUNCTION("""COMPUTED_VALUE"""),"CIJAWURA")</f>
        <v>CIJAWURA</v>
      </c>
      <c r="G933" s="4" t="str">
        <f>IFERROR(__xludf.DUMMYFUNCTION("""COMPUTED_VALUE"""),"GIS KIARACONDONG")</f>
        <v>GIS KIARACONDONG</v>
      </c>
      <c r="H933" s="4" t="str">
        <f>IFERROR(__xludf.DUMMYFUNCTION("""COMPUTED_VALUE"""),"CWRA")</f>
        <v>CWRA</v>
      </c>
      <c r="I933" s="4" t="str">
        <f>IFERROR(__xludf.DUMMYFUNCTION("""COMPUTED_VALUE"""),"GGM - LBS MSHA")</f>
        <v>GGM - LBS MSHA</v>
      </c>
      <c r="J933" s="4" t="str">
        <f>IFERROR(__xludf.DUMMYFUNCTION("""COMPUTED_VALUE"""),"ZONA 2")</f>
        <v>ZONA 2</v>
      </c>
      <c r="K933" s="4" t="str">
        <f>IFERROR(__xludf.DUMMYFUNCTION("""COMPUTED_VALUE"""),"098")</f>
        <v>098</v>
      </c>
      <c r="L933" s="4" t="str">
        <f>IFERROR(__xludf.DUMMYFUNCTION("""COMPUTED_VALUE"""),"TM - 7B/H (Afspan 90 Derajat)")</f>
        <v>TM - 7B/H (Afspan 90 Derajat)</v>
      </c>
      <c r="M933" s="4" t="str">
        <f>IFERROR(__xludf.DUMMYFUNCTION("""COMPUTED_VALUE"""),"Tidak Ada")</f>
        <v>Tidak Ada</v>
      </c>
      <c r="N933" s="4"/>
      <c r="O933" s="4" t="str">
        <f>IFERROR(__xludf.DUMMYFUNCTION("""COMPUTED_VALUE"""),"PEMBANDING SEJENIS")</f>
        <v>PEMBANDING SEJENIS</v>
      </c>
      <c r="P933" s="4" t="str">
        <f>IFERROR(__xludf.DUMMYFUNCTION("""COMPUTED_VALUE"""),"KONEKTOR/JUMPER")</f>
        <v>KONEKTOR/JUMPER</v>
      </c>
      <c r="Q933" s="4">
        <f>IFERROR(__xludf.DUMMYFUNCTION("""COMPUTED_VALUE"""),20.0)</f>
        <v>20</v>
      </c>
      <c r="R933" s="4">
        <f>IFERROR(__xludf.DUMMYFUNCTION("""COMPUTED_VALUE"""),20.0)</f>
        <v>20</v>
      </c>
      <c r="S933" s="4">
        <f>IFERROR(__xludf.DUMMYFUNCTION("""COMPUTED_VALUE"""),21.0)</f>
        <v>21</v>
      </c>
      <c r="T933" s="4"/>
      <c r="U933" s="4" t="str">
        <f>IFERROR(__xludf.DUMMYFUNCTION("""COMPUTED_VALUE"""),"BAIK")</f>
        <v>BAIK</v>
      </c>
      <c r="V933" s="4" t="str">
        <f>IFERROR(__xludf.DUMMYFUNCTION("""COMPUTED_VALUE"""),"Tidak Ada")</f>
        <v>Tidak Ada</v>
      </c>
      <c r="W933" s="4"/>
      <c r="X933" s="4"/>
      <c r="Y933" s="4"/>
      <c r="Z933" s="4"/>
      <c r="AA933" s="4"/>
      <c r="AB933" s="4"/>
      <c r="AC933" s="4" t="str">
        <f>IFERROR(__xludf.DUMMYFUNCTION("""COMPUTED_VALUE"""),"INSPEKSI SUTM - T2_Images/5d21a5a9.FOTO.155129.jpg")</f>
        <v>INSPEKSI SUTM - T2_Images/5d21a5a9.FOTO.155129.jpg</v>
      </c>
      <c r="AD933" s="4"/>
      <c r="AE933" s="4"/>
      <c r="AF933" s="4" t="str">
        <f>IFERROR(__xludf.DUMMYFUNCTION("""COMPUTED_VALUE"""),"BELUM")</f>
        <v>BELUM</v>
      </c>
      <c r="AG933" s="6">
        <f>IFERROR(__xludf.DUMMYFUNCTION("""COMPUTED_VALUE"""),46108.0)</f>
        <v>46108</v>
      </c>
      <c r="AH933" s="4"/>
      <c r="AI933" s="4"/>
    </row>
    <row r="934" ht="15.75" customHeight="1">
      <c r="A934" s="4" t="str">
        <f>IFERROR(__xludf.DUMMYFUNCTION("""COMPUTED_VALUE"""),"dc962af6")</f>
        <v>dc962af6</v>
      </c>
      <c r="B934" s="5">
        <f>IFERROR(__xludf.DUMMYFUNCTION("""COMPUTED_VALUE"""),46108.952581018515)</f>
        <v>46108.95258</v>
      </c>
      <c r="C934" s="4" t="str">
        <f>IFERROR(__xludf.DUMMYFUNCTION("""COMPUTED_VALUE"""),"-6.952253, 107.664159")</f>
        <v>-6.952253, 107.664159</v>
      </c>
      <c r="D934" s="4" t="str">
        <f>IFERROR(__xludf.DUMMYFUNCTION("""COMPUTED_VALUE"""),"Jihan kiki")</f>
        <v>Jihan kiki</v>
      </c>
      <c r="E934" s="4" t="str">
        <f>IFERROR(__xludf.DUMMYFUNCTION("""COMPUTED_VALUE"""),"BANDUNG")</f>
        <v>BANDUNG</v>
      </c>
      <c r="F934" s="4" t="str">
        <f>IFERROR(__xludf.DUMMYFUNCTION("""COMPUTED_VALUE"""),"CIJAWURA")</f>
        <v>CIJAWURA</v>
      </c>
      <c r="G934" s="4" t="str">
        <f>IFERROR(__xludf.DUMMYFUNCTION("""COMPUTED_VALUE"""),"GIS KIARACONDONG")</f>
        <v>GIS KIARACONDONG</v>
      </c>
      <c r="H934" s="4" t="str">
        <f>IFERROR(__xludf.DUMMYFUNCTION("""COMPUTED_VALUE"""),"CWRA")</f>
        <v>CWRA</v>
      </c>
      <c r="I934" s="4" t="str">
        <f>IFERROR(__xludf.DUMMYFUNCTION("""COMPUTED_VALUE"""),"GGM - LBS MSHA")</f>
        <v>GGM - LBS MSHA</v>
      </c>
      <c r="J934" s="4" t="str">
        <f>IFERROR(__xludf.DUMMYFUNCTION("""COMPUTED_VALUE"""),"ZONA 2")</f>
        <v>ZONA 2</v>
      </c>
      <c r="K934" s="4" t="str">
        <f>IFERROR(__xludf.DUMMYFUNCTION("""COMPUTED_VALUE"""),"100")</f>
        <v>100</v>
      </c>
      <c r="L934" s="4" t="str">
        <f>IFERROR(__xludf.DUMMYFUNCTION("""COMPUTED_VALUE"""),"TM - 7B/H (Afspan 90 Derajat)")</f>
        <v>TM - 7B/H (Afspan 90 Derajat)</v>
      </c>
      <c r="M934" s="4" t="str">
        <f>IFERROR(__xludf.DUMMYFUNCTION("""COMPUTED_VALUE"""),"Tidak Ada")</f>
        <v>Tidak Ada</v>
      </c>
      <c r="N934" s="4"/>
      <c r="O934" s="4" t="str">
        <f>IFERROR(__xludf.DUMMYFUNCTION("""COMPUTED_VALUE"""),"PEMBANDING SEJENIS")</f>
        <v>PEMBANDING SEJENIS</v>
      </c>
      <c r="P934" s="4" t="str">
        <f>IFERROR(__xludf.DUMMYFUNCTION("""COMPUTED_VALUE"""),"KONEKTOR/JUMPER")</f>
        <v>KONEKTOR/JUMPER</v>
      </c>
      <c r="Q934" s="4">
        <f>IFERROR(__xludf.DUMMYFUNCTION("""COMPUTED_VALUE"""),22.0)</f>
        <v>22</v>
      </c>
      <c r="R934" s="4">
        <f>IFERROR(__xludf.DUMMYFUNCTION("""COMPUTED_VALUE"""),21.0)</f>
        <v>21</v>
      </c>
      <c r="S934" s="4">
        <f>IFERROR(__xludf.DUMMYFUNCTION("""COMPUTED_VALUE"""),20.0)</f>
        <v>20</v>
      </c>
      <c r="T934" s="4"/>
      <c r="U934" s="4" t="str">
        <f>IFERROR(__xludf.DUMMYFUNCTION("""COMPUTED_VALUE"""),"BAIK")</f>
        <v>BAIK</v>
      </c>
      <c r="V934" s="4" t="str">
        <f>IFERROR(__xludf.DUMMYFUNCTION("""COMPUTED_VALUE"""),"Tidak Ada")</f>
        <v>Tidak Ada</v>
      </c>
      <c r="W934" s="4"/>
      <c r="X934" s="4"/>
      <c r="Y934" s="4"/>
      <c r="Z934" s="4"/>
      <c r="AA934" s="4"/>
      <c r="AB934" s="4"/>
      <c r="AC934" s="4" t="str">
        <f>IFERROR(__xludf.DUMMYFUNCTION("""COMPUTED_VALUE"""),"INSPEKSI SUTM - T2_Images/dc962af6.FOTO.155230.jpg")</f>
        <v>INSPEKSI SUTM - T2_Images/dc962af6.FOTO.155230.jpg</v>
      </c>
      <c r="AD934" s="4"/>
      <c r="AE934" s="4"/>
      <c r="AF934" s="4" t="str">
        <f>IFERROR(__xludf.DUMMYFUNCTION("""COMPUTED_VALUE"""),"BELUM")</f>
        <v>BELUM</v>
      </c>
      <c r="AG934" s="6">
        <f>IFERROR(__xludf.DUMMYFUNCTION("""COMPUTED_VALUE"""),46108.0)</f>
        <v>46108</v>
      </c>
      <c r="AH934" s="4"/>
      <c r="AI934" s="4"/>
    </row>
    <row r="935" ht="15.75" customHeight="1">
      <c r="A935" s="4" t="str">
        <f>IFERROR(__xludf.DUMMYFUNCTION("""COMPUTED_VALUE"""),"34943186")</f>
        <v>34943186</v>
      </c>
      <c r="B935" s="5">
        <f>IFERROR(__xludf.DUMMYFUNCTION("""COMPUTED_VALUE"""),46108.9531712963)</f>
        <v>46108.95317</v>
      </c>
      <c r="C935" s="4" t="str">
        <f>IFERROR(__xludf.DUMMYFUNCTION("""COMPUTED_VALUE"""),"-6.953462, 107.663964")</f>
        <v>-6.953462, 107.663964</v>
      </c>
      <c r="D935" s="4" t="str">
        <f>IFERROR(__xludf.DUMMYFUNCTION("""COMPUTED_VALUE"""),"Jihan kiki")</f>
        <v>Jihan kiki</v>
      </c>
      <c r="E935" s="4" t="str">
        <f>IFERROR(__xludf.DUMMYFUNCTION("""COMPUTED_VALUE"""),"BANDUNG")</f>
        <v>BANDUNG</v>
      </c>
      <c r="F935" s="4" t="str">
        <f>IFERROR(__xludf.DUMMYFUNCTION("""COMPUTED_VALUE"""),"CIJAWURA")</f>
        <v>CIJAWURA</v>
      </c>
      <c r="G935" s="4" t="str">
        <f>IFERROR(__xludf.DUMMYFUNCTION("""COMPUTED_VALUE"""),"GIS KIARACONDONG")</f>
        <v>GIS KIARACONDONG</v>
      </c>
      <c r="H935" s="4" t="str">
        <f>IFERROR(__xludf.DUMMYFUNCTION("""COMPUTED_VALUE"""),"CWRA")</f>
        <v>CWRA</v>
      </c>
      <c r="I935" s="4" t="str">
        <f>IFERROR(__xludf.DUMMYFUNCTION("""COMPUTED_VALUE"""),"GGM - LBS MSHA")</f>
        <v>GGM - LBS MSHA</v>
      </c>
      <c r="J935" s="4" t="str">
        <f>IFERROR(__xludf.DUMMYFUNCTION("""COMPUTED_VALUE"""),"ZONA 2")</f>
        <v>ZONA 2</v>
      </c>
      <c r="K935" s="4" t="str">
        <f>IFERROR(__xludf.DUMMYFUNCTION("""COMPUTED_VALUE"""),"104")</f>
        <v>104</v>
      </c>
      <c r="L935" s="4" t="str">
        <f>IFERROR(__xludf.DUMMYFUNCTION("""COMPUTED_VALUE"""),"TM - 7B/H (Afspan 90 Derajat)")</f>
        <v>TM - 7B/H (Afspan 90 Derajat)</v>
      </c>
      <c r="M935" s="4" t="str">
        <f>IFERROR(__xludf.DUMMYFUNCTION("""COMPUTED_VALUE"""),"Tidak Ada")</f>
        <v>Tidak Ada</v>
      </c>
      <c r="N935" s="4"/>
      <c r="O935" s="4" t="str">
        <f>IFERROR(__xludf.DUMMYFUNCTION("""COMPUTED_VALUE"""),"PEMBANDING SEJENIS")</f>
        <v>PEMBANDING SEJENIS</v>
      </c>
      <c r="P935" s="4" t="str">
        <f>IFERROR(__xludf.DUMMYFUNCTION("""COMPUTED_VALUE"""),"KONEKTOR/JUMPER")</f>
        <v>KONEKTOR/JUMPER</v>
      </c>
      <c r="Q935" s="4">
        <f>IFERROR(__xludf.DUMMYFUNCTION("""COMPUTED_VALUE"""),22.0)</f>
        <v>22</v>
      </c>
      <c r="R935" s="4">
        <f>IFERROR(__xludf.DUMMYFUNCTION("""COMPUTED_VALUE"""),19.0)</f>
        <v>19</v>
      </c>
      <c r="S935" s="4">
        <f>IFERROR(__xludf.DUMMYFUNCTION("""COMPUTED_VALUE"""),19.0)</f>
        <v>19</v>
      </c>
      <c r="T935" s="4"/>
      <c r="U935" s="4" t="str">
        <f>IFERROR(__xludf.DUMMYFUNCTION("""COMPUTED_VALUE"""),"CUKUP")</f>
        <v>CUKUP</v>
      </c>
      <c r="V935" s="4" t="str">
        <f>IFERROR(__xludf.DUMMYFUNCTION("""COMPUTED_VALUE"""),"Tidak Ada")</f>
        <v>Tidak Ada</v>
      </c>
      <c r="W935" s="4"/>
      <c r="X935" s="4"/>
      <c r="Y935" s="4"/>
      <c r="Z935" s="4"/>
      <c r="AA935" s="4"/>
      <c r="AB935" s="4"/>
      <c r="AC935" s="4" t="str">
        <f>IFERROR(__xludf.DUMMYFUNCTION("""COMPUTED_VALUE"""),"INSPEKSI SUTM - T2_Images/34943186.FOTO.155457.jpg")</f>
        <v>INSPEKSI SUTM - T2_Images/34943186.FOTO.155457.jpg</v>
      </c>
      <c r="AD935" s="4"/>
      <c r="AE935" s="4"/>
      <c r="AF935" s="4" t="str">
        <f>IFERROR(__xludf.DUMMYFUNCTION("""COMPUTED_VALUE"""),"BELUM")</f>
        <v>BELUM</v>
      </c>
      <c r="AG935" s="6">
        <f>IFERROR(__xludf.DUMMYFUNCTION("""COMPUTED_VALUE"""),46108.0)</f>
        <v>46108</v>
      </c>
      <c r="AH935" s="4"/>
      <c r="AI935" s="4"/>
    </row>
    <row r="936" ht="15.75" customHeight="1">
      <c r="A936" s="4" t="str">
        <f>IFERROR(__xludf.DUMMYFUNCTION("""COMPUTED_VALUE"""),"6ecccaf2")</f>
        <v>6ecccaf2</v>
      </c>
      <c r="B936" s="5">
        <f>IFERROR(__xludf.DUMMYFUNCTION("""COMPUTED_VALUE"""),46108.95590277778)</f>
        <v>46108.9559</v>
      </c>
      <c r="C936" s="4" t="str">
        <f>IFERROR(__xludf.DUMMYFUNCTION("""COMPUTED_VALUE"""),"-6.953309, 107.663078")</f>
        <v>-6.953309, 107.663078</v>
      </c>
      <c r="D936" s="4" t="str">
        <f>IFERROR(__xludf.DUMMYFUNCTION("""COMPUTED_VALUE"""),"Jihan kiki")</f>
        <v>Jihan kiki</v>
      </c>
      <c r="E936" s="4" t="str">
        <f>IFERROR(__xludf.DUMMYFUNCTION("""COMPUTED_VALUE"""),"BANDUNG")</f>
        <v>BANDUNG</v>
      </c>
      <c r="F936" s="4" t="str">
        <f>IFERROR(__xludf.DUMMYFUNCTION("""COMPUTED_VALUE"""),"CIJAWURA")</f>
        <v>CIJAWURA</v>
      </c>
      <c r="G936" s="4" t="str">
        <f>IFERROR(__xludf.DUMMYFUNCTION("""COMPUTED_VALUE"""),"GIS KIARACONDONG")</f>
        <v>GIS KIARACONDONG</v>
      </c>
      <c r="H936" s="4" t="str">
        <f>IFERROR(__xludf.DUMMYFUNCTION("""COMPUTED_VALUE"""),"CWRA")</f>
        <v>CWRA</v>
      </c>
      <c r="I936" s="4" t="str">
        <f>IFERROR(__xludf.DUMMYFUNCTION("""COMPUTED_VALUE"""),"GGM - LBS MSHA")</f>
        <v>GGM - LBS MSHA</v>
      </c>
      <c r="J936" s="4" t="str">
        <f>IFERROR(__xludf.DUMMYFUNCTION("""COMPUTED_VALUE"""),"ZONA 2")</f>
        <v>ZONA 2</v>
      </c>
      <c r="K936" s="4" t="str">
        <f>IFERROR(__xludf.DUMMYFUNCTION("""COMPUTED_VALUE"""),"107")</f>
        <v>107</v>
      </c>
      <c r="L936" s="4" t="str">
        <f>IFERROR(__xludf.DUMMYFUNCTION("""COMPUTED_VALUE"""),"TM - 7B/H (Afspan 90 Derajat)")</f>
        <v>TM - 7B/H (Afspan 90 Derajat)</v>
      </c>
      <c r="M936" s="4" t="str">
        <f>IFERROR(__xludf.DUMMYFUNCTION("""COMPUTED_VALUE"""),"Tidak Ada")</f>
        <v>Tidak Ada</v>
      </c>
      <c r="N936" s="4"/>
      <c r="O936" s="4" t="str">
        <f>IFERROR(__xludf.DUMMYFUNCTION("""COMPUTED_VALUE"""),"PEMBANDING SEJENIS")</f>
        <v>PEMBANDING SEJENIS</v>
      </c>
      <c r="P936" s="4" t="str">
        <f>IFERROR(__xludf.DUMMYFUNCTION("""COMPUTED_VALUE"""),"KONEKTOR/JUMPER")</f>
        <v>KONEKTOR/JUMPER</v>
      </c>
      <c r="Q936" s="4">
        <f>IFERROR(__xludf.DUMMYFUNCTION("""COMPUTED_VALUE"""),20.0)</f>
        <v>20</v>
      </c>
      <c r="R936" s="4">
        <f>IFERROR(__xludf.DUMMYFUNCTION("""COMPUTED_VALUE"""),21.0)</f>
        <v>21</v>
      </c>
      <c r="S936" s="4">
        <f>IFERROR(__xludf.DUMMYFUNCTION("""COMPUTED_VALUE"""),21.0)</f>
        <v>21</v>
      </c>
      <c r="T936" s="4"/>
      <c r="U936" s="4" t="str">
        <f>IFERROR(__xludf.DUMMYFUNCTION("""COMPUTED_VALUE"""),"BAIK")</f>
        <v>BAIK</v>
      </c>
      <c r="V936" s="4" t="str">
        <f>IFERROR(__xludf.DUMMYFUNCTION("""COMPUTED_VALUE"""),"Tidak Ada")</f>
        <v>Tidak Ada</v>
      </c>
      <c r="W936" s="4"/>
      <c r="X936" s="4"/>
      <c r="Y936" s="4"/>
      <c r="Z936" s="4"/>
      <c r="AA936" s="4"/>
      <c r="AB936" s="4"/>
      <c r="AC936" s="4" t="str">
        <f>IFERROR(__xludf.DUMMYFUNCTION("""COMPUTED_VALUE"""),"INSPEKSI SUTM - T2_Images/6ecccaf2.FOTO.155720.jpg")</f>
        <v>INSPEKSI SUTM - T2_Images/6ecccaf2.FOTO.155720.jpg</v>
      </c>
      <c r="AD936" s="4"/>
      <c r="AE936" s="4"/>
      <c r="AF936" s="4" t="str">
        <f>IFERROR(__xludf.DUMMYFUNCTION("""COMPUTED_VALUE"""),"BELUM")</f>
        <v>BELUM</v>
      </c>
      <c r="AG936" s="6">
        <f>IFERROR(__xludf.DUMMYFUNCTION("""COMPUTED_VALUE"""),46108.0)</f>
        <v>46108</v>
      </c>
      <c r="AH936" s="4"/>
      <c r="AI936" s="4"/>
    </row>
    <row r="937" ht="15.75" customHeight="1">
      <c r="A937" s="4" t="str">
        <f>IFERROR(__xludf.DUMMYFUNCTION("""COMPUTED_VALUE"""),"18f4ceaa")</f>
        <v>18f4ceaa</v>
      </c>
      <c r="B937" s="5">
        <f>IFERROR(__xludf.DUMMYFUNCTION("""COMPUTED_VALUE"""),46108.95650462963)</f>
        <v>46108.9565</v>
      </c>
      <c r="C937" s="4" t="str">
        <f>IFERROR(__xludf.DUMMYFUNCTION("""COMPUTED_VALUE"""),"-6.955735, 107.662329")</f>
        <v>-6.955735, 107.662329</v>
      </c>
      <c r="D937" s="4" t="str">
        <f>IFERROR(__xludf.DUMMYFUNCTION("""COMPUTED_VALUE"""),"Jihan kiki")</f>
        <v>Jihan kiki</v>
      </c>
      <c r="E937" s="4" t="str">
        <f>IFERROR(__xludf.DUMMYFUNCTION("""COMPUTED_VALUE"""),"BANDUNG")</f>
        <v>BANDUNG</v>
      </c>
      <c r="F937" s="4" t="str">
        <f>IFERROR(__xludf.DUMMYFUNCTION("""COMPUTED_VALUE"""),"CIJAWURA")</f>
        <v>CIJAWURA</v>
      </c>
      <c r="G937" s="4" t="str">
        <f>IFERROR(__xludf.DUMMYFUNCTION("""COMPUTED_VALUE"""),"GIS KIARACONDONG")</f>
        <v>GIS KIARACONDONG</v>
      </c>
      <c r="H937" s="4" t="str">
        <f>IFERROR(__xludf.DUMMYFUNCTION("""COMPUTED_VALUE"""),"CWRA")</f>
        <v>CWRA</v>
      </c>
      <c r="I937" s="4" t="str">
        <f>IFERROR(__xludf.DUMMYFUNCTION("""COMPUTED_VALUE"""),"GGM - LBS MSHA")</f>
        <v>GGM - LBS MSHA</v>
      </c>
      <c r="J937" s="4" t="str">
        <f>IFERROR(__xludf.DUMMYFUNCTION("""COMPUTED_VALUE"""),"ZONA 2")</f>
        <v>ZONA 2</v>
      </c>
      <c r="K937" s="4" t="str">
        <f>IFERROR(__xludf.DUMMYFUNCTION("""COMPUTED_VALUE"""),"115")</f>
        <v>115</v>
      </c>
      <c r="L937" s="4" t="str">
        <f>IFERROR(__xludf.DUMMYFUNCTION("""COMPUTED_VALUE"""),"TM - 4B/H (Afspan)")</f>
        <v>TM - 4B/H (Afspan)</v>
      </c>
      <c r="M937" s="4" t="str">
        <f>IFERROR(__xludf.DUMMYFUNCTION("""COMPUTED_VALUE"""),"Tidak Ada")</f>
        <v>Tidak Ada</v>
      </c>
      <c r="N937" s="4"/>
      <c r="O937" s="4" t="str">
        <f>IFERROR(__xludf.DUMMYFUNCTION("""COMPUTED_VALUE"""),"PEMBANDING SEJENIS")</f>
        <v>PEMBANDING SEJENIS</v>
      </c>
      <c r="P937" s="4" t="str">
        <f>IFERROR(__xludf.DUMMYFUNCTION("""COMPUTED_VALUE"""),"KONEKTOR/JUMPER")</f>
        <v>KONEKTOR/JUMPER</v>
      </c>
      <c r="Q937" s="4">
        <f>IFERROR(__xludf.DUMMYFUNCTION("""COMPUTED_VALUE"""),21.0)</f>
        <v>21</v>
      </c>
      <c r="R937" s="4">
        <f>IFERROR(__xludf.DUMMYFUNCTION("""COMPUTED_VALUE"""),22.0)</f>
        <v>22</v>
      </c>
      <c r="S937" s="4">
        <f>IFERROR(__xludf.DUMMYFUNCTION("""COMPUTED_VALUE"""),22.0)</f>
        <v>22</v>
      </c>
      <c r="T937" s="4"/>
      <c r="U937" s="4" t="str">
        <f>IFERROR(__xludf.DUMMYFUNCTION("""COMPUTED_VALUE"""),"BAIK")</f>
        <v>BAIK</v>
      </c>
      <c r="V937" s="4" t="str">
        <f>IFERROR(__xludf.DUMMYFUNCTION("""COMPUTED_VALUE"""),"Tidak Ada")</f>
        <v>Tidak Ada</v>
      </c>
      <c r="W937" s="4"/>
      <c r="X937" s="4"/>
      <c r="Y937" s="4"/>
      <c r="Z937" s="4"/>
      <c r="AA937" s="4"/>
      <c r="AB937" s="4"/>
      <c r="AC937" s="4" t="str">
        <f>IFERROR(__xludf.DUMMYFUNCTION("""COMPUTED_VALUE"""),"INSPEKSI SUTM - T2_Images/18f4ceaa.FOTO.155850.jpg")</f>
        <v>INSPEKSI SUTM - T2_Images/18f4ceaa.FOTO.155850.jpg</v>
      </c>
      <c r="AD937" s="4"/>
      <c r="AE937" s="4"/>
      <c r="AF937" s="4" t="str">
        <f>IFERROR(__xludf.DUMMYFUNCTION("""COMPUTED_VALUE"""),"BELUM")</f>
        <v>BELUM</v>
      </c>
      <c r="AG937" s="6">
        <f>IFERROR(__xludf.DUMMYFUNCTION("""COMPUTED_VALUE"""),46108.0)</f>
        <v>46108</v>
      </c>
      <c r="AH937" s="4"/>
      <c r="AI937" s="4"/>
    </row>
    <row r="938" ht="15.75" customHeight="1">
      <c r="A938" s="4" t="str">
        <f>IFERROR(__xludf.DUMMYFUNCTION("""COMPUTED_VALUE"""),"2eb71e02")</f>
        <v>2eb71e02</v>
      </c>
      <c r="B938" s="5">
        <f>IFERROR(__xludf.DUMMYFUNCTION("""COMPUTED_VALUE"""),46108.95753472222)</f>
        <v>46108.95753</v>
      </c>
      <c r="C938" s="4" t="str">
        <f>IFERROR(__xludf.DUMMYFUNCTION("""COMPUTED_VALUE"""),"-6.957526, 107.661923")</f>
        <v>-6.957526, 107.661923</v>
      </c>
      <c r="D938" s="4" t="str">
        <f>IFERROR(__xludf.DUMMYFUNCTION("""COMPUTED_VALUE"""),"Jihan kiki")</f>
        <v>Jihan kiki</v>
      </c>
      <c r="E938" s="4" t="str">
        <f>IFERROR(__xludf.DUMMYFUNCTION("""COMPUTED_VALUE"""),"BANDUNG")</f>
        <v>BANDUNG</v>
      </c>
      <c r="F938" s="4" t="str">
        <f>IFERROR(__xludf.DUMMYFUNCTION("""COMPUTED_VALUE"""),"CIJAWURA")</f>
        <v>CIJAWURA</v>
      </c>
      <c r="G938" s="4" t="str">
        <f>IFERROR(__xludf.DUMMYFUNCTION("""COMPUTED_VALUE"""),"GIS KIARACONDONG")</f>
        <v>GIS KIARACONDONG</v>
      </c>
      <c r="H938" s="4" t="str">
        <f>IFERROR(__xludf.DUMMYFUNCTION("""COMPUTED_VALUE"""),"CWRA")</f>
        <v>CWRA</v>
      </c>
      <c r="I938" s="4" t="str">
        <f>IFERROR(__xludf.DUMMYFUNCTION("""COMPUTED_VALUE"""),"GGM - LBS MSHA")</f>
        <v>GGM - LBS MSHA</v>
      </c>
      <c r="J938" s="4" t="str">
        <f>IFERROR(__xludf.DUMMYFUNCTION("""COMPUTED_VALUE"""),"ZONA 2")</f>
        <v>ZONA 2</v>
      </c>
      <c r="K938" s="4" t="str">
        <f>IFERROR(__xludf.DUMMYFUNCTION("""COMPUTED_VALUE"""),"120")</f>
        <v>120</v>
      </c>
      <c r="L938" s="4" t="str">
        <f>IFERROR(__xludf.DUMMYFUNCTION("""COMPUTED_VALUE"""),"TM - 4B/H (Afspan)")</f>
        <v>TM - 4B/H (Afspan)</v>
      </c>
      <c r="M938" s="4" t="str">
        <f>IFERROR(__xludf.DUMMYFUNCTION("""COMPUTED_VALUE"""),"Tidak Ada")</f>
        <v>Tidak Ada</v>
      </c>
      <c r="N938" s="4"/>
      <c r="O938" s="4" t="str">
        <f>IFERROR(__xludf.DUMMYFUNCTION("""COMPUTED_VALUE"""),"PEMBANDING SEJENIS")</f>
        <v>PEMBANDING SEJENIS</v>
      </c>
      <c r="P938" s="4" t="str">
        <f>IFERROR(__xludf.DUMMYFUNCTION("""COMPUTED_VALUE"""),"KONEKTOR/JUMPER")</f>
        <v>KONEKTOR/JUMPER</v>
      </c>
      <c r="Q938" s="4">
        <f>IFERROR(__xludf.DUMMYFUNCTION("""COMPUTED_VALUE"""),21.0)</f>
        <v>21</v>
      </c>
      <c r="R938" s="4">
        <f>IFERROR(__xludf.DUMMYFUNCTION("""COMPUTED_VALUE"""),20.0)</f>
        <v>20</v>
      </c>
      <c r="S938" s="4">
        <f>IFERROR(__xludf.DUMMYFUNCTION("""COMPUTED_VALUE"""),21.0)</f>
        <v>21</v>
      </c>
      <c r="T938" s="4"/>
      <c r="U938" s="4" t="str">
        <f>IFERROR(__xludf.DUMMYFUNCTION("""COMPUTED_VALUE"""),"BAIK")</f>
        <v>BAIK</v>
      </c>
      <c r="V938" s="4" t="str">
        <f>IFERROR(__xludf.DUMMYFUNCTION("""COMPUTED_VALUE"""),"Tidak Ada")</f>
        <v>Tidak Ada</v>
      </c>
      <c r="W938" s="4"/>
      <c r="X938" s="4"/>
      <c r="Y938" s="4"/>
      <c r="Z938" s="4"/>
      <c r="AA938" s="4"/>
      <c r="AB938" s="4"/>
      <c r="AC938" s="4" t="str">
        <f>IFERROR(__xludf.DUMMYFUNCTION("""COMPUTED_VALUE"""),"INSPEKSI SUTM - T2_Images/2eb71e02.FOTO.155925.jpg")</f>
        <v>INSPEKSI SUTM - T2_Images/2eb71e02.FOTO.155925.jpg</v>
      </c>
      <c r="AD938" s="4"/>
      <c r="AE938" s="4"/>
      <c r="AF938" s="4" t="str">
        <f>IFERROR(__xludf.DUMMYFUNCTION("""COMPUTED_VALUE"""),"BELUM")</f>
        <v>BELUM</v>
      </c>
      <c r="AG938" s="6">
        <f>IFERROR(__xludf.DUMMYFUNCTION("""COMPUTED_VALUE"""),46108.0)</f>
        <v>46108</v>
      </c>
      <c r="AH938" s="4"/>
      <c r="AI938" s="4"/>
    </row>
    <row r="939" ht="15.75" customHeight="1">
      <c r="A939" s="4" t="str">
        <f>IFERROR(__xludf.DUMMYFUNCTION("""COMPUTED_VALUE"""),"e8b50b23")</f>
        <v>e8b50b23</v>
      </c>
      <c r="B939" s="5">
        <f>IFERROR(__xludf.DUMMYFUNCTION("""COMPUTED_VALUE"""),46108.958020833335)</f>
        <v>46108.95802</v>
      </c>
      <c r="C939" s="4" t="str">
        <f>IFERROR(__xludf.DUMMYFUNCTION("""COMPUTED_VALUE"""),"-6.959426, 107.661516")</f>
        <v>-6.959426, 107.661516</v>
      </c>
      <c r="D939" s="4" t="str">
        <f>IFERROR(__xludf.DUMMYFUNCTION("""COMPUTED_VALUE"""),"Jihan kiki")</f>
        <v>Jihan kiki</v>
      </c>
      <c r="E939" s="4" t="str">
        <f>IFERROR(__xludf.DUMMYFUNCTION("""COMPUTED_VALUE"""),"BANDUNG")</f>
        <v>BANDUNG</v>
      </c>
      <c r="F939" s="4" t="str">
        <f>IFERROR(__xludf.DUMMYFUNCTION("""COMPUTED_VALUE"""),"CIJAWURA")</f>
        <v>CIJAWURA</v>
      </c>
      <c r="G939" s="4" t="str">
        <f>IFERROR(__xludf.DUMMYFUNCTION("""COMPUTED_VALUE"""),"GIS KIARACONDONG")</f>
        <v>GIS KIARACONDONG</v>
      </c>
      <c r="H939" s="4" t="str">
        <f>IFERROR(__xludf.DUMMYFUNCTION("""COMPUTED_VALUE"""),"CWRA")</f>
        <v>CWRA</v>
      </c>
      <c r="I939" s="4" t="str">
        <f>IFERROR(__xludf.DUMMYFUNCTION("""COMPUTED_VALUE"""),"GGM - LBS MSHA")</f>
        <v>GGM - LBS MSHA</v>
      </c>
      <c r="J939" s="4" t="str">
        <f>IFERROR(__xludf.DUMMYFUNCTION("""COMPUTED_VALUE"""),"ZONA 2")</f>
        <v>ZONA 2</v>
      </c>
      <c r="K939" s="4" t="str">
        <f>IFERROR(__xludf.DUMMYFUNCTION("""COMPUTED_VALUE"""),"126")</f>
        <v>126</v>
      </c>
      <c r="L939" s="4" t="str">
        <f>IFERROR(__xludf.DUMMYFUNCTION("""COMPUTED_VALUE"""),"TM - 14B/H (Akhir)")</f>
        <v>TM - 14B/H (Akhir)</v>
      </c>
      <c r="M939" s="4" t="str">
        <f>IFERROR(__xludf.DUMMYFUNCTION("""COMPUTED_VALUE"""),"Tidak Ada")</f>
        <v>Tidak Ada</v>
      </c>
      <c r="N939" s="4"/>
      <c r="O939" s="4" t="str">
        <f>IFERROR(__xludf.DUMMYFUNCTION("""COMPUTED_VALUE"""),"PEMBANDING SEJENIS")</f>
        <v>PEMBANDING SEJENIS</v>
      </c>
      <c r="P939" s="4" t="str">
        <f>IFERROR(__xludf.DUMMYFUNCTION("""COMPUTED_VALUE"""),"KONEKTOR/JUMPER")</f>
        <v>KONEKTOR/JUMPER</v>
      </c>
      <c r="Q939" s="4">
        <f>IFERROR(__xludf.DUMMYFUNCTION("""COMPUTED_VALUE"""),22.0)</f>
        <v>22</v>
      </c>
      <c r="R939" s="4">
        <f>IFERROR(__xludf.DUMMYFUNCTION("""COMPUTED_VALUE"""),20.0)</f>
        <v>20</v>
      </c>
      <c r="S939" s="4">
        <f>IFERROR(__xludf.DUMMYFUNCTION("""COMPUTED_VALUE"""),22.0)</f>
        <v>22</v>
      </c>
      <c r="T939" s="4"/>
      <c r="U939" s="4" t="str">
        <f>IFERROR(__xludf.DUMMYFUNCTION("""COMPUTED_VALUE"""),"BAIK")</f>
        <v>BAIK</v>
      </c>
      <c r="V939" s="4" t="str">
        <f>IFERROR(__xludf.DUMMYFUNCTION("""COMPUTED_VALUE"""),"Tidak Ada")</f>
        <v>Tidak Ada</v>
      </c>
      <c r="W939" s="4"/>
      <c r="X939" s="4"/>
      <c r="Y939" s="4"/>
      <c r="Z939" s="4"/>
      <c r="AA939" s="4"/>
      <c r="AB939" s="4"/>
      <c r="AC939" s="4" t="str">
        <f>IFERROR(__xludf.DUMMYFUNCTION("""COMPUTED_VALUE"""),"INSPEKSI SUTM - T2_Images/e8b50b23.FOTO.160009.jpg")</f>
        <v>INSPEKSI SUTM - T2_Images/e8b50b23.FOTO.160009.jpg</v>
      </c>
      <c r="AD939" s="4"/>
      <c r="AE939" s="4"/>
      <c r="AF939" s="4" t="str">
        <f>IFERROR(__xludf.DUMMYFUNCTION("""COMPUTED_VALUE"""),"BELUM")</f>
        <v>BELUM</v>
      </c>
      <c r="AG939" s="6">
        <f>IFERROR(__xludf.DUMMYFUNCTION("""COMPUTED_VALUE"""),46108.0)</f>
        <v>46108</v>
      </c>
      <c r="AH939" s="4"/>
      <c r="AI939" s="4"/>
    </row>
    <row r="940" ht="15.75" customHeight="1">
      <c r="A940" s="4" t="str">
        <f>IFERROR(__xludf.DUMMYFUNCTION("""COMPUTED_VALUE"""),"712e56c2")</f>
        <v>712e56c2</v>
      </c>
      <c r="B940" s="5">
        <f>IFERROR(__xludf.DUMMYFUNCTION("""COMPUTED_VALUE"""),46108.95899305555)</f>
        <v>46108.95899</v>
      </c>
      <c r="C940" s="4" t="str">
        <f>IFERROR(__xludf.DUMMYFUNCTION("""COMPUTED_VALUE"""),"-6.936182, 107.655047")</f>
        <v>-6.936182, 107.655047</v>
      </c>
      <c r="D940" s="4" t="str">
        <f>IFERROR(__xludf.DUMMYFUNCTION("""COMPUTED_VALUE"""),"Jihan kiki")</f>
        <v>Jihan kiki</v>
      </c>
      <c r="E940" s="4" t="str">
        <f>IFERROR(__xludf.DUMMYFUNCTION("""COMPUTED_VALUE"""),"BANDUNG")</f>
        <v>BANDUNG</v>
      </c>
      <c r="F940" s="4" t="str">
        <f>IFERROR(__xludf.DUMMYFUNCTION("""COMPUTED_VALUE"""),"CIJAWURA")</f>
        <v>CIJAWURA</v>
      </c>
      <c r="G940" s="4" t="str">
        <f>IFERROR(__xludf.DUMMYFUNCTION("""COMPUTED_VALUE"""),"GIS KIARACONDONG")</f>
        <v>GIS KIARACONDONG</v>
      </c>
      <c r="H940" s="4" t="str">
        <f>IFERROR(__xludf.DUMMYFUNCTION("""COMPUTED_VALUE"""),"CWRA")</f>
        <v>CWRA</v>
      </c>
      <c r="I940" s="4" t="str">
        <f>IFERROR(__xludf.DUMMYFUNCTION("""COMPUTED_VALUE"""),"DS GSE - GGM")</f>
        <v>DS GSE - GGM</v>
      </c>
      <c r="J940" s="4" t="str">
        <f>IFERROR(__xludf.DUMMYFUNCTION("""COMPUTED_VALUE"""),"ZONA 1")</f>
        <v>ZONA 1</v>
      </c>
      <c r="K940" s="4" t="str">
        <f>IFERROR(__xludf.DUMMYFUNCTION("""COMPUTED_VALUE"""),"001")</f>
        <v>001</v>
      </c>
      <c r="L940" s="4" t="str">
        <f>IFERROR(__xludf.DUMMYFUNCTION("""COMPUTED_VALUE"""),"TM - 11B/H (Kabel Naik)")</f>
        <v>TM - 11B/H (Kabel Naik)</v>
      </c>
      <c r="M940" s="4" t="str">
        <f>IFERROR(__xludf.DUMMYFUNCTION("""COMPUTED_VALUE"""),"Tidak Ada")</f>
        <v>Tidak Ada</v>
      </c>
      <c r="N940" s="4"/>
      <c r="O940" s="4" t="str">
        <f>IFERROR(__xludf.DUMMYFUNCTION("""COMPUTED_VALUE"""),"PEMBANDING SEJENIS")</f>
        <v>PEMBANDING SEJENIS</v>
      </c>
      <c r="P940" s="4" t="str">
        <f>IFERROR(__xludf.DUMMYFUNCTION("""COMPUTED_VALUE"""),"ARRESTER")</f>
        <v>ARRESTER</v>
      </c>
      <c r="Q940" s="4">
        <f>IFERROR(__xludf.DUMMYFUNCTION("""COMPUTED_VALUE"""),24.0)</f>
        <v>24</v>
      </c>
      <c r="R940" s="4">
        <f>IFERROR(__xludf.DUMMYFUNCTION("""COMPUTED_VALUE"""),29.0)</f>
        <v>29</v>
      </c>
      <c r="S940" s="4">
        <f>IFERROR(__xludf.DUMMYFUNCTION("""COMPUTED_VALUE"""),27.0)</f>
        <v>27</v>
      </c>
      <c r="T940" s="4"/>
      <c r="U940" s="4" t="str">
        <f>IFERROR(__xludf.DUMMYFUNCTION("""COMPUTED_VALUE"""),"CUKUP")</f>
        <v>CUKUP</v>
      </c>
      <c r="V940" s="4" t="str">
        <f>IFERROR(__xludf.DUMMYFUNCTION("""COMPUTED_VALUE"""),"Tidak Ada")</f>
        <v>Tidak Ada</v>
      </c>
      <c r="W940" s="4"/>
      <c r="X940" s="4"/>
      <c r="Y940" s="4"/>
      <c r="Z940" s="4"/>
      <c r="AA940" s="4"/>
      <c r="AB940" s="4"/>
      <c r="AC940" s="4" t="str">
        <f>IFERROR(__xludf.DUMMYFUNCTION("""COMPUTED_VALUE"""),"INSPEKSI SUTM - T2_Images/712e56c2.FOTO.160622.jpg")</f>
        <v>INSPEKSI SUTM - T2_Images/712e56c2.FOTO.160622.jpg</v>
      </c>
      <c r="AD940" s="4"/>
      <c r="AE940" s="4"/>
      <c r="AF940" s="4" t="str">
        <f>IFERROR(__xludf.DUMMYFUNCTION("""COMPUTED_VALUE"""),"BELUM")</f>
        <v>BELUM</v>
      </c>
      <c r="AG940" s="6">
        <f>IFERROR(__xludf.DUMMYFUNCTION("""COMPUTED_VALUE"""),46108.0)</f>
        <v>46108</v>
      </c>
      <c r="AH940" s="4"/>
      <c r="AI940" s="4"/>
    </row>
    <row r="941" ht="15.75" customHeight="1">
      <c r="A941" s="4" t="str">
        <f>IFERROR(__xludf.DUMMYFUNCTION("""COMPUTED_VALUE"""),"4a32fdbf")</f>
        <v>4a32fdbf</v>
      </c>
      <c r="B941" s="5">
        <f>IFERROR(__xludf.DUMMYFUNCTION("""COMPUTED_VALUE"""),46108.9630787037)</f>
        <v>46108.96308</v>
      </c>
      <c r="C941" s="4" t="str">
        <f>IFERROR(__xludf.DUMMYFUNCTION("""COMPUTED_VALUE"""),"-6.936329, 107.656134")</f>
        <v>-6.936329, 107.656134</v>
      </c>
      <c r="D941" s="4" t="str">
        <f>IFERROR(__xludf.DUMMYFUNCTION("""COMPUTED_VALUE"""),"Jihan kiki")</f>
        <v>Jihan kiki</v>
      </c>
      <c r="E941" s="4" t="str">
        <f>IFERROR(__xludf.DUMMYFUNCTION("""COMPUTED_VALUE"""),"BANDUNG")</f>
        <v>BANDUNG</v>
      </c>
      <c r="F941" s="4" t="str">
        <f>IFERROR(__xludf.DUMMYFUNCTION("""COMPUTED_VALUE"""),"CIJAWURA")</f>
        <v>CIJAWURA</v>
      </c>
      <c r="G941" s="4" t="str">
        <f>IFERROR(__xludf.DUMMYFUNCTION("""COMPUTED_VALUE"""),"GIS KIARACONDONG")</f>
        <v>GIS KIARACONDONG</v>
      </c>
      <c r="H941" s="4" t="str">
        <f>IFERROR(__xludf.DUMMYFUNCTION("""COMPUTED_VALUE"""),"CWRA")</f>
        <v>CWRA</v>
      </c>
      <c r="I941" s="4" t="str">
        <f>IFERROR(__xludf.DUMMYFUNCTION("""COMPUTED_VALUE"""),"DS GSE - GGM")</f>
        <v>DS GSE - GGM</v>
      </c>
      <c r="J941" s="4" t="str">
        <f>IFERROR(__xludf.DUMMYFUNCTION("""COMPUTED_VALUE"""),"ZONA 1")</f>
        <v>ZONA 1</v>
      </c>
      <c r="K941" s="4" t="str">
        <f>IFERROR(__xludf.DUMMYFUNCTION("""COMPUTED_VALUE"""),"003")</f>
        <v>003</v>
      </c>
      <c r="L941" s="4" t="str">
        <f>IFERROR(__xludf.DUMMYFUNCTION("""COMPUTED_VALUE"""),"TM - 8B/H (Percabangan)")</f>
        <v>TM - 8B/H (Percabangan)</v>
      </c>
      <c r="M941" s="4" t="str">
        <f>IFERROR(__xludf.DUMMYFUNCTION("""COMPUTED_VALUE"""),"Tidak Ada")</f>
        <v>Tidak Ada</v>
      </c>
      <c r="N941" s="4"/>
      <c r="O941" s="4" t="str">
        <f>IFERROR(__xludf.DUMMYFUNCTION("""COMPUTED_VALUE"""),"PEMBANDING SEJENIS")</f>
        <v>PEMBANDING SEJENIS</v>
      </c>
      <c r="P941" s="4" t="str">
        <f>IFERROR(__xludf.DUMMYFUNCTION("""COMPUTED_VALUE"""),"KONEKTOR/JUMPER")</f>
        <v>KONEKTOR/JUMPER</v>
      </c>
      <c r="Q941" s="4">
        <f>IFERROR(__xludf.DUMMYFUNCTION("""COMPUTED_VALUE"""),23.0)</f>
        <v>23</v>
      </c>
      <c r="R941" s="4">
        <f>IFERROR(__xludf.DUMMYFUNCTION("""COMPUTED_VALUE"""),22.0)</f>
        <v>22</v>
      </c>
      <c r="S941" s="4">
        <f>IFERROR(__xludf.DUMMYFUNCTION("""COMPUTED_VALUE"""),22.0)</f>
        <v>22</v>
      </c>
      <c r="T941" s="4"/>
      <c r="U941" s="4" t="str">
        <f>IFERROR(__xludf.DUMMYFUNCTION("""COMPUTED_VALUE"""),"BAIK")</f>
        <v>BAIK</v>
      </c>
      <c r="V941" s="4" t="str">
        <f>IFERROR(__xludf.DUMMYFUNCTION("""COMPUTED_VALUE"""),"Tidak Ada")</f>
        <v>Tidak Ada</v>
      </c>
      <c r="W941" s="4"/>
      <c r="X941" s="4"/>
      <c r="Y941" s="4"/>
      <c r="Z941" s="4"/>
      <c r="AA941" s="4"/>
      <c r="AB941" s="4"/>
      <c r="AC941" s="4" t="str">
        <f>IFERROR(__xludf.DUMMYFUNCTION("""COMPUTED_VALUE"""),"INSPEKSI SUTM - T2_Images/4a32fdbf.FOTO.160824.jpg")</f>
        <v>INSPEKSI SUTM - T2_Images/4a32fdbf.FOTO.160824.jpg</v>
      </c>
      <c r="AD941" s="4"/>
      <c r="AE941" s="4"/>
      <c r="AF941" s="4" t="str">
        <f>IFERROR(__xludf.DUMMYFUNCTION("""COMPUTED_VALUE"""),"BELUM")</f>
        <v>BELUM</v>
      </c>
      <c r="AG941" s="6">
        <f>IFERROR(__xludf.DUMMYFUNCTION("""COMPUTED_VALUE"""),46108.0)</f>
        <v>46108</v>
      </c>
      <c r="AH941" s="4"/>
      <c r="AI941" s="4"/>
    </row>
    <row r="942" ht="15.75" customHeight="1">
      <c r="A942" s="4" t="str">
        <f>IFERROR(__xludf.DUMMYFUNCTION("""COMPUTED_VALUE"""),"1e258abb")</f>
        <v>1e258abb</v>
      </c>
      <c r="B942" s="5">
        <f>IFERROR(__xludf.DUMMYFUNCTION("""COMPUTED_VALUE"""),46108.96443287037)</f>
        <v>46108.96443</v>
      </c>
      <c r="C942" s="4" t="str">
        <f>IFERROR(__xludf.DUMMYFUNCTION("""COMPUTED_VALUE"""),"-6.936574, 107.657621")</f>
        <v>-6.936574, 107.657621</v>
      </c>
      <c r="D942" s="4" t="str">
        <f>IFERROR(__xludf.DUMMYFUNCTION("""COMPUTED_VALUE"""),"Jihan kiki")</f>
        <v>Jihan kiki</v>
      </c>
      <c r="E942" s="4" t="str">
        <f>IFERROR(__xludf.DUMMYFUNCTION("""COMPUTED_VALUE"""),"BANDUNG")</f>
        <v>BANDUNG</v>
      </c>
      <c r="F942" s="4" t="str">
        <f>IFERROR(__xludf.DUMMYFUNCTION("""COMPUTED_VALUE"""),"CIJAWURA")</f>
        <v>CIJAWURA</v>
      </c>
      <c r="G942" s="4" t="str">
        <f>IFERROR(__xludf.DUMMYFUNCTION("""COMPUTED_VALUE"""),"GIS KIARACONDONG")</f>
        <v>GIS KIARACONDONG</v>
      </c>
      <c r="H942" s="4" t="str">
        <f>IFERROR(__xludf.DUMMYFUNCTION("""COMPUTED_VALUE"""),"CWRA")</f>
        <v>CWRA</v>
      </c>
      <c r="I942" s="4" t="str">
        <f>IFERROR(__xludf.DUMMYFUNCTION("""COMPUTED_VALUE"""),"DS GSE - GGM")</f>
        <v>DS GSE - GGM</v>
      </c>
      <c r="J942" s="4" t="str">
        <f>IFERROR(__xludf.DUMMYFUNCTION("""COMPUTED_VALUE"""),"ZONA 1")</f>
        <v>ZONA 1</v>
      </c>
      <c r="K942" s="4" t="str">
        <f>IFERROR(__xludf.DUMMYFUNCTION("""COMPUTED_VALUE"""),"009")</f>
        <v>009</v>
      </c>
      <c r="L942" s="4" t="str">
        <f>IFERROR(__xludf.DUMMYFUNCTION("""COMPUTED_VALUE"""),"TM - 8B/H (Percabangan)")</f>
        <v>TM - 8B/H (Percabangan)</v>
      </c>
      <c r="M942" s="4" t="str">
        <f>IFERROR(__xludf.DUMMYFUNCTION("""COMPUTED_VALUE"""),"Tidak Ada")</f>
        <v>Tidak Ada</v>
      </c>
      <c r="N942" s="4"/>
      <c r="O942" s="4" t="str">
        <f>IFERROR(__xludf.DUMMYFUNCTION("""COMPUTED_VALUE"""),"PEMBANDING SEJENIS")</f>
        <v>PEMBANDING SEJENIS</v>
      </c>
      <c r="P942" s="4" t="str">
        <f>IFERROR(__xludf.DUMMYFUNCTION("""COMPUTED_VALUE"""),"KONEKTOR/JUMPER")</f>
        <v>KONEKTOR/JUMPER</v>
      </c>
      <c r="Q942" s="4">
        <f>IFERROR(__xludf.DUMMYFUNCTION("""COMPUTED_VALUE"""),22.0)</f>
        <v>22</v>
      </c>
      <c r="R942" s="4">
        <f>IFERROR(__xludf.DUMMYFUNCTION("""COMPUTED_VALUE"""),20.0)</f>
        <v>20</v>
      </c>
      <c r="S942" s="4">
        <f>IFERROR(__xludf.DUMMYFUNCTION("""COMPUTED_VALUE"""),22.0)</f>
        <v>22</v>
      </c>
      <c r="T942" s="4"/>
      <c r="U942" s="4" t="str">
        <f>IFERROR(__xludf.DUMMYFUNCTION("""COMPUTED_VALUE"""),"BAIK")</f>
        <v>BAIK</v>
      </c>
      <c r="V942" s="4" t="str">
        <f>IFERROR(__xludf.DUMMYFUNCTION("""COMPUTED_VALUE"""),"Tidak Ada")</f>
        <v>Tidak Ada</v>
      </c>
      <c r="W942" s="4"/>
      <c r="X942" s="4"/>
      <c r="Y942" s="4"/>
      <c r="Z942" s="4"/>
      <c r="AA942" s="4"/>
      <c r="AB942" s="4"/>
      <c r="AC942" s="4" t="str">
        <f>IFERROR(__xludf.DUMMYFUNCTION("""COMPUTED_VALUE"""),"INSPEKSI SUTM - T2_Images/1e258abb.FOTO.160931.jpg")</f>
        <v>INSPEKSI SUTM - T2_Images/1e258abb.FOTO.160931.jpg</v>
      </c>
      <c r="AD942" s="4"/>
      <c r="AE942" s="4"/>
      <c r="AF942" s="4" t="str">
        <f>IFERROR(__xludf.DUMMYFUNCTION("""COMPUTED_VALUE"""),"BELUM")</f>
        <v>BELUM</v>
      </c>
      <c r="AG942" s="6">
        <f>IFERROR(__xludf.DUMMYFUNCTION("""COMPUTED_VALUE"""),46108.0)</f>
        <v>46108</v>
      </c>
      <c r="AH942" s="4"/>
      <c r="AI942" s="4"/>
    </row>
    <row r="943" ht="15.75" customHeight="1">
      <c r="A943" s="4" t="str">
        <f>IFERROR(__xludf.DUMMYFUNCTION("""COMPUTED_VALUE"""),"7c762124")</f>
        <v>7c762124</v>
      </c>
      <c r="B943" s="5">
        <f>IFERROR(__xludf.DUMMYFUNCTION("""COMPUTED_VALUE"""),46108.96533564815)</f>
        <v>46108.96534</v>
      </c>
      <c r="C943" s="4" t="str">
        <f>IFERROR(__xludf.DUMMYFUNCTION("""COMPUTED_VALUE"""),"-6.934565, 107.657836")</f>
        <v>-6.934565, 107.657836</v>
      </c>
      <c r="D943" s="4" t="str">
        <f>IFERROR(__xludf.DUMMYFUNCTION("""COMPUTED_VALUE"""),"Jihan kiki")</f>
        <v>Jihan kiki</v>
      </c>
      <c r="E943" s="4" t="str">
        <f>IFERROR(__xludf.DUMMYFUNCTION("""COMPUTED_VALUE"""),"BANDUNG")</f>
        <v>BANDUNG</v>
      </c>
      <c r="F943" s="4" t="str">
        <f>IFERROR(__xludf.DUMMYFUNCTION("""COMPUTED_VALUE"""),"CIJAWURA")</f>
        <v>CIJAWURA</v>
      </c>
      <c r="G943" s="4" t="str">
        <f>IFERROR(__xludf.DUMMYFUNCTION("""COMPUTED_VALUE"""),"GIS KIARACONDONG")</f>
        <v>GIS KIARACONDONG</v>
      </c>
      <c r="H943" s="4" t="str">
        <f>IFERROR(__xludf.DUMMYFUNCTION("""COMPUTED_VALUE"""),"CWRA")</f>
        <v>CWRA</v>
      </c>
      <c r="I943" s="4" t="str">
        <f>IFERROR(__xludf.DUMMYFUNCTION("""COMPUTED_VALUE"""),"DS GSE - GGM")</f>
        <v>DS GSE - GGM</v>
      </c>
      <c r="J943" s="4" t="str">
        <f>IFERROR(__xludf.DUMMYFUNCTION("""COMPUTED_VALUE"""),"ZONA 1")</f>
        <v>ZONA 1</v>
      </c>
      <c r="K943" s="4" t="str">
        <f>IFERROR(__xludf.DUMMYFUNCTION("""COMPUTED_VALUE"""),"009L05")</f>
        <v>009L05</v>
      </c>
      <c r="L943" s="4" t="str">
        <f>IFERROR(__xludf.DUMMYFUNCTION("""COMPUTED_VALUE"""),"TM - 4B/H (Afspan)")</f>
        <v>TM - 4B/H (Afspan)</v>
      </c>
      <c r="M943" s="4" t="str">
        <f>IFERROR(__xludf.DUMMYFUNCTION("""COMPUTED_VALUE"""),"Tidak Ada")</f>
        <v>Tidak Ada</v>
      </c>
      <c r="N943" s="4"/>
      <c r="O943" s="4" t="str">
        <f>IFERROR(__xludf.DUMMYFUNCTION("""COMPUTED_VALUE"""),"PEMBANDING SEJENIS")</f>
        <v>PEMBANDING SEJENIS</v>
      </c>
      <c r="P943" s="4" t="str">
        <f>IFERROR(__xludf.DUMMYFUNCTION("""COMPUTED_VALUE"""),"KONEKTOR/JUMPER")</f>
        <v>KONEKTOR/JUMPER</v>
      </c>
      <c r="Q943" s="4">
        <f>IFERROR(__xludf.DUMMYFUNCTION("""COMPUTED_VALUE"""),21.0)</f>
        <v>21</v>
      </c>
      <c r="R943" s="4">
        <f>IFERROR(__xludf.DUMMYFUNCTION("""COMPUTED_VALUE"""),21.0)</f>
        <v>21</v>
      </c>
      <c r="S943" s="4">
        <f>IFERROR(__xludf.DUMMYFUNCTION("""COMPUTED_VALUE"""),21.0)</f>
        <v>21</v>
      </c>
      <c r="T943" s="4"/>
      <c r="U943" s="4" t="str">
        <f>IFERROR(__xludf.DUMMYFUNCTION("""COMPUTED_VALUE"""),"BAIK")</f>
        <v>BAIK</v>
      </c>
      <c r="V943" s="4" t="str">
        <f>IFERROR(__xludf.DUMMYFUNCTION("""COMPUTED_VALUE"""),"Tidak Ada")</f>
        <v>Tidak Ada</v>
      </c>
      <c r="W943" s="4"/>
      <c r="X943" s="4"/>
      <c r="Y943" s="4"/>
      <c r="Z943" s="4"/>
      <c r="AA943" s="4"/>
      <c r="AB943" s="4"/>
      <c r="AC943" s="4" t="str">
        <f>IFERROR(__xludf.DUMMYFUNCTION("""COMPUTED_VALUE"""),"INSPEKSI SUTM - T2_Images/7c762124.FOTO.161041.jpg")</f>
        <v>INSPEKSI SUTM - T2_Images/7c762124.FOTO.161041.jpg</v>
      </c>
      <c r="AD943" s="4"/>
      <c r="AE943" s="4"/>
      <c r="AF943" s="4" t="str">
        <f>IFERROR(__xludf.DUMMYFUNCTION("""COMPUTED_VALUE"""),"BELUM")</f>
        <v>BELUM</v>
      </c>
      <c r="AG943" s="6">
        <f>IFERROR(__xludf.DUMMYFUNCTION("""COMPUTED_VALUE"""),46108.0)</f>
        <v>46108</v>
      </c>
      <c r="AH943" s="4"/>
      <c r="AI943" s="4"/>
    </row>
    <row r="944" ht="15.75" customHeight="1">
      <c r="A944" s="4" t="str">
        <f>IFERROR(__xludf.DUMMYFUNCTION("""COMPUTED_VALUE"""),"ae348e8d")</f>
        <v>ae348e8d</v>
      </c>
      <c r="B944" s="5">
        <f>IFERROR(__xludf.DUMMYFUNCTION("""COMPUTED_VALUE"""),46108.96587962963)</f>
        <v>46108.96588</v>
      </c>
      <c r="C944" s="4" t="str">
        <f>IFERROR(__xludf.DUMMYFUNCTION("""COMPUTED_VALUE"""),"-6.932715, 107.658367")</f>
        <v>-6.932715, 107.658367</v>
      </c>
      <c r="D944" s="4" t="str">
        <f>IFERROR(__xludf.DUMMYFUNCTION("""COMPUTED_VALUE"""),"Jihan kiki")</f>
        <v>Jihan kiki</v>
      </c>
      <c r="E944" s="4" t="str">
        <f>IFERROR(__xludf.DUMMYFUNCTION("""COMPUTED_VALUE"""),"BANDUNG")</f>
        <v>BANDUNG</v>
      </c>
      <c r="F944" s="4" t="str">
        <f>IFERROR(__xludf.DUMMYFUNCTION("""COMPUTED_VALUE"""),"CIJAWURA")</f>
        <v>CIJAWURA</v>
      </c>
      <c r="G944" s="4" t="str">
        <f>IFERROR(__xludf.DUMMYFUNCTION("""COMPUTED_VALUE"""),"GIS KIARACONDONG")</f>
        <v>GIS KIARACONDONG</v>
      </c>
      <c r="H944" s="4" t="str">
        <f>IFERROR(__xludf.DUMMYFUNCTION("""COMPUTED_VALUE"""),"CWRA")</f>
        <v>CWRA</v>
      </c>
      <c r="I944" s="4" t="str">
        <f>IFERROR(__xludf.DUMMYFUNCTION("""COMPUTED_VALUE"""),"DS GSE - GGM")</f>
        <v>DS GSE - GGM</v>
      </c>
      <c r="J944" s="4" t="str">
        <f>IFERROR(__xludf.DUMMYFUNCTION("""COMPUTED_VALUE"""),"ZONA 1")</f>
        <v>ZONA 1</v>
      </c>
      <c r="K944" s="4" t="str">
        <f>IFERROR(__xludf.DUMMYFUNCTION("""COMPUTED_VALUE"""),"009L12")</f>
        <v>009L12</v>
      </c>
      <c r="L944" s="4" t="str">
        <f>IFERROR(__xludf.DUMMYFUNCTION("""COMPUTED_VALUE"""),"TM - 14B/H (Akhir)")</f>
        <v>TM - 14B/H (Akhir)</v>
      </c>
      <c r="M944" s="4" t="str">
        <f>IFERROR(__xludf.DUMMYFUNCTION("""COMPUTED_VALUE"""),"Tidak Ada")</f>
        <v>Tidak Ada</v>
      </c>
      <c r="N944" s="4"/>
      <c r="O944" s="4" t="str">
        <f>IFERROR(__xludf.DUMMYFUNCTION("""COMPUTED_VALUE"""),"PEMBANDING SEJENIS")</f>
        <v>PEMBANDING SEJENIS</v>
      </c>
      <c r="P944" s="4" t="str">
        <f>IFERROR(__xludf.DUMMYFUNCTION("""COMPUTED_VALUE"""),"KONEKTOR/JUMPER")</f>
        <v>KONEKTOR/JUMPER</v>
      </c>
      <c r="Q944" s="4">
        <f>IFERROR(__xludf.DUMMYFUNCTION("""COMPUTED_VALUE"""),21.0)</f>
        <v>21</v>
      </c>
      <c r="R944" s="4">
        <f>IFERROR(__xludf.DUMMYFUNCTION("""COMPUTED_VALUE"""),21.0)</f>
        <v>21</v>
      </c>
      <c r="S944" s="4">
        <f>IFERROR(__xludf.DUMMYFUNCTION("""COMPUTED_VALUE"""),21.0)</f>
        <v>21</v>
      </c>
      <c r="T944" s="4"/>
      <c r="U944" s="4" t="str">
        <f>IFERROR(__xludf.DUMMYFUNCTION("""COMPUTED_VALUE"""),"BAIK")</f>
        <v>BAIK</v>
      </c>
      <c r="V944" s="4" t="str">
        <f>IFERROR(__xludf.DUMMYFUNCTION("""COMPUTED_VALUE"""),"Tidak Ada")</f>
        <v>Tidak Ada</v>
      </c>
      <c r="W944" s="4"/>
      <c r="X944" s="4"/>
      <c r="Y944" s="4"/>
      <c r="Z944" s="4"/>
      <c r="AA944" s="4"/>
      <c r="AB944" s="4"/>
      <c r="AC944" s="4" t="str">
        <f>IFERROR(__xludf.DUMMYFUNCTION("""COMPUTED_VALUE"""),"INSPEKSI SUTM - T2_Images/ae348e8d.FOTO.161131.jpg")</f>
        <v>INSPEKSI SUTM - T2_Images/ae348e8d.FOTO.161131.jpg</v>
      </c>
      <c r="AD944" s="4"/>
      <c r="AE944" s="4"/>
      <c r="AF944" s="4" t="str">
        <f>IFERROR(__xludf.DUMMYFUNCTION("""COMPUTED_VALUE"""),"BELUM")</f>
        <v>BELUM</v>
      </c>
      <c r="AG944" s="6">
        <f>IFERROR(__xludf.DUMMYFUNCTION("""COMPUTED_VALUE"""),46108.0)</f>
        <v>46108</v>
      </c>
      <c r="AH944" s="4"/>
      <c r="AI944" s="4"/>
    </row>
    <row r="945" ht="15.75" customHeight="1">
      <c r="A945" s="4" t="str">
        <f>IFERROR(__xludf.DUMMYFUNCTION("""COMPUTED_VALUE"""),"4629b229")</f>
        <v>4629b229</v>
      </c>
      <c r="B945" s="5">
        <f>IFERROR(__xludf.DUMMYFUNCTION("""COMPUTED_VALUE"""),46109.048483796294)</f>
        <v>46109.04848</v>
      </c>
      <c r="C945" s="4" t="str">
        <f>IFERROR(__xludf.DUMMYFUNCTION("""COMPUTED_VALUE"""),"-6.909000, 107.711785")</f>
        <v>-6.909000, 107.711785</v>
      </c>
      <c r="D945" s="4" t="str">
        <f>IFERROR(__xludf.DUMMYFUNCTION("""COMPUTED_VALUE"""),"Canra heri")</f>
        <v>Canra heri</v>
      </c>
      <c r="E945" s="4" t="str">
        <f>IFERROR(__xludf.DUMMYFUNCTION("""COMPUTED_VALUE"""),"BANDUNG")</f>
        <v>BANDUNG</v>
      </c>
      <c r="F945" s="4" t="str">
        <f>IFERROR(__xludf.DUMMYFUNCTION("""COMPUTED_VALUE"""),"UJUNGBERUNG")</f>
        <v>UJUNGBERUNG</v>
      </c>
      <c r="G945" s="4" t="str">
        <f>IFERROR(__xludf.DUMMYFUNCTION("""COMPUTED_VALUE"""),"UJUNGBERUNG")</f>
        <v>UJUNGBERUNG</v>
      </c>
      <c r="H945" s="4" t="str">
        <f>IFERROR(__xludf.DUMMYFUNCTION("""COMPUTED_VALUE"""),"UTWU")</f>
        <v>UTWU</v>
      </c>
      <c r="I945" s="4" t="str">
        <f>IFERROR(__xludf.DUMMYFUNCTION("""COMPUTED_VALUE"""),"LBS JMR - REC JMR")</f>
        <v>LBS JMR - REC JMR</v>
      </c>
      <c r="J945" s="4"/>
      <c r="K945" s="4" t="str">
        <f>IFERROR(__xludf.DUMMYFUNCTION("""COMPUTED_VALUE"""),"058")</f>
        <v>058</v>
      </c>
      <c r="L945" s="4" t="str">
        <f>IFERROR(__xludf.DUMMYFUNCTION("""COMPUTED_VALUE"""),"TM - 8B/H (Percabangan)")</f>
        <v>TM - 8B/H (Percabangan)</v>
      </c>
      <c r="M945" s="4" t="str">
        <f>IFERROR(__xludf.DUMMYFUNCTION("""COMPUTED_VALUE"""),"Tidak Ada")</f>
        <v>Tidak Ada</v>
      </c>
      <c r="N945" s="4"/>
      <c r="O945" s="4" t="str">
        <f>IFERROR(__xludf.DUMMYFUNCTION("""COMPUTED_VALUE"""),"PEMBANDING SEJENIS")</f>
        <v>PEMBANDING SEJENIS</v>
      </c>
      <c r="P945" s="4" t="str">
        <f>IFERROR(__xludf.DUMMYFUNCTION("""COMPUTED_VALUE"""),"KONEKTOR/JUMPER")</f>
        <v>KONEKTOR/JUMPER</v>
      </c>
      <c r="Q945" s="4">
        <f>IFERROR(__xludf.DUMMYFUNCTION("""COMPUTED_VALUE"""),23.0)</f>
        <v>23</v>
      </c>
      <c r="R945" s="4">
        <f>IFERROR(__xludf.DUMMYFUNCTION("""COMPUTED_VALUE"""),23.0)</f>
        <v>23</v>
      </c>
      <c r="S945" s="4">
        <f>IFERROR(__xludf.DUMMYFUNCTION("""COMPUTED_VALUE"""),24.0)</f>
        <v>24</v>
      </c>
      <c r="T945" s="4"/>
      <c r="U945" s="4" t="str">
        <f>IFERROR(__xludf.DUMMYFUNCTION("""COMPUTED_VALUE"""),"BAIK")</f>
        <v>BAIK</v>
      </c>
      <c r="V945" s="4" t="str">
        <f>IFERROR(__xludf.DUMMYFUNCTION("""COMPUTED_VALUE"""),"Tidak Ada")</f>
        <v>Tidak Ada</v>
      </c>
      <c r="W945" s="4"/>
      <c r="X945" s="4"/>
      <c r="Y945" s="4"/>
      <c r="Z945" s="4"/>
      <c r="AA945" s="4"/>
      <c r="AB945" s="4"/>
      <c r="AC945" s="4" t="str">
        <f>IFERROR(__xludf.DUMMYFUNCTION("""COMPUTED_VALUE"""),"INSPEKSI SUTM - T2_Images/4629b229.FOTO.181206.jpg")</f>
        <v>INSPEKSI SUTM - T2_Images/4629b229.FOTO.181206.jpg</v>
      </c>
      <c r="AD945" s="4"/>
      <c r="AE945" s="4"/>
      <c r="AF945" s="4" t="str">
        <f>IFERROR(__xludf.DUMMYFUNCTION("""COMPUTED_VALUE"""),"BELUM")</f>
        <v>BELUM</v>
      </c>
      <c r="AG945" s="6">
        <f>IFERROR(__xludf.DUMMYFUNCTION("""COMPUTED_VALUE"""),46109.0)</f>
        <v>46109</v>
      </c>
      <c r="AH945" s="4"/>
      <c r="AI945" s="4"/>
    </row>
    <row r="946" ht="15.75" customHeight="1">
      <c r="A946" s="4" t="str">
        <f>IFERROR(__xludf.DUMMYFUNCTION("""COMPUTED_VALUE"""),"36c33a0a")</f>
        <v>36c33a0a</v>
      </c>
      <c r="B946" s="5">
        <f>IFERROR(__xludf.DUMMYFUNCTION("""COMPUTED_VALUE"""),46109.04959490741)</f>
        <v>46109.04959</v>
      </c>
      <c r="C946" s="4" t="str">
        <f>IFERROR(__xludf.DUMMYFUNCTION("""COMPUTED_VALUE"""),"-6.909351, 107.713028")</f>
        <v>-6.909351, 107.713028</v>
      </c>
      <c r="D946" s="4" t="str">
        <f>IFERROR(__xludf.DUMMYFUNCTION("""COMPUTED_VALUE"""),"Canra heri")</f>
        <v>Canra heri</v>
      </c>
      <c r="E946" s="4" t="str">
        <f>IFERROR(__xludf.DUMMYFUNCTION("""COMPUTED_VALUE"""),"BANDUNG")</f>
        <v>BANDUNG</v>
      </c>
      <c r="F946" s="4" t="str">
        <f>IFERROR(__xludf.DUMMYFUNCTION("""COMPUTED_VALUE"""),"UJUNGBERUNG")</f>
        <v>UJUNGBERUNG</v>
      </c>
      <c r="G946" s="4" t="str">
        <f>IFERROR(__xludf.DUMMYFUNCTION("""COMPUTED_VALUE"""),"UJUNGBERUNG")</f>
        <v>UJUNGBERUNG</v>
      </c>
      <c r="H946" s="4" t="str">
        <f>IFERROR(__xludf.DUMMYFUNCTION("""COMPUTED_VALUE"""),"UTWU")</f>
        <v>UTWU</v>
      </c>
      <c r="I946" s="4" t="str">
        <f>IFERROR(__xludf.DUMMYFUNCTION("""COMPUTED_VALUE"""),"LBS JMR - REC JMR")</f>
        <v>LBS JMR - REC JMR</v>
      </c>
      <c r="J946" s="4"/>
      <c r="K946" s="4" t="str">
        <f>IFERROR(__xludf.DUMMYFUNCTION("""COMPUTED_VALUE"""),"058R03")</f>
        <v>058R03</v>
      </c>
      <c r="L946" s="4" t="str">
        <f>IFERROR(__xludf.DUMMYFUNCTION("""COMPUTED_VALUE"""),"TM - 8B/H (Percabangan)")</f>
        <v>TM - 8B/H (Percabangan)</v>
      </c>
      <c r="M946" s="4" t="str">
        <f>IFERROR(__xludf.DUMMYFUNCTION("""COMPUTED_VALUE"""),"Tidak Ada")</f>
        <v>Tidak Ada</v>
      </c>
      <c r="N946" s="4"/>
      <c r="O946" s="4" t="str">
        <f>IFERROR(__xludf.DUMMYFUNCTION("""COMPUTED_VALUE"""),"PEMBANDING SEJENIS")</f>
        <v>PEMBANDING SEJENIS</v>
      </c>
      <c r="P946" s="4" t="str">
        <f>IFERROR(__xludf.DUMMYFUNCTION("""COMPUTED_VALUE"""),"KONEKTOR/JUMPER")</f>
        <v>KONEKTOR/JUMPER</v>
      </c>
      <c r="Q946" s="4">
        <f>IFERROR(__xludf.DUMMYFUNCTION("""COMPUTED_VALUE"""),25.0)</f>
        <v>25</v>
      </c>
      <c r="R946" s="4">
        <f>IFERROR(__xludf.DUMMYFUNCTION("""COMPUTED_VALUE"""),23.0)</f>
        <v>23</v>
      </c>
      <c r="S946" s="4">
        <f>IFERROR(__xludf.DUMMYFUNCTION("""COMPUTED_VALUE"""),23.0)</f>
        <v>23</v>
      </c>
      <c r="T946" s="4"/>
      <c r="U946" s="4" t="str">
        <f>IFERROR(__xludf.DUMMYFUNCTION("""COMPUTED_VALUE"""),"BAIK")</f>
        <v>BAIK</v>
      </c>
      <c r="V946" s="4" t="str">
        <f>IFERROR(__xludf.DUMMYFUNCTION("""COMPUTED_VALUE"""),"Tidak Ada")</f>
        <v>Tidak Ada</v>
      </c>
      <c r="W946" s="4"/>
      <c r="X946" s="4"/>
      <c r="Y946" s="4"/>
      <c r="Z946" s="4"/>
      <c r="AA946" s="4"/>
      <c r="AB946" s="4"/>
      <c r="AC946" s="4" t="str">
        <f>IFERROR(__xludf.DUMMYFUNCTION("""COMPUTED_VALUE"""),"INSPEKSI SUTM - T2_Images/36c33a0a.FOTO.181217.jpg")</f>
        <v>INSPEKSI SUTM - T2_Images/36c33a0a.FOTO.181217.jpg</v>
      </c>
      <c r="AD946" s="4"/>
      <c r="AE946" s="4"/>
      <c r="AF946" s="4" t="str">
        <f>IFERROR(__xludf.DUMMYFUNCTION("""COMPUTED_VALUE"""),"BELUM")</f>
        <v>BELUM</v>
      </c>
      <c r="AG946" s="6">
        <f>IFERROR(__xludf.DUMMYFUNCTION("""COMPUTED_VALUE"""),46109.0)</f>
        <v>46109</v>
      </c>
      <c r="AH946" s="4"/>
      <c r="AI946" s="4"/>
    </row>
    <row r="947" ht="15.75" customHeight="1">
      <c r="A947" s="4" t="str">
        <f>IFERROR(__xludf.DUMMYFUNCTION("""COMPUTED_VALUE"""),"2945058f")</f>
        <v>2945058f</v>
      </c>
      <c r="B947" s="5">
        <f>IFERROR(__xludf.DUMMYFUNCTION("""COMPUTED_VALUE"""),46109.05069444444)</f>
        <v>46109.05069</v>
      </c>
      <c r="C947" s="4" t="str">
        <f>IFERROR(__xludf.DUMMYFUNCTION("""COMPUTED_VALUE"""),"-6.909348, 107.713035")</f>
        <v>-6.909348, 107.713035</v>
      </c>
      <c r="D947" s="4" t="str">
        <f>IFERROR(__xludf.DUMMYFUNCTION("""COMPUTED_VALUE"""),"Canra heri")</f>
        <v>Canra heri</v>
      </c>
      <c r="E947" s="4" t="str">
        <f>IFERROR(__xludf.DUMMYFUNCTION("""COMPUTED_VALUE"""),"BANDUNG")</f>
        <v>BANDUNG</v>
      </c>
      <c r="F947" s="4" t="str">
        <f>IFERROR(__xludf.DUMMYFUNCTION("""COMPUTED_VALUE"""),"UJUNGBERUNG")</f>
        <v>UJUNGBERUNG</v>
      </c>
      <c r="G947" s="4" t="str">
        <f>IFERROR(__xludf.DUMMYFUNCTION("""COMPUTED_VALUE"""),"UJUNGBERUNG")</f>
        <v>UJUNGBERUNG</v>
      </c>
      <c r="H947" s="4" t="str">
        <f>IFERROR(__xludf.DUMMYFUNCTION("""COMPUTED_VALUE"""),"UTWU")</f>
        <v>UTWU</v>
      </c>
      <c r="I947" s="4" t="str">
        <f>IFERROR(__xludf.DUMMYFUNCTION("""COMPUTED_VALUE"""),"LBS JMR - REC JMR")</f>
        <v>LBS JMR - REC JMR</v>
      </c>
      <c r="J947" s="4"/>
      <c r="K947" s="4" t="str">
        <f>IFERROR(__xludf.DUMMYFUNCTION("""COMPUTED_VALUE"""),"058R03R01")</f>
        <v>058R03R01</v>
      </c>
      <c r="L947" s="4" t="str">
        <f>IFERROR(__xludf.DUMMYFUNCTION("""COMPUTED_VALUE"""),"TM - 4B/H (Afspan)")</f>
        <v>TM - 4B/H (Afspan)</v>
      </c>
      <c r="M947" s="4" t="str">
        <f>IFERROR(__xludf.DUMMYFUNCTION("""COMPUTED_VALUE"""),"Gardu")</f>
        <v>Gardu</v>
      </c>
      <c r="N947" s="4" t="str">
        <f>IFERROR(__xludf.DUMMYFUNCTION("""COMPUTED_VALUE"""),"A")</f>
        <v>A</v>
      </c>
      <c r="O947" s="4" t="str">
        <f>IFERROR(__xludf.DUMMYFUNCTION("""COMPUTED_VALUE"""),"PEMBANDING SEJENIS")</f>
        <v>PEMBANDING SEJENIS</v>
      </c>
      <c r="P947" s="4" t="str">
        <f>IFERROR(__xludf.DUMMYFUNCTION("""COMPUTED_VALUE"""),"KONEKTOR/JUMPER")</f>
        <v>KONEKTOR/JUMPER</v>
      </c>
      <c r="Q947" s="4">
        <f>IFERROR(__xludf.DUMMYFUNCTION("""COMPUTED_VALUE"""),24.0)</f>
        <v>24</v>
      </c>
      <c r="R947" s="4">
        <f>IFERROR(__xludf.DUMMYFUNCTION("""COMPUTED_VALUE"""),24.0)</f>
        <v>24</v>
      </c>
      <c r="S947" s="4">
        <f>IFERROR(__xludf.DUMMYFUNCTION("""COMPUTED_VALUE"""),24.0)</f>
        <v>24</v>
      </c>
      <c r="T947" s="4"/>
      <c r="U947" s="4" t="str">
        <f>IFERROR(__xludf.DUMMYFUNCTION("""COMPUTED_VALUE"""),"BAIK")</f>
        <v>BAIK</v>
      </c>
      <c r="V947" s="4" t="str">
        <f>IFERROR(__xludf.DUMMYFUNCTION("""COMPUTED_VALUE"""),"Tidak Ada")</f>
        <v>Tidak Ada</v>
      </c>
      <c r="W947" s="4"/>
      <c r="X947" s="4"/>
      <c r="Y947" s="4"/>
      <c r="Z947" s="4"/>
      <c r="AA947" s="4"/>
      <c r="AB947" s="4"/>
      <c r="AC947" s="4" t="str">
        <f>IFERROR(__xludf.DUMMYFUNCTION("""COMPUTED_VALUE"""),"INSPEKSI SUTM - T2_Images/2945058f.FOTO.181416.jpg")</f>
        <v>INSPEKSI SUTM - T2_Images/2945058f.FOTO.181416.jpg</v>
      </c>
      <c r="AD947" s="4"/>
      <c r="AE947" s="4"/>
      <c r="AF947" s="4" t="str">
        <f>IFERROR(__xludf.DUMMYFUNCTION("""COMPUTED_VALUE"""),"BELUM")</f>
        <v>BELUM</v>
      </c>
      <c r="AG947" s="6">
        <f>IFERROR(__xludf.DUMMYFUNCTION("""COMPUTED_VALUE"""),46109.0)</f>
        <v>46109</v>
      </c>
      <c r="AH947" s="4"/>
      <c r="AI947" s="4"/>
    </row>
    <row r="948" ht="15.75" customHeight="1">
      <c r="A948" s="4" t="str">
        <f>IFERROR(__xludf.DUMMYFUNCTION("""COMPUTED_VALUE"""),"3c9e33d1")</f>
        <v>3c9e33d1</v>
      </c>
      <c r="B948" s="5">
        <f>IFERROR(__xludf.DUMMYFUNCTION("""COMPUTED_VALUE"""),46109.05231481481)</f>
        <v>46109.05231</v>
      </c>
      <c r="C948" s="4" t="str">
        <f>IFERROR(__xludf.DUMMYFUNCTION("""COMPUTED_VALUE"""),"-6.909852, 107.714124")</f>
        <v>-6.909852, 107.714124</v>
      </c>
      <c r="D948" s="4" t="str">
        <f>IFERROR(__xludf.DUMMYFUNCTION("""COMPUTED_VALUE"""),"Canra heru")</f>
        <v>Canra heru</v>
      </c>
      <c r="E948" s="4" t="str">
        <f>IFERROR(__xludf.DUMMYFUNCTION("""COMPUTED_VALUE"""),"BANDUNG")</f>
        <v>BANDUNG</v>
      </c>
      <c r="F948" s="4" t="str">
        <f>IFERROR(__xludf.DUMMYFUNCTION("""COMPUTED_VALUE"""),"UJUNGBERUNG")</f>
        <v>UJUNGBERUNG</v>
      </c>
      <c r="G948" s="4" t="str">
        <f>IFERROR(__xludf.DUMMYFUNCTION("""COMPUTED_VALUE"""),"UJUNGBERUNG")</f>
        <v>UJUNGBERUNG</v>
      </c>
      <c r="H948" s="4" t="str">
        <f>IFERROR(__xludf.DUMMYFUNCTION("""COMPUTED_VALUE"""),"UTWU")</f>
        <v>UTWU</v>
      </c>
      <c r="I948" s="4" t="str">
        <f>IFERROR(__xludf.DUMMYFUNCTION("""COMPUTED_VALUE"""),"LBS JMR - REC JMR")</f>
        <v>LBS JMR - REC JMR</v>
      </c>
      <c r="J948" s="4"/>
      <c r="K948" s="4" t="str">
        <f>IFERROR(__xludf.DUMMYFUNCTION("""COMPUTED_VALUE"""),"058R06")</f>
        <v>058R06</v>
      </c>
      <c r="L948" s="4" t="str">
        <f>IFERROR(__xludf.DUMMYFUNCTION("""COMPUTED_VALUE"""),"TM - 7BC/HC (Afspan 90 Derajat dengan CO)")</f>
        <v>TM - 7BC/HC (Afspan 90 Derajat dengan CO)</v>
      </c>
      <c r="M948" s="4" t="str">
        <f>IFERROR(__xludf.DUMMYFUNCTION("""COMPUTED_VALUE"""),"Tidak Ada")</f>
        <v>Tidak Ada</v>
      </c>
      <c r="N948" s="4"/>
      <c r="O948" s="4" t="str">
        <f>IFERROR(__xludf.DUMMYFUNCTION("""COMPUTED_VALUE"""),"PEMBANDING SEJENIS")</f>
        <v>PEMBANDING SEJENIS</v>
      </c>
      <c r="P948" s="4" t="str">
        <f>IFERROR(__xludf.DUMMYFUNCTION("""COMPUTED_VALUE"""),"KONEKTOR/JUMPER")</f>
        <v>KONEKTOR/JUMPER</v>
      </c>
      <c r="Q948" s="4">
        <f>IFERROR(__xludf.DUMMYFUNCTION("""COMPUTED_VALUE"""),23.0)</f>
        <v>23</v>
      </c>
      <c r="R948" s="4">
        <f>IFERROR(__xludf.DUMMYFUNCTION("""COMPUTED_VALUE"""),24.0)</f>
        <v>24</v>
      </c>
      <c r="S948" s="4">
        <f>IFERROR(__xludf.DUMMYFUNCTION("""COMPUTED_VALUE"""),24.0)</f>
        <v>24</v>
      </c>
      <c r="T948" s="4"/>
      <c r="U948" s="4" t="str">
        <f>IFERROR(__xludf.DUMMYFUNCTION("""COMPUTED_VALUE"""),"BAIK")</f>
        <v>BAIK</v>
      </c>
      <c r="V948" s="4" t="str">
        <f>IFERROR(__xludf.DUMMYFUNCTION("""COMPUTED_VALUE"""),"Tidak Ada")</f>
        <v>Tidak Ada</v>
      </c>
      <c r="W948" s="4"/>
      <c r="X948" s="4"/>
      <c r="Y948" s="4"/>
      <c r="Z948" s="4"/>
      <c r="AA948" s="4"/>
      <c r="AB948" s="4"/>
      <c r="AC948" s="4" t="str">
        <f>IFERROR(__xludf.DUMMYFUNCTION("""COMPUTED_VALUE"""),"INSPEKSI SUTM - T2_Images/3c9e33d1.FOTO.181614.jpg")</f>
        <v>INSPEKSI SUTM - T2_Images/3c9e33d1.FOTO.181614.jpg</v>
      </c>
      <c r="AD948" s="4"/>
      <c r="AE948" s="4"/>
      <c r="AF948" s="4" t="str">
        <f>IFERROR(__xludf.DUMMYFUNCTION("""COMPUTED_VALUE"""),"BELUM")</f>
        <v>BELUM</v>
      </c>
      <c r="AG948" s="6">
        <f>IFERROR(__xludf.DUMMYFUNCTION("""COMPUTED_VALUE"""),46109.0)</f>
        <v>46109</v>
      </c>
      <c r="AH948" s="4"/>
      <c r="AI948" s="4"/>
    </row>
    <row r="949" ht="15.75" customHeight="1">
      <c r="A949" s="4" t="str">
        <f>IFERROR(__xludf.DUMMYFUNCTION("""COMPUTED_VALUE"""),"d4a926f7")</f>
        <v>d4a926f7</v>
      </c>
      <c r="B949" s="5">
        <f>IFERROR(__xludf.DUMMYFUNCTION("""COMPUTED_VALUE"""),46109.053611111114)</f>
        <v>46109.05361</v>
      </c>
      <c r="C949" s="4" t="str">
        <f>IFERROR(__xludf.DUMMYFUNCTION("""COMPUTED_VALUE"""),"-6.909329, 107.714296")</f>
        <v>-6.909329, 107.714296</v>
      </c>
      <c r="D949" s="4" t="str">
        <f>IFERROR(__xludf.DUMMYFUNCTION("""COMPUTED_VALUE"""),"Canra heri")</f>
        <v>Canra heri</v>
      </c>
      <c r="E949" s="4" t="str">
        <f>IFERROR(__xludf.DUMMYFUNCTION("""COMPUTED_VALUE"""),"BANDUNG")</f>
        <v>BANDUNG</v>
      </c>
      <c r="F949" s="4" t="str">
        <f>IFERROR(__xludf.DUMMYFUNCTION("""COMPUTED_VALUE"""),"UJUNGBERUNG")</f>
        <v>UJUNGBERUNG</v>
      </c>
      <c r="G949" s="4" t="str">
        <f>IFERROR(__xludf.DUMMYFUNCTION("""COMPUTED_VALUE"""),"UJUNGBERUNG")</f>
        <v>UJUNGBERUNG</v>
      </c>
      <c r="H949" s="4" t="str">
        <f>IFERROR(__xludf.DUMMYFUNCTION("""COMPUTED_VALUE"""),"UTWU")</f>
        <v>UTWU</v>
      </c>
      <c r="I949" s="4" t="str">
        <f>IFERROR(__xludf.DUMMYFUNCTION("""COMPUTED_VALUE"""),"LBS JMR - REC JMR")</f>
        <v>LBS JMR - REC JMR</v>
      </c>
      <c r="J949" s="4"/>
      <c r="K949" s="4" t="str">
        <f>IFERROR(__xludf.DUMMYFUNCTION("""COMPUTED_VALUE"""),"058R08")</f>
        <v>058R08</v>
      </c>
      <c r="L949" s="4" t="str">
        <f>IFERROR(__xludf.DUMMYFUNCTION("""COMPUTED_VALUE"""),"TM - 8B/H (Percabangan)")</f>
        <v>TM - 8B/H (Percabangan)</v>
      </c>
      <c r="M949" s="4" t="str">
        <f>IFERROR(__xludf.DUMMYFUNCTION("""COMPUTED_VALUE"""),"Tidak Ada")</f>
        <v>Tidak Ada</v>
      </c>
      <c r="N949" s="4"/>
      <c r="O949" s="4" t="str">
        <f>IFERROR(__xludf.DUMMYFUNCTION("""COMPUTED_VALUE"""),"PEMBANDING SEJENIS")</f>
        <v>PEMBANDING SEJENIS</v>
      </c>
      <c r="P949" s="4" t="str">
        <f>IFERROR(__xludf.DUMMYFUNCTION("""COMPUTED_VALUE"""),"KONEKTOR/JUMPER")</f>
        <v>KONEKTOR/JUMPER</v>
      </c>
      <c r="Q949" s="4">
        <f>IFERROR(__xludf.DUMMYFUNCTION("""COMPUTED_VALUE"""),23.0)</f>
        <v>23</v>
      </c>
      <c r="R949" s="4">
        <f>IFERROR(__xludf.DUMMYFUNCTION("""COMPUTED_VALUE"""),22.0)</f>
        <v>22</v>
      </c>
      <c r="S949" s="4">
        <f>IFERROR(__xludf.DUMMYFUNCTION("""COMPUTED_VALUE"""),23.0)</f>
        <v>23</v>
      </c>
      <c r="T949" s="4"/>
      <c r="U949" s="4" t="str">
        <f>IFERROR(__xludf.DUMMYFUNCTION("""COMPUTED_VALUE"""),"BAIK")</f>
        <v>BAIK</v>
      </c>
      <c r="V949" s="4" t="str">
        <f>IFERROR(__xludf.DUMMYFUNCTION("""COMPUTED_VALUE"""),"Tidak Ada")</f>
        <v>Tidak Ada</v>
      </c>
      <c r="W949" s="4"/>
      <c r="X949" s="4"/>
      <c r="Y949" s="4"/>
      <c r="Z949" s="4"/>
      <c r="AA949" s="4"/>
      <c r="AB949" s="4"/>
      <c r="AC949" s="4" t="str">
        <f>IFERROR(__xludf.DUMMYFUNCTION("""COMPUTED_VALUE"""),"INSPEKSI SUTM - T2_Images/d4a926f7.FOTO.181802.jpg")</f>
        <v>INSPEKSI SUTM - T2_Images/d4a926f7.FOTO.181802.jpg</v>
      </c>
      <c r="AD949" s="4"/>
      <c r="AE949" s="4"/>
      <c r="AF949" s="4" t="str">
        <f>IFERROR(__xludf.DUMMYFUNCTION("""COMPUTED_VALUE"""),"BELUM")</f>
        <v>BELUM</v>
      </c>
      <c r="AG949" s="6">
        <f>IFERROR(__xludf.DUMMYFUNCTION("""COMPUTED_VALUE"""),46109.0)</f>
        <v>46109</v>
      </c>
      <c r="AH949" s="4"/>
      <c r="AI949" s="4"/>
    </row>
    <row r="950" ht="15.75" customHeight="1">
      <c r="A950" s="4" t="str">
        <f>IFERROR(__xludf.DUMMYFUNCTION("""COMPUTED_VALUE"""),"1f2b5e96")</f>
        <v>1f2b5e96</v>
      </c>
      <c r="B950" s="5">
        <f>IFERROR(__xludf.DUMMYFUNCTION("""COMPUTED_VALUE"""),46109.05462962963)</f>
        <v>46109.05463</v>
      </c>
      <c r="C950" s="4" t="str">
        <f>IFERROR(__xludf.DUMMYFUNCTION("""COMPUTED_VALUE"""),"-6.908116, 107.714940")</f>
        <v>-6.908116, 107.714940</v>
      </c>
      <c r="D950" s="4" t="str">
        <f>IFERROR(__xludf.DUMMYFUNCTION("""COMPUTED_VALUE"""),"Canra heri")</f>
        <v>Canra heri</v>
      </c>
      <c r="E950" s="4" t="str">
        <f>IFERROR(__xludf.DUMMYFUNCTION("""COMPUTED_VALUE"""),"BANDUNG")</f>
        <v>BANDUNG</v>
      </c>
      <c r="F950" s="4" t="str">
        <f>IFERROR(__xludf.DUMMYFUNCTION("""COMPUTED_VALUE"""),"UJUNGBERUNG")</f>
        <v>UJUNGBERUNG</v>
      </c>
      <c r="G950" s="4" t="str">
        <f>IFERROR(__xludf.DUMMYFUNCTION("""COMPUTED_VALUE"""),"UJUNGBERUNG")</f>
        <v>UJUNGBERUNG</v>
      </c>
      <c r="H950" s="4" t="str">
        <f>IFERROR(__xludf.DUMMYFUNCTION("""COMPUTED_VALUE"""),"UTWU")</f>
        <v>UTWU</v>
      </c>
      <c r="I950" s="4" t="str">
        <f>IFERROR(__xludf.DUMMYFUNCTION("""COMPUTED_VALUE"""),"LBS JMR - REC JMR")</f>
        <v>LBS JMR - REC JMR</v>
      </c>
      <c r="J950" s="4"/>
      <c r="K950" s="4" t="str">
        <f>IFERROR(__xludf.DUMMYFUNCTION("""COMPUTED_VALUE"""),"058R012")</f>
        <v>058R012</v>
      </c>
      <c r="L950" s="4" t="str">
        <f>IFERROR(__xludf.DUMMYFUNCTION("""COMPUTED_VALUE"""),"TM - 8B/H (Percabangan)")</f>
        <v>TM - 8B/H (Percabangan)</v>
      </c>
      <c r="M950" s="4" t="str">
        <f>IFERROR(__xludf.DUMMYFUNCTION("""COMPUTED_VALUE"""),"Tidak Ada")</f>
        <v>Tidak Ada</v>
      </c>
      <c r="N950" s="4"/>
      <c r="O950" s="4" t="str">
        <f>IFERROR(__xludf.DUMMYFUNCTION("""COMPUTED_VALUE"""),"PEMBANDING SEJENIS")</f>
        <v>PEMBANDING SEJENIS</v>
      </c>
      <c r="P950" s="4" t="str">
        <f>IFERROR(__xludf.DUMMYFUNCTION("""COMPUTED_VALUE"""),"KONEKTOR/JUMPER")</f>
        <v>KONEKTOR/JUMPER</v>
      </c>
      <c r="Q950" s="4">
        <f>IFERROR(__xludf.DUMMYFUNCTION("""COMPUTED_VALUE"""),21.0)</f>
        <v>21</v>
      </c>
      <c r="R950" s="4">
        <f>IFERROR(__xludf.DUMMYFUNCTION("""COMPUTED_VALUE"""),23.0)</f>
        <v>23</v>
      </c>
      <c r="S950" s="4">
        <f>IFERROR(__xludf.DUMMYFUNCTION("""COMPUTED_VALUE"""),23.0)</f>
        <v>23</v>
      </c>
      <c r="T950" s="4"/>
      <c r="U950" s="4" t="str">
        <f>IFERROR(__xludf.DUMMYFUNCTION("""COMPUTED_VALUE"""),"BAIK")</f>
        <v>BAIK</v>
      </c>
      <c r="V950" s="4" t="str">
        <f>IFERROR(__xludf.DUMMYFUNCTION("""COMPUTED_VALUE"""),"Tidak Ada")</f>
        <v>Tidak Ada</v>
      </c>
      <c r="W950" s="4"/>
      <c r="X950" s="4"/>
      <c r="Y950" s="4"/>
      <c r="Z950" s="4"/>
      <c r="AA950" s="4"/>
      <c r="AB950" s="4"/>
      <c r="AC950" s="4" t="str">
        <f>IFERROR(__xludf.DUMMYFUNCTION("""COMPUTED_VALUE"""),"INSPEKSI SUTM - T2_Images/1f2b5e96.FOTO.182316.jpg")</f>
        <v>INSPEKSI SUTM - T2_Images/1f2b5e96.FOTO.182316.jpg</v>
      </c>
      <c r="AD950" s="4"/>
      <c r="AE950" s="4"/>
      <c r="AF950" s="4" t="str">
        <f>IFERROR(__xludf.DUMMYFUNCTION("""COMPUTED_VALUE"""),"BELUM")</f>
        <v>BELUM</v>
      </c>
      <c r="AG950" s="6">
        <f>IFERROR(__xludf.DUMMYFUNCTION("""COMPUTED_VALUE"""),46109.0)</f>
        <v>46109</v>
      </c>
      <c r="AH950" s="4"/>
      <c r="AI950" s="4"/>
    </row>
    <row r="951" ht="15.75" customHeight="1">
      <c r="A951" s="4" t="str">
        <f>IFERROR(__xludf.DUMMYFUNCTION("""COMPUTED_VALUE"""),"9f477dd1")</f>
        <v>9f477dd1</v>
      </c>
      <c r="B951" s="5">
        <f>IFERROR(__xludf.DUMMYFUNCTION("""COMPUTED_VALUE"""),46109.05563657408)</f>
        <v>46109.05564</v>
      </c>
      <c r="C951" s="4" t="str">
        <f>IFERROR(__xludf.DUMMYFUNCTION("""COMPUTED_VALUE"""),"-6.907297, 107.715682")</f>
        <v>-6.907297, 107.715682</v>
      </c>
      <c r="D951" s="4" t="str">
        <f>IFERROR(__xludf.DUMMYFUNCTION("""COMPUTED_VALUE"""),"Canra heri")</f>
        <v>Canra heri</v>
      </c>
      <c r="E951" s="4" t="str">
        <f>IFERROR(__xludf.DUMMYFUNCTION("""COMPUTED_VALUE"""),"BANDUNG")</f>
        <v>BANDUNG</v>
      </c>
      <c r="F951" s="4" t="str">
        <f>IFERROR(__xludf.DUMMYFUNCTION("""COMPUTED_VALUE"""),"UJUNGBERUNG")</f>
        <v>UJUNGBERUNG</v>
      </c>
      <c r="G951" s="4" t="str">
        <f>IFERROR(__xludf.DUMMYFUNCTION("""COMPUTED_VALUE"""),"UJUNGBERUNG")</f>
        <v>UJUNGBERUNG</v>
      </c>
      <c r="H951" s="4" t="str">
        <f>IFERROR(__xludf.DUMMYFUNCTION("""COMPUTED_VALUE"""),"UTWU")</f>
        <v>UTWU</v>
      </c>
      <c r="I951" s="4" t="str">
        <f>IFERROR(__xludf.DUMMYFUNCTION("""COMPUTED_VALUE"""),"LBS JMR - REC JMR")</f>
        <v>LBS JMR - REC JMR</v>
      </c>
      <c r="J951" s="4"/>
      <c r="K951" s="4" t="str">
        <f>IFERROR(__xludf.DUMMYFUNCTION("""COMPUTED_VALUE"""),"058R015")</f>
        <v>058R015</v>
      </c>
      <c r="L951" s="4" t="str">
        <f>IFERROR(__xludf.DUMMYFUNCTION("""COMPUTED_VALUE"""),"TM - 8B/H (Percabangan)")</f>
        <v>TM - 8B/H (Percabangan)</v>
      </c>
      <c r="M951" s="4" t="str">
        <f>IFERROR(__xludf.DUMMYFUNCTION("""COMPUTED_VALUE"""),"Tidak Ada")</f>
        <v>Tidak Ada</v>
      </c>
      <c r="N951" s="4"/>
      <c r="O951" s="4" t="str">
        <f>IFERROR(__xludf.DUMMYFUNCTION("""COMPUTED_VALUE"""),"PEMBANDING SEJENIS")</f>
        <v>PEMBANDING SEJENIS</v>
      </c>
      <c r="P951" s="4" t="str">
        <f>IFERROR(__xludf.DUMMYFUNCTION("""COMPUTED_VALUE"""),"KONEKTOR/JUMPER")</f>
        <v>KONEKTOR/JUMPER</v>
      </c>
      <c r="Q951" s="4">
        <f>IFERROR(__xludf.DUMMYFUNCTION("""COMPUTED_VALUE"""),23.0)</f>
        <v>23</v>
      </c>
      <c r="R951" s="4">
        <f>IFERROR(__xludf.DUMMYFUNCTION("""COMPUTED_VALUE"""),23.0)</f>
        <v>23</v>
      </c>
      <c r="S951" s="4">
        <f>IFERROR(__xludf.DUMMYFUNCTION("""COMPUTED_VALUE"""),22.0)</f>
        <v>22</v>
      </c>
      <c r="T951" s="4"/>
      <c r="U951" s="4" t="str">
        <f>IFERROR(__xludf.DUMMYFUNCTION("""COMPUTED_VALUE"""),"BAIK")</f>
        <v>BAIK</v>
      </c>
      <c r="V951" s="4" t="str">
        <f>IFERROR(__xludf.DUMMYFUNCTION("""COMPUTED_VALUE"""),"Tidak Ada")</f>
        <v>Tidak Ada</v>
      </c>
      <c r="W951" s="4"/>
      <c r="X951" s="4"/>
      <c r="Y951" s="4"/>
      <c r="Z951" s="4"/>
      <c r="AA951" s="4"/>
      <c r="AB951" s="4"/>
      <c r="AC951" s="4" t="str">
        <f>IFERROR(__xludf.DUMMYFUNCTION("""COMPUTED_VALUE"""),"INSPEKSI SUTM - T2_Images/9f477dd1.FOTO.182321.jpg")</f>
        <v>INSPEKSI SUTM - T2_Images/9f477dd1.FOTO.182321.jpg</v>
      </c>
      <c r="AD951" s="4"/>
      <c r="AE951" s="4"/>
      <c r="AF951" s="4" t="str">
        <f>IFERROR(__xludf.DUMMYFUNCTION("""COMPUTED_VALUE"""),"BELUM")</f>
        <v>BELUM</v>
      </c>
      <c r="AG951" s="6">
        <f>IFERROR(__xludf.DUMMYFUNCTION("""COMPUTED_VALUE"""),46109.0)</f>
        <v>46109</v>
      </c>
      <c r="AH951" s="4"/>
      <c r="AI951" s="4"/>
    </row>
    <row r="952" ht="15.75" customHeight="1">
      <c r="A952" s="4" t="str">
        <f>IFERROR(__xludf.DUMMYFUNCTION("""COMPUTED_VALUE"""),"134ddb90")</f>
        <v>134ddb90</v>
      </c>
      <c r="B952" s="5">
        <f>IFERROR(__xludf.DUMMYFUNCTION("""COMPUTED_VALUE"""),46109.05677083333)</f>
        <v>46109.05677</v>
      </c>
      <c r="C952" s="4" t="str">
        <f>IFERROR(__xludf.DUMMYFUNCTION("""COMPUTED_VALUE"""),"-6.906548, 107.717279")</f>
        <v>-6.906548, 107.717279</v>
      </c>
      <c r="D952" s="4" t="str">
        <f>IFERROR(__xludf.DUMMYFUNCTION("""COMPUTED_VALUE"""),"Canra heri")</f>
        <v>Canra heri</v>
      </c>
      <c r="E952" s="4" t="str">
        <f>IFERROR(__xludf.DUMMYFUNCTION("""COMPUTED_VALUE"""),"BANDUNG")</f>
        <v>BANDUNG</v>
      </c>
      <c r="F952" s="4" t="str">
        <f>IFERROR(__xludf.DUMMYFUNCTION("""COMPUTED_VALUE"""),"UJUNGBERUNG")</f>
        <v>UJUNGBERUNG</v>
      </c>
      <c r="G952" s="4" t="str">
        <f>IFERROR(__xludf.DUMMYFUNCTION("""COMPUTED_VALUE"""),"UJUNGBERUNG")</f>
        <v>UJUNGBERUNG</v>
      </c>
      <c r="H952" s="4" t="str">
        <f>IFERROR(__xludf.DUMMYFUNCTION("""COMPUTED_VALUE"""),"UTWU")</f>
        <v>UTWU</v>
      </c>
      <c r="I952" s="4" t="str">
        <f>IFERROR(__xludf.DUMMYFUNCTION("""COMPUTED_VALUE"""),"LBS JMR - REC JMR")</f>
        <v>LBS JMR - REC JMR</v>
      </c>
      <c r="J952" s="4"/>
      <c r="K952" s="4" t="str">
        <f>IFERROR(__xludf.DUMMYFUNCTION("""COMPUTED_VALUE"""),"058R015L05")</f>
        <v>058R015L05</v>
      </c>
      <c r="L952" s="4" t="str">
        <f>IFERROR(__xludf.DUMMYFUNCTION("""COMPUTED_VALUE"""),"TM - 4BC/HC (Afspan dengan CO)")</f>
        <v>TM - 4BC/HC (Afspan dengan CO)</v>
      </c>
      <c r="M952" s="4" t="str">
        <f>IFERROR(__xludf.DUMMYFUNCTION("""COMPUTED_VALUE"""),"Tidak Ada")</f>
        <v>Tidak Ada</v>
      </c>
      <c r="N952" s="4"/>
      <c r="O952" s="4" t="str">
        <f>IFERROR(__xludf.DUMMYFUNCTION("""COMPUTED_VALUE"""),"PEMBANDING SEJENIS")</f>
        <v>PEMBANDING SEJENIS</v>
      </c>
      <c r="P952" s="4" t="str">
        <f>IFERROR(__xludf.DUMMYFUNCTION("""COMPUTED_VALUE"""),"FCO")</f>
        <v>FCO</v>
      </c>
      <c r="Q952" s="4">
        <f>IFERROR(__xludf.DUMMYFUNCTION("""COMPUTED_VALUE"""),21.0)</f>
        <v>21</v>
      </c>
      <c r="R952" s="4">
        <f>IFERROR(__xludf.DUMMYFUNCTION("""COMPUTED_VALUE"""),21.0)</f>
        <v>21</v>
      </c>
      <c r="S952" s="4">
        <f>IFERROR(__xludf.DUMMYFUNCTION("""COMPUTED_VALUE"""),23.0)</f>
        <v>23</v>
      </c>
      <c r="T952" s="4"/>
      <c r="U952" s="4" t="str">
        <f>IFERROR(__xludf.DUMMYFUNCTION("""COMPUTED_VALUE"""),"BAIK")</f>
        <v>BAIK</v>
      </c>
      <c r="V952" s="4" t="str">
        <f>IFERROR(__xludf.DUMMYFUNCTION("""COMPUTED_VALUE"""),"Tidak Ada")</f>
        <v>Tidak Ada</v>
      </c>
      <c r="W952" s="4"/>
      <c r="X952" s="4"/>
      <c r="Y952" s="4"/>
      <c r="Z952" s="4"/>
      <c r="AA952" s="4"/>
      <c r="AB952" s="4"/>
      <c r="AC952" s="4" t="str">
        <f>IFERROR(__xludf.DUMMYFUNCTION("""COMPUTED_VALUE"""),"INSPEKSI SUTM - T2_Images/134ddb90.FOTO.182326.jpg")</f>
        <v>INSPEKSI SUTM - T2_Images/134ddb90.FOTO.182326.jpg</v>
      </c>
      <c r="AD952" s="4"/>
      <c r="AE952" s="4"/>
      <c r="AF952" s="4" t="str">
        <f>IFERROR(__xludf.DUMMYFUNCTION("""COMPUTED_VALUE"""),"BELUM")</f>
        <v>BELUM</v>
      </c>
      <c r="AG952" s="6">
        <f>IFERROR(__xludf.DUMMYFUNCTION("""COMPUTED_VALUE"""),46109.0)</f>
        <v>46109</v>
      </c>
      <c r="AH952" s="4"/>
      <c r="AI952" s="4"/>
    </row>
    <row r="953" ht="15.75" customHeight="1">
      <c r="A953" s="4" t="str">
        <f>IFERROR(__xludf.DUMMYFUNCTION("""COMPUTED_VALUE"""),"86b95b60")</f>
        <v>86b95b60</v>
      </c>
      <c r="B953" s="5">
        <f>IFERROR(__xludf.DUMMYFUNCTION("""COMPUTED_VALUE"""),46109.05773148148)</f>
        <v>46109.05773</v>
      </c>
      <c r="C953" s="4" t="str">
        <f>IFERROR(__xludf.DUMMYFUNCTION("""COMPUTED_VALUE"""),"-6.906069, 107.717838")</f>
        <v>-6.906069, 107.717838</v>
      </c>
      <c r="D953" s="4" t="str">
        <f>IFERROR(__xludf.DUMMYFUNCTION("""COMPUTED_VALUE"""),"Canra heri")</f>
        <v>Canra heri</v>
      </c>
      <c r="E953" s="4" t="str">
        <f>IFERROR(__xludf.DUMMYFUNCTION("""COMPUTED_VALUE"""),"BANDUNG")</f>
        <v>BANDUNG</v>
      </c>
      <c r="F953" s="4" t="str">
        <f>IFERROR(__xludf.DUMMYFUNCTION("""COMPUTED_VALUE"""),"UJUNGBERUNG")</f>
        <v>UJUNGBERUNG</v>
      </c>
      <c r="G953" s="4" t="str">
        <f>IFERROR(__xludf.DUMMYFUNCTION("""COMPUTED_VALUE"""),"UJUNGBERUNG")</f>
        <v>UJUNGBERUNG</v>
      </c>
      <c r="H953" s="4" t="str">
        <f>IFERROR(__xludf.DUMMYFUNCTION("""COMPUTED_VALUE"""),"UTWU")</f>
        <v>UTWU</v>
      </c>
      <c r="I953" s="4" t="str">
        <f>IFERROR(__xludf.DUMMYFUNCTION("""COMPUTED_VALUE"""),"LBS JMR - REC JMR")</f>
        <v>LBS JMR - REC JMR</v>
      </c>
      <c r="J953" s="4"/>
      <c r="K953" s="4" t="str">
        <f>IFERROR(__xludf.DUMMYFUNCTION("""COMPUTED_VALUE"""),"058R015L07")</f>
        <v>058R015L07</v>
      </c>
      <c r="L953" s="4" t="str">
        <f>IFERROR(__xludf.DUMMYFUNCTION("""COMPUTED_VALUE"""),"TM - 7B/H (Afspan 90 Derajat)")</f>
        <v>TM - 7B/H (Afspan 90 Derajat)</v>
      </c>
      <c r="M953" s="4" t="str">
        <f>IFERROR(__xludf.DUMMYFUNCTION("""COMPUTED_VALUE"""),"Tidak Ada")</f>
        <v>Tidak Ada</v>
      </c>
      <c r="N953" s="4"/>
      <c r="O953" s="4" t="str">
        <f>IFERROR(__xludf.DUMMYFUNCTION("""COMPUTED_VALUE"""),"PEMBANDING SEJENIS")</f>
        <v>PEMBANDING SEJENIS</v>
      </c>
      <c r="P953" s="4" t="str">
        <f>IFERROR(__xludf.DUMMYFUNCTION("""COMPUTED_VALUE"""),"KONEKTOR/JUMPER")</f>
        <v>KONEKTOR/JUMPER</v>
      </c>
      <c r="Q953" s="4">
        <f>IFERROR(__xludf.DUMMYFUNCTION("""COMPUTED_VALUE"""),23.0)</f>
        <v>23</v>
      </c>
      <c r="R953" s="4">
        <f>IFERROR(__xludf.DUMMYFUNCTION("""COMPUTED_VALUE"""),23.0)</f>
        <v>23</v>
      </c>
      <c r="S953" s="4">
        <f>IFERROR(__xludf.DUMMYFUNCTION("""COMPUTED_VALUE"""),23.0)</f>
        <v>23</v>
      </c>
      <c r="T953" s="4"/>
      <c r="U953" s="4" t="str">
        <f>IFERROR(__xludf.DUMMYFUNCTION("""COMPUTED_VALUE"""),"BAIK")</f>
        <v>BAIK</v>
      </c>
      <c r="V953" s="4" t="str">
        <f>IFERROR(__xludf.DUMMYFUNCTION("""COMPUTED_VALUE"""),"Tidak Ada")</f>
        <v>Tidak Ada</v>
      </c>
      <c r="W953" s="4"/>
      <c r="X953" s="4"/>
      <c r="Y953" s="4"/>
      <c r="Z953" s="4"/>
      <c r="AA953" s="4"/>
      <c r="AB953" s="4"/>
      <c r="AC953" s="4" t="str">
        <f>IFERROR(__xludf.DUMMYFUNCTION("""COMPUTED_VALUE"""),"INSPEKSI SUTM - T2_Images/86b95b60.FOTO.182403.jpg")</f>
        <v>INSPEKSI SUTM - T2_Images/86b95b60.FOTO.182403.jpg</v>
      </c>
      <c r="AD953" s="4"/>
      <c r="AE953" s="4"/>
      <c r="AF953" s="4" t="str">
        <f>IFERROR(__xludf.DUMMYFUNCTION("""COMPUTED_VALUE"""),"BELUM")</f>
        <v>BELUM</v>
      </c>
      <c r="AG953" s="6">
        <f>IFERROR(__xludf.DUMMYFUNCTION("""COMPUTED_VALUE"""),46109.0)</f>
        <v>46109</v>
      </c>
      <c r="AH953" s="4"/>
      <c r="AI953" s="4"/>
    </row>
    <row r="954" ht="15.75" customHeight="1">
      <c r="A954" s="4" t="str">
        <f>IFERROR(__xludf.DUMMYFUNCTION("""COMPUTED_VALUE"""),"d9a27c79")</f>
        <v>d9a27c79</v>
      </c>
      <c r="B954" s="5">
        <f>IFERROR(__xludf.DUMMYFUNCTION("""COMPUTED_VALUE"""),46109.05876157407)</f>
        <v>46109.05876</v>
      </c>
      <c r="C954" s="4" t="str">
        <f>IFERROR(__xludf.DUMMYFUNCTION("""COMPUTED_VALUE"""),"-6.906076, 107.717830")</f>
        <v>-6.906076, 107.717830</v>
      </c>
      <c r="D954" s="4" t="str">
        <f>IFERROR(__xludf.DUMMYFUNCTION("""COMPUTED_VALUE"""),"Canra heri")</f>
        <v>Canra heri</v>
      </c>
      <c r="E954" s="4" t="str">
        <f>IFERROR(__xludf.DUMMYFUNCTION("""COMPUTED_VALUE"""),"BANDUNG")</f>
        <v>BANDUNG</v>
      </c>
      <c r="F954" s="4" t="str">
        <f>IFERROR(__xludf.DUMMYFUNCTION("""COMPUTED_VALUE"""),"UJUNGBERUNG")</f>
        <v>UJUNGBERUNG</v>
      </c>
      <c r="G954" s="4" t="str">
        <f>IFERROR(__xludf.DUMMYFUNCTION("""COMPUTED_VALUE"""),"UJUNGBERUNG")</f>
        <v>UJUNGBERUNG</v>
      </c>
      <c r="H954" s="4" t="str">
        <f>IFERROR(__xludf.DUMMYFUNCTION("""COMPUTED_VALUE"""),"UTWU")</f>
        <v>UTWU</v>
      </c>
      <c r="I954" s="4" t="str">
        <f>IFERROR(__xludf.DUMMYFUNCTION("""COMPUTED_VALUE"""),"LBS JMR - REC JMR")</f>
        <v>LBS JMR - REC JMR</v>
      </c>
      <c r="J954" s="4"/>
      <c r="K954" s="4" t="str">
        <f>IFERROR(__xludf.DUMMYFUNCTION("""COMPUTED_VALUE"""),"058R015L08")</f>
        <v>058R015L08</v>
      </c>
      <c r="L954" s="4" t="str">
        <f>IFERROR(__xludf.DUMMYFUNCTION("""COMPUTED_VALUE"""),"TM - 4B/H (Afspan)")</f>
        <v>TM - 4B/H (Afspan)</v>
      </c>
      <c r="M954" s="4" t="str">
        <f>IFERROR(__xludf.DUMMYFUNCTION("""COMPUTED_VALUE"""),"Tidak Ada")</f>
        <v>Tidak Ada</v>
      </c>
      <c r="N954" s="4"/>
      <c r="O954" s="4" t="str">
        <f>IFERROR(__xludf.DUMMYFUNCTION("""COMPUTED_VALUE"""),"PEMBANDING SEJENIS")</f>
        <v>PEMBANDING SEJENIS</v>
      </c>
      <c r="P954" s="4" t="str">
        <f>IFERROR(__xludf.DUMMYFUNCTION("""COMPUTED_VALUE"""),"KONEKTOR/JUMPER")</f>
        <v>KONEKTOR/JUMPER</v>
      </c>
      <c r="Q954" s="4">
        <f>IFERROR(__xludf.DUMMYFUNCTION("""COMPUTED_VALUE"""),23.0)</f>
        <v>23</v>
      </c>
      <c r="R954" s="4">
        <f>IFERROR(__xludf.DUMMYFUNCTION("""COMPUTED_VALUE"""),22.0)</f>
        <v>22</v>
      </c>
      <c r="S954" s="4">
        <f>IFERROR(__xludf.DUMMYFUNCTION("""COMPUTED_VALUE"""),22.0)</f>
        <v>22</v>
      </c>
      <c r="T954" s="4"/>
      <c r="U954" s="4" t="str">
        <f>IFERROR(__xludf.DUMMYFUNCTION("""COMPUTED_VALUE"""),"BAIK")</f>
        <v>BAIK</v>
      </c>
      <c r="V954" s="4" t="str">
        <f>IFERROR(__xludf.DUMMYFUNCTION("""COMPUTED_VALUE"""),"Tidak Ada")</f>
        <v>Tidak Ada</v>
      </c>
      <c r="W954" s="4"/>
      <c r="X954" s="4"/>
      <c r="Y954" s="4"/>
      <c r="Z954" s="4"/>
      <c r="AA954" s="4"/>
      <c r="AB954" s="4"/>
      <c r="AC954" s="4" t="str">
        <f>IFERROR(__xludf.DUMMYFUNCTION("""COMPUTED_VALUE"""),"INSPEKSI SUTM - T2_Images/d9a27c79.FOTO.182522.jpg")</f>
        <v>INSPEKSI SUTM - T2_Images/d9a27c79.FOTO.182522.jpg</v>
      </c>
      <c r="AD954" s="4"/>
      <c r="AE954" s="4"/>
      <c r="AF954" s="4" t="str">
        <f>IFERROR(__xludf.DUMMYFUNCTION("""COMPUTED_VALUE"""),"BELUM")</f>
        <v>BELUM</v>
      </c>
      <c r="AG954" s="6">
        <f>IFERROR(__xludf.DUMMYFUNCTION("""COMPUTED_VALUE"""),46109.0)</f>
        <v>46109</v>
      </c>
      <c r="AH954" s="4"/>
      <c r="AI954" s="4"/>
    </row>
    <row r="955" ht="15.75" customHeight="1">
      <c r="A955" s="4" t="str">
        <f>IFERROR(__xludf.DUMMYFUNCTION("""COMPUTED_VALUE"""),"3680a99a")</f>
        <v>3680a99a</v>
      </c>
      <c r="B955" s="5">
        <f>IFERROR(__xludf.DUMMYFUNCTION("""COMPUTED_VALUE"""),46109.05976851852)</f>
        <v>46109.05977</v>
      </c>
      <c r="C955" s="4" t="str">
        <f>IFERROR(__xludf.DUMMYFUNCTION("""COMPUTED_VALUE"""),"-6.908050, 107.716453")</f>
        <v>-6.908050, 107.716453</v>
      </c>
      <c r="D955" s="4" t="str">
        <f>IFERROR(__xludf.DUMMYFUNCTION("""COMPUTED_VALUE"""),"Canra heri")</f>
        <v>Canra heri</v>
      </c>
      <c r="E955" s="4" t="str">
        <f>IFERROR(__xludf.DUMMYFUNCTION("""COMPUTED_VALUE"""),"BANDUNG")</f>
        <v>BANDUNG</v>
      </c>
      <c r="F955" s="4" t="str">
        <f>IFERROR(__xludf.DUMMYFUNCTION("""COMPUTED_VALUE"""),"UJUNGBERUNG")</f>
        <v>UJUNGBERUNG</v>
      </c>
      <c r="G955" s="4" t="str">
        <f>IFERROR(__xludf.DUMMYFUNCTION("""COMPUTED_VALUE"""),"UJUNGBERUNG")</f>
        <v>UJUNGBERUNG</v>
      </c>
      <c r="H955" s="4" t="str">
        <f>IFERROR(__xludf.DUMMYFUNCTION("""COMPUTED_VALUE"""),"UTWU")</f>
        <v>UTWU</v>
      </c>
      <c r="I955" s="4" t="str">
        <f>IFERROR(__xludf.DUMMYFUNCTION("""COMPUTED_VALUE"""),"LBS JMR - REC JMR")</f>
        <v>LBS JMR - REC JMR</v>
      </c>
      <c r="J955" s="4"/>
      <c r="K955" s="4" t="str">
        <f>IFERROR(__xludf.DUMMYFUNCTION("""COMPUTED_VALUE"""),"058R018")</f>
        <v>058R018</v>
      </c>
      <c r="L955" s="4" t="str">
        <f>IFERROR(__xludf.DUMMYFUNCTION("""COMPUTED_VALUE"""),"TM - 8B/H (Percabangan)")</f>
        <v>TM - 8B/H (Percabangan)</v>
      </c>
      <c r="M955" s="4" t="str">
        <f>IFERROR(__xludf.DUMMYFUNCTION("""COMPUTED_VALUE"""),"Tidak Ada")</f>
        <v>Tidak Ada</v>
      </c>
      <c r="N955" s="4"/>
      <c r="O955" s="4" t="str">
        <f>IFERROR(__xludf.DUMMYFUNCTION("""COMPUTED_VALUE"""),"PEMBANDING SEJENIS")</f>
        <v>PEMBANDING SEJENIS</v>
      </c>
      <c r="P955" s="4" t="str">
        <f>IFERROR(__xludf.DUMMYFUNCTION("""COMPUTED_VALUE"""),"KONEKTOR/JUMPER")</f>
        <v>KONEKTOR/JUMPER</v>
      </c>
      <c r="Q955" s="4">
        <f>IFERROR(__xludf.DUMMYFUNCTION("""COMPUTED_VALUE"""),22.0)</f>
        <v>22</v>
      </c>
      <c r="R955" s="4">
        <f>IFERROR(__xludf.DUMMYFUNCTION("""COMPUTED_VALUE"""),22.0)</f>
        <v>22</v>
      </c>
      <c r="S955" s="4">
        <f>IFERROR(__xludf.DUMMYFUNCTION("""COMPUTED_VALUE"""),24.0)</f>
        <v>24</v>
      </c>
      <c r="T955" s="4"/>
      <c r="U955" s="4" t="str">
        <f>IFERROR(__xludf.DUMMYFUNCTION("""COMPUTED_VALUE"""),"BAIK")</f>
        <v>BAIK</v>
      </c>
      <c r="V955" s="4" t="str">
        <f>IFERROR(__xludf.DUMMYFUNCTION("""COMPUTED_VALUE"""),"Tidak Ada")</f>
        <v>Tidak Ada</v>
      </c>
      <c r="W955" s="4"/>
      <c r="X955" s="4"/>
      <c r="Y955" s="4"/>
      <c r="Z955" s="4"/>
      <c r="AA955" s="4"/>
      <c r="AB955" s="4"/>
      <c r="AC955" s="4" t="str">
        <f>IFERROR(__xludf.DUMMYFUNCTION("""COMPUTED_VALUE"""),"INSPEKSI SUTM - T2_Images/3680a99a.FOTO.183024.jpg")</f>
        <v>INSPEKSI SUTM - T2_Images/3680a99a.FOTO.183024.jpg</v>
      </c>
      <c r="AD955" s="4"/>
      <c r="AE955" s="4"/>
      <c r="AF955" s="4" t="str">
        <f>IFERROR(__xludf.DUMMYFUNCTION("""COMPUTED_VALUE"""),"BELUM")</f>
        <v>BELUM</v>
      </c>
      <c r="AG955" s="6">
        <f>IFERROR(__xludf.DUMMYFUNCTION("""COMPUTED_VALUE"""),46109.0)</f>
        <v>46109</v>
      </c>
      <c r="AH955" s="4"/>
      <c r="AI955" s="4"/>
    </row>
    <row r="956" ht="15.75" customHeight="1">
      <c r="A956" s="4" t="str">
        <f>IFERROR(__xludf.DUMMYFUNCTION("""COMPUTED_VALUE"""),"c6d7770c")</f>
        <v>c6d7770c</v>
      </c>
      <c r="B956" s="5">
        <f>IFERROR(__xludf.DUMMYFUNCTION("""COMPUTED_VALUE"""),46109.06082175926)</f>
        <v>46109.06082</v>
      </c>
      <c r="C956" s="4" t="str">
        <f>IFERROR(__xludf.DUMMYFUNCTION("""COMPUTED_VALUE"""),"-6.907678, 107.716922")</f>
        <v>-6.907678, 107.716922</v>
      </c>
      <c r="D956" s="4" t="str">
        <f>IFERROR(__xludf.DUMMYFUNCTION("""COMPUTED_VALUE"""),"Canra heri")</f>
        <v>Canra heri</v>
      </c>
      <c r="E956" s="4" t="str">
        <f>IFERROR(__xludf.DUMMYFUNCTION("""COMPUTED_VALUE"""),"BANDUNG")</f>
        <v>BANDUNG</v>
      </c>
      <c r="F956" s="4" t="str">
        <f>IFERROR(__xludf.DUMMYFUNCTION("""COMPUTED_VALUE"""),"UJUNGBERUNG")</f>
        <v>UJUNGBERUNG</v>
      </c>
      <c r="G956" s="4" t="str">
        <f>IFERROR(__xludf.DUMMYFUNCTION("""COMPUTED_VALUE"""),"UJUNGBERUNG")</f>
        <v>UJUNGBERUNG</v>
      </c>
      <c r="H956" s="4" t="str">
        <f>IFERROR(__xludf.DUMMYFUNCTION("""COMPUTED_VALUE"""),"UTWU")</f>
        <v>UTWU</v>
      </c>
      <c r="I956" s="4" t="str">
        <f>IFERROR(__xludf.DUMMYFUNCTION("""COMPUTED_VALUE"""),"LBS JMR - REC JMR")</f>
        <v>LBS JMR - REC JMR</v>
      </c>
      <c r="J956" s="4"/>
      <c r="K956" s="4" t="str">
        <f>IFERROR(__xludf.DUMMYFUNCTION("""COMPUTED_VALUE"""),"058R020")</f>
        <v>058R020</v>
      </c>
      <c r="L956" s="4" t="str">
        <f>IFERROR(__xludf.DUMMYFUNCTION("""COMPUTED_VALUE"""),"TM - 14B/H (Akhir)")</f>
        <v>TM - 14B/H (Akhir)</v>
      </c>
      <c r="M956" s="4" t="str">
        <f>IFERROR(__xludf.DUMMYFUNCTION("""COMPUTED_VALUE"""),"Tidak Ada")</f>
        <v>Tidak Ada</v>
      </c>
      <c r="N956" s="4"/>
      <c r="O956" s="4" t="str">
        <f>IFERROR(__xludf.DUMMYFUNCTION("""COMPUTED_VALUE"""),"PEMBANDING SEJENIS")</f>
        <v>PEMBANDING SEJENIS</v>
      </c>
      <c r="P956" s="4" t="str">
        <f>IFERROR(__xludf.DUMMYFUNCTION("""COMPUTED_VALUE"""),"KONEKTOR/JUMPER")</f>
        <v>KONEKTOR/JUMPER</v>
      </c>
      <c r="Q956" s="4">
        <f>IFERROR(__xludf.DUMMYFUNCTION("""COMPUTED_VALUE"""),23.0)</f>
        <v>23</v>
      </c>
      <c r="R956" s="4">
        <f>IFERROR(__xludf.DUMMYFUNCTION("""COMPUTED_VALUE"""),23.0)</f>
        <v>23</v>
      </c>
      <c r="S956" s="4">
        <f>IFERROR(__xludf.DUMMYFUNCTION("""COMPUTED_VALUE"""),23.0)</f>
        <v>23</v>
      </c>
      <c r="T956" s="4"/>
      <c r="U956" s="4" t="str">
        <f>IFERROR(__xludf.DUMMYFUNCTION("""COMPUTED_VALUE"""),"BAIK")</f>
        <v>BAIK</v>
      </c>
      <c r="V956" s="4" t="str">
        <f>IFERROR(__xludf.DUMMYFUNCTION("""COMPUTED_VALUE"""),"Tidak Ada")</f>
        <v>Tidak Ada</v>
      </c>
      <c r="W956" s="4"/>
      <c r="X956" s="4"/>
      <c r="Y956" s="4"/>
      <c r="Z956" s="4"/>
      <c r="AA956" s="4"/>
      <c r="AB956" s="4"/>
      <c r="AC956" s="4" t="str">
        <f>IFERROR(__xludf.DUMMYFUNCTION("""COMPUTED_VALUE"""),"INSPEKSI SUTM - T2_Images/c6d7770c.FOTO.183029.jpg")</f>
        <v>INSPEKSI SUTM - T2_Images/c6d7770c.FOTO.183029.jpg</v>
      </c>
      <c r="AD956" s="4"/>
      <c r="AE956" s="4"/>
      <c r="AF956" s="4" t="str">
        <f>IFERROR(__xludf.DUMMYFUNCTION("""COMPUTED_VALUE"""),"BELUM")</f>
        <v>BELUM</v>
      </c>
      <c r="AG956" s="6">
        <f>IFERROR(__xludf.DUMMYFUNCTION("""COMPUTED_VALUE"""),46109.0)</f>
        <v>46109</v>
      </c>
      <c r="AH956" s="4"/>
      <c r="AI956" s="4"/>
    </row>
    <row r="957" ht="15.75" customHeight="1">
      <c r="A957" s="4" t="str">
        <f>IFERROR(__xludf.DUMMYFUNCTION("""COMPUTED_VALUE"""),"59f67304")</f>
        <v>59f67304</v>
      </c>
      <c r="B957" s="5">
        <f>IFERROR(__xludf.DUMMYFUNCTION("""COMPUTED_VALUE"""),46109.06182870371)</f>
        <v>46109.06183</v>
      </c>
      <c r="C957" s="4" t="str">
        <f>IFERROR(__xludf.DUMMYFUNCTION("""COMPUTED_VALUE"""),"-6.907674, 107.716981")</f>
        <v>-6.907674, 107.716981</v>
      </c>
      <c r="D957" s="4" t="str">
        <f>IFERROR(__xludf.DUMMYFUNCTION("""COMPUTED_VALUE"""),"Canra heri")</f>
        <v>Canra heri</v>
      </c>
      <c r="E957" s="4" t="str">
        <f>IFERROR(__xludf.DUMMYFUNCTION("""COMPUTED_VALUE"""),"BANDUNG")</f>
        <v>BANDUNG</v>
      </c>
      <c r="F957" s="4" t="str">
        <f>IFERROR(__xludf.DUMMYFUNCTION("""COMPUTED_VALUE"""),"UJUNGBERUNG")</f>
        <v>UJUNGBERUNG</v>
      </c>
      <c r="G957" s="4" t="str">
        <f>IFERROR(__xludf.DUMMYFUNCTION("""COMPUTED_VALUE"""),"UJUNGBERUNG")</f>
        <v>UJUNGBERUNG</v>
      </c>
      <c r="H957" s="4" t="str">
        <f>IFERROR(__xludf.DUMMYFUNCTION("""COMPUTED_VALUE"""),"UTWU")</f>
        <v>UTWU</v>
      </c>
      <c r="I957" s="4" t="str">
        <f>IFERROR(__xludf.DUMMYFUNCTION("""COMPUTED_VALUE"""),"LBS JMR - REC JMR")</f>
        <v>LBS JMR - REC JMR</v>
      </c>
      <c r="J957" s="4"/>
      <c r="K957" s="4" t="str">
        <f>IFERROR(__xludf.DUMMYFUNCTION("""COMPUTED_VALUE"""),"058R021")</f>
        <v>058R021</v>
      </c>
      <c r="L957" s="4" t="str">
        <f>IFERROR(__xludf.DUMMYFUNCTION("""COMPUTED_VALUE"""),"TM - 11B/H (Kabel Naik)")</f>
        <v>TM - 11B/H (Kabel Naik)</v>
      </c>
      <c r="M957" s="4" t="str">
        <f>IFERROR(__xludf.DUMMYFUNCTION("""COMPUTED_VALUE"""),"Tidak Ada")</f>
        <v>Tidak Ada</v>
      </c>
      <c r="N957" s="4"/>
      <c r="O957" s="4" t="str">
        <f>IFERROR(__xludf.DUMMYFUNCTION("""COMPUTED_VALUE"""),"PEMBANDING SEJENIS")</f>
        <v>PEMBANDING SEJENIS</v>
      </c>
      <c r="P957" s="4" t="str">
        <f>IFERROR(__xludf.DUMMYFUNCTION("""COMPUTED_VALUE"""),"KONEKTOR/JUMPER")</f>
        <v>KONEKTOR/JUMPER</v>
      </c>
      <c r="Q957" s="4">
        <f>IFERROR(__xludf.DUMMYFUNCTION("""COMPUTED_VALUE"""),21.0)</f>
        <v>21</v>
      </c>
      <c r="R957" s="4">
        <f>IFERROR(__xludf.DUMMYFUNCTION("""COMPUTED_VALUE"""),20.0)</f>
        <v>20</v>
      </c>
      <c r="S957" s="4">
        <f>IFERROR(__xludf.DUMMYFUNCTION("""COMPUTED_VALUE"""),22.0)</f>
        <v>22</v>
      </c>
      <c r="T957" s="4"/>
      <c r="U957" s="4" t="str">
        <f>IFERROR(__xludf.DUMMYFUNCTION("""COMPUTED_VALUE"""),"BAIK")</f>
        <v>BAIK</v>
      </c>
      <c r="V957" s="4" t="str">
        <f>IFERROR(__xludf.DUMMYFUNCTION("""COMPUTED_VALUE"""),"Tidak Ada")</f>
        <v>Tidak Ada</v>
      </c>
      <c r="W957" s="4"/>
      <c r="X957" s="4"/>
      <c r="Y957" s="4"/>
      <c r="Z957" s="4"/>
      <c r="AA957" s="4"/>
      <c r="AB957" s="4"/>
      <c r="AC957" s="4" t="str">
        <f>IFERROR(__xludf.DUMMYFUNCTION("""COMPUTED_VALUE"""),"INSPEKSI SUTM - T2_Images/59f67304.FOTO.183034.jpg")</f>
        <v>INSPEKSI SUTM - T2_Images/59f67304.FOTO.183034.jpg</v>
      </c>
      <c r="AD957" s="4"/>
      <c r="AE957" s="4"/>
      <c r="AF957" s="4" t="str">
        <f>IFERROR(__xludf.DUMMYFUNCTION("""COMPUTED_VALUE"""),"BELUM")</f>
        <v>BELUM</v>
      </c>
      <c r="AG957" s="6">
        <f>IFERROR(__xludf.DUMMYFUNCTION("""COMPUTED_VALUE"""),46109.0)</f>
        <v>46109</v>
      </c>
      <c r="AH957" s="4"/>
      <c r="AI957" s="4"/>
    </row>
    <row r="958" ht="15.75" customHeight="1">
      <c r="A958" s="4" t="str">
        <f>IFERROR(__xludf.DUMMYFUNCTION("""COMPUTED_VALUE"""),"850d3adb")</f>
        <v>850d3adb</v>
      </c>
      <c r="B958" s="5">
        <f>IFERROR(__xludf.DUMMYFUNCTION("""COMPUTED_VALUE"""),46109.062685185185)</f>
        <v>46109.06269</v>
      </c>
      <c r="C958" s="4" t="str">
        <f>IFERROR(__xludf.DUMMYFUNCTION("""COMPUTED_VALUE"""),"-6.907518, 107.717149")</f>
        <v>-6.907518, 107.717149</v>
      </c>
      <c r="D958" s="4" t="str">
        <f>IFERROR(__xludf.DUMMYFUNCTION("""COMPUTED_VALUE"""),"Ca ra heri")</f>
        <v>Ca ra heri</v>
      </c>
      <c r="E958" s="4" t="str">
        <f>IFERROR(__xludf.DUMMYFUNCTION("""COMPUTED_VALUE"""),"BANDUNG")</f>
        <v>BANDUNG</v>
      </c>
      <c r="F958" s="4" t="str">
        <f>IFERROR(__xludf.DUMMYFUNCTION("""COMPUTED_VALUE"""),"UJUNGBERUNG")</f>
        <v>UJUNGBERUNG</v>
      </c>
      <c r="G958" s="4" t="str">
        <f>IFERROR(__xludf.DUMMYFUNCTION("""COMPUTED_VALUE"""),"UJUNGBERUNG")</f>
        <v>UJUNGBERUNG</v>
      </c>
      <c r="H958" s="4" t="str">
        <f>IFERROR(__xludf.DUMMYFUNCTION("""COMPUTED_VALUE"""),"UTWU")</f>
        <v>UTWU</v>
      </c>
      <c r="I958" s="4" t="str">
        <f>IFERROR(__xludf.DUMMYFUNCTION("""COMPUTED_VALUE"""),"LBS JMR - REC JMR")</f>
        <v>LBS JMR - REC JMR</v>
      </c>
      <c r="J958" s="4"/>
      <c r="K958" s="4" t="str">
        <f>IFERROR(__xludf.DUMMYFUNCTION("""COMPUTED_VALUE"""),"058R022")</f>
        <v>058R022</v>
      </c>
      <c r="L958" s="4" t="str">
        <f>IFERROR(__xludf.DUMMYFUNCTION("""COMPUTED_VALUE"""),"TM - 7B/H (Afspan 90 Derajat)")</f>
        <v>TM - 7B/H (Afspan 90 Derajat)</v>
      </c>
      <c r="M958" s="4" t="str">
        <f>IFERROR(__xludf.DUMMYFUNCTION("""COMPUTED_VALUE"""),"Tidak Ada")</f>
        <v>Tidak Ada</v>
      </c>
      <c r="N958" s="4"/>
      <c r="O958" s="4" t="str">
        <f>IFERROR(__xludf.DUMMYFUNCTION("""COMPUTED_VALUE"""),"PEMBANDING SEJENIS")</f>
        <v>PEMBANDING SEJENIS</v>
      </c>
      <c r="P958" s="4" t="str">
        <f>IFERROR(__xludf.DUMMYFUNCTION("""COMPUTED_VALUE"""),"KONEKTOR/JUMPER")</f>
        <v>KONEKTOR/JUMPER</v>
      </c>
      <c r="Q958" s="4">
        <f>IFERROR(__xludf.DUMMYFUNCTION("""COMPUTED_VALUE"""),23.0)</f>
        <v>23</v>
      </c>
      <c r="R958" s="4">
        <f>IFERROR(__xludf.DUMMYFUNCTION("""COMPUTED_VALUE"""),22.0)</f>
        <v>22</v>
      </c>
      <c r="S958" s="4">
        <f>IFERROR(__xludf.DUMMYFUNCTION("""COMPUTED_VALUE"""),22.0)</f>
        <v>22</v>
      </c>
      <c r="T958" s="4"/>
      <c r="U958" s="4" t="str">
        <f>IFERROR(__xludf.DUMMYFUNCTION("""COMPUTED_VALUE"""),"BAIK")</f>
        <v>BAIK</v>
      </c>
      <c r="V958" s="4" t="str">
        <f>IFERROR(__xludf.DUMMYFUNCTION("""COMPUTED_VALUE"""),"Tidak Ada")</f>
        <v>Tidak Ada</v>
      </c>
      <c r="W958" s="4"/>
      <c r="X958" s="4"/>
      <c r="Y958" s="4"/>
      <c r="Z958" s="4"/>
      <c r="AA958" s="4"/>
      <c r="AB958" s="4"/>
      <c r="AC958" s="4" t="str">
        <f>IFERROR(__xludf.DUMMYFUNCTION("""COMPUTED_VALUE"""),"INSPEKSI SUTM - T2_Images/850d3adb.FOTO.183121.jpg")</f>
        <v>INSPEKSI SUTM - T2_Images/850d3adb.FOTO.183121.jpg</v>
      </c>
      <c r="AD958" s="4"/>
      <c r="AE958" s="4"/>
      <c r="AF958" s="4" t="str">
        <f>IFERROR(__xludf.DUMMYFUNCTION("""COMPUTED_VALUE"""),"BELUM")</f>
        <v>BELUM</v>
      </c>
      <c r="AG958" s="6">
        <f>IFERROR(__xludf.DUMMYFUNCTION("""COMPUTED_VALUE"""),46109.0)</f>
        <v>46109</v>
      </c>
      <c r="AH958" s="4"/>
      <c r="AI958" s="4"/>
    </row>
    <row r="959" ht="15.75" customHeight="1">
      <c r="A959" s="4" t="str">
        <f>IFERROR(__xludf.DUMMYFUNCTION("""COMPUTED_VALUE"""),"bd80a06f")</f>
        <v>bd80a06f</v>
      </c>
      <c r="B959" s="5">
        <f>IFERROR(__xludf.DUMMYFUNCTION("""COMPUTED_VALUE"""),46109.064097222225)</f>
        <v>46109.0641</v>
      </c>
      <c r="C959" s="4" t="str">
        <f>IFERROR(__xludf.DUMMYFUNCTION("""COMPUTED_VALUE"""),"-6.908302, 107.717876")</f>
        <v>-6.908302, 107.717876</v>
      </c>
      <c r="D959" s="4" t="str">
        <f>IFERROR(__xludf.DUMMYFUNCTION("""COMPUTED_VALUE"""),"Canra heri")</f>
        <v>Canra heri</v>
      </c>
      <c r="E959" s="4" t="str">
        <f>IFERROR(__xludf.DUMMYFUNCTION("""COMPUTED_VALUE"""),"BANDUNG")</f>
        <v>BANDUNG</v>
      </c>
      <c r="F959" s="4" t="str">
        <f>IFERROR(__xludf.DUMMYFUNCTION("""COMPUTED_VALUE"""),"UJUNGBERUNG")</f>
        <v>UJUNGBERUNG</v>
      </c>
      <c r="G959" s="4" t="str">
        <f>IFERROR(__xludf.DUMMYFUNCTION("""COMPUTED_VALUE"""),"UJUNGBERUNG")</f>
        <v>UJUNGBERUNG</v>
      </c>
      <c r="H959" s="4" t="str">
        <f>IFERROR(__xludf.DUMMYFUNCTION("""COMPUTED_VALUE"""),"UTWU")</f>
        <v>UTWU</v>
      </c>
      <c r="I959" s="4" t="str">
        <f>IFERROR(__xludf.DUMMYFUNCTION("""COMPUTED_VALUE"""),"LBS JMR - REC JMR")</f>
        <v>LBS JMR - REC JMR</v>
      </c>
      <c r="J959" s="4"/>
      <c r="K959" s="4" t="str">
        <f>IFERROR(__xludf.DUMMYFUNCTION("""COMPUTED_VALUE"""),"058R025")</f>
        <v>058R025</v>
      </c>
      <c r="L959" s="4" t="str">
        <f>IFERROR(__xludf.DUMMYFUNCTION("""COMPUTED_VALUE"""),"TM - 14B/H (Akhir)")</f>
        <v>TM - 14B/H (Akhir)</v>
      </c>
      <c r="M959" s="4" t="str">
        <f>IFERROR(__xludf.DUMMYFUNCTION("""COMPUTED_VALUE"""),"Tidak Ada")</f>
        <v>Tidak Ada</v>
      </c>
      <c r="N959" s="4"/>
      <c r="O959" s="4" t="str">
        <f>IFERROR(__xludf.DUMMYFUNCTION("""COMPUTED_VALUE"""),"PEMBANDING SEJENIS")</f>
        <v>PEMBANDING SEJENIS</v>
      </c>
      <c r="P959" s="4" t="str">
        <f>IFERROR(__xludf.DUMMYFUNCTION("""COMPUTED_VALUE"""),"TERMINASI")</f>
        <v>TERMINASI</v>
      </c>
      <c r="Q959" s="4">
        <f>IFERROR(__xludf.DUMMYFUNCTION("""COMPUTED_VALUE"""),23.0)</f>
        <v>23</v>
      </c>
      <c r="R959" s="4">
        <f>IFERROR(__xludf.DUMMYFUNCTION("""COMPUTED_VALUE"""),23.0)</f>
        <v>23</v>
      </c>
      <c r="S959" s="4">
        <f>IFERROR(__xludf.DUMMYFUNCTION("""COMPUTED_VALUE"""),22.0)</f>
        <v>22</v>
      </c>
      <c r="T959" s="4"/>
      <c r="U959" s="4" t="str">
        <f>IFERROR(__xludf.DUMMYFUNCTION("""COMPUTED_VALUE"""),"BAIK")</f>
        <v>BAIK</v>
      </c>
      <c r="V959" s="4" t="str">
        <f>IFERROR(__xludf.DUMMYFUNCTION("""COMPUTED_VALUE"""),"Tidak Ada")</f>
        <v>Tidak Ada</v>
      </c>
      <c r="W959" s="4"/>
      <c r="X959" s="4"/>
      <c r="Y959" s="4"/>
      <c r="Z959" s="4"/>
      <c r="AA959" s="4"/>
      <c r="AB959" s="4"/>
      <c r="AC959" s="4" t="str">
        <f>IFERROR(__xludf.DUMMYFUNCTION("""COMPUTED_VALUE"""),"INSPEKSI SUTM - T2_Images/bd80a06f.FOTO.183310.jpg")</f>
        <v>INSPEKSI SUTM - T2_Images/bd80a06f.FOTO.183310.jpg</v>
      </c>
      <c r="AD959" s="4"/>
      <c r="AE959" s="4"/>
      <c r="AF959" s="4" t="str">
        <f>IFERROR(__xludf.DUMMYFUNCTION("""COMPUTED_VALUE"""),"BELUM")</f>
        <v>BELUM</v>
      </c>
      <c r="AG959" s="6">
        <f>IFERROR(__xludf.DUMMYFUNCTION("""COMPUTED_VALUE"""),46109.0)</f>
        <v>46109</v>
      </c>
      <c r="AH959" s="4"/>
      <c r="AI959" s="4"/>
    </row>
    <row r="960" ht="15.75" customHeight="1">
      <c r="A960" s="4" t="str">
        <f>IFERROR(__xludf.DUMMYFUNCTION("""COMPUTED_VALUE"""),"715a9abb")</f>
        <v>715a9abb</v>
      </c>
      <c r="B960" s="5">
        <f>IFERROR(__xludf.DUMMYFUNCTION("""COMPUTED_VALUE"""),46108.966527777775)</f>
        <v>46108.96653</v>
      </c>
      <c r="C960" s="4" t="str">
        <f>IFERROR(__xludf.DUMMYFUNCTION("""COMPUTED_VALUE"""),"-6.936685, 107.658060")</f>
        <v>-6.936685, 107.658060</v>
      </c>
      <c r="D960" s="4" t="str">
        <f>IFERROR(__xludf.DUMMYFUNCTION("""COMPUTED_VALUE"""),"Jihan kiki")</f>
        <v>Jihan kiki</v>
      </c>
      <c r="E960" s="4" t="str">
        <f>IFERROR(__xludf.DUMMYFUNCTION("""COMPUTED_VALUE"""),"BANDUNG")</f>
        <v>BANDUNG</v>
      </c>
      <c r="F960" s="4" t="str">
        <f>IFERROR(__xludf.DUMMYFUNCTION("""COMPUTED_VALUE"""),"CIJAWURA")</f>
        <v>CIJAWURA</v>
      </c>
      <c r="G960" s="4" t="str">
        <f>IFERROR(__xludf.DUMMYFUNCTION("""COMPUTED_VALUE"""),"GIS KIARACONDONG")</f>
        <v>GIS KIARACONDONG</v>
      </c>
      <c r="H960" s="4" t="str">
        <f>IFERROR(__xludf.DUMMYFUNCTION("""COMPUTED_VALUE"""),"CWRA")</f>
        <v>CWRA</v>
      </c>
      <c r="I960" s="4" t="str">
        <f>IFERROR(__xludf.DUMMYFUNCTION("""COMPUTED_VALUE"""),"DS GSE - GGM")</f>
        <v>DS GSE - GGM</v>
      </c>
      <c r="J960" s="4" t="str">
        <f>IFERROR(__xludf.DUMMYFUNCTION("""COMPUTED_VALUE"""),"ZONA 1")</f>
        <v>ZONA 1</v>
      </c>
      <c r="K960" s="4" t="str">
        <f>IFERROR(__xludf.DUMMYFUNCTION("""COMPUTED_VALUE"""),"013")</f>
        <v>013</v>
      </c>
      <c r="L960" s="4" t="str">
        <f>IFERROR(__xludf.DUMMYFUNCTION("""COMPUTED_VALUE"""),"TM - 4B/H (Afspan)")</f>
        <v>TM - 4B/H (Afspan)</v>
      </c>
      <c r="M960" s="4" t="str">
        <f>IFERROR(__xludf.DUMMYFUNCTION("""COMPUTED_VALUE"""),"Tidak Ada")</f>
        <v>Tidak Ada</v>
      </c>
      <c r="N960" s="4"/>
      <c r="O960" s="4" t="str">
        <f>IFERROR(__xludf.DUMMYFUNCTION("""COMPUTED_VALUE"""),"PEMBANDING SEJENIS")</f>
        <v>PEMBANDING SEJENIS</v>
      </c>
      <c r="P960" s="4" t="str">
        <f>IFERROR(__xludf.DUMMYFUNCTION("""COMPUTED_VALUE"""),"KONEKTOR/JUMPER")</f>
        <v>KONEKTOR/JUMPER</v>
      </c>
      <c r="Q960" s="4">
        <f>IFERROR(__xludf.DUMMYFUNCTION("""COMPUTED_VALUE"""),22.0)</f>
        <v>22</v>
      </c>
      <c r="R960" s="4">
        <f>IFERROR(__xludf.DUMMYFUNCTION("""COMPUTED_VALUE"""),21.0)</f>
        <v>21</v>
      </c>
      <c r="S960" s="4">
        <f>IFERROR(__xludf.DUMMYFUNCTION("""COMPUTED_VALUE"""),39.0)</f>
        <v>39</v>
      </c>
      <c r="T960" s="4"/>
      <c r="U960" s="4" t="str">
        <f>IFERROR(__xludf.DUMMYFUNCTION("""COMPUTED_VALUE"""),"BURUK")</f>
        <v>BURUK</v>
      </c>
      <c r="V960" s="4" t="str">
        <f>IFERROR(__xludf.DUMMYFUNCTION("""COMPUTED_VALUE"""),"Tidak Ada")</f>
        <v>Tidak Ada</v>
      </c>
      <c r="W960" s="4"/>
      <c r="X960" s="4"/>
      <c r="Y960" s="4"/>
      <c r="Z960" s="4"/>
      <c r="AA960" s="4"/>
      <c r="AB960" s="4"/>
      <c r="AC960" s="4" t="str">
        <f>IFERROR(__xludf.DUMMYFUNCTION("""COMPUTED_VALUE"""),"INSPEKSI SUTM - T2_Images/715a9abb.FOTO.184053.jpg")</f>
        <v>INSPEKSI SUTM - T2_Images/715a9abb.FOTO.184053.jpg</v>
      </c>
      <c r="AD960" s="4"/>
      <c r="AE960" s="4"/>
      <c r="AF960" s="4" t="str">
        <f>IFERROR(__xludf.DUMMYFUNCTION("""COMPUTED_VALUE"""),"BELUM")</f>
        <v>BELUM</v>
      </c>
      <c r="AG960" s="6">
        <f>IFERROR(__xludf.DUMMYFUNCTION("""COMPUTED_VALUE"""),46108.0)</f>
        <v>46108</v>
      </c>
      <c r="AH960" s="4"/>
      <c r="AI960" s="4"/>
    </row>
    <row r="961" ht="15.75" customHeight="1">
      <c r="A961" s="4" t="str">
        <f>IFERROR(__xludf.DUMMYFUNCTION("""COMPUTED_VALUE"""),"5cdfba7e")</f>
        <v>5cdfba7e</v>
      </c>
      <c r="B961" s="5">
        <f>IFERROR(__xludf.DUMMYFUNCTION("""COMPUTED_VALUE"""),46108.967361111114)</f>
        <v>46108.96736</v>
      </c>
      <c r="C961" s="4" t="str">
        <f>IFERROR(__xludf.DUMMYFUNCTION("""COMPUTED_VALUE"""),"-6.936814, 107.658415")</f>
        <v>-6.936814, 107.658415</v>
      </c>
      <c r="D961" s="4" t="str">
        <f>IFERROR(__xludf.DUMMYFUNCTION("""COMPUTED_VALUE"""),"Jihan kiki")</f>
        <v>Jihan kiki</v>
      </c>
      <c r="E961" s="4" t="str">
        <f>IFERROR(__xludf.DUMMYFUNCTION("""COMPUTED_VALUE"""),"BANDUNG")</f>
        <v>BANDUNG</v>
      </c>
      <c r="F961" s="4" t="str">
        <f>IFERROR(__xludf.DUMMYFUNCTION("""COMPUTED_VALUE"""),"CIJAWURA")</f>
        <v>CIJAWURA</v>
      </c>
      <c r="G961" s="4" t="str">
        <f>IFERROR(__xludf.DUMMYFUNCTION("""COMPUTED_VALUE"""),"GIS KIARACONDONG")</f>
        <v>GIS KIARACONDONG</v>
      </c>
      <c r="H961" s="4" t="str">
        <f>IFERROR(__xludf.DUMMYFUNCTION("""COMPUTED_VALUE"""),"CWRA")</f>
        <v>CWRA</v>
      </c>
      <c r="I961" s="4" t="str">
        <f>IFERROR(__xludf.DUMMYFUNCTION("""COMPUTED_VALUE"""),"DS GSE - GGM")</f>
        <v>DS GSE - GGM</v>
      </c>
      <c r="J961" s="4" t="str">
        <f>IFERROR(__xludf.DUMMYFUNCTION("""COMPUTED_VALUE"""),"ZONA 1")</f>
        <v>ZONA 1</v>
      </c>
      <c r="K961" s="4" t="str">
        <f>IFERROR(__xludf.DUMMYFUNCTION("""COMPUTED_VALUE"""),"014")</f>
        <v>014</v>
      </c>
      <c r="L961" s="4" t="str">
        <f>IFERROR(__xludf.DUMMYFUNCTION("""COMPUTED_VALUE"""),"TM - 4B/H (Afspan)")</f>
        <v>TM - 4B/H (Afspan)</v>
      </c>
      <c r="M961" s="4" t="str">
        <f>IFERROR(__xludf.DUMMYFUNCTION("""COMPUTED_VALUE"""),"Tidak Ada")</f>
        <v>Tidak Ada</v>
      </c>
      <c r="N961" s="4"/>
      <c r="O961" s="4" t="str">
        <f>IFERROR(__xludf.DUMMYFUNCTION("""COMPUTED_VALUE"""),"PEMBANDING SEJENIS")</f>
        <v>PEMBANDING SEJENIS</v>
      </c>
      <c r="P961" s="4" t="str">
        <f>IFERROR(__xludf.DUMMYFUNCTION("""COMPUTED_VALUE"""),"KONEKTOR/JUMPER")</f>
        <v>KONEKTOR/JUMPER</v>
      </c>
      <c r="Q961" s="4">
        <f>IFERROR(__xludf.DUMMYFUNCTION("""COMPUTED_VALUE"""),22.0)</f>
        <v>22</v>
      </c>
      <c r="R961" s="4">
        <f>IFERROR(__xludf.DUMMYFUNCTION("""COMPUTED_VALUE"""),21.0)</f>
        <v>21</v>
      </c>
      <c r="S961" s="4">
        <f>IFERROR(__xludf.DUMMYFUNCTION("""COMPUTED_VALUE"""),21.0)</f>
        <v>21</v>
      </c>
      <c r="T961" s="4"/>
      <c r="U961" s="4" t="str">
        <f>IFERROR(__xludf.DUMMYFUNCTION("""COMPUTED_VALUE"""),"BAIK")</f>
        <v>BAIK</v>
      </c>
      <c r="V961" s="4" t="str">
        <f>IFERROR(__xludf.DUMMYFUNCTION("""COMPUTED_VALUE"""),"Tidak Ada")</f>
        <v>Tidak Ada</v>
      </c>
      <c r="W961" s="4"/>
      <c r="X961" s="4"/>
      <c r="Y961" s="4"/>
      <c r="Z961" s="4"/>
      <c r="AA961" s="4"/>
      <c r="AB961" s="4"/>
      <c r="AC961" s="4" t="str">
        <f>IFERROR(__xludf.DUMMYFUNCTION("""COMPUTED_VALUE"""),"INSPEKSI SUTM - T2_Images/5cdfba7e.FOTO.184059.jpg")</f>
        <v>INSPEKSI SUTM - T2_Images/5cdfba7e.FOTO.184059.jpg</v>
      </c>
      <c r="AD961" s="4"/>
      <c r="AE961" s="4"/>
      <c r="AF961" s="4" t="str">
        <f>IFERROR(__xludf.DUMMYFUNCTION("""COMPUTED_VALUE"""),"BELUM")</f>
        <v>BELUM</v>
      </c>
      <c r="AG961" s="6">
        <f>IFERROR(__xludf.DUMMYFUNCTION("""COMPUTED_VALUE"""),46108.0)</f>
        <v>46108</v>
      </c>
      <c r="AH961" s="4"/>
      <c r="AI961" s="4"/>
    </row>
    <row r="962" ht="15.75" customHeight="1">
      <c r="A962" s="4" t="str">
        <f>IFERROR(__xludf.DUMMYFUNCTION("""COMPUTED_VALUE"""),"55d7c7aa")</f>
        <v>55d7c7aa</v>
      </c>
      <c r="B962" s="5">
        <f>IFERROR(__xludf.DUMMYFUNCTION("""COMPUTED_VALUE"""),46108.96805555555)</f>
        <v>46108.96806</v>
      </c>
      <c r="C962" s="4" t="str">
        <f>IFERROR(__xludf.DUMMYFUNCTION("""COMPUTED_VALUE"""),"-6.937032, 107.659206")</f>
        <v>-6.937032, 107.659206</v>
      </c>
      <c r="D962" s="4" t="str">
        <f>IFERROR(__xludf.DUMMYFUNCTION("""COMPUTED_VALUE"""),"Jihan kiki")</f>
        <v>Jihan kiki</v>
      </c>
      <c r="E962" s="4" t="str">
        <f>IFERROR(__xludf.DUMMYFUNCTION("""COMPUTED_VALUE"""),"BANDUNG")</f>
        <v>BANDUNG</v>
      </c>
      <c r="F962" s="4" t="str">
        <f>IFERROR(__xludf.DUMMYFUNCTION("""COMPUTED_VALUE"""),"CIJAWURA")</f>
        <v>CIJAWURA</v>
      </c>
      <c r="G962" s="4" t="str">
        <f>IFERROR(__xludf.DUMMYFUNCTION("""COMPUTED_VALUE"""),"GIS KIARACONDONG")</f>
        <v>GIS KIARACONDONG</v>
      </c>
      <c r="H962" s="4" t="str">
        <f>IFERROR(__xludf.DUMMYFUNCTION("""COMPUTED_VALUE"""),"CWRA")</f>
        <v>CWRA</v>
      </c>
      <c r="I962" s="4" t="str">
        <f>IFERROR(__xludf.DUMMYFUNCTION("""COMPUTED_VALUE"""),"DS GSE - GGM")</f>
        <v>DS GSE - GGM</v>
      </c>
      <c r="J962" s="4" t="str">
        <f>IFERROR(__xludf.DUMMYFUNCTION("""COMPUTED_VALUE"""),"ZONA 1")</f>
        <v>ZONA 1</v>
      </c>
      <c r="K962" s="4" t="str">
        <f>IFERROR(__xludf.DUMMYFUNCTION("""COMPUTED_VALUE"""),"016")</f>
        <v>016</v>
      </c>
      <c r="L962" s="4" t="str">
        <f>IFERROR(__xludf.DUMMYFUNCTION("""COMPUTED_VALUE"""),"TM - 8B/H (Percabangan)")</f>
        <v>TM - 8B/H (Percabangan)</v>
      </c>
      <c r="M962" s="4" t="str">
        <f>IFERROR(__xludf.DUMMYFUNCTION("""COMPUTED_VALUE"""),"Tidak Ada")</f>
        <v>Tidak Ada</v>
      </c>
      <c r="N962" s="4"/>
      <c r="O962" s="4" t="str">
        <f>IFERROR(__xludf.DUMMYFUNCTION("""COMPUTED_VALUE"""),"PEMBANDING SEJENIS")</f>
        <v>PEMBANDING SEJENIS</v>
      </c>
      <c r="P962" s="4" t="str">
        <f>IFERROR(__xludf.DUMMYFUNCTION("""COMPUTED_VALUE"""),"KONEKTOR/JUMPER")</f>
        <v>KONEKTOR/JUMPER</v>
      </c>
      <c r="Q962" s="4">
        <f>IFERROR(__xludf.DUMMYFUNCTION("""COMPUTED_VALUE"""),22.0)</f>
        <v>22</v>
      </c>
      <c r="R962" s="4">
        <f>IFERROR(__xludf.DUMMYFUNCTION("""COMPUTED_VALUE"""),23.0)</f>
        <v>23</v>
      </c>
      <c r="S962" s="4">
        <f>IFERROR(__xludf.DUMMYFUNCTION("""COMPUTED_VALUE"""),22.0)</f>
        <v>22</v>
      </c>
      <c r="T962" s="4"/>
      <c r="U962" s="4" t="str">
        <f>IFERROR(__xludf.DUMMYFUNCTION("""COMPUTED_VALUE"""),"BAIK")</f>
        <v>BAIK</v>
      </c>
      <c r="V962" s="4" t="str">
        <f>IFERROR(__xludf.DUMMYFUNCTION("""COMPUTED_VALUE"""),"Tidak Ada")</f>
        <v>Tidak Ada</v>
      </c>
      <c r="W962" s="4"/>
      <c r="X962" s="4"/>
      <c r="Y962" s="4"/>
      <c r="Z962" s="4"/>
      <c r="AA962" s="4"/>
      <c r="AB962" s="4"/>
      <c r="AC962" s="4" t="str">
        <f>IFERROR(__xludf.DUMMYFUNCTION("""COMPUTED_VALUE"""),"INSPEKSI SUTM - T2_Images/55d7c7aa.FOTO.184103.jpg")</f>
        <v>INSPEKSI SUTM - T2_Images/55d7c7aa.FOTO.184103.jpg</v>
      </c>
      <c r="AD962" s="4"/>
      <c r="AE962" s="4"/>
      <c r="AF962" s="4" t="str">
        <f>IFERROR(__xludf.DUMMYFUNCTION("""COMPUTED_VALUE"""),"BELUM")</f>
        <v>BELUM</v>
      </c>
      <c r="AG962" s="6">
        <f>IFERROR(__xludf.DUMMYFUNCTION("""COMPUTED_VALUE"""),46108.0)</f>
        <v>46108</v>
      </c>
      <c r="AH962" s="4"/>
      <c r="AI962" s="4"/>
    </row>
    <row r="963" ht="15.75" customHeight="1">
      <c r="A963" s="4" t="str">
        <f>IFERROR(__xludf.DUMMYFUNCTION("""COMPUTED_VALUE"""),"8c421f51")</f>
        <v>8c421f51</v>
      </c>
      <c r="B963" s="5">
        <f>IFERROR(__xludf.DUMMYFUNCTION("""COMPUTED_VALUE"""),46109.07056712963)</f>
        <v>46109.07057</v>
      </c>
      <c r="C963" s="4" t="str">
        <f>IFERROR(__xludf.DUMMYFUNCTION("""COMPUTED_VALUE"""),"-6.937368, 107.660606")</f>
        <v>-6.937368, 107.660606</v>
      </c>
      <c r="D963" s="4" t="str">
        <f>IFERROR(__xludf.DUMMYFUNCTION("""COMPUTED_VALUE"""),"Jihan kiki")</f>
        <v>Jihan kiki</v>
      </c>
      <c r="E963" s="4" t="str">
        <f>IFERROR(__xludf.DUMMYFUNCTION("""COMPUTED_VALUE"""),"BANDUNG")</f>
        <v>BANDUNG</v>
      </c>
      <c r="F963" s="4" t="str">
        <f>IFERROR(__xludf.DUMMYFUNCTION("""COMPUTED_VALUE"""),"CIJAWURA")</f>
        <v>CIJAWURA</v>
      </c>
      <c r="G963" s="4" t="str">
        <f>IFERROR(__xludf.DUMMYFUNCTION("""COMPUTED_VALUE"""),"GIS KIARACONDONG")</f>
        <v>GIS KIARACONDONG</v>
      </c>
      <c r="H963" s="4" t="str">
        <f>IFERROR(__xludf.DUMMYFUNCTION("""COMPUTED_VALUE"""),"CWRA")</f>
        <v>CWRA</v>
      </c>
      <c r="I963" s="4" t="str">
        <f>IFERROR(__xludf.DUMMYFUNCTION("""COMPUTED_VALUE"""),"DS GSE - GGM")</f>
        <v>DS GSE - GGM</v>
      </c>
      <c r="J963" s="4" t="str">
        <f>IFERROR(__xludf.DUMMYFUNCTION("""COMPUTED_VALUE"""),"ZONA 1")</f>
        <v>ZONA 1</v>
      </c>
      <c r="K963" s="4" t="str">
        <f>IFERROR(__xludf.DUMMYFUNCTION("""COMPUTED_VALUE"""),"018")</f>
        <v>018</v>
      </c>
      <c r="L963" s="4" t="str">
        <f>IFERROR(__xludf.DUMMYFUNCTION("""COMPUTED_VALUE"""),"TM - 8B/H (Percabangan)")</f>
        <v>TM - 8B/H (Percabangan)</v>
      </c>
      <c r="M963" s="4" t="str">
        <f>IFERROR(__xludf.DUMMYFUNCTION("""COMPUTED_VALUE"""),"Tidak Ada")</f>
        <v>Tidak Ada</v>
      </c>
      <c r="N963" s="4"/>
      <c r="O963" s="4" t="str">
        <f>IFERROR(__xludf.DUMMYFUNCTION("""COMPUTED_VALUE"""),"PEMBANDING SEJENIS")</f>
        <v>PEMBANDING SEJENIS</v>
      </c>
      <c r="P963" s="4" t="str">
        <f>IFERROR(__xludf.DUMMYFUNCTION("""COMPUTED_VALUE"""),"KONEKTOR/JUMPER")</f>
        <v>KONEKTOR/JUMPER</v>
      </c>
      <c r="Q963" s="4">
        <f>IFERROR(__xludf.DUMMYFUNCTION("""COMPUTED_VALUE"""),22.0)</f>
        <v>22</v>
      </c>
      <c r="R963" s="4">
        <f>IFERROR(__xludf.DUMMYFUNCTION("""COMPUTED_VALUE"""),21.0)</f>
        <v>21</v>
      </c>
      <c r="S963" s="4">
        <f>IFERROR(__xludf.DUMMYFUNCTION("""COMPUTED_VALUE"""),21.0)</f>
        <v>21</v>
      </c>
      <c r="T963" s="4"/>
      <c r="U963" s="4" t="str">
        <f>IFERROR(__xludf.DUMMYFUNCTION("""COMPUTED_VALUE"""),"BAIK")</f>
        <v>BAIK</v>
      </c>
      <c r="V963" s="4" t="str">
        <f>IFERROR(__xludf.DUMMYFUNCTION("""COMPUTED_VALUE"""),"Tidak Ada")</f>
        <v>Tidak Ada</v>
      </c>
      <c r="W963" s="4"/>
      <c r="X963" s="4"/>
      <c r="Y963" s="4"/>
      <c r="Z963" s="4"/>
      <c r="AA963" s="4"/>
      <c r="AB963" s="4"/>
      <c r="AC963" s="4" t="str">
        <f>IFERROR(__xludf.DUMMYFUNCTION("""COMPUTED_VALUE"""),"INSPEKSI SUTM - T2_Images/8c421f51.FOTO.184237.jpg")</f>
        <v>INSPEKSI SUTM - T2_Images/8c421f51.FOTO.184237.jpg</v>
      </c>
      <c r="AD963" s="4"/>
      <c r="AE963" s="4"/>
      <c r="AF963" s="4" t="str">
        <f>IFERROR(__xludf.DUMMYFUNCTION("""COMPUTED_VALUE"""),"BELUM")</f>
        <v>BELUM</v>
      </c>
      <c r="AG963" s="6">
        <f>IFERROR(__xludf.DUMMYFUNCTION("""COMPUTED_VALUE"""),46109.0)</f>
        <v>46109</v>
      </c>
      <c r="AH963" s="4"/>
      <c r="AI963" s="4"/>
    </row>
    <row r="964" ht="15.75" customHeight="1">
      <c r="A964" s="4" t="str">
        <f>IFERROR(__xludf.DUMMYFUNCTION("""COMPUTED_VALUE"""),"403ab307")</f>
        <v>403ab307</v>
      </c>
      <c r="B964" s="5">
        <f>IFERROR(__xludf.DUMMYFUNCTION("""COMPUTED_VALUE"""),46109.07287037037)</f>
        <v>46109.07287</v>
      </c>
      <c r="C964" s="4" t="str">
        <f>IFERROR(__xludf.DUMMYFUNCTION("""COMPUTED_VALUE"""),"-6.934750, 107.661279")</f>
        <v>-6.934750, 107.661279</v>
      </c>
      <c r="D964" s="4" t="str">
        <f>IFERROR(__xludf.DUMMYFUNCTION("""COMPUTED_VALUE"""),"Jihan kiki")</f>
        <v>Jihan kiki</v>
      </c>
      <c r="E964" s="4" t="str">
        <f>IFERROR(__xludf.DUMMYFUNCTION("""COMPUTED_VALUE"""),"BANDUNG")</f>
        <v>BANDUNG</v>
      </c>
      <c r="F964" s="4" t="str">
        <f>IFERROR(__xludf.DUMMYFUNCTION("""COMPUTED_VALUE"""),"CIJAWURA")</f>
        <v>CIJAWURA</v>
      </c>
      <c r="G964" s="4" t="str">
        <f>IFERROR(__xludf.DUMMYFUNCTION("""COMPUTED_VALUE"""),"GIS KIARACONDONG")</f>
        <v>GIS KIARACONDONG</v>
      </c>
      <c r="H964" s="4" t="str">
        <f>IFERROR(__xludf.DUMMYFUNCTION("""COMPUTED_VALUE"""),"CWRA")</f>
        <v>CWRA</v>
      </c>
      <c r="I964" s="4" t="str">
        <f>IFERROR(__xludf.DUMMYFUNCTION("""COMPUTED_VALUE"""),"DS GSE - GGM")</f>
        <v>DS GSE - GGM</v>
      </c>
      <c r="J964" s="4" t="str">
        <f>IFERROR(__xludf.DUMMYFUNCTION("""COMPUTED_VALUE"""),"ZONA 1")</f>
        <v>ZONA 1</v>
      </c>
      <c r="K964" s="4" t="str">
        <f>IFERROR(__xludf.DUMMYFUNCTION("""COMPUTED_VALUE"""),"018L08")</f>
        <v>018L08</v>
      </c>
      <c r="L964" s="4" t="str">
        <f>IFERROR(__xludf.DUMMYFUNCTION("""COMPUTED_VALUE"""),"TM - 11B/H (Kabel Naik)")</f>
        <v>TM - 11B/H (Kabel Naik)</v>
      </c>
      <c r="M964" s="4" t="str">
        <f>IFERROR(__xludf.DUMMYFUNCTION("""COMPUTED_VALUE"""),"Tidak Ada")</f>
        <v>Tidak Ada</v>
      </c>
      <c r="N964" s="4"/>
      <c r="O964" s="4" t="str">
        <f>IFERROR(__xludf.DUMMYFUNCTION("""COMPUTED_VALUE"""),"PEMBANDING SEJENIS")</f>
        <v>PEMBANDING SEJENIS</v>
      </c>
      <c r="P964" s="4" t="str">
        <f>IFERROR(__xludf.DUMMYFUNCTION("""COMPUTED_VALUE"""),"KONEKTOR/JUMPER")</f>
        <v>KONEKTOR/JUMPER</v>
      </c>
      <c r="Q964" s="4">
        <f>IFERROR(__xludf.DUMMYFUNCTION("""COMPUTED_VALUE"""),21.0)</f>
        <v>21</v>
      </c>
      <c r="R964" s="4">
        <f>IFERROR(__xludf.DUMMYFUNCTION("""COMPUTED_VALUE"""),22.0)</f>
        <v>22</v>
      </c>
      <c r="S964" s="4">
        <f>IFERROR(__xludf.DUMMYFUNCTION("""COMPUTED_VALUE"""),21.0)</f>
        <v>21</v>
      </c>
      <c r="T964" s="4"/>
      <c r="U964" s="4" t="str">
        <f>IFERROR(__xludf.DUMMYFUNCTION("""COMPUTED_VALUE"""),"BAIK")</f>
        <v>BAIK</v>
      </c>
      <c r="V964" s="4" t="str">
        <f>IFERROR(__xludf.DUMMYFUNCTION("""COMPUTED_VALUE"""),"Tidak Ada")</f>
        <v>Tidak Ada</v>
      </c>
      <c r="W964" s="4"/>
      <c r="X964" s="4"/>
      <c r="Y964" s="4"/>
      <c r="Z964" s="4"/>
      <c r="AA964" s="4"/>
      <c r="AB964" s="4"/>
      <c r="AC964" s="4" t="str">
        <f>IFERROR(__xludf.DUMMYFUNCTION("""COMPUTED_VALUE"""),"INSPEKSI SUTM - T2_Images/403ab307.FOTO.184553.jpg")</f>
        <v>INSPEKSI SUTM - T2_Images/403ab307.FOTO.184553.jpg</v>
      </c>
      <c r="AD964" s="4"/>
      <c r="AE964" s="4"/>
      <c r="AF964" s="4" t="str">
        <f>IFERROR(__xludf.DUMMYFUNCTION("""COMPUTED_VALUE"""),"BELUM")</f>
        <v>BELUM</v>
      </c>
      <c r="AG964" s="6">
        <f>IFERROR(__xludf.DUMMYFUNCTION("""COMPUTED_VALUE"""),46109.0)</f>
        <v>46109</v>
      </c>
      <c r="AH964" s="4"/>
      <c r="AI964" s="4"/>
    </row>
    <row r="965" ht="15.75" customHeight="1">
      <c r="A965" s="4" t="str">
        <f>IFERROR(__xludf.DUMMYFUNCTION("""COMPUTED_VALUE"""),"29497b8a")</f>
        <v>29497b8a</v>
      </c>
      <c r="B965" s="5">
        <f>IFERROR(__xludf.DUMMYFUNCTION("""COMPUTED_VALUE"""),46109.073587962965)</f>
        <v>46109.07359</v>
      </c>
      <c r="C965" s="4" t="str">
        <f>IFERROR(__xludf.DUMMYFUNCTION("""COMPUTED_VALUE"""),"-6.934300, 107.661544")</f>
        <v>-6.934300, 107.661544</v>
      </c>
      <c r="D965" s="4" t="str">
        <f>IFERROR(__xludf.DUMMYFUNCTION("""COMPUTED_VALUE"""),"Jihan kiki")</f>
        <v>Jihan kiki</v>
      </c>
      <c r="E965" s="4" t="str">
        <f>IFERROR(__xludf.DUMMYFUNCTION("""COMPUTED_VALUE"""),"BANDUNG")</f>
        <v>BANDUNG</v>
      </c>
      <c r="F965" s="4" t="str">
        <f>IFERROR(__xludf.DUMMYFUNCTION("""COMPUTED_VALUE"""),"CIJAWURA")</f>
        <v>CIJAWURA</v>
      </c>
      <c r="G965" s="4" t="str">
        <f>IFERROR(__xludf.DUMMYFUNCTION("""COMPUTED_VALUE"""),"GIS KIARACONDONG")</f>
        <v>GIS KIARACONDONG</v>
      </c>
      <c r="H965" s="4" t="str">
        <f>IFERROR(__xludf.DUMMYFUNCTION("""COMPUTED_VALUE"""),"CWRA")</f>
        <v>CWRA</v>
      </c>
      <c r="I965" s="4" t="str">
        <f>IFERROR(__xludf.DUMMYFUNCTION("""COMPUTED_VALUE"""),"DS GSE - GGM")</f>
        <v>DS GSE - GGM</v>
      </c>
      <c r="J965" s="4" t="str">
        <f>IFERROR(__xludf.DUMMYFUNCTION("""COMPUTED_VALUE"""),"ZONA 1")</f>
        <v>ZONA 1</v>
      </c>
      <c r="K965" s="4" t="str">
        <f>IFERROR(__xludf.DUMMYFUNCTION("""COMPUTED_VALUE"""),"018L10")</f>
        <v>018L10</v>
      </c>
      <c r="L965" s="4" t="str">
        <f>IFERROR(__xludf.DUMMYFUNCTION("""COMPUTED_VALUE"""),"TM - 8B/H (Percabangan)")</f>
        <v>TM - 8B/H (Percabangan)</v>
      </c>
      <c r="M965" s="4" t="str">
        <f>IFERROR(__xludf.DUMMYFUNCTION("""COMPUTED_VALUE"""),"Tidak Ada")</f>
        <v>Tidak Ada</v>
      </c>
      <c r="N965" s="4"/>
      <c r="O965" s="4" t="str">
        <f>IFERROR(__xludf.DUMMYFUNCTION("""COMPUTED_VALUE"""),"PEMBANDING SEJENIS")</f>
        <v>PEMBANDING SEJENIS</v>
      </c>
      <c r="P965" s="4" t="str">
        <f>IFERROR(__xludf.DUMMYFUNCTION("""COMPUTED_VALUE"""),"KONEKTOR/JUMPER")</f>
        <v>KONEKTOR/JUMPER</v>
      </c>
      <c r="Q965" s="4">
        <f>IFERROR(__xludf.DUMMYFUNCTION("""COMPUTED_VALUE"""),21.0)</f>
        <v>21</v>
      </c>
      <c r="R965" s="4">
        <f>IFERROR(__xludf.DUMMYFUNCTION("""COMPUTED_VALUE"""),23.0)</f>
        <v>23</v>
      </c>
      <c r="S965" s="4">
        <f>IFERROR(__xludf.DUMMYFUNCTION("""COMPUTED_VALUE"""),22.0)</f>
        <v>22</v>
      </c>
      <c r="T965" s="4"/>
      <c r="U965" s="4" t="str">
        <f>IFERROR(__xludf.DUMMYFUNCTION("""COMPUTED_VALUE"""),"BAIK")</f>
        <v>BAIK</v>
      </c>
      <c r="V965" s="4" t="str">
        <f>IFERROR(__xludf.DUMMYFUNCTION("""COMPUTED_VALUE"""),"Tidak Ada")</f>
        <v>Tidak Ada</v>
      </c>
      <c r="W965" s="4"/>
      <c r="X965" s="4"/>
      <c r="Y965" s="4"/>
      <c r="Z965" s="4"/>
      <c r="AA965" s="4"/>
      <c r="AB965" s="4"/>
      <c r="AC965" s="4" t="str">
        <f>IFERROR(__xludf.DUMMYFUNCTION("""COMPUTED_VALUE"""),"INSPEKSI SUTM - T2_Images/29497b8a.FOTO.184650.jpg")</f>
        <v>INSPEKSI SUTM - T2_Images/29497b8a.FOTO.184650.jpg</v>
      </c>
      <c r="AD965" s="4"/>
      <c r="AE965" s="4"/>
      <c r="AF965" s="4" t="str">
        <f>IFERROR(__xludf.DUMMYFUNCTION("""COMPUTED_VALUE"""),"BELUM")</f>
        <v>BELUM</v>
      </c>
      <c r="AG965" s="6">
        <f>IFERROR(__xludf.DUMMYFUNCTION("""COMPUTED_VALUE"""),46109.0)</f>
        <v>46109</v>
      </c>
      <c r="AH965" s="4"/>
      <c r="AI965" s="4"/>
    </row>
    <row r="966" ht="15.75" customHeight="1">
      <c r="A966" s="4" t="str">
        <f>IFERROR(__xludf.DUMMYFUNCTION("""COMPUTED_VALUE"""),"42d1cb0c")</f>
        <v>42d1cb0c</v>
      </c>
      <c r="B966" s="5">
        <f>IFERROR(__xludf.DUMMYFUNCTION("""COMPUTED_VALUE"""),46109.07418981481)</f>
        <v>46109.07419</v>
      </c>
      <c r="C966" s="4" t="str">
        <f>IFERROR(__xludf.DUMMYFUNCTION("""COMPUTED_VALUE"""),"-6.933465, 107.660239")</f>
        <v>-6.933465, 107.660239</v>
      </c>
      <c r="D966" s="4" t="str">
        <f>IFERROR(__xludf.DUMMYFUNCTION("""COMPUTED_VALUE"""),"Jihan kiki")</f>
        <v>Jihan kiki</v>
      </c>
      <c r="E966" s="4" t="str">
        <f>IFERROR(__xludf.DUMMYFUNCTION("""COMPUTED_VALUE"""),"BANDUNG")</f>
        <v>BANDUNG</v>
      </c>
      <c r="F966" s="4" t="str">
        <f>IFERROR(__xludf.DUMMYFUNCTION("""COMPUTED_VALUE"""),"CIJAWURA")</f>
        <v>CIJAWURA</v>
      </c>
      <c r="G966" s="4" t="str">
        <f>IFERROR(__xludf.DUMMYFUNCTION("""COMPUTED_VALUE"""),"GIS KIARACONDONG")</f>
        <v>GIS KIARACONDONG</v>
      </c>
      <c r="H966" s="4" t="str">
        <f>IFERROR(__xludf.DUMMYFUNCTION("""COMPUTED_VALUE"""),"CWRA")</f>
        <v>CWRA</v>
      </c>
      <c r="I966" s="4" t="str">
        <f>IFERROR(__xludf.DUMMYFUNCTION("""COMPUTED_VALUE"""),"DS GSE - GGM")</f>
        <v>DS GSE - GGM</v>
      </c>
      <c r="J966" s="4" t="str">
        <f>IFERROR(__xludf.DUMMYFUNCTION("""COMPUTED_VALUE"""),"ZONA 1")</f>
        <v>ZONA 1</v>
      </c>
      <c r="K966" s="4" t="str">
        <f>IFERROR(__xludf.DUMMYFUNCTION("""COMPUTED_VALUE"""),"018L16")</f>
        <v>018L16</v>
      </c>
      <c r="L966" s="4" t="str">
        <f>IFERROR(__xludf.DUMMYFUNCTION("""COMPUTED_VALUE"""),"TM - 7B/H (Afspan 90 Derajat)")</f>
        <v>TM - 7B/H (Afspan 90 Derajat)</v>
      </c>
      <c r="M966" s="4" t="str">
        <f>IFERROR(__xludf.DUMMYFUNCTION("""COMPUTED_VALUE"""),"Tidak Ada")</f>
        <v>Tidak Ada</v>
      </c>
      <c r="N966" s="4"/>
      <c r="O966" s="4" t="str">
        <f>IFERROR(__xludf.DUMMYFUNCTION("""COMPUTED_VALUE"""),"PEMBANDING SEJENIS")</f>
        <v>PEMBANDING SEJENIS</v>
      </c>
      <c r="P966" s="4" t="str">
        <f>IFERROR(__xludf.DUMMYFUNCTION("""COMPUTED_VALUE"""),"KONEKTOR/JUMPER")</f>
        <v>KONEKTOR/JUMPER</v>
      </c>
      <c r="Q966" s="4">
        <f>IFERROR(__xludf.DUMMYFUNCTION("""COMPUTED_VALUE"""),20.0)</f>
        <v>20</v>
      </c>
      <c r="R966" s="4">
        <f>IFERROR(__xludf.DUMMYFUNCTION("""COMPUTED_VALUE"""),21.0)</f>
        <v>21</v>
      </c>
      <c r="S966" s="4">
        <f>IFERROR(__xludf.DUMMYFUNCTION("""COMPUTED_VALUE"""),21.0)</f>
        <v>21</v>
      </c>
      <c r="T966" s="4"/>
      <c r="U966" s="4" t="str">
        <f>IFERROR(__xludf.DUMMYFUNCTION("""COMPUTED_VALUE"""),"BAIK")</f>
        <v>BAIK</v>
      </c>
      <c r="V966" s="4" t="str">
        <f>IFERROR(__xludf.DUMMYFUNCTION("""COMPUTED_VALUE"""),"Tidak Ada")</f>
        <v>Tidak Ada</v>
      </c>
      <c r="W966" s="4"/>
      <c r="X966" s="4"/>
      <c r="Y966" s="4"/>
      <c r="Z966" s="4"/>
      <c r="AA966" s="4"/>
      <c r="AB966" s="4"/>
      <c r="AC966" s="4" t="str">
        <f>IFERROR(__xludf.DUMMYFUNCTION("""COMPUTED_VALUE"""),"INSPEKSI SUTM - T2_Images/42d1cb0c.FOTO.184736.jpg")</f>
        <v>INSPEKSI SUTM - T2_Images/42d1cb0c.FOTO.184736.jpg</v>
      </c>
      <c r="AD966" s="4"/>
      <c r="AE966" s="4"/>
      <c r="AF966" s="4" t="str">
        <f>IFERROR(__xludf.DUMMYFUNCTION("""COMPUTED_VALUE"""),"BELUM")</f>
        <v>BELUM</v>
      </c>
      <c r="AG966" s="6">
        <f>IFERROR(__xludf.DUMMYFUNCTION("""COMPUTED_VALUE"""),46109.0)</f>
        <v>46109</v>
      </c>
      <c r="AH966" s="4"/>
      <c r="AI966" s="4"/>
    </row>
    <row r="967" ht="15.75" customHeight="1">
      <c r="A967" s="4" t="str">
        <f>IFERROR(__xludf.DUMMYFUNCTION("""COMPUTED_VALUE"""),"f8c6f14a")</f>
        <v>f8c6f14a</v>
      </c>
      <c r="B967" s="5">
        <f>IFERROR(__xludf.DUMMYFUNCTION("""COMPUTED_VALUE"""),46109.0747337963)</f>
        <v>46109.07473</v>
      </c>
      <c r="C967" s="4" t="str">
        <f>IFERROR(__xludf.DUMMYFUNCTION("""COMPUTED_VALUE"""),"-6.932563, 107.660683")</f>
        <v>-6.932563, 107.660683</v>
      </c>
      <c r="D967" s="4" t="str">
        <f>IFERROR(__xludf.DUMMYFUNCTION("""COMPUTED_VALUE"""),"Jihan kiki")</f>
        <v>Jihan kiki</v>
      </c>
      <c r="E967" s="4" t="str">
        <f>IFERROR(__xludf.DUMMYFUNCTION("""COMPUTED_VALUE"""),"BANDUNG")</f>
        <v>BANDUNG</v>
      </c>
      <c r="F967" s="4" t="str">
        <f>IFERROR(__xludf.DUMMYFUNCTION("""COMPUTED_VALUE"""),"CIJAWURA")</f>
        <v>CIJAWURA</v>
      </c>
      <c r="G967" s="4" t="str">
        <f>IFERROR(__xludf.DUMMYFUNCTION("""COMPUTED_VALUE"""),"GIS KIARACONDONG")</f>
        <v>GIS KIARACONDONG</v>
      </c>
      <c r="H967" s="4" t="str">
        <f>IFERROR(__xludf.DUMMYFUNCTION("""COMPUTED_VALUE"""),"CWRA")</f>
        <v>CWRA</v>
      </c>
      <c r="I967" s="4" t="str">
        <f>IFERROR(__xludf.DUMMYFUNCTION("""COMPUTED_VALUE"""),"DS GSE - GGM")</f>
        <v>DS GSE - GGM</v>
      </c>
      <c r="J967" s="4" t="str">
        <f>IFERROR(__xludf.DUMMYFUNCTION("""COMPUTED_VALUE"""),"ZONA 1")</f>
        <v>ZONA 1</v>
      </c>
      <c r="K967" s="4" t="str">
        <f>IFERROR(__xludf.DUMMYFUNCTION("""COMPUTED_VALUE"""),"018L19")</f>
        <v>018L19</v>
      </c>
      <c r="L967" s="4" t="str">
        <f>IFERROR(__xludf.DUMMYFUNCTION("""COMPUTED_VALUE"""),"TM - 7B/H (Afspan 90 Derajat)")</f>
        <v>TM - 7B/H (Afspan 90 Derajat)</v>
      </c>
      <c r="M967" s="4" t="str">
        <f>IFERROR(__xludf.DUMMYFUNCTION("""COMPUTED_VALUE"""),"Tidak Ada")</f>
        <v>Tidak Ada</v>
      </c>
      <c r="N967" s="4"/>
      <c r="O967" s="4" t="str">
        <f>IFERROR(__xludf.DUMMYFUNCTION("""COMPUTED_VALUE"""),"PEMBANDING SEJENIS")</f>
        <v>PEMBANDING SEJENIS</v>
      </c>
      <c r="P967" s="4" t="str">
        <f>IFERROR(__xludf.DUMMYFUNCTION("""COMPUTED_VALUE"""),"KONEKTOR/JUMPER")</f>
        <v>KONEKTOR/JUMPER</v>
      </c>
      <c r="Q967" s="4">
        <f>IFERROR(__xludf.DUMMYFUNCTION("""COMPUTED_VALUE"""),22.0)</f>
        <v>22</v>
      </c>
      <c r="R967" s="4">
        <f>IFERROR(__xludf.DUMMYFUNCTION("""COMPUTED_VALUE"""),22.0)</f>
        <v>22</v>
      </c>
      <c r="S967" s="4">
        <f>IFERROR(__xludf.DUMMYFUNCTION("""COMPUTED_VALUE"""),21.0)</f>
        <v>21</v>
      </c>
      <c r="T967" s="4"/>
      <c r="U967" s="4" t="str">
        <f>IFERROR(__xludf.DUMMYFUNCTION("""COMPUTED_VALUE"""),"BAIK")</f>
        <v>BAIK</v>
      </c>
      <c r="V967" s="4" t="str">
        <f>IFERROR(__xludf.DUMMYFUNCTION("""COMPUTED_VALUE"""),"Tidak Ada")</f>
        <v>Tidak Ada</v>
      </c>
      <c r="W967" s="4"/>
      <c r="X967" s="4"/>
      <c r="Y967" s="4"/>
      <c r="Z967" s="4"/>
      <c r="AA967" s="4"/>
      <c r="AB967" s="4"/>
      <c r="AC967" s="4" t="str">
        <f>IFERROR(__xludf.DUMMYFUNCTION("""COMPUTED_VALUE"""),"INSPEKSI SUTM - T2_Images/f8c6f14a.FOTO.184840.jpg")</f>
        <v>INSPEKSI SUTM - T2_Images/f8c6f14a.FOTO.184840.jpg</v>
      </c>
      <c r="AD967" s="4"/>
      <c r="AE967" s="4"/>
      <c r="AF967" s="4" t="str">
        <f>IFERROR(__xludf.DUMMYFUNCTION("""COMPUTED_VALUE"""),"BELUM")</f>
        <v>BELUM</v>
      </c>
      <c r="AG967" s="6">
        <f>IFERROR(__xludf.DUMMYFUNCTION("""COMPUTED_VALUE"""),46109.0)</f>
        <v>46109</v>
      </c>
      <c r="AH967" s="4"/>
      <c r="AI967" s="4"/>
    </row>
    <row r="968" ht="15.75" customHeight="1">
      <c r="A968" s="4" t="str">
        <f>IFERROR(__xludf.DUMMYFUNCTION("""COMPUTED_VALUE"""),"8704ca5c")</f>
        <v>8704ca5c</v>
      </c>
      <c r="B968" s="5">
        <f>IFERROR(__xludf.DUMMYFUNCTION("""COMPUTED_VALUE"""),46109.075474537036)</f>
        <v>46109.07547</v>
      </c>
      <c r="C968" s="4" t="str">
        <f>IFERROR(__xludf.DUMMYFUNCTION("""COMPUTED_VALUE"""),"-6.932336, 107.660195")</f>
        <v>-6.932336, 107.660195</v>
      </c>
      <c r="D968" s="4" t="str">
        <f>IFERROR(__xludf.DUMMYFUNCTION("""COMPUTED_VALUE"""),"Jihan kiki")</f>
        <v>Jihan kiki</v>
      </c>
      <c r="E968" s="4" t="str">
        <f>IFERROR(__xludf.DUMMYFUNCTION("""COMPUTED_VALUE"""),"BANDUNG")</f>
        <v>BANDUNG</v>
      </c>
      <c r="F968" s="4" t="str">
        <f>IFERROR(__xludf.DUMMYFUNCTION("""COMPUTED_VALUE"""),"CIJAWURA")</f>
        <v>CIJAWURA</v>
      </c>
      <c r="G968" s="4" t="str">
        <f>IFERROR(__xludf.DUMMYFUNCTION("""COMPUTED_VALUE"""),"GIS KIARACONDONG")</f>
        <v>GIS KIARACONDONG</v>
      </c>
      <c r="H968" s="4" t="str">
        <f>IFERROR(__xludf.DUMMYFUNCTION("""COMPUTED_VALUE"""),"CWRA")</f>
        <v>CWRA</v>
      </c>
      <c r="I968" s="4" t="str">
        <f>IFERROR(__xludf.DUMMYFUNCTION("""COMPUTED_VALUE"""),"DS GSE - GGM")</f>
        <v>DS GSE - GGM</v>
      </c>
      <c r="J968" s="4" t="str">
        <f>IFERROR(__xludf.DUMMYFUNCTION("""COMPUTED_VALUE"""),"ZONA 1")</f>
        <v>ZONA 1</v>
      </c>
      <c r="K968" s="4" t="str">
        <f>IFERROR(__xludf.DUMMYFUNCTION("""COMPUTED_VALUE"""),"018L21")</f>
        <v>018L21</v>
      </c>
      <c r="L968" s="4" t="str">
        <f>IFERROR(__xludf.DUMMYFUNCTION("""COMPUTED_VALUE"""),"TM - 7B/H (Afspan 90 Derajat)")</f>
        <v>TM - 7B/H (Afspan 90 Derajat)</v>
      </c>
      <c r="M968" s="4" t="str">
        <f>IFERROR(__xludf.DUMMYFUNCTION("""COMPUTED_VALUE"""),"Tidak Ada")</f>
        <v>Tidak Ada</v>
      </c>
      <c r="N968" s="4"/>
      <c r="O968" s="4" t="str">
        <f>IFERROR(__xludf.DUMMYFUNCTION("""COMPUTED_VALUE"""),"PEMBANDING SEJENIS")</f>
        <v>PEMBANDING SEJENIS</v>
      </c>
      <c r="P968" s="4" t="str">
        <f>IFERROR(__xludf.DUMMYFUNCTION("""COMPUTED_VALUE"""),"KONEKTOR/JUMPER")</f>
        <v>KONEKTOR/JUMPER</v>
      </c>
      <c r="Q968" s="4">
        <f>IFERROR(__xludf.DUMMYFUNCTION("""COMPUTED_VALUE"""),22.0)</f>
        <v>22</v>
      </c>
      <c r="R968" s="4">
        <f>IFERROR(__xludf.DUMMYFUNCTION("""COMPUTED_VALUE"""),22.0)</f>
        <v>22</v>
      </c>
      <c r="S968" s="4">
        <f>IFERROR(__xludf.DUMMYFUNCTION("""COMPUTED_VALUE"""),22.0)</f>
        <v>22</v>
      </c>
      <c r="T968" s="4"/>
      <c r="U968" s="4" t="str">
        <f>IFERROR(__xludf.DUMMYFUNCTION("""COMPUTED_VALUE"""),"BAIK")</f>
        <v>BAIK</v>
      </c>
      <c r="V968" s="4" t="str">
        <f>IFERROR(__xludf.DUMMYFUNCTION("""COMPUTED_VALUE"""),"Tidak Ada")</f>
        <v>Tidak Ada</v>
      </c>
      <c r="W968" s="4"/>
      <c r="X968" s="4"/>
      <c r="Y968" s="4"/>
      <c r="Z968" s="4"/>
      <c r="AA968" s="4"/>
      <c r="AB968" s="4"/>
      <c r="AC968" s="4" t="str">
        <f>IFERROR(__xludf.DUMMYFUNCTION("""COMPUTED_VALUE"""),"INSPEKSI SUTM - T2_Images/8704ca5c.FOTO.184936.jpg")</f>
        <v>INSPEKSI SUTM - T2_Images/8704ca5c.FOTO.184936.jpg</v>
      </c>
      <c r="AD968" s="4"/>
      <c r="AE968" s="4"/>
      <c r="AF968" s="4" t="str">
        <f>IFERROR(__xludf.DUMMYFUNCTION("""COMPUTED_VALUE"""),"BELUM")</f>
        <v>BELUM</v>
      </c>
      <c r="AG968" s="6">
        <f>IFERROR(__xludf.DUMMYFUNCTION("""COMPUTED_VALUE"""),46109.0)</f>
        <v>46109</v>
      </c>
      <c r="AH968" s="4"/>
      <c r="AI968" s="4"/>
    </row>
    <row r="969" ht="15.75" customHeight="1">
      <c r="A969" s="4" t="str">
        <f>IFERROR(__xludf.DUMMYFUNCTION("""COMPUTED_VALUE"""),"813a0d99")</f>
        <v>813a0d99</v>
      </c>
      <c r="B969" s="5">
        <f>IFERROR(__xludf.DUMMYFUNCTION("""COMPUTED_VALUE"""),46109.07613425926)</f>
        <v>46109.07613</v>
      </c>
      <c r="C969" s="4" t="str">
        <f>IFERROR(__xludf.DUMMYFUNCTION("""COMPUTED_VALUE"""),"-6.931188, 107.660400")</f>
        <v>-6.931188, 107.660400</v>
      </c>
      <c r="D969" s="4" t="str">
        <f>IFERROR(__xludf.DUMMYFUNCTION("""COMPUTED_VALUE"""),"Jihan kiki")</f>
        <v>Jihan kiki</v>
      </c>
      <c r="E969" s="4" t="str">
        <f>IFERROR(__xludf.DUMMYFUNCTION("""COMPUTED_VALUE"""),"BANDUNG")</f>
        <v>BANDUNG</v>
      </c>
      <c r="F969" s="4" t="str">
        <f>IFERROR(__xludf.DUMMYFUNCTION("""COMPUTED_VALUE"""),"CIJAWURA")</f>
        <v>CIJAWURA</v>
      </c>
      <c r="G969" s="4" t="str">
        <f>IFERROR(__xludf.DUMMYFUNCTION("""COMPUTED_VALUE"""),"GIS KIARACONDONG")</f>
        <v>GIS KIARACONDONG</v>
      </c>
      <c r="H969" s="4" t="str">
        <f>IFERROR(__xludf.DUMMYFUNCTION("""COMPUTED_VALUE"""),"CWRA")</f>
        <v>CWRA</v>
      </c>
      <c r="I969" s="4" t="str">
        <f>IFERROR(__xludf.DUMMYFUNCTION("""COMPUTED_VALUE"""),"DS GSE - GGM")</f>
        <v>DS GSE - GGM</v>
      </c>
      <c r="J969" s="4" t="str">
        <f>IFERROR(__xludf.DUMMYFUNCTION("""COMPUTED_VALUE"""),"ZONA 1")</f>
        <v>ZONA 1</v>
      </c>
      <c r="K969" s="4" t="str">
        <f>IFERROR(__xludf.DUMMYFUNCTION("""COMPUTED_VALUE"""),"018L26")</f>
        <v>018L26</v>
      </c>
      <c r="L969" s="4" t="str">
        <f>IFERROR(__xludf.DUMMYFUNCTION("""COMPUTED_VALUE"""),"TM - 7B/H (Afspan 90 Derajat)")</f>
        <v>TM - 7B/H (Afspan 90 Derajat)</v>
      </c>
      <c r="M969" s="4" t="str">
        <f>IFERROR(__xludf.DUMMYFUNCTION("""COMPUTED_VALUE"""),"Tidak Ada")</f>
        <v>Tidak Ada</v>
      </c>
      <c r="N969" s="4"/>
      <c r="O969" s="4" t="str">
        <f>IFERROR(__xludf.DUMMYFUNCTION("""COMPUTED_VALUE"""),"PEMBANDING SEJENIS")</f>
        <v>PEMBANDING SEJENIS</v>
      </c>
      <c r="P969" s="4" t="str">
        <f>IFERROR(__xludf.DUMMYFUNCTION("""COMPUTED_VALUE"""),"KONEKTOR/JUMPER")</f>
        <v>KONEKTOR/JUMPER</v>
      </c>
      <c r="Q969" s="4">
        <f>IFERROR(__xludf.DUMMYFUNCTION("""COMPUTED_VALUE"""),22.0)</f>
        <v>22</v>
      </c>
      <c r="R969" s="4">
        <f>IFERROR(__xludf.DUMMYFUNCTION("""COMPUTED_VALUE"""),21.0)</f>
        <v>21</v>
      </c>
      <c r="S969" s="4">
        <f>IFERROR(__xludf.DUMMYFUNCTION("""COMPUTED_VALUE"""),21.0)</f>
        <v>21</v>
      </c>
      <c r="T969" s="4"/>
      <c r="U969" s="4" t="str">
        <f>IFERROR(__xludf.DUMMYFUNCTION("""COMPUTED_VALUE"""),"BAIK")</f>
        <v>BAIK</v>
      </c>
      <c r="V969" s="4" t="str">
        <f>IFERROR(__xludf.DUMMYFUNCTION("""COMPUTED_VALUE"""),"Tidak Ada")</f>
        <v>Tidak Ada</v>
      </c>
      <c r="W969" s="4"/>
      <c r="X969" s="4"/>
      <c r="Y969" s="4"/>
      <c r="Z969" s="4"/>
      <c r="AA969" s="4"/>
      <c r="AB969" s="4"/>
      <c r="AC969" s="4" t="str">
        <f>IFERROR(__xludf.DUMMYFUNCTION("""COMPUTED_VALUE"""),"INSPEKSI SUTM - T2_Images/813a0d99.FOTO.185028.jpg")</f>
        <v>INSPEKSI SUTM - T2_Images/813a0d99.FOTO.185028.jpg</v>
      </c>
      <c r="AD969" s="4"/>
      <c r="AE969" s="4"/>
      <c r="AF969" s="4" t="str">
        <f>IFERROR(__xludf.DUMMYFUNCTION("""COMPUTED_VALUE"""),"BELUM")</f>
        <v>BELUM</v>
      </c>
      <c r="AG969" s="6">
        <f>IFERROR(__xludf.DUMMYFUNCTION("""COMPUTED_VALUE"""),46109.0)</f>
        <v>46109</v>
      </c>
      <c r="AH969" s="4"/>
      <c r="AI969" s="4"/>
    </row>
    <row r="970" ht="15.75" customHeight="1">
      <c r="A970" s="4" t="str">
        <f>IFERROR(__xludf.DUMMYFUNCTION("""COMPUTED_VALUE"""),"362c5ff4")</f>
        <v>362c5ff4</v>
      </c>
      <c r="B970" s="5">
        <f>IFERROR(__xludf.DUMMYFUNCTION("""COMPUTED_VALUE"""),46109.07674768518)</f>
        <v>46109.07675</v>
      </c>
      <c r="C970" s="4" t="str">
        <f>IFERROR(__xludf.DUMMYFUNCTION("""COMPUTED_VALUE"""),"-6.937509, 107.660936")</f>
        <v>-6.937509, 107.660936</v>
      </c>
      <c r="D970" s="4" t="str">
        <f>IFERROR(__xludf.DUMMYFUNCTION("""COMPUTED_VALUE"""),"Jihan kiki")</f>
        <v>Jihan kiki</v>
      </c>
      <c r="E970" s="4" t="str">
        <f>IFERROR(__xludf.DUMMYFUNCTION("""COMPUTED_VALUE"""),"BANDUNG")</f>
        <v>BANDUNG</v>
      </c>
      <c r="F970" s="4" t="str">
        <f>IFERROR(__xludf.DUMMYFUNCTION("""COMPUTED_VALUE"""),"CIJAWURA")</f>
        <v>CIJAWURA</v>
      </c>
      <c r="G970" s="4" t="str">
        <f>IFERROR(__xludf.DUMMYFUNCTION("""COMPUTED_VALUE"""),"GIS KIARACONDONG")</f>
        <v>GIS KIARACONDONG</v>
      </c>
      <c r="H970" s="4" t="str">
        <f>IFERROR(__xludf.DUMMYFUNCTION("""COMPUTED_VALUE"""),"CWRA")</f>
        <v>CWRA</v>
      </c>
      <c r="I970" s="4" t="str">
        <f>IFERROR(__xludf.DUMMYFUNCTION("""COMPUTED_VALUE"""),"DS GSE - GGM")</f>
        <v>DS GSE - GGM</v>
      </c>
      <c r="J970" s="4" t="str">
        <f>IFERROR(__xludf.DUMMYFUNCTION("""COMPUTED_VALUE"""),"ZONA 1")</f>
        <v>ZONA 1</v>
      </c>
      <c r="K970" s="4" t="str">
        <f>IFERROR(__xludf.DUMMYFUNCTION("""COMPUTED_VALUE"""),"019")</f>
        <v>019</v>
      </c>
      <c r="L970" s="4" t="str">
        <f>IFERROR(__xludf.DUMMYFUNCTION("""COMPUTED_VALUE"""),"TM - 12B/H (KABEL Kabel Naik Dua Saluran)")</f>
        <v>TM - 12B/H (KABEL Kabel Naik Dua Saluran)</v>
      </c>
      <c r="M970" s="4" t="str">
        <f>IFERROR(__xludf.DUMMYFUNCTION("""COMPUTED_VALUE"""),"Tidak Ada")</f>
        <v>Tidak Ada</v>
      </c>
      <c r="N970" s="4"/>
      <c r="O970" s="4" t="str">
        <f>IFERROR(__xludf.DUMMYFUNCTION("""COMPUTED_VALUE"""),"PEMBANDING SEJENIS")</f>
        <v>PEMBANDING SEJENIS</v>
      </c>
      <c r="P970" s="4" t="str">
        <f>IFERROR(__xludf.DUMMYFUNCTION("""COMPUTED_VALUE"""),"KONEKTOR/JUMPER")</f>
        <v>KONEKTOR/JUMPER</v>
      </c>
      <c r="Q970" s="4">
        <f>IFERROR(__xludf.DUMMYFUNCTION("""COMPUTED_VALUE"""),21.0)</f>
        <v>21</v>
      </c>
      <c r="R970" s="4">
        <f>IFERROR(__xludf.DUMMYFUNCTION("""COMPUTED_VALUE"""),20.0)</f>
        <v>20</v>
      </c>
      <c r="S970" s="4">
        <f>IFERROR(__xludf.DUMMYFUNCTION("""COMPUTED_VALUE"""),20.0)</f>
        <v>20</v>
      </c>
      <c r="T970" s="4"/>
      <c r="U970" s="4" t="str">
        <f>IFERROR(__xludf.DUMMYFUNCTION("""COMPUTED_VALUE"""),"BAIK")</f>
        <v>BAIK</v>
      </c>
      <c r="V970" s="4" t="str">
        <f>IFERROR(__xludf.DUMMYFUNCTION("""COMPUTED_VALUE"""),"Tidak Ada")</f>
        <v>Tidak Ada</v>
      </c>
      <c r="W970" s="4"/>
      <c r="X970" s="4"/>
      <c r="Y970" s="4"/>
      <c r="Z970" s="4"/>
      <c r="AA970" s="4"/>
      <c r="AB970" s="4"/>
      <c r="AC970" s="4" t="str">
        <f>IFERROR(__xludf.DUMMYFUNCTION("""COMPUTED_VALUE"""),"INSPEKSI SUTM - T2_Images/362c5ff4.FOTO.185105.jpg")</f>
        <v>INSPEKSI SUTM - T2_Images/362c5ff4.FOTO.185105.jpg</v>
      </c>
      <c r="AD970" s="4"/>
      <c r="AE970" s="4"/>
      <c r="AF970" s="4" t="str">
        <f>IFERROR(__xludf.DUMMYFUNCTION("""COMPUTED_VALUE"""),"BELUM")</f>
        <v>BELUM</v>
      </c>
      <c r="AG970" s="6">
        <f>IFERROR(__xludf.DUMMYFUNCTION("""COMPUTED_VALUE"""),46109.0)</f>
        <v>46109</v>
      </c>
      <c r="AH970" s="4"/>
      <c r="AI970" s="4"/>
    </row>
    <row r="971" ht="15.75" customHeight="1">
      <c r="A971" s="4" t="str">
        <f>IFERROR(__xludf.DUMMYFUNCTION("""COMPUTED_VALUE"""),"0c192129")</f>
        <v>0c192129</v>
      </c>
      <c r="B971" s="5">
        <f>IFERROR(__xludf.DUMMYFUNCTION("""COMPUTED_VALUE"""),46109.07743055555)</f>
        <v>46109.07743</v>
      </c>
      <c r="C971" s="4" t="str">
        <f>IFERROR(__xludf.DUMMYFUNCTION("""COMPUTED_VALUE"""),"-6.937668, 107.661719")</f>
        <v>-6.937668, 107.661719</v>
      </c>
      <c r="D971" s="4" t="str">
        <f>IFERROR(__xludf.DUMMYFUNCTION("""COMPUTED_VALUE"""),"Jihan kiki")</f>
        <v>Jihan kiki</v>
      </c>
      <c r="E971" s="4" t="str">
        <f>IFERROR(__xludf.DUMMYFUNCTION("""COMPUTED_VALUE"""),"BANDUNG")</f>
        <v>BANDUNG</v>
      </c>
      <c r="F971" s="4" t="str">
        <f>IFERROR(__xludf.DUMMYFUNCTION("""COMPUTED_VALUE"""),"CIJAWURA")</f>
        <v>CIJAWURA</v>
      </c>
      <c r="G971" s="4" t="str">
        <f>IFERROR(__xludf.DUMMYFUNCTION("""COMPUTED_VALUE"""),"GIS KIARACONDONG")</f>
        <v>GIS KIARACONDONG</v>
      </c>
      <c r="H971" s="4" t="str">
        <f>IFERROR(__xludf.DUMMYFUNCTION("""COMPUTED_VALUE"""),"CWRA")</f>
        <v>CWRA</v>
      </c>
      <c r="I971" s="4" t="str">
        <f>IFERROR(__xludf.DUMMYFUNCTION("""COMPUTED_VALUE"""),"GGM - LBS MSHA")</f>
        <v>GGM - LBS MSHA</v>
      </c>
      <c r="J971" s="4" t="str">
        <f>IFERROR(__xludf.DUMMYFUNCTION("""COMPUTED_VALUE"""),"ZONA 2")</f>
        <v>ZONA 2</v>
      </c>
      <c r="K971" s="4" t="str">
        <f>IFERROR(__xludf.DUMMYFUNCTION("""COMPUTED_VALUE"""),"020")</f>
        <v>020</v>
      </c>
      <c r="L971" s="4" t="str">
        <f>IFERROR(__xludf.DUMMYFUNCTION("""COMPUTED_VALUE"""),"TM - 8B/H (Percabangan)")</f>
        <v>TM - 8B/H (Percabangan)</v>
      </c>
      <c r="M971" s="4" t="str">
        <f>IFERROR(__xludf.DUMMYFUNCTION("""COMPUTED_VALUE"""),"Tidak Ada")</f>
        <v>Tidak Ada</v>
      </c>
      <c r="N971" s="4"/>
      <c r="O971" s="4" t="str">
        <f>IFERROR(__xludf.DUMMYFUNCTION("""COMPUTED_VALUE"""),"PEMBANDING SEJENIS")</f>
        <v>PEMBANDING SEJENIS</v>
      </c>
      <c r="P971" s="4" t="str">
        <f>IFERROR(__xludf.DUMMYFUNCTION("""COMPUTED_VALUE"""),"KONEKTOR/JUMPER")</f>
        <v>KONEKTOR/JUMPER</v>
      </c>
      <c r="Q971" s="4">
        <f>IFERROR(__xludf.DUMMYFUNCTION("""COMPUTED_VALUE"""),22.0)</f>
        <v>22</v>
      </c>
      <c r="R971" s="4">
        <f>IFERROR(__xludf.DUMMYFUNCTION("""COMPUTED_VALUE"""),22.0)</f>
        <v>22</v>
      </c>
      <c r="S971" s="4">
        <f>IFERROR(__xludf.DUMMYFUNCTION("""COMPUTED_VALUE"""),22.0)</f>
        <v>22</v>
      </c>
      <c r="T971" s="4"/>
      <c r="U971" s="4" t="str">
        <f>IFERROR(__xludf.DUMMYFUNCTION("""COMPUTED_VALUE"""),"BAIK")</f>
        <v>BAIK</v>
      </c>
      <c r="V971" s="4" t="str">
        <f>IFERROR(__xludf.DUMMYFUNCTION("""COMPUTED_VALUE"""),"Tidak Ada")</f>
        <v>Tidak Ada</v>
      </c>
      <c r="W971" s="4"/>
      <c r="X971" s="4"/>
      <c r="Y971" s="4"/>
      <c r="Z971" s="4"/>
      <c r="AA971" s="4"/>
      <c r="AB971" s="4"/>
      <c r="AC971" s="4" t="str">
        <f>IFERROR(__xludf.DUMMYFUNCTION("""COMPUTED_VALUE"""),"INSPEKSI SUTM - T2_Images/0c192129.FOTO.185216.jpg")</f>
        <v>INSPEKSI SUTM - T2_Images/0c192129.FOTO.185216.jpg</v>
      </c>
      <c r="AD971" s="4"/>
      <c r="AE971" s="4"/>
      <c r="AF971" s="4" t="str">
        <f>IFERROR(__xludf.DUMMYFUNCTION("""COMPUTED_VALUE"""),"BELUM")</f>
        <v>BELUM</v>
      </c>
      <c r="AG971" s="6">
        <f>IFERROR(__xludf.DUMMYFUNCTION("""COMPUTED_VALUE"""),46109.0)</f>
        <v>46109</v>
      </c>
      <c r="AH971" s="4"/>
      <c r="AI971" s="4"/>
    </row>
    <row r="972" ht="15.75" customHeight="1">
      <c r="A972" s="4" t="str">
        <f>IFERROR(__xludf.DUMMYFUNCTION("""COMPUTED_VALUE"""),"7e444c05")</f>
        <v>7e444c05</v>
      </c>
      <c r="B972" s="5">
        <f>IFERROR(__xludf.DUMMYFUNCTION("""COMPUTED_VALUE"""),46109.07800925926)</f>
        <v>46109.07801</v>
      </c>
      <c r="C972" s="4" t="str">
        <f>IFERROR(__xludf.DUMMYFUNCTION("""COMPUTED_VALUE"""),"-6.937967, 107.662890")</f>
        <v>-6.937967, 107.662890</v>
      </c>
      <c r="D972" s="4" t="str">
        <f>IFERROR(__xludf.DUMMYFUNCTION("""COMPUTED_VALUE"""),"Jihan kiki")</f>
        <v>Jihan kiki</v>
      </c>
      <c r="E972" s="4" t="str">
        <f>IFERROR(__xludf.DUMMYFUNCTION("""COMPUTED_VALUE"""),"BANDUNG")</f>
        <v>BANDUNG</v>
      </c>
      <c r="F972" s="4" t="str">
        <f>IFERROR(__xludf.DUMMYFUNCTION("""COMPUTED_VALUE"""),"CIJAWURA")</f>
        <v>CIJAWURA</v>
      </c>
      <c r="G972" s="4" t="str">
        <f>IFERROR(__xludf.DUMMYFUNCTION("""COMPUTED_VALUE"""),"GIS KIARACONDONG")</f>
        <v>GIS KIARACONDONG</v>
      </c>
      <c r="H972" s="4" t="str">
        <f>IFERROR(__xludf.DUMMYFUNCTION("""COMPUTED_VALUE"""),"CWRA")</f>
        <v>CWRA</v>
      </c>
      <c r="I972" s="4" t="str">
        <f>IFERROR(__xludf.DUMMYFUNCTION("""COMPUTED_VALUE"""),"GGM - LBS MSHA")</f>
        <v>GGM - LBS MSHA</v>
      </c>
      <c r="J972" s="4" t="str">
        <f>IFERROR(__xludf.DUMMYFUNCTION("""COMPUTED_VALUE"""),"ZONA 2")</f>
        <v>ZONA 2</v>
      </c>
      <c r="K972" s="4" t="str">
        <f>IFERROR(__xludf.DUMMYFUNCTION("""COMPUTED_VALUE"""),"023")</f>
        <v>023</v>
      </c>
      <c r="L972" s="4" t="str">
        <f>IFERROR(__xludf.DUMMYFUNCTION("""COMPUTED_VALUE"""),"TM - 8B/H (Percabangan)")</f>
        <v>TM - 8B/H (Percabangan)</v>
      </c>
      <c r="M972" s="4" t="str">
        <f>IFERROR(__xludf.DUMMYFUNCTION("""COMPUTED_VALUE"""),"Tidak Ada")</f>
        <v>Tidak Ada</v>
      </c>
      <c r="N972" s="4"/>
      <c r="O972" s="4" t="str">
        <f>IFERROR(__xludf.DUMMYFUNCTION("""COMPUTED_VALUE"""),"PEMBANDING SEJENIS")</f>
        <v>PEMBANDING SEJENIS</v>
      </c>
      <c r="P972" s="4" t="str">
        <f>IFERROR(__xludf.DUMMYFUNCTION("""COMPUTED_VALUE"""),"KONEKTOR/JUMPER")</f>
        <v>KONEKTOR/JUMPER</v>
      </c>
      <c r="Q972" s="4">
        <f>IFERROR(__xludf.DUMMYFUNCTION("""COMPUTED_VALUE"""),20.0)</f>
        <v>20</v>
      </c>
      <c r="R972" s="4">
        <f>IFERROR(__xludf.DUMMYFUNCTION("""COMPUTED_VALUE"""),20.0)</f>
        <v>20</v>
      </c>
      <c r="S972" s="4">
        <f>IFERROR(__xludf.DUMMYFUNCTION("""COMPUTED_VALUE"""),20.0)</f>
        <v>20</v>
      </c>
      <c r="T972" s="4"/>
      <c r="U972" s="4" t="str">
        <f>IFERROR(__xludf.DUMMYFUNCTION("""COMPUTED_VALUE"""),"BAIK")</f>
        <v>BAIK</v>
      </c>
      <c r="V972" s="4" t="str">
        <f>IFERROR(__xludf.DUMMYFUNCTION("""COMPUTED_VALUE"""),"Tidak Ada")</f>
        <v>Tidak Ada</v>
      </c>
      <c r="W972" s="4"/>
      <c r="X972" s="4"/>
      <c r="Y972" s="4"/>
      <c r="Z972" s="4"/>
      <c r="AA972" s="4"/>
      <c r="AB972" s="4"/>
      <c r="AC972" s="4" t="str">
        <f>IFERROR(__xludf.DUMMYFUNCTION("""COMPUTED_VALUE"""),"INSPEKSI SUTM - T2_Images/7e444c05.FOTO.185308.jpg")</f>
        <v>INSPEKSI SUTM - T2_Images/7e444c05.FOTO.185308.jpg</v>
      </c>
      <c r="AD972" s="4"/>
      <c r="AE972" s="4"/>
      <c r="AF972" s="4" t="str">
        <f>IFERROR(__xludf.DUMMYFUNCTION("""COMPUTED_VALUE"""),"BELUM")</f>
        <v>BELUM</v>
      </c>
      <c r="AG972" s="6">
        <f>IFERROR(__xludf.DUMMYFUNCTION("""COMPUTED_VALUE"""),46109.0)</f>
        <v>46109</v>
      </c>
      <c r="AH972" s="4"/>
      <c r="AI972" s="4"/>
    </row>
    <row r="973" ht="15.75" customHeight="1">
      <c r="A973" s="4" t="str">
        <f>IFERROR(__xludf.DUMMYFUNCTION("""COMPUTED_VALUE"""),"1fae6799")</f>
        <v>1fae6799</v>
      </c>
      <c r="B973" s="5">
        <f>IFERROR(__xludf.DUMMYFUNCTION("""COMPUTED_VALUE"""),46109.07858796296)</f>
        <v>46109.07859</v>
      </c>
      <c r="C973" s="4" t="str">
        <f>IFERROR(__xludf.DUMMYFUNCTION("""COMPUTED_VALUE"""),"-6.938103, 107.663462")</f>
        <v>-6.938103, 107.663462</v>
      </c>
      <c r="D973" s="4" t="str">
        <f>IFERROR(__xludf.DUMMYFUNCTION("""COMPUTED_VALUE"""),"Jihan kiki")</f>
        <v>Jihan kiki</v>
      </c>
      <c r="E973" s="4" t="str">
        <f>IFERROR(__xludf.DUMMYFUNCTION("""COMPUTED_VALUE"""),"BANDUNG")</f>
        <v>BANDUNG</v>
      </c>
      <c r="F973" s="4" t="str">
        <f>IFERROR(__xludf.DUMMYFUNCTION("""COMPUTED_VALUE"""),"CIJAWURA")</f>
        <v>CIJAWURA</v>
      </c>
      <c r="G973" s="4" t="str">
        <f>IFERROR(__xludf.DUMMYFUNCTION("""COMPUTED_VALUE"""),"GIS KIARACONDONG")</f>
        <v>GIS KIARACONDONG</v>
      </c>
      <c r="H973" s="4" t="str">
        <f>IFERROR(__xludf.DUMMYFUNCTION("""COMPUTED_VALUE"""),"CWRA")</f>
        <v>CWRA</v>
      </c>
      <c r="I973" s="4" t="str">
        <f>IFERROR(__xludf.DUMMYFUNCTION("""COMPUTED_VALUE"""),"GGM - LBS MSHA")</f>
        <v>GGM - LBS MSHA</v>
      </c>
      <c r="J973" s="4" t="str">
        <f>IFERROR(__xludf.DUMMYFUNCTION("""COMPUTED_VALUE"""),"ZONA 2")</f>
        <v>ZONA 2</v>
      </c>
      <c r="K973" s="4" t="str">
        <f>IFERROR(__xludf.DUMMYFUNCTION("""COMPUTED_VALUE"""),"024")</f>
        <v>024</v>
      </c>
      <c r="L973" s="4" t="str">
        <f>IFERROR(__xludf.DUMMYFUNCTION("""COMPUTED_VALUE"""),"TM - 8B/H (Percabangan)")</f>
        <v>TM - 8B/H (Percabangan)</v>
      </c>
      <c r="M973" s="4" t="str">
        <f>IFERROR(__xludf.DUMMYFUNCTION("""COMPUTED_VALUE"""),"Tidak Ada")</f>
        <v>Tidak Ada</v>
      </c>
      <c r="N973" s="4"/>
      <c r="O973" s="4" t="str">
        <f>IFERROR(__xludf.DUMMYFUNCTION("""COMPUTED_VALUE"""),"PEMBANDING SEJENIS")</f>
        <v>PEMBANDING SEJENIS</v>
      </c>
      <c r="P973" s="4" t="str">
        <f>IFERROR(__xludf.DUMMYFUNCTION("""COMPUTED_VALUE"""),"KONEKTOR/JUMPER")</f>
        <v>KONEKTOR/JUMPER</v>
      </c>
      <c r="Q973" s="4">
        <f>IFERROR(__xludf.DUMMYFUNCTION("""COMPUTED_VALUE"""),21.0)</f>
        <v>21</v>
      </c>
      <c r="R973" s="4">
        <f>IFERROR(__xludf.DUMMYFUNCTION("""COMPUTED_VALUE"""),22.0)</f>
        <v>22</v>
      </c>
      <c r="S973" s="4">
        <f>IFERROR(__xludf.DUMMYFUNCTION("""COMPUTED_VALUE"""),21.0)</f>
        <v>21</v>
      </c>
      <c r="T973" s="4"/>
      <c r="U973" s="4" t="str">
        <f>IFERROR(__xludf.DUMMYFUNCTION("""COMPUTED_VALUE"""),"BAIK")</f>
        <v>BAIK</v>
      </c>
      <c r="V973" s="4" t="str">
        <f>IFERROR(__xludf.DUMMYFUNCTION("""COMPUTED_VALUE"""),"Tidak Ada")</f>
        <v>Tidak Ada</v>
      </c>
      <c r="W973" s="4"/>
      <c r="X973" s="4"/>
      <c r="Y973" s="4"/>
      <c r="Z973" s="4"/>
      <c r="AA973" s="4"/>
      <c r="AB973" s="4"/>
      <c r="AC973" s="4" t="str">
        <f>IFERROR(__xludf.DUMMYFUNCTION("""COMPUTED_VALUE"""),"INSPEKSI SUTM - T2_Images/1fae6799.FOTO.185346.jpg")</f>
        <v>INSPEKSI SUTM - T2_Images/1fae6799.FOTO.185346.jpg</v>
      </c>
      <c r="AD973" s="4"/>
      <c r="AE973" s="4"/>
      <c r="AF973" s="4" t="str">
        <f>IFERROR(__xludf.DUMMYFUNCTION("""COMPUTED_VALUE"""),"BELUM")</f>
        <v>BELUM</v>
      </c>
      <c r="AG973" s="6">
        <f>IFERROR(__xludf.DUMMYFUNCTION("""COMPUTED_VALUE"""),46109.0)</f>
        <v>46109</v>
      </c>
      <c r="AH973" s="4"/>
      <c r="AI973" s="4"/>
    </row>
    <row r="974" ht="15.75" customHeight="1">
      <c r="A974" s="4" t="str">
        <f>IFERROR(__xludf.DUMMYFUNCTION("""COMPUTED_VALUE"""),"3a2e2d9c")</f>
        <v>3a2e2d9c</v>
      </c>
      <c r="B974" s="5">
        <f>IFERROR(__xludf.DUMMYFUNCTION("""COMPUTED_VALUE"""),46109.07910879629)</f>
        <v>46109.07911</v>
      </c>
      <c r="C974" s="4" t="str">
        <f>IFERROR(__xludf.DUMMYFUNCTION("""COMPUTED_VALUE"""),"-6.938232, 107.663863")</f>
        <v>-6.938232, 107.663863</v>
      </c>
      <c r="D974" s="4" t="str">
        <f>IFERROR(__xludf.DUMMYFUNCTION("""COMPUTED_VALUE"""),"Jihan kiki")</f>
        <v>Jihan kiki</v>
      </c>
      <c r="E974" s="4" t="str">
        <f>IFERROR(__xludf.DUMMYFUNCTION("""COMPUTED_VALUE"""),"BANDUNG")</f>
        <v>BANDUNG</v>
      </c>
      <c r="F974" s="4" t="str">
        <f>IFERROR(__xludf.DUMMYFUNCTION("""COMPUTED_VALUE"""),"CIJAWURA")</f>
        <v>CIJAWURA</v>
      </c>
      <c r="G974" s="4" t="str">
        <f>IFERROR(__xludf.DUMMYFUNCTION("""COMPUTED_VALUE"""),"GIS KIARACONDONG")</f>
        <v>GIS KIARACONDONG</v>
      </c>
      <c r="H974" s="4" t="str">
        <f>IFERROR(__xludf.DUMMYFUNCTION("""COMPUTED_VALUE"""),"CWRA")</f>
        <v>CWRA</v>
      </c>
      <c r="I974" s="4" t="str">
        <f>IFERROR(__xludf.DUMMYFUNCTION("""COMPUTED_VALUE"""),"GGM - LBS MSHA")</f>
        <v>GGM - LBS MSHA</v>
      </c>
      <c r="J974" s="4" t="str">
        <f>IFERROR(__xludf.DUMMYFUNCTION("""COMPUTED_VALUE"""),"ZONA 2")</f>
        <v>ZONA 2</v>
      </c>
      <c r="K974" s="4" t="str">
        <f>IFERROR(__xludf.DUMMYFUNCTION("""COMPUTED_VALUE"""),"026")</f>
        <v>026</v>
      </c>
      <c r="L974" s="4" t="str">
        <f>IFERROR(__xludf.DUMMYFUNCTION("""COMPUTED_VALUE"""),"TM - 7B/H (Afspan 90 Derajat)")</f>
        <v>TM - 7B/H (Afspan 90 Derajat)</v>
      </c>
      <c r="M974" s="4" t="str">
        <f>IFERROR(__xludf.DUMMYFUNCTION("""COMPUTED_VALUE"""),"Tidak Ada")</f>
        <v>Tidak Ada</v>
      </c>
      <c r="N974" s="4"/>
      <c r="O974" s="4" t="str">
        <f>IFERROR(__xludf.DUMMYFUNCTION("""COMPUTED_VALUE"""),"PEMBANDING SEJENIS")</f>
        <v>PEMBANDING SEJENIS</v>
      </c>
      <c r="P974" s="4" t="str">
        <f>IFERROR(__xludf.DUMMYFUNCTION("""COMPUTED_VALUE"""),"KONEKTOR/JUMPER")</f>
        <v>KONEKTOR/JUMPER</v>
      </c>
      <c r="Q974" s="4">
        <f>IFERROR(__xludf.DUMMYFUNCTION("""COMPUTED_VALUE"""),21.0)</f>
        <v>21</v>
      </c>
      <c r="R974" s="4">
        <f>IFERROR(__xludf.DUMMYFUNCTION("""COMPUTED_VALUE"""),20.0)</f>
        <v>20</v>
      </c>
      <c r="S974" s="4">
        <f>IFERROR(__xludf.DUMMYFUNCTION("""COMPUTED_VALUE"""),20.0)</f>
        <v>20</v>
      </c>
      <c r="T974" s="4"/>
      <c r="U974" s="4" t="str">
        <f>IFERROR(__xludf.DUMMYFUNCTION("""COMPUTED_VALUE"""),"BAIK")</f>
        <v>BAIK</v>
      </c>
      <c r="V974" s="4" t="str">
        <f>IFERROR(__xludf.DUMMYFUNCTION("""COMPUTED_VALUE"""),"Tidak Ada")</f>
        <v>Tidak Ada</v>
      </c>
      <c r="W974" s="4"/>
      <c r="X974" s="4"/>
      <c r="Y974" s="4"/>
      <c r="Z974" s="4"/>
      <c r="AA974" s="4"/>
      <c r="AB974" s="4"/>
      <c r="AC974" s="4" t="str">
        <f>IFERROR(__xludf.DUMMYFUNCTION("""COMPUTED_VALUE"""),"INSPEKSI SUTM - T2_Images/3a2e2d9c.FOTO.185447.jpg")</f>
        <v>INSPEKSI SUTM - T2_Images/3a2e2d9c.FOTO.185447.jpg</v>
      </c>
      <c r="AD974" s="4"/>
      <c r="AE974" s="4"/>
      <c r="AF974" s="4" t="str">
        <f>IFERROR(__xludf.DUMMYFUNCTION("""COMPUTED_VALUE"""),"BELUM")</f>
        <v>BELUM</v>
      </c>
      <c r="AG974" s="6">
        <f>IFERROR(__xludf.DUMMYFUNCTION("""COMPUTED_VALUE"""),46109.0)</f>
        <v>46109</v>
      </c>
      <c r="AH974" s="4"/>
      <c r="AI974" s="4"/>
    </row>
    <row r="975" ht="15.75" customHeight="1">
      <c r="A975" s="4" t="str">
        <f>IFERROR(__xludf.DUMMYFUNCTION("""COMPUTED_VALUE"""),"648fa705")</f>
        <v>648fa705</v>
      </c>
      <c r="B975" s="5">
        <f>IFERROR(__xludf.DUMMYFUNCTION("""COMPUTED_VALUE"""),46109.079722222225)</f>
        <v>46109.07972</v>
      </c>
      <c r="C975" s="4" t="str">
        <f>IFERROR(__xludf.DUMMYFUNCTION("""COMPUTED_VALUE"""),"-6.937663, 107.663840")</f>
        <v>-6.937663, 107.663840</v>
      </c>
      <c r="D975" s="4" t="str">
        <f>IFERROR(__xludf.DUMMYFUNCTION("""COMPUTED_VALUE"""),"Jihan kki")</f>
        <v>Jihan kki</v>
      </c>
      <c r="E975" s="4" t="str">
        <f>IFERROR(__xludf.DUMMYFUNCTION("""COMPUTED_VALUE"""),"BANDUNG")</f>
        <v>BANDUNG</v>
      </c>
      <c r="F975" s="4" t="str">
        <f>IFERROR(__xludf.DUMMYFUNCTION("""COMPUTED_VALUE"""),"CIJAWURA")</f>
        <v>CIJAWURA</v>
      </c>
      <c r="G975" s="4" t="str">
        <f>IFERROR(__xludf.DUMMYFUNCTION("""COMPUTED_VALUE"""),"GIS KIARACONDONG")</f>
        <v>GIS KIARACONDONG</v>
      </c>
      <c r="H975" s="4" t="str">
        <f>IFERROR(__xludf.DUMMYFUNCTION("""COMPUTED_VALUE"""),"CWRA")</f>
        <v>CWRA</v>
      </c>
      <c r="I975" s="4" t="str">
        <f>IFERROR(__xludf.DUMMYFUNCTION("""COMPUTED_VALUE"""),"GGM - LBS MSHA")</f>
        <v>GGM - LBS MSHA</v>
      </c>
      <c r="J975" s="4" t="str">
        <f>IFERROR(__xludf.DUMMYFUNCTION("""COMPUTED_VALUE"""),"ZONA 2")</f>
        <v>ZONA 2</v>
      </c>
      <c r="K975" s="4" t="str">
        <f>IFERROR(__xludf.DUMMYFUNCTION("""COMPUTED_VALUE"""),"028")</f>
        <v>028</v>
      </c>
      <c r="L975" s="4" t="str">
        <f>IFERROR(__xludf.DUMMYFUNCTION("""COMPUTED_VALUE"""),"TM - 8B/H (Percabangan)")</f>
        <v>TM - 8B/H (Percabangan)</v>
      </c>
      <c r="M975" s="4" t="str">
        <f>IFERROR(__xludf.DUMMYFUNCTION("""COMPUTED_VALUE"""),"Tidak Ada")</f>
        <v>Tidak Ada</v>
      </c>
      <c r="N975" s="4"/>
      <c r="O975" s="4" t="str">
        <f>IFERROR(__xludf.DUMMYFUNCTION("""COMPUTED_VALUE"""),"PEMBANDING SEJENIS")</f>
        <v>PEMBANDING SEJENIS</v>
      </c>
      <c r="P975" s="4" t="str">
        <f>IFERROR(__xludf.DUMMYFUNCTION("""COMPUTED_VALUE"""),"KONEKTOR/JUMPER")</f>
        <v>KONEKTOR/JUMPER</v>
      </c>
      <c r="Q975" s="4">
        <f>IFERROR(__xludf.DUMMYFUNCTION("""COMPUTED_VALUE"""),23.0)</f>
        <v>23</v>
      </c>
      <c r="R975" s="4">
        <f>IFERROR(__xludf.DUMMYFUNCTION("""COMPUTED_VALUE"""),20.0)</f>
        <v>20</v>
      </c>
      <c r="S975" s="4">
        <f>IFERROR(__xludf.DUMMYFUNCTION("""COMPUTED_VALUE"""),20.0)</f>
        <v>20</v>
      </c>
      <c r="T975" s="4"/>
      <c r="U975" s="4" t="str">
        <f>IFERROR(__xludf.DUMMYFUNCTION("""COMPUTED_VALUE"""),"CUKUP")</f>
        <v>CUKUP</v>
      </c>
      <c r="V975" s="4" t="str">
        <f>IFERROR(__xludf.DUMMYFUNCTION("""COMPUTED_VALUE"""),"Tidak Ada")</f>
        <v>Tidak Ada</v>
      </c>
      <c r="W975" s="4"/>
      <c r="X975" s="4"/>
      <c r="Y975" s="4"/>
      <c r="Z975" s="4"/>
      <c r="AA975" s="4"/>
      <c r="AB975" s="4"/>
      <c r="AC975" s="4" t="str">
        <f>IFERROR(__xludf.DUMMYFUNCTION("""COMPUTED_VALUE"""),"INSPEKSI SUTM - T2_Images/648fa705.FOTO.185527.jpg")</f>
        <v>INSPEKSI SUTM - T2_Images/648fa705.FOTO.185527.jpg</v>
      </c>
      <c r="AD975" s="4"/>
      <c r="AE975" s="4"/>
      <c r="AF975" s="4" t="str">
        <f>IFERROR(__xludf.DUMMYFUNCTION("""COMPUTED_VALUE"""),"BELUM")</f>
        <v>BELUM</v>
      </c>
      <c r="AG975" s="6">
        <f>IFERROR(__xludf.DUMMYFUNCTION("""COMPUTED_VALUE"""),46109.0)</f>
        <v>46109</v>
      </c>
      <c r="AH975" s="4"/>
      <c r="AI975" s="4"/>
    </row>
    <row r="976" ht="15.75" customHeight="1">
      <c r="A976" s="4" t="str">
        <f>IFERROR(__xludf.DUMMYFUNCTION("""COMPUTED_VALUE"""),"3efccccc")</f>
        <v>3efccccc</v>
      </c>
      <c r="B976" s="5">
        <f>IFERROR(__xludf.DUMMYFUNCTION("""COMPUTED_VALUE"""),46109.08039351852)</f>
        <v>46109.08039</v>
      </c>
      <c r="C976" s="4" t="str">
        <f>IFERROR(__xludf.DUMMYFUNCTION("""COMPUTED_VALUE"""),"-6.935114, 107.664269")</f>
        <v>-6.935114, 107.664269</v>
      </c>
      <c r="D976" s="4" t="str">
        <f>IFERROR(__xludf.DUMMYFUNCTION("""COMPUTED_VALUE"""),"Jihan kiki")</f>
        <v>Jihan kiki</v>
      </c>
      <c r="E976" s="4" t="str">
        <f>IFERROR(__xludf.DUMMYFUNCTION("""COMPUTED_VALUE"""),"BANDUNG")</f>
        <v>BANDUNG</v>
      </c>
      <c r="F976" s="4" t="str">
        <f>IFERROR(__xludf.DUMMYFUNCTION("""COMPUTED_VALUE"""),"CIJAWURA")</f>
        <v>CIJAWURA</v>
      </c>
      <c r="G976" s="4" t="str">
        <f>IFERROR(__xludf.DUMMYFUNCTION("""COMPUTED_VALUE"""),"GIS KIARACONDONG")</f>
        <v>GIS KIARACONDONG</v>
      </c>
      <c r="H976" s="4" t="str">
        <f>IFERROR(__xludf.DUMMYFUNCTION("""COMPUTED_VALUE"""),"CWRA")</f>
        <v>CWRA</v>
      </c>
      <c r="I976" s="4" t="str">
        <f>IFERROR(__xludf.DUMMYFUNCTION("""COMPUTED_VALUE"""),"GGM - LBS MSHA")</f>
        <v>GGM - LBS MSHA</v>
      </c>
      <c r="J976" s="4" t="str">
        <f>IFERROR(__xludf.DUMMYFUNCTION("""COMPUTED_VALUE"""),"ZONA 2")</f>
        <v>ZONA 2</v>
      </c>
      <c r="K976" s="4" t="str">
        <f>IFERROR(__xludf.DUMMYFUNCTION("""COMPUTED_VALUE"""),"034")</f>
        <v>034</v>
      </c>
      <c r="L976" s="4" t="str">
        <f>IFERROR(__xludf.DUMMYFUNCTION("""COMPUTED_VALUE"""),"TM - 8B/H (Percabangan)")</f>
        <v>TM - 8B/H (Percabangan)</v>
      </c>
      <c r="M976" s="4" t="str">
        <f>IFERROR(__xludf.DUMMYFUNCTION("""COMPUTED_VALUE"""),"Tidak Ada")</f>
        <v>Tidak Ada</v>
      </c>
      <c r="N976" s="4"/>
      <c r="O976" s="4" t="str">
        <f>IFERROR(__xludf.DUMMYFUNCTION("""COMPUTED_VALUE"""),"PEMBANDING SEJENIS")</f>
        <v>PEMBANDING SEJENIS</v>
      </c>
      <c r="P976" s="4" t="str">
        <f>IFERROR(__xludf.DUMMYFUNCTION("""COMPUTED_VALUE"""),"KONEKTOR/JUMPER")</f>
        <v>KONEKTOR/JUMPER</v>
      </c>
      <c r="Q976" s="4">
        <f>IFERROR(__xludf.DUMMYFUNCTION("""COMPUTED_VALUE"""),23.0)</f>
        <v>23</v>
      </c>
      <c r="R976" s="4">
        <f>IFERROR(__xludf.DUMMYFUNCTION("""COMPUTED_VALUE"""),23.0)</f>
        <v>23</v>
      </c>
      <c r="S976" s="4">
        <f>IFERROR(__xludf.DUMMYFUNCTION("""COMPUTED_VALUE"""),22.0)</f>
        <v>22</v>
      </c>
      <c r="T976" s="4"/>
      <c r="U976" s="4" t="str">
        <f>IFERROR(__xludf.DUMMYFUNCTION("""COMPUTED_VALUE"""),"BAIK")</f>
        <v>BAIK</v>
      </c>
      <c r="V976" s="4" t="str">
        <f>IFERROR(__xludf.DUMMYFUNCTION("""COMPUTED_VALUE"""),"Tidak Ada")</f>
        <v>Tidak Ada</v>
      </c>
      <c r="W976" s="4"/>
      <c r="X976" s="4"/>
      <c r="Y976" s="4"/>
      <c r="Z976" s="4"/>
      <c r="AA976" s="4"/>
      <c r="AB976" s="4"/>
      <c r="AC976" s="4" t="str">
        <f>IFERROR(__xludf.DUMMYFUNCTION("""COMPUTED_VALUE"""),"INSPEKSI SUTM - T2_Images/3efccccc.FOTO.190355.jpg")</f>
        <v>INSPEKSI SUTM - T2_Images/3efccccc.FOTO.190355.jpg</v>
      </c>
      <c r="AD976" s="4"/>
      <c r="AE976" s="4"/>
      <c r="AF976" s="4" t="str">
        <f>IFERROR(__xludf.DUMMYFUNCTION("""COMPUTED_VALUE"""),"BELUM")</f>
        <v>BELUM</v>
      </c>
      <c r="AG976" s="6">
        <f>IFERROR(__xludf.DUMMYFUNCTION("""COMPUTED_VALUE"""),46109.0)</f>
        <v>46109</v>
      </c>
      <c r="AH976" s="4"/>
      <c r="AI976" s="4"/>
    </row>
    <row r="977" ht="15.75" customHeight="1">
      <c r="A977" s="4" t="str">
        <f>IFERROR(__xludf.DUMMYFUNCTION("""COMPUTED_VALUE"""),"09b5a4dd")</f>
        <v>09b5a4dd</v>
      </c>
      <c r="B977" s="5">
        <f>IFERROR(__xludf.DUMMYFUNCTION("""COMPUTED_VALUE"""),46109.08675925926)</f>
        <v>46109.08676</v>
      </c>
      <c r="C977" s="4" t="str">
        <f>IFERROR(__xludf.DUMMYFUNCTION("""COMPUTED_VALUE"""),"-6.934695, 107.664361")</f>
        <v>-6.934695, 107.664361</v>
      </c>
      <c r="D977" s="4" t="str">
        <f>IFERROR(__xludf.DUMMYFUNCTION("""COMPUTED_VALUE"""),"Jihan kiki")</f>
        <v>Jihan kiki</v>
      </c>
      <c r="E977" s="4" t="str">
        <f>IFERROR(__xludf.DUMMYFUNCTION("""COMPUTED_VALUE"""),"BANDUNG")</f>
        <v>BANDUNG</v>
      </c>
      <c r="F977" s="4" t="str">
        <f>IFERROR(__xludf.DUMMYFUNCTION("""COMPUTED_VALUE"""),"CIJAWURA")</f>
        <v>CIJAWURA</v>
      </c>
      <c r="G977" s="4" t="str">
        <f>IFERROR(__xludf.DUMMYFUNCTION("""COMPUTED_VALUE"""),"GIS KIARACONDONG")</f>
        <v>GIS KIARACONDONG</v>
      </c>
      <c r="H977" s="4" t="str">
        <f>IFERROR(__xludf.DUMMYFUNCTION("""COMPUTED_VALUE"""),"CWRA")</f>
        <v>CWRA</v>
      </c>
      <c r="I977" s="4" t="str">
        <f>IFERROR(__xludf.DUMMYFUNCTION("""COMPUTED_VALUE"""),"GGM - LBS MSHA")</f>
        <v>GGM - LBS MSHA</v>
      </c>
      <c r="J977" s="4" t="str">
        <f>IFERROR(__xludf.DUMMYFUNCTION("""COMPUTED_VALUE"""),"ZONA 2")</f>
        <v>ZONA 2</v>
      </c>
      <c r="K977" s="4" t="str">
        <f>IFERROR(__xludf.DUMMYFUNCTION("""COMPUTED_VALUE"""),"034R01")</f>
        <v>034R01</v>
      </c>
      <c r="L977" s="4" t="str">
        <f>IFERROR(__xludf.DUMMYFUNCTION("""COMPUTED_VALUE"""),"TM - 8B/H (Percabangan)")</f>
        <v>TM - 8B/H (Percabangan)</v>
      </c>
      <c r="M977" s="4" t="str">
        <f>IFERROR(__xludf.DUMMYFUNCTION("""COMPUTED_VALUE"""),"Tidak Ada")</f>
        <v>Tidak Ada</v>
      </c>
      <c r="N977" s="4"/>
      <c r="O977" s="4" t="str">
        <f>IFERROR(__xludf.DUMMYFUNCTION("""COMPUTED_VALUE"""),"PEMBANDING SEJENIS")</f>
        <v>PEMBANDING SEJENIS</v>
      </c>
      <c r="P977" s="4" t="str">
        <f>IFERROR(__xludf.DUMMYFUNCTION("""COMPUTED_VALUE"""),"KONEKTOR/JUMPER")</f>
        <v>KONEKTOR/JUMPER</v>
      </c>
      <c r="Q977" s="4">
        <f>IFERROR(__xludf.DUMMYFUNCTION("""COMPUTED_VALUE"""),21.0)</f>
        <v>21</v>
      </c>
      <c r="R977" s="4">
        <f>IFERROR(__xludf.DUMMYFUNCTION("""COMPUTED_VALUE"""),22.0)</f>
        <v>22</v>
      </c>
      <c r="S977" s="4">
        <f>IFERROR(__xludf.DUMMYFUNCTION("""COMPUTED_VALUE"""),23.0)</f>
        <v>23</v>
      </c>
      <c r="T977" s="4"/>
      <c r="U977" s="4" t="str">
        <f>IFERROR(__xludf.DUMMYFUNCTION("""COMPUTED_VALUE"""),"BAIK")</f>
        <v>BAIK</v>
      </c>
      <c r="V977" s="4" t="str">
        <f>IFERROR(__xludf.DUMMYFUNCTION("""COMPUTED_VALUE"""),"Tidak Ada")</f>
        <v>Tidak Ada</v>
      </c>
      <c r="W977" s="4"/>
      <c r="X977" s="4"/>
      <c r="Y977" s="4"/>
      <c r="Z977" s="4"/>
      <c r="AA977" s="4"/>
      <c r="AB977" s="4"/>
      <c r="AC977" s="4" t="str">
        <f>IFERROR(__xludf.DUMMYFUNCTION("""COMPUTED_VALUE"""),"INSPEKSI SUTM - T2_Images/09b5a4dd.FOTO.190542.jpg")</f>
        <v>INSPEKSI SUTM - T2_Images/09b5a4dd.FOTO.190542.jpg</v>
      </c>
      <c r="AD977" s="4"/>
      <c r="AE977" s="4"/>
      <c r="AF977" s="4" t="str">
        <f>IFERROR(__xludf.DUMMYFUNCTION("""COMPUTED_VALUE"""),"BELUM")</f>
        <v>BELUM</v>
      </c>
      <c r="AG977" s="6">
        <f>IFERROR(__xludf.DUMMYFUNCTION("""COMPUTED_VALUE"""),46109.0)</f>
        <v>46109</v>
      </c>
      <c r="AH977" s="4"/>
      <c r="AI977" s="4"/>
    </row>
    <row r="978" ht="15.75" customHeight="1">
      <c r="A978" s="4" t="str">
        <f>IFERROR(__xludf.DUMMYFUNCTION("""COMPUTED_VALUE"""),"cf202a21")</f>
        <v>cf202a21</v>
      </c>
      <c r="B978" s="5">
        <f>IFERROR(__xludf.DUMMYFUNCTION("""COMPUTED_VALUE"""),46109.08744212963)</f>
        <v>46109.08744</v>
      </c>
      <c r="C978" s="4" t="str">
        <f>IFERROR(__xludf.DUMMYFUNCTION("""COMPUTED_VALUE"""),"-6.934762, 107.664769")</f>
        <v>-6.934762, 107.664769</v>
      </c>
      <c r="D978" s="4" t="str">
        <f>IFERROR(__xludf.DUMMYFUNCTION("""COMPUTED_VALUE"""),"Jihan kiki")</f>
        <v>Jihan kiki</v>
      </c>
      <c r="E978" s="4" t="str">
        <f>IFERROR(__xludf.DUMMYFUNCTION("""COMPUTED_VALUE"""),"BANDUNG")</f>
        <v>BANDUNG</v>
      </c>
      <c r="F978" s="4" t="str">
        <f>IFERROR(__xludf.DUMMYFUNCTION("""COMPUTED_VALUE"""),"CIJAWURA")</f>
        <v>CIJAWURA</v>
      </c>
      <c r="G978" s="4" t="str">
        <f>IFERROR(__xludf.DUMMYFUNCTION("""COMPUTED_VALUE"""),"GIS KIARACONDONG")</f>
        <v>GIS KIARACONDONG</v>
      </c>
      <c r="H978" s="4" t="str">
        <f>IFERROR(__xludf.DUMMYFUNCTION("""COMPUTED_VALUE"""),"CWRA")</f>
        <v>CWRA</v>
      </c>
      <c r="I978" s="4" t="str">
        <f>IFERROR(__xludf.DUMMYFUNCTION("""COMPUTED_VALUE"""),"GGM - LBS MSHA")</f>
        <v>GGM - LBS MSHA</v>
      </c>
      <c r="J978" s="4" t="str">
        <f>IFERROR(__xludf.DUMMYFUNCTION("""COMPUTED_VALUE"""),"ZONA 2")</f>
        <v>ZONA 2</v>
      </c>
      <c r="K978" s="4" t="str">
        <f>IFERROR(__xludf.DUMMYFUNCTION("""COMPUTED_VALUE"""),"034R01R01")</f>
        <v>034R01R01</v>
      </c>
      <c r="L978" s="4" t="str">
        <f>IFERROR(__xludf.DUMMYFUNCTION("""COMPUTED_VALUE"""),"TM - 7B/H (Afspan 90 Derajat)")</f>
        <v>TM - 7B/H (Afspan 90 Derajat)</v>
      </c>
      <c r="M978" s="4" t="str">
        <f>IFERROR(__xludf.DUMMYFUNCTION("""COMPUTED_VALUE"""),"Tidak Ada")</f>
        <v>Tidak Ada</v>
      </c>
      <c r="N978" s="4"/>
      <c r="O978" s="4" t="str">
        <f>IFERROR(__xludf.DUMMYFUNCTION("""COMPUTED_VALUE"""),"PEMBANDING SEJENIS")</f>
        <v>PEMBANDING SEJENIS</v>
      </c>
      <c r="P978" s="4" t="str">
        <f>IFERROR(__xludf.DUMMYFUNCTION("""COMPUTED_VALUE"""),"KONEKTOR/JUMPER")</f>
        <v>KONEKTOR/JUMPER</v>
      </c>
      <c r="Q978" s="4">
        <f>IFERROR(__xludf.DUMMYFUNCTION("""COMPUTED_VALUE"""),20.0)</f>
        <v>20</v>
      </c>
      <c r="R978" s="4">
        <f>IFERROR(__xludf.DUMMYFUNCTION("""COMPUTED_VALUE"""),22.0)</f>
        <v>22</v>
      </c>
      <c r="S978" s="4">
        <f>IFERROR(__xludf.DUMMYFUNCTION("""COMPUTED_VALUE"""),21.0)</f>
        <v>21</v>
      </c>
      <c r="T978" s="4"/>
      <c r="U978" s="4" t="str">
        <f>IFERROR(__xludf.DUMMYFUNCTION("""COMPUTED_VALUE"""),"BAIK")</f>
        <v>BAIK</v>
      </c>
      <c r="V978" s="4" t="str">
        <f>IFERROR(__xludf.DUMMYFUNCTION("""COMPUTED_VALUE"""),"Tidak Ada")</f>
        <v>Tidak Ada</v>
      </c>
      <c r="W978" s="4"/>
      <c r="X978" s="4"/>
      <c r="Y978" s="4"/>
      <c r="Z978" s="4"/>
      <c r="AA978" s="4"/>
      <c r="AB978" s="4"/>
      <c r="AC978" s="4" t="str">
        <f>IFERROR(__xludf.DUMMYFUNCTION("""COMPUTED_VALUE"""),"INSPEKSI SUTM - T2_Images/cf202a21.FOTO.190634.jpg")</f>
        <v>INSPEKSI SUTM - T2_Images/cf202a21.FOTO.190634.jpg</v>
      </c>
      <c r="AD978" s="4"/>
      <c r="AE978" s="4"/>
      <c r="AF978" s="4" t="str">
        <f>IFERROR(__xludf.DUMMYFUNCTION("""COMPUTED_VALUE"""),"BELUM")</f>
        <v>BELUM</v>
      </c>
      <c r="AG978" s="6">
        <f>IFERROR(__xludf.DUMMYFUNCTION("""COMPUTED_VALUE"""),46109.0)</f>
        <v>46109</v>
      </c>
      <c r="AH978" s="4"/>
      <c r="AI978" s="4"/>
    </row>
    <row r="979" ht="15.75" customHeight="1">
      <c r="A979" s="4" t="str">
        <f>IFERROR(__xludf.DUMMYFUNCTION("""COMPUTED_VALUE"""),"02ebe5e9")</f>
        <v>02ebe5e9</v>
      </c>
      <c r="B979" s="5">
        <f>IFERROR(__xludf.DUMMYFUNCTION("""COMPUTED_VALUE"""),46109.08806712963)</f>
        <v>46109.08807</v>
      </c>
      <c r="C979" s="4" t="str">
        <f>IFERROR(__xludf.DUMMYFUNCTION("""COMPUTED_VALUE"""),"-6.933581, 107.664991")</f>
        <v>-6.933581, 107.664991</v>
      </c>
      <c r="D979" s="4" t="str">
        <f>IFERROR(__xludf.DUMMYFUNCTION("""COMPUTED_VALUE"""),"Jihan kiki")</f>
        <v>Jihan kiki</v>
      </c>
      <c r="E979" s="4" t="str">
        <f>IFERROR(__xludf.DUMMYFUNCTION("""COMPUTED_VALUE"""),"BANDUNG")</f>
        <v>BANDUNG</v>
      </c>
      <c r="F979" s="4" t="str">
        <f>IFERROR(__xludf.DUMMYFUNCTION("""COMPUTED_VALUE"""),"CIJAWURA")</f>
        <v>CIJAWURA</v>
      </c>
      <c r="G979" s="4" t="str">
        <f>IFERROR(__xludf.DUMMYFUNCTION("""COMPUTED_VALUE"""),"GIS KIARACONDONG")</f>
        <v>GIS KIARACONDONG</v>
      </c>
      <c r="H979" s="4" t="str">
        <f>IFERROR(__xludf.DUMMYFUNCTION("""COMPUTED_VALUE"""),"CWRA")</f>
        <v>CWRA</v>
      </c>
      <c r="I979" s="4" t="str">
        <f>IFERROR(__xludf.DUMMYFUNCTION("""COMPUTED_VALUE"""),"GGM - LBS MSHA")</f>
        <v>GGM - LBS MSHA</v>
      </c>
      <c r="J979" s="4" t="str">
        <f>IFERROR(__xludf.DUMMYFUNCTION("""COMPUTED_VALUE"""),"ZONA 2")</f>
        <v>ZONA 2</v>
      </c>
      <c r="K979" s="4" t="str">
        <f>IFERROR(__xludf.DUMMYFUNCTION("""COMPUTED_VALUE"""),"034R01R06")</f>
        <v>034R01R06</v>
      </c>
      <c r="L979" s="4" t="str">
        <f>IFERROR(__xludf.DUMMYFUNCTION("""COMPUTED_VALUE"""),"TM - 14B/H (Akhir)")</f>
        <v>TM - 14B/H (Akhir)</v>
      </c>
      <c r="M979" s="4" t="str">
        <f>IFERROR(__xludf.DUMMYFUNCTION("""COMPUTED_VALUE"""),"Tidak Ada")</f>
        <v>Tidak Ada</v>
      </c>
      <c r="N979" s="4"/>
      <c r="O979" s="4" t="str">
        <f>IFERROR(__xludf.DUMMYFUNCTION("""COMPUTED_VALUE"""),"PEMBANDING SEJENIS")</f>
        <v>PEMBANDING SEJENIS</v>
      </c>
      <c r="P979" s="4" t="str">
        <f>IFERROR(__xludf.DUMMYFUNCTION("""COMPUTED_VALUE"""),"KONEKTOR/JUMPER")</f>
        <v>KONEKTOR/JUMPER</v>
      </c>
      <c r="Q979" s="4">
        <f>IFERROR(__xludf.DUMMYFUNCTION("""COMPUTED_VALUE"""),22.0)</f>
        <v>22</v>
      </c>
      <c r="R979" s="4">
        <f>IFERROR(__xludf.DUMMYFUNCTION("""COMPUTED_VALUE"""),22.0)</f>
        <v>22</v>
      </c>
      <c r="S979" s="4">
        <f>IFERROR(__xludf.DUMMYFUNCTION("""COMPUTED_VALUE"""),22.0)</f>
        <v>22</v>
      </c>
      <c r="T979" s="4"/>
      <c r="U979" s="4" t="str">
        <f>IFERROR(__xludf.DUMMYFUNCTION("""COMPUTED_VALUE"""),"BAIK")</f>
        <v>BAIK</v>
      </c>
      <c r="V979" s="4" t="str">
        <f>IFERROR(__xludf.DUMMYFUNCTION("""COMPUTED_VALUE"""),"Tidak Ada")</f>
        <v>Tidak Ada</v>
      </c>
      <c r="W979" s="4"/>
      <c r="X979" s="4"/>
      <c r="Y979" s="4"/>
      <c r="Z979" s="4"/>
      <c r="AA979" s="4"/>
      <c r="AB979" s="4"/>
      <c r="AC979" s="4" t="str">
        <f>IFERROR(__xludf.DUMMYFUNCTION("""COMPUTED_VALUE"""),"INSPEKSI SUTM - T2_Images/02ebe5e9.FOTO.190729.jpg")</f>
        <v>INSPEKSI SUTM - T2_Images/02ebe5e9.FOTO.190729.jpg</v>
      </c>
      <c r="AD979" s="4"/>
      <c r="AE979" s="4"/>
      <c r="AF979" s="4" t="str">
        <f>IFERROR(__xludf.DUMMYFUNCTION("""COMPUTED_VALUE"""),"BELUM")</f>
        <v>BELUM</v>
      </c>
      <c r="AG979" s="6">
        <f>IFERROR(__xludf.DUMMYFUNCTION("""COMPUTED_VALUE"""),46109.0)</f>
        <v>46109</v>
      </c>
      <c r="AH979" s="4"/>
      <c r="AI979" s="4"/>
    </row>
    <row r="980" ht="15.75" customHeight="1">
      <c r="A980" s="4" t="str">
        <f>IFERROR(__xludf.DUMMYFUNCTION("""COMPUTED_VALUE"""),"e8cad51c")</f>
        <v>e8cad51c</v>
      </c>
      <c r="B980" s="5">
        <f>IFERROR(__xludf.DUMMYFUNCTION("""COMPUTED_VALUE"""),46109.08875)</f>
        <v>46109.08875</v>
      </c>
      <c r="C980" s="4" t="str">
        <f>IFERROR(__xludf.DUMMYFUNCTION("""COMPUTED_VALUE"""),"-6.934603, 107.663834")</f>
        <v>-6.934603, 107.663834</v>
      </c>
      <c r="D980" s="4" t="str">
        <f>IFERROR(__xludf.DUMMYFUNCTION("""COMPUTED_VALUE"""),"Jihan kiki")</f>
        <v>Jihan kiki</v>
      </c>
      <c r="E980" s="4" t="str">
        <f>IFERROR(__xludf.DUMMYFUNCTION("""COMPUTED_VALUE"""),"BANDUNG")</f>
        <v>BANDUNG</v>
      </c>
      <c r="F980" s="4" t="str">
        <f>IFERROR(__xludf.DUMMYFUNCTION("""COMPUTED_VALUE"""),"CIJAWURA")</f>
        <v>CIJAWURA</v>
      </c>
      <c r="G980" s="4" t="str">
        <f>IFERROR(__xludf.DUMMYFUNCTION("""COMPUTED_VALUE"""),"GIS KIARACONDONG")</f>
        <v>GIS KIARACONDONG</v>
      </c>
      <c r="H980" s="4" t="str">
        <f>IFERROR(__xludf.DUMMYFUNCTION("""COMPUTED_VALUE"""),"CWRA")</f>
        <v>CWRA</v>
      </c>
      <c r="I980" s="4" t="str">
        <f>IFERROR(__xludf.DUMMYFUNCTION("""COMPUTED_VALUE"""),"GGM - LBS MSHA")</f>
        <v>GGM - LBS MSHA</v>
      </c>
      <c r="J980" s="4" t="str">
        <f>IFERROR(__xludf.DUMMYFUNCTION("""COMPUTED_VALUE"""),"ZONA 2")</f>
        <v>ZONA 2</v>
      </c>
      <c r="K980" s="4" t="str">
        <f>IFERROR(__xludf.DUMMYFUNCTION("""COMPUTED_VALUE"""),"034R04")</f>
        <v>034R04</v>
      </c>
      <c r="L980" s="4" t="str">
        <f>IFERROR(__xludf.DUMMYFUNCTION("""COMPUTED_VALUE"""),"TM - 7B/H (Afspan 90 Derajat)")</f>
        <v>TM - 7B/H (Afspan 90 Derajat)</v>
      </c>
      <c r="M980" s="4" t="str">
        <f>IFERROR(__xludf.DUMMYFUNCTION("""COMPUTED_VALUE"""),"Tidak Ada")</f>
        <v>Tidak Ada</v>
      </c>
      <c r="N980" s="4"/>
      <c r="O980" s="4" t="str">
        <f>IFERROR(__xludf.DUMMYFUNCTION("""COMPUTED_VALUE"""),"PEMBANDING SEJENIS")</f>
        <v>PEMBANDING SEJENIS</v>
      </c>
      <c r="P980" s="4" t="str">
        <f>IFERROR(__xludf.DUMMYFUNCTION("""COMPUTED_VALUE"""),"KONEKTOR/JUMPER")</f>
        <v>KONEKTOR/JUMPER</v>
      </c>
      <c r="Q980" s="4">
        <f>IFERROR(__xludf.DUMMYFUNCTION("""COMPUTED_VALUE"""),21.0)</f>
        <v>21</v>
      </c>
      <c r="R980" s="4">
        <f>IFERROR(__xludf.DUMMYFUNCTION("""COMPUTED_VALUE"""),22.0)</f>
        <v>22</v>
      </c>
      <c r="S980" s="4">
        <f>IFERROR(__xludf.DUMMYFUNCTION("""COMPUTED_VALUE"""),20.0)</f>
        <v>20</v>
      </c>
      <c r="T980" s="4"/>
      <c r="U980" s="4" t="str">
        <f>IFERROR(__xludf.DUMMYFUNCTION("""COMPUTED_VALUE"""),"BAIK")</f>
        <v>BAIK</v>
      </c>
      <c r="V980" s="4" t="str">
        <f>IFERROR(__xludf.DUMMYFUNCTION("""COMPUTED_VALUE"""),"Tidak Ada")</f>
        <v>Tidak Ada</v>
      </c>
      <c r="W980" s="4"/>
      <c r="X980" s="4"/>
      <c r="Y980" s="4"/>
      <c r="Z980" s="4"/>
      <c r="AA980" s="4"/>
      <c r="AB980" s="4"/>
      <c r="AC980" s="4" t="str">
        <f>IFERROR(__xludf.DUMMYFUNCTION("""COMPUTED_VALUE"""),"INSPEKSI SUTM - T2_Images/e8cad51c.FOTO.190840.jpg")</f>
        <v>INSPEKSI SUTM - T2_Images/e8cad51c.FOTO.190840.jpg</v>
      </c>
      <c r="AD980" s="4"/>
      <c r="AE980" s="4"/>
      <c r="AF980" s="4" t="str">
        <f>IFERROR(__xludf.DUMMYFUNCTION("""COMPUTED_VALUE"""),"BELUM")</f>
        <v>BELUM</v>
      </c>
      <c r="AG980" s="6">
        <f>IFERROR(__xludf.DUMMYFUNCTION("""COMPUTED_VALUE"""),46109.0)</f>
        <v>46109</v>
      </c>
      <c r="AH980" s="4"/>
      <c r="AI980" s="4"/>
    </row>
    <row r="981" ht="15.75" customHeight="1">
      <c r="A981" s="4" t="str">
        <f>IFERROR(__xludf.DUMMYFUNCTION("""COMPUTED_VALUE"""),"df978095")</f>
        <v>df978095</v>
      </c>
      <c r="B981" s="5">
        <f>IFERROR(__xludf.DUMMYFUNCTION("""COMPUTED_VALUE"""),46109.08934027778)</f>
        <v>46109.08934</v>
      </c>
      <c r="C981" s="4" t="str">
        <f>IFERROR(__xludf.DUMMYFUNCTION("""COMPUTED_VALUE"""),"-6.933982, 107.663505")</f>
        <v>-6.933982, 107.663505</v>
      </c>
      <c r="D981" s="4" t="str">
        <f>IFERROR(__xludf.DUMMYFUNCTION("""COMPUTED_VALUE"""),"Jihan kiki")</f>
        <v>Jihan kiki</v>
      </c>
      <c r="E981" s="4" t="str">
        <f>IFERROR(__xludf.DUMMYFUNCTION("""COMPUTED_VALUE"""),"BANDUNG")</f>
        <v>BANDUNG</v>
      </c>
      <c r="F981" s="4" t="str">
        <f>IFERROR(__xludf.DUMMYFUNCTION("""COMPUTED_VALUE"""),"CIJAWURA")</f>
        <v>CIJAWURA</v>
      </c>
      <c r="G981" s="4" t="str">
        <f>IFERROR(__xludf.DUMMYFUNCTION("""COMPUTED_VALUE"""),"GIS KIARACONDONG")</f>
        <v>GIS KIARACONDONG</v>
      </c>
      <c r="H981" s="4" t="str">
        <f>IFERROR(__xludf.DUMMYFUNCTION("""COMPUTED_VALUE"""),"CWRA")</f>
        <v>CWRA</v>
      </c>
      <c r="I981" s="4" t="str">
        <f>IFERROR(__xludf.DUMMYFUNCTION("""COMPUTED_VALUE"""),"GGM - LBS MSHA")</f>
        <v>GGM - LBS MSHA</v>
      </c>
      <c r="J981" s="4" t="str">
        <f>IFERROR(__xludf.DUMMYFUNCTION("""COMPUTED_VALUE"""),"ZONA 2")</f>
        <v>ZONA 2</v>
      </c>
      <c r="K981" s="4" t="str">
        <f>IFERROR(__xludf.DUMMYFUNCTION("""COMPUTED_VALUE"""),"034R06")</f>
        <v>034R06</v>
      </c>
      <c r="L981" s="4" t="str">
        <f>IFERROR(__xludf.DUMMYFUNCTION("""COMPUTED_VALUE"""),"TM - 11B/H (Kabel Naik)")</f>
        <v>TM - 11B/H (Kabel Naik)</v>
      </c>
      <c r="M981" s="4" t="str">
        <f>IFERROR(__xludf.DUMMYFUNCTION("""COMPUTED_VALUE"""),"Tidak Ada")</f>
        <v>Tidak Ada</v>
      </c>
      <c r="N981" s="4"/>
      <c r="O981" s="4" t="str">
        <f>IFERROR(__xludf.DUMMYFUNCTION("""COMPUTED_VALUE"""),"PEMBANDING SEJENIS")</f>
        <v>PEMBANDING SEJENIS</v>
      </c>
      <c r="P981" s="4" t="str">
        <f>IFERROR(__xludf.DUMMYFUNCTION("""COMPUTED_VALUE"""),"KONEKTOR/JUMPER")</f>
        <v>KONEKTOR/JUMPER</v>
      </c>
      <c r="Q981" s="4">
        <f>IFERROR(__xludf.DUMMYFUNCTION("""COMPUTED_VALUE"""),22.0)</f>
        <v>22</v>
      </c>
      <c r="R981" s="4">
        <f>IFERROR(__xludf.DUMMYFUNCTION("""COMPUTED_VALUE"""),22.0)</f>
        <v>22</v>
      </c>
      <c r="S981" s="4">
        <f>IFERROR(__xludf.DUMMYFUNCTION("""COMPUTED_VALUE"""),22.0)</f>
        <v>22</v>
      </c>
      <c r="T981" s="4"/>
      <c r="U981" s="4" t="str">
        <f>IFERROR(__xludf.DUMMYFUNCTION("""COMPUTED_VALUE"""),"BAIK")</f>
        <v>BAIK</v>
      </c>
      <c r="V981" s="4" t="str">
        <f>IFERROR(__xludf.DUMMYFUNCTION("""COMPUTED_VALUE"""),"Tidak Ada")</f>
        <v>Tidak Ada</v>
      </c>
      <c r="W981" s="4"/>
      <c r="X981" s="4"/>
      <c r="Y981" s="4"/>
      <c r="Z981" s="4"/>
      <c r="AA981" s="4"/>
      <c r="AB981" s="4"/>
      <c r="AC981" s="4" t="str">
        <f>IFERROR(__xludf.DUMMYFUNCTION("""COMPUTED_VALUE"""),"INSPEKSI SUTM - T2_Images/df978095.FOTO.190931.jpg")</f>
        <v>INSPEKSI SUTM - T2_Images/df978095.FOTO.190931.jpg</v>
      </c>
      <c r="AD981" s="4"/>
      <c r="AE981" s="4"/>
      <c r="AF981" s="4" t="str">
        <f>IFERROR(__xludf.DUMMYFUNCTION("""COMPUTED_VALUE"""),"BELUM")</f>
        <v>BELUM</v>
      </c>
      <c r="AG981" s="6">
        <f>IFERROR(__xludf.DUMMYFUNCTION("""COMPUTED_VALUE"""),46109.0)</f>
        <v>46109</v>
      </c>
      <c r="AH981" s="4"/>
      <c r="AI981" s="4"/>
    </row>
    <row r="982" ht="15.75" customHeight="1">
      <c r="A982" s="4" t="str">
        <f>IFERROR(__xludf.DUMMYFUNCTION("""COMPUTED_VALUE"""),"e1976f60")</f>
        <v>e1976f60</v>
      </c>
      <c r="B982" s="5">
        <f>IFERROR(__xludf.DUMMYFUNCTION("""COMPUTED_VALUE"""),46109.08991898148)</f>
        <v>46109.08992</v>
      </c>
      <c r="C982" s="4" t="str">
        <f>IFERROR(__xludf.DUMMYFUNCTION("""COMPUTED_VALUE"""),"-6.935297, 107.665336")</f>
        <v>-6.935297, 107.665336</v>
      </c>
      <c r="D982" s="4" t="str">
        <f>IFERROR(__xludf.DUMMYFUNCTION("""COMPUTED_VALUE"""),"Jihan kiki")</f>
        <v>Jihan kiki</v>
      </c>
      <c r="E982" s="4" t="str">
        <f>IFERROR(__xludf.DUMMYFUNCTION("""COMPUTED_VALUE"""),"BANDUNG")</f>
        <v>BANDUNG</v>
      </c>
      <c r="F982" s="4" t="str">
        <f>IFERROR(__xludf.DUMMYFUNCTION("""COMPUTED_VALUE"""),"CIJAWURA")</f>
        <v>CIJAWURA</v>
      </c>
      <c r="G982" s="4" t="str">
        <f>IFERROR(__xludf.DUMMYFUNCTION("""COMPUTED_VALUE"""),"GIS KIARACONDONG")</f>
        <v>GIS KIARACONDONG</v>
      </c>
      <c r="H982" s="4" t="str">
        <f>IFERROR(__xludf.DUMMYFUNCTION("""COMPUTED_VALUE"""),"CWRA")</f>
        <v>CWRA</v>
      </c>
      <c r="I982" s="4" t="str">
        <f>IFERROR(__xludf.DUMMYFUNCTION("""COMPUTED_VALUE"""),"GGM - LBS MSHA")</f>
        <v>GGM - LBS MSHA</v>
      </c>
      <c r="J982" s="4" t="str">
        <f>IFERROR(__xludf.DUMMYFUNCTION("""COMPUTED_VALUE"""),"ZONA 2")</f>
        <v>ZONA 2</v>
      </c>
      <c r="K982" s="4" t="str">
        <f>IFERROR(__xludf.DUMMYFUNCTION("""COMPUTED_VALUE"""),"037")</f>
        <v>037</v>
      </c>
      <c r="L982" s="4" t="str">
        <f>IFERROR(__xludf.DUMMYFUNCTION("""COMPUTED_VALUE"""),"TM - 7B/H (Afspan 90 Derajat)")</f>
        <v>TM - 7B/H (Afspan 90 Derajat)</v>
      </c>
      <c r="M982" s="4" t="str">
        <f>IFERROR(__xludf.DUMMYFUNCTION("""COMPUTED_VALUE"""),"Tidak Ada")</f>
        <v>Tidak Ada</v>
      </c>
      <c r="N982" s="4"/>
      <c r="O982" s="4" t="str">
        <f>IFERROR(__xludf.DUMMYFUNCTION("""COMPUTED_VALUE"""),"PEMBANDING SEJENIS")</f>
        <v>PEMBANDING SEJENIS</v>
      </c>
      <c r="P982" s="4" t="str">
        <f>IFERROR(__xludf.DUMMYFUNCTION("""COMPUTED_VALUE"""),"KONEKTOR/JUMPER")</f>
        <v>KONEKTOR/JUMPER</v>
      </c>
      <c r="Q982" s="4">
        <f>IFERROR(__xludf.DUMMYFUNCTION("""COMPUTED_VALUE"""),20.0)</f>
        <v>20</v>
      </c>
      <c r="R982" s="4">
        <f>IFERROR(__xludf.DUMMYFUNCTION("""COMPUTED_VALUE"""),20.0)</f>
        <v>20</v>
      </c>
      <c r="S982" s="4">
        <f>IFERROR(__xludf.DUMMYFUNCTION("""COMPUTED_VALUE"""),20.0)</f>
        <v>20</v>
      </c>
      <c r="T982" s="4"/>
      <c r="U982" s="4" t="str">
        <f>IFERROR(__xludf.DUMMYFUNCTION("""COMPUTED_VALUE"""),"BAIK")</f>
        <v>BAIK</v>
      </c>
      <c r="V982" s="4" t="str">
        <f>IFERROR(__xludf.DUMMYFUNCTION("""COMPUTED_VALUE"""),"Tidak Ada")</f>
        <v>Tidak Ada</v>
      </c>
      <c r="W982" s="4"/>
      <c r="X982" s="4"/>
      <c r="Y982" s="4"/>
      <c r="Z982" s="4"/>
      <c r="AA982" s="4"/>
      <c r="AB982" s="4"/>
      <c r="AC982" s="4" t="str">
        <f>IFERROR(__xludf.DUMMYFUNCTION("""COMPUTED_VALUE"""),"INSPEKSI SUTM - T2_Images/e1976f60.FOTO.191011.jpg")</f>
        <v>INSPEKSI SUTM - T2_Images/e1976f60.FOTO.191011.jpg</v>
      </c>
      <c r="AD982" s="4"/>
      <c r="AE982" s="4"/>
      <c r="AF982" s="4" t="str">
        <f>IFERROR(__xludf.DUMMYFUNCTION("""COMPUTED_VALUE"""),"BELUM")</f>
        <v>BELUM</v>
      </c>
      <c r="AG982" s="6">
        <f>IFERROR(__xludf.DUMMYFUNCTION("""COMPUTED_VALUE"""),46109.0)</f>
        <v>46109</v>
      </c>
      <c r="AH982" s="4"/>
      <c r="AI982" s="4"/>
    </row>
    <row r="983" ht="15.75" customHeight="1">
      <c r="A983" s="4" t="str">
        <f>IFERROR(__xludf.DUMMYFUNCTION("""COMPUTED_VALUE"""),"b5ff5b7b")</f>
        <v>b5ff5b7b</v>
      </c>
      <c r="B983" s="5">
        <f>IFERROR(__xludf.DUMMYFUNCTION("""COMPUTED_VALUE"""),46109.09042824074)</f>
        <v>46109.09043</v>
      </c>
      <c r="C983" s="4" t="str">
        <f>IFERROR(__xludf.DUMMYFUNCTION("""COMPUTED_VALUE"""),"-6.935681, 107.665284")</f>
        <v>-6.935681, 107.665284</v>
      </c>
      <c r="D983" s="4" t="str">
        <f>IFERROR(__xludf.DUMMYFUNCTION("""COMPUTED_VALUE"""),"Jihan kiki")</f>
        <v>Jihan kiki</v>
      </c>
      <c r="E983" s="4" t="str">
        <f>IFERROR(__xludf.DUMMYFUNCTION("""COMPUTED_VALUE"""),"BANDUNG")</f>
        <v>BANDUNG</v>
      </c>
      <c r="F983" s="4" t="str">
        <f>IFERROR(__xludf.DUMMYFUNCTION("""COMPUTED_VALUE"""),"CIJAWURA")</f>
        <v>CIJAWURA</v>
      </c>
      <c r="G983" s="4" t="str">
        <f>IFERROR(__xludf.DUMMYFUNCTION("""COMPUTED_VALUE"""),"GIS KIARACONDONG")</f>
        <v>GIS KIARACONDONG</v>
      </c>
      <c r="H983" s="4" t="str">
        <f>IFERROR(__xludf.DUMMYFUNCTION("""COMPUTED_VALUE"""),"CWRA")</f>
        <v>CWRA</v>
      </c>
      <c r="I983" s="4" t="str">
        <f>IFERROR(__xludf.DUMMYFUNCTION("""COMPUTED_VALUE"""),"GGM - LBS MSHA")</f>
        <v>GGM - LBS MSHA</v>
      </c>
      <c r="J983" s="4" t="str">
        <f>IFERROR(__xludf.DUMMYFUNCTION("""COMPUTED_VALUE"""),"ZONA 2")</f>
        <v>ZONA 2</v>
      </c>
      <c r="K983" s="4" t="str">
        <f>IFERROR(__xludf.DUMMYFUNCTION("""COMPUTED_VALUE"""),"038")</f>
        <v>038</v>
      </c>
      <c r="L983" s="4" t="str">
        <f>IFERROR(__xludf.DUMMYFUNCTION("""COMPUTED_VALUE"""),"TM - 7B/H (Afspan 90 Derajat)")</f>
        <v>TM - 7B/H (Afspan 90 Derajat)</v>
      </c>
      <c r="M983" s="4" t="str">
        <f>IFERROR(__xludf.DUMMYFUNCTION("""COMPUTED_VALUE"""),"Tidak Ada")</f>
        <v>Tidak Ada</v>
      </c>
      <c r="N983" s="4"/>
      <c r="O983" s="4" t="str">
        <f>IFERROR(__xludf.DUMMYFUNCTION("""COMPUTED_VALUE"""),"PEMBANDING SEJENIS")</f>
        <v>PEMBANDING SEJENIS</v>
      </c>
      <c r="P983" s="4" t="str">
        <f>IFERROR(__xludf.DUMMYFUNCTION("""COMPUTED_VALUE"""),"KONEKTOR/JUMPER")</f>
        <v>KONEKTOR/JUMPER</v>
      </c>
      <c r="Q983" s="4">
        <f>IFERROR(__xludf.DUMMYFUNCTION("""COMPUTED_VALUE"""),23.0)</f>
        <v>23</v>
      </c>
      <c r="R983" s="4">
        <f>IFERROR(__xludf.DUMMYFUNCTION("""COMPUTED_VALUE"""),23.0)</f>
        <v>23</v>
      </c>
      <c r="S983" s="4">
        <f>IFERROR(__xludf.DUMMYFUNCTION("""COMPUTED_VALUE"""),23.0)</f>
        <v>23</v>
      </c>
      <c r="T983" s="4"/>
      <c r="U983" s="4" t="str">
        <f>IFERROR(__xludf.DUMMYFUNCTION("""COMPUTED_VALUE"""),"BAIK")</f>
        <v>BAIK</v>
      </c>
      <c r="V983" s="4" t="str">
        <f>IFERROR(__xludf.DUMMYFUNCTION("""COMPUTED_VALUE"""),"Tidak Ada")</f>
        <v>Tidak Ada</v>
      </c>
      <c r="W983" s="4"/>
      <c r="X983" s="4"/>
      <c r="Y983" s="4"/>
      <c r="Z983" s="4"/>
      <c r="AA983" s="4"/>
      <c r="AB983" s="4"/>
      <c r="AC983" s="4" t="str">
        <f>IFERROR(__xludf.DUMMYFUNCTION("""COMPUTED_VALUE"""),"INSPEKSI SUTM - T2_Images/b5ff5b7b.FOTO.191049.jpg")</f>
        <v>INSPEKSI SUTM - T2_Images/b5ff5b7b.FOTO.191049.jpg</v>
      </c>
      <c r="AD983" s="4"/>
      <c r="AE983" s="4"/>
      <c r="AF983" s="4" t="str">
        <f>IFERROR(__xludf.DUMMYFUNCTION("""COMPUTED_VALUE"""),"BELUM")</f>
        <v>BELUM</v>
      </c>
      <c r="AG983" s="6">
        <f>IFERROR(__xludf.DUMMYFUNCTION("""COMPUTED_VALUE"""),46109.0)</f>
        <v>46109</v>
      </c>
      <c r="AH983" s="4"/>
      <c r="AI983" s="4"/>
    </row>
    <row r="984" ht="15.75" customHeight="1">
      <c r="A984" s="4" t="str">
        <f>IFERROR(__xludf.DUMMYFUNCTION("""COMPUTED_VALUE"""),"7f3c56da")</f>
        <v>7f3c56da</v>
      </c>
      <c r="B984" s="5">
        <f>IFERROR(__xludf.DUMMYFUNCTION("""COMPUTED_VALUE"""),46109.09097222222)</f>
        <v>46109.09097</v>
      </c>
      <c r="C984" s="4" t="str">
        <f>IFERROR(__xludf.DUMMYFUNCTION("""COMPUTED_VALUE"""),"-6.936128, 107.667119")</f>
        <v>-6.936128, 107.667119</v>
      </c>
      <c r="D984" s="4" t="str">
        <f>IFERROR(__xludf.DUMMYFUNCTION("""COMPUTED_VALUE"""),"Jihan kiki")</f>
        <v>Jihan kiki</v>
      </c>
      <c r="E984" s="4" t="str">
        <f>IFERROR(__xludf.DUMMYFUNCTION("""COMPUTED_VALUE"""),"BANDUNG")</f>
        <v>BANDUNG</v>
      </c>
      <c r="F984" s="4" t="str">
        <f>IFERROR(__xludf.DUMMYFUNCTION("""COMPUTED_VALUE"""),"CIJAWURA")</f>
        <v>CIJAWURA</v>
      </c>
      <c r="G984" s="4" t="str">
        <f>IFERROR(__xludf.DUMMYFUNCTION("""COMPUTED_VALUE"""),"GIS KIARACONDONG")</f>
        <v>GIS KIARACONDONG</v>
      </c>
      <c r="H984" s="4" t="str">
        <f>IFERROR(__xludf.DUMMYFUNCTION("""COMPUTED_VALUE"""),"CWRA")</f>
        <v>CWRA</v>
      </c>
      <c r="I984" s="4" t="str">
        <f>IFERROR(__xludf.DUMMYFUNCTION("""COMPUTED_VALUE"""),"GGM - LBS MSHA")</f>
        <v>GGM - LBS MSHA</v>
      </c>
      <c r="J984" s="4" t="str">
        <f>IFERROR(__xludf.DUMMYFUNCTION("""COMPUTED_VALUE"""),"ZONA 2")</f>
        <v>ZONA 2</v>
      </c>
      <c r="K984" s="4" t="str">
        <f>IFERROR(__xludf.DUMMYFUNCTION("""COMPUTED_VALUE"""),"0r4")</f>
        <v>0r4</v>
      </c>
      <c r="L984" s="4" t="str">
        <f>IFERROR(__xludf.DUMMYFUNCTION("""COMPUTED_VALUE"""),"TM - 7B/H (Afspan 90 Derajat)")</f>
        <v>TM - 7B/H (Afspan 90 Derajat)</v>
      </c>
      <c r="M984" s="4" t="str">
        <f>IFERROR(__xludf.DUMMYFUNCTION("""COMPUTED_VALUE"""),"Tidak Ada")</f>
        <v>Tidak Ada</v>
      </c>
      <c r="N984" s="4"/>
      <c r="O984" s="4" t="str">
        <f>IFERROR(__xludf.DUMMYFUNCTION("""COMPUTED_VALUE"""),"PEMBANDING SEJENIS")</f>
        <v>PEMBANDING SEJENIS</v>
      </c>
      <c r="P984" s="4" t="str">
        <f>IFERROR(__xludf.DUMMYFUNCTION("""COMPUTED_VALUE"""),"KONEKTOR/JUMPER")</f>
        <v>KONEKTOR/JUMPER</v>
      </c>
      <c r="Q984" s="4">
        <f>IFERROR(__xludf.DUMMYFUNCTION("""COMPUTED_VALUE"""),20.0)</f>
        <v>20</v>
      </c>
      <c r="R984" s="4">
        <f>IFERROR(__xludf.DUMMYFUNCTION("""COMPUTED_VALUE"""),20.0)</f>
        <v>20</v>
      </c>
      <c r="S984" s="4">
        <f>IFERROR(__xludf.DUMMYFUNCTION("""COMPUTED_VALUE"""),19.0)</f>
        <v>19</v>
      </c>
      <c r="T984" s="4"/>
      <c r="U984" s="4" t="str">
        <f>IFERROR(__xludf.DUMMYFUNCTION("""COMPUTED_VALUE"""),"BAIK")</f>
        <v>BAIK</v>
      </c>
      <c r="V984" s="4" t="str">
        <f>IFERROR(__xludf.DUMMYFUNCTION("""COMPUTED_VALUE"""),"Tidak Ada")</f>
        <v>Tidak Ada</v>
      </c>
      <c r="W984" s="4"/>
      <c r="X984" s="4"/>
      <c r="Y984" s="4"/>
      <c r="Z984" s="4"/>
      <c r="AA984" s="4"/>
      <c r="AB984" s="4"/>
      <c r="AC984" s="4" t="str">
        <f>IFERROR(__xludf.DUMMYFUNCTION("""COMPUTED_VALUE"""),"INSPEKSI SUTM - T2_Images/7f3c56da.FOTO.191140.jpg")</f>
        <v>INSPEKSI SUTM - T2_Images/7f3c56da.FOTO.191140.jpg</v>
      </c>
      <c r="AD984" s="4"/>
      <c r="AE984" s="4"/>
      <c r="AF984" s="4" t="str">
        <f>IFERROR(__xludf.DUMMYFUNCTION("""COMPUTED_VALUE"""),"BELUM")</f>
        <v>BELUM</v>
      </c>
      <c r="AG984" s="6">
        <f>IFERROR(__xludf.DUMMYFUNCTION("""COMPUTED_VALUE"""),46109.0)</f>
        <v>46109</v>
      </c>
      <c r="AH984" s="4"/>
      <c r="AI984" s="4"/>
    </row>
    <row r="985" ht="15.75" customHeight="1">
      <c r="A985" s="4" t="str">
        <f>IFERROR(__xludf.DUMMYFUNCTION("""COMPUTED_VALUE"""),"05dc8e8b")</f>
        <v>05dc8e8b</v>
      </c>
      <c r="B985" s="5">
        <f>IFERROR(__xludf.DUMMYFUNCTION("""COMPUTED_VALUE"""),46108.79876157407)</f>
        <v>46108.79876</v>
      </c>
      <c r="C985" s="4" t="str">
        <f>IFERROR(__xludf.DUMMYFUNCTION("""COMPUTED_VALUE"""),"-6.959811, 107.661894")</f>
        <v>-6.959811, 107.661894</v>
      </c>
      <c r="D985" s="4" t="str">
        <f>IFERROR(__xludf.DUMMYFUNCTION("""COMPUTED_VALUE"""),"Jihan kiki")</f>
        <v>Jihan kiki</v>
      </c>
      <c r="E985" s="4" t="str">
        <f>IFERROR(__xludf.DUMMYFUNCTION("""COMPUTED_VALUE"""),"BANDUNG")</f>
        <v>BANDUNG</v>
      </c>
      <c r="F985" s="4" t="str">
        <f>IFERROR(__xludf.DUMMYFUNCTION("""COMPUTED_VALUE"""),"CIJAWURA")</f>
        <v>CIJAWURA</v>
      </c>
      <c r="G985" s="4" t="str">
        <f>IFERROR(__xludf.DUMMYFUNCTION("""COMPUTED_VALUE"""),"GIS KIARACONDONG")</f>
        <v>GIS KIARACONDONG</v>
      </c>
      <c r="H985" s="4" t="str">
        <f>IFERROR(__xludf.DUMMYFUNCTION("""COMPUTED_VALUE"""),"KCH")</f>
        <v>KCH</v>
      </c>
      <c r="I985" s="4" t="str">
        <f>IFERROR(__xludf.DUMMYFUNCTION("""COMPUTED_VALUE"""),"KP CIWASTRA - LBS BDLB")</f>
        <v>KP CIWASTRA - LBS BDLB</v>
      </c>
      <c r="J985" s="4" t="str">
        <f>IFERROR(__xludf.DUMMYFUNCTION("""COMPUTED_VALUE"""),"ZONA 2")</f>
        <v>ZONA 2</v>
      </c>
      <c r="K985" s="4" t="str">
        <f>IFERROR(__xludf.DUMMYFUNCTION("""COMPUTED_VALUE"""),"001")</f>
        <v>001</v>
      </c>
      <c r="L985" s="4" t="str">
        <f>IFERROR(__xludf.DUMMYFUNCTION("""COMPUTED_VALUE"""),"TM - 11B/H (Kabel Naik)")</f>
        <v>TM - 11B/H (Kabel Naik)</v>
      </c>
      <c r="M985" s="4" t="str">
        <f>IFERROR(__xludf.DUMMYFUNCTION("""COMPUTED_VALUE"""),"Tidak Ada")</f>
        <v>Tidak Ada</v>
      </c>
      <c r="N985" s="4"/>
      <c r="O985" s="4" t="str">
        <f>IFERROR(__xludf.DUMMYFUNCTION("""COMPUTED_VALUE"""),"PEMBANDING SEJENIS")</f>
        <v>PEMBANDING SEJENIS</v>
      </c>
      <c r="P985" s="4" t="str">
        <f>IFERROR(__xludf.DUMMYFUNCTION("""COMPUTED_VALUE"""),"KONEKTOR/JUMPER")</f>
        <v>KONEKTOR/JUMPER</v>
      </c>
      <c r="Q985" s="4">
        <f>IFERROR(__xludf.DUMMYFUNCTION("""COMPUTED_VALUE"""),22.0)</f>
        <v>22</v>
      </c>
      <c r="R985" s="4">
        <f>IFERROR(__xludf.DUMMYFUNCTION("""COMPUTED_VALUE"""),20.0)</f>
        <v>20</v>
      </c>
      <c r="S985" s="4">
        <f>IFERROR(__xludf.DUMMYFUNCTION("""COMPUTED_VALUE"""),22.0)</f>
        <v>22</v>
      </c>
      <c r="T985" s="4"/>
      <c r="U985" s="4" t="str">
        <f>IFERROR(__xludf.DUMMYFUNCTION("""COMPUTED_VALUE"""),"BAIK")</f>
        <v>BAIK</v>
      </c>
      <c r="V985" s="4" t="str">
        <f>IFERROR(__xludf.DUMMYFUNCTION("""COMPUTED_VALUE"""),"Tidak Ada")</f>
        <v>Tidak Ada</v>
      </c>
      <c r="W985" s="4"/>
      <c r="X985" s="4"/>
      <c r="Y985" s="4"/>
      <c r="Z985" s="4"/>
      <c r="AA985" s="4"/>
      <c r="AB985" s="4"/>
      <c r="AC985" s="4" t="str">
        <f>IFERROR(__xludf.DUMMYFUNCTION("""COMPUTED_VALUE"""),"INSPEKSI SUTM - T2_Images/05dc8e8b.FOTO.191234.jpg")</f>
        <v>INSPEKSI SUTM - T2_Images/05dc8e8b.FOTO.191234.jpg</v>
      </c>
      <c r="AD985" s="4"/>
      <c r="AE985" s="4"/>
      <c r="AF985" s="4" t="str">
        <f>IFERROR(__xludf.DUMMYFUNCTION("""COMPUTED_VALUE"""),"BELUM")</f>
        <v>BELUM</v>
      </c>
      <c r="AG985" s="6">
        <f>IFERROR(__xludf.DUMMYFUNCTION("""COMPUTED_VALUE"""),46108.0)</f>
        <v>46108</v>
      </c>
      <c r="AH985" s="4"/>
      <c r="AI985" s="4"/>
    </row>
    <row r="986" ht="15.75" customHeight="1">
      <c r="A986" s="4" t="str">
        <f>IFERROR(__xludf.DUMMYFUNCTION("""COMPUTED_VALUE"""),"c167273f")</f>
        <v>c167273f</v>
      </c>
      <c r="B986" s="5">
        <f>IFERROR(__xludf.DUMMYFUNCTION("""COMPUTED_VALUE"""),46109.0921875)</f>
        <v>46109.09219</v>
      </c>
      <c r="C986" s="4" t="str">
        <f>IFERROR(__xludf.DUMMYFUNCTION("""COMPUTED_VALUE"""),"-6.936133, 107.667122")</f>
        <v>-6.936133, 107.667122</v>
      </c>
      <c r="D986" s="4" t="str">
        <f>IFERROR(__xludf.DUMMYFUNCTION("""COMPUTED_VALUE"""),"Jihan kiki")</f>
        <v>Jihan kiki</v>
      </c>
      <c r="E986" s="4" t="str">
        <f>IFERROR(__xludf.DUMMYFUNCTION("""COMPUTED_VALUE"""),"BANDUNG")</f>
        <v>BANDUNG</v>
      </c>
      <c r="F986" s="4" t="str">
        <f>IFERROR(__xludf.DUMMYFUNCTION("""COMPUTED_VALUE"""),"CIJAWURA")</f>
        <v>CIJAWURA</v>
      </c>
      <c r="G986" s="4" t="str">
        <f>IFERROR(__xludf.DUMMYFUNCTION("""COMPUTED_VALUE"""),"GIS KIARACONDONG")</f>
        <v>GIS KIARACONDONG</v>
      </c>
      <c r="H986" s="4" t="str">
        <f>IFERROR(__xludf.DUMMYFUNCTION("""COMPUTED_VALUE"""),"CWRA")</f>
        <v>CWRA</v>
      </c>
      <c r="I986" s="4" t="str">
        <f>IFERROR(__xludf.DUMMYFUNCTION("""COMPUTED_VALUE"""),"GGM - LBS MSHA")</f>
        <v>GGM - LBS MSHA</v>
      </c>
      <c r="J986" s="4" t="str">
        <f>IFERROR(__xludf.DUMMYFUNCTION("""COMPUTED_VALUE"""),"ZONA 2")</f>
        <v>ZONA 2</v>
      </c>
      <c r="K986" s="4" t="str">
        <f>IFERROR(__xludf.DUMMYFUNCTION("""COMPUTED_VALUE"""),"044")</f>
        <v>044</v>
      </c>
      <c r="L986" s="4" t="str">
        <f>IFERROR(__xludf.DUMMYFUNCTION("""COMPUTED_VALUE"""),"TM - 7B/H (Afspan 90 Derajat)")</f>
        <v>TM - 7B/H (Afspan 90 Derajat)</v>
      </c>
      <c r="M986" s="4" t="str">
        <f>IFERROR(__xludf.DUMMYFUNCTION("""COMPUTED_VALUE"""),"Tidak Ada")</f>
        <v>Tidak Ada</v>
      </c>
      <c r="N986" s="4"/>
      <c r="O986" s="4" t="str">
        <f>IFERROR(__xludf.DUMMYFUNCTION("""COMPUTED_VALUE"""),"PEMBANDING SEJENIS")</f>
        <v>PEMBANDING SEJENIS</v>
      </c>
      <c r="P986" s="4" t="str">
        <f>IFERROR(__xludf.DUMMYFUNCTION("""COMPUTED_VALUE"""),"KONEKTOR/JUMPER")</f>
        <v>KONEKTOR/JUMPER</v>
      </c>
      <c r="Q986" s="4">
        <f>IFERROR(__xludf.DUMMYFUNCTION("""COMPUTED_VALUE"""),20.0)</f>
        <v>20</v>
      </c>
      <c r="R986" s="4">
        <f>IFERROR(__xludf.DUMMYFUNCTION("""COMPUTED_VALUE"""),20.0)</f>
        <v>20</v>
      </c>
      <c r="S986" s="4">
        <f>IFERROR(__xludf.DUMMYFUNCTION("""COMPUTED_VALUE"""),19.0)</f>
        <v>19</v>
      </c>
      <c r="T986" s="4"/>
      <c r="U986" s="4" t="str">
        <f>IFERROR(__xludf.DUMMYFUNCTION("""COMPUTED_VALUE"""),"BAIK")</f>
        <v>BAIK</v>
      </c>
      <c r="V986" s="4" t="str">
        <f>IFERROR(__xludf.DUMMYFUNCTION("""COMPUTED_VALUE"""),"Tidak Ada")</f>
        <v>Tidak Ada</v>
      </c>
      <c r="W986" s="4"/>
      <c r="X986" s="4"/>
      <c r="Y986" s="4"/>
      <c r="Z986" s="4"/>
      <c r="AA986" s="4"/>
      <c r="AB986" s="4"/>
      <c r="AC986" s="4" t="str">
        <f>IFERROR(__xludf.DUMMYFUNCTION("""COMPUTED_VALUE"""),"INSPEKSI SUTM - T2_Images/c167273f.FOTO.191318.jpg")</f>
        <v>INSPEKSI SUTM - T2_Images/c167273f.FOTO.191318.jpg</v>
      </c>
      <c r="AD986" s="4"/>
      <c r="AE986" s="4"/>
      <c r="AF986" s="4" t="str">
        <f>IFERROR(__xludf.DUMMYFUNCTION("""COMPUTED_VALUE"""),"BELUM")</f>
        <v>BELUM</v>
      </c>
      <c r="AG986" s="6">
        <f>IFERROR(__xludf.DUMMYFUNCTION("""COMPUTED_VALUE"""),46109.0)</f>
        <v>46109</v>
      </c>
      <c r="AH986" s="4"/>
      <c r="AI986" s="4"/>
    </row>
    <row r="987" ht="15.75" customHeight="1">
      <c r="A987" s="4" t="str">
        <f>IFERROR(__xludf.DUMMYFUNCTION("""COMPUTED_VALUE"""),"36d691b5")</f>
        <v>36d691b5</v>
      </c>
      <c r="B987" s="5">
        <f>IFERROR(__xludf.DUMMYFUNCTION("""COMPUTED_VALUE"""),46109.09271990741)</f>
        <v>46109.09272</v>
      </c>
      <c r="C987" s="4" t="str">
        <f>IFERROR(__xludf.DUMMYFUNCTION("""COMPUTED_VALUE"""),"-6.938490, 107.666924")</f>
        <v>-6.938490, 107.666924</v>
      </c>
      <c r="D987" s="4" t="str">
        <f>IFERROR(__xludf.DUMMYFUNCTION("""COMPUTED_VALUE"""),"Jihan kiki")</f>
        <v>Jihan kiki</v>
      </c>
      <c r="E987" s="4" t="str">
        <f>IFERROR(__xludf.DUMMYFUNCTION("""COMPUTED_VALUE"""),"BANDUNG")</f>
        <v>BANDUNG</v>
      </c>
      <c r="F987" s="4" t="str">
        <f>IFERROR(__xludf.DUMMYFUNCTION("""COMPUTED_VALUE"""),"CIJAWURA")</f>
        <v>CIJAWURA</v>
      </c>
      <c r="G987" s="4" t="str">
        <f>IFERROR(__xludf.DUMMYFUNCTION("""COMPUTED_VALUE"""),"GIS KIARACONDONG")</f>
        <v>GIS KIARACONDONG</v>
      </c>
      <c r="H987" s="4" t="str">
        <f>IFERROR(__xludf.DUMMYFUNCTION("""COMPUTED_VALUE"""),"CWRA")</f>
        <v>CWRA</v>
      </c>
      <c r="I987" s="4" t="str">
        <f>IFERROR(__xludf.DUMMYFUNCTION("""COMPUTED_VALUE"""),"GGM - LBS MSHA")</f>
        <v>GGM - LBS MSHA</v>
      </c>
      <c r="J987" s="4" t="str">
        <f>IFERROR(__xludf.DUMMYFUNCTION("""COMPUTED_VALUE"""),"ZONA 2")</f>
        <v>ZONA 2</v>
      </c>
      <c r="K987" s="4" t="str">
        <f>IFERROR(__xludf.DUMMYFUNCTION("""COMPUTED_VALUE"""),"050")</f>
        <v>050</v>
      </c>
      <c r="L987" s="4" t="str">
        <f>IFERROR(__xludf.DUMMYFUNCTION("""COMPUTED_VALUE"""),"TM - 14B/H (Akhir)")</f>
        <v>TM - 14B/H (Akhir)</v>
      </c>
      <c r="M987" s="4" t="str">
        <f>IFERROR(__xludf.DUMMYFUNCTION("""COMPUTED_VALUE"""),"Tidak Ada")</f>
        <v>Tidak Ada</v>
      </c>
      <c r="N987" s="4"/>
      <c r="O987" s="4" t="str">
        <f>IFERROR(__xludf.DUMMYFUNCTION("""COMPUTED_VALUE"""),"PEMBANDING SEJENIS")</f>
        <v>PEMBANDING SEJENIS</v>
      </c>
      <c r="P987" s="4" t="str">
        <f>IFERROR(__xludf.DUMMYFUNCTION("""COMPUTED_VALUE"""),"KONEKTOR/JUMPER")</f>
        <v>KONEKTOR/JUMPER</v>
      </c>
      <c r="Q987" s="4">
        <f>IFERROR(__xludf.DUMMYFUNCTION("""COMPUTED_VALUE"""),20.0)</f>
        <v>20</v>
      </c>
      <c r="R987" s="4">
        <f>IFERROR(__xludf.DUMMYFUNCTION("""COMPUTED_VALUE"""),20.0)</f>
        <v>20</v>
      </c>
      <c r="S987" s="4">
        <f>IFERROR(__xludf.DUMMYFUNCTION("""COMPUTED_VALUE"""),21.0)</f>
        <v>21</v>
      </c>
      <c r="T987" s="4"/>
      <c r="U987" s="4" t="str">
        <f>IFERROR(__xludf.DUMMYFUNCTION("""COMPUTED_VALUE"""),"BAIK")</f>
        <v>BAIK</v>
      </c>
      <c r="V987" s="4" t="str">
        <f>IFERROR(__xludf.DUMMYFUNCTION("""COMPUTED_VALUE"""),"Tidak Ada")</f>
        <v>Tidak Ada</v>
      </c>
      <c r="W987" s="4"/>
      <c r="X987" s="4"/>
      <c r="Y987" s="4"/>
      <c r="Z987" s="4"/>
      <c r="AA987" s="4"/>
      <c r="AB987" s="4"/>
      <c r="AC987" s="4" t="str">
        <f>IFERROR(__xludf.DUMMYFUNCTION("""COMPUTED_VALUE"""),"Unable to load image data. Image may be missing or upload size may be too large for this device.")</f>
        <v>Unable to load image data. Image may be missing or upload size may be too large for this device.</v>
      </c>
      <c r="AD987" s="4"/>
      <c r="AE987" s="4"/>
      <c r="AF987" s="4" t="str">
        <f>IFERROR(__xludf.DUMMYFUNCTION("""COMPUTED_VALUE"""),"BELUM")</f>
        <v>BELUM</v>
      </c>
      <c r="AG987" s="6">
        <f>IFERROR(__xludf.DUMMYFUNCTION("""COMPUTED_VALUE"""),46109.0)</f>
        <v>46109</v>
      </c>
      <c r="AH987" s="4"/>
      <c r="AI987" s="4"/>
    </row>
    <row r="988" ht="15.75" customHeight="1">
      <c r="A988" s="4" t="str">
        <f>IFERROR(__xludf.DUMMYFUNCTION("""COMPUTED_VALUE"""),"9719fa9b")</f>
        <v>9719fa9b</v>
      </c>
      <c r="B988" s="5">
        <f>IFERROR(__xludf.DUMMYFUNCTION("""COMPUTED_VALUE"""),46109.09417824074)</f>
        <v>46109.09418</v>
      </c>
      <c r="C988" s="4" t="str">
        <f>IFERROR(__xludf.DUMMYFUNCTION("""COMPUTED_VALUE"""),"-6.932219, 107.654629")</f>
        <v>-6.932219, 107.654629</v>
      </c>
      <c r="D988" s="4" t="str">
        <f>IFERROR(__xludf.DUMMYFUNCTION("""COMPUTED_VALUE"""),"Jihan kiki")</f>
        <v>Jihan kiki</v>
      </c>
      <c r="E988" s="4" t="str">
        <f>IFERROR(__xludf.DUMMYFUNCTION("""COMPUTED_VALUE"""),"BANDUNG")</f>
        <v>BANDUNG</v>
      </c>
      <c r="F988" s="4" t="str">
        <f>IFERROR(__xludf.DUMMYFUNCTION("""COMPUTED_VALUE"""),"CIJAWURA")</f>
        <v>CIJAWURA</v>
      </c>
      <c r="G988" s="4" t="str">
        <f>IFERROR(__xludf.DUMMYFUNCTION("""COMPUTED_VALUE"""),"GIS KIARACONDONG")</f>
        <v>GIS KIARACONDONG</v>
      </c>
      <c r="H988" s="4" t="str">
        <f>IFERROR(__xludf.DUMMYFUNCTION("""COMPUTED_VALUE"""),"KKB")</f>
        <v>KKB</v>
      </c>
      <c r="I988" s="4" t="str">
        <f>IFERROR(__xludf.DUMMYFUNCTION("""COMPUTED_VALUE"""),"SKBA - UJUNG")</f>
        <v>SKBA - UJUNG</v>
      </c>
      <c r="J988" s="4"/>
      <c r="K988" s="4" t="str">
        <f>IFERROR(__xludf.DUMMYFUNCTION("""COMPUTED_VALUE"""),"001")</f>
        <v>001</v>
      </c>
      <c r="L988" s="4" t="str">
        <f>IFERROR(__xludf.DUMMYFUNCTION("""COMPUTED_VALUE"""),"TM - 12B/H (KABEL Kabel Naik Dua Saluran)")</f>
        <v>TM - 12B/H (KABEL Kabel Naik Dua Saluran)</v>
      </c>
      <c r="M988" s="4" t="str">
        <f>IFERROR(__xludf.DUMMYFUNCTION("""COMPUTED_VALUE"""),"Tidak Ada")</f>
        <v>Tidak Ada</v>
      </c>
      <c r="N988" s="4"/>
      <c r="O988" s="4" t="str">
        <f>IFERROR(__xludf.DUMMYFUNCTION("""COMPUTED_VALUE"""),"PEMBANDING SEJENIS")</f>
        <v>PEMBANDING SEJENIS</v>
      </c>
      <c r="P988" s="4" t="str">
        <f>IFERROR(__xludf.DUMMYFUNCTION("""COMPUTED_VALUE"""),"KONEKTOR/JUMPER")</f>
        <v>KONEKTOR/JUMPER</v>
      </c>
      <c r="Q988" s="4">
        <f>IFERROR(__xludf.DUMMYFUNCTION("""COMPUTED_VALUE"""),24.0)</f>
        <v>24</v>
      </c>
      <c r="R988" s="4">
        <f>IFERROR(__xludf.DUMMYFUNCTION("""COMPUTED_VALUE"""),37.0)</f>
        <v>37</v>
      </c>
      <c r="S988" s="4">
        <f>IFERROR(__xludf.DUMMYFUNCTION("""COMPUTED_VALUE"""),34.0)</f>
        <v>34</v>
      </c>
      <c r="T988" s="4"/>
      <c r="U988" s="4" t="str">
        <f>IFERROR(__xludf.DUMMYFUNCTION("""COMPUTED_VALUE"""),"KURANG")</f>
        <v>KURANG</v>
      </c>
      <c r="V988" s="4" t="str">
        <f>IFERROR(__xludf.DUMMYFUNCTION("""COMPUTED_VALUE"""),"Tidak Ada")</f>
        <v>Tidak Ada</v>
      </c>
      <c r="W988" s="4"/>
      <c r="X988" s="4"/>
      <c r="Y988" s="4"/>
      <c r="Z988" s="4"/>
      <c r="AA988" s="4"/>
      <c r="AB988" s="4"/>
      <c r="AC988" s="4" t="str">
        <f>IFERROR(__xludf.DUMMYFUNCTION("""COMPUTED_VALUE"""),"INSPEKSI SUTM - T2_Images/9719fa9b.FOTO.191622.jpg")</f>
        <v>INSPEKSI SUTM - T2_Images/9719fa9b.FOTO.191622.jpg</v>
      </c>
      <c r="AD988" s="4"/>
      <c r="AE988" s="4"/>
      <c r="AF988" s="4" t="str">
        <f>IFERROR(__xludf.DUMMYFUNCTION("""COMPUTED_VALUE"""),"BELUM")</f>
        <v>BELUM</v>
      </c>
      <c r="AG988" s="6">
        <f>IFERROR(__xludf.DUMMYFUNCTION("""COMPUTED_VALUE"""),46109.0)</f>
        <v>46109</v>
      </c>
      <c r="AH988" s="4"/>
      <c r="AI988" s="4"/>
    </row>
    <row r="989" ht="15.75" customHeight="1">
      <c r="A989" s="4" t="str">
        <f>IFERROR(__xludf.DUMMYFUNCTION("""COMPUTED_VALUE"""),"f476e355")</f>
        <v>f476e355</v>
      </c>
      <c r="B989" s="5">
        <f>IFERROR(__xludf.DUMMYFUNCTION("""COMPUTED_VALUE"""),46109.094826388886)</f>
        <v>46109.09483</v>
      </c>
      <c r="C989" s="4" t="str">
        <f>IFERROR(__xludf.DUMMYFUNCTION("""COMPUTED_VALUE"""),"-6.931042, 107.654513")</f>
        <v>-6.931042, 107.654513</v>
      </c>
      <c r="D989" s="4" t="str">
        <f>IFERROR(__xludf.DUMMYFUNCTION("""COMPUTED_VALUE"""),"Jihan kiki")</f>
        <v>Jihan kiki</v>
      </c>
      <c r="E989" s="4" t="str">
        <f>IFERROR(__xludf.DUMMYFUNCTION("""COMPUTED_VALUE"""),"BANDUNG")</f>
        <v>BANDUNG</v>
      </c>
      <c r="F989" s="4" t="str">
        <f>IFERROR(__xludf.DUMMYFUNCTION("""COMPUTED_VALUE"""),"CIJAWURA")</f>
        <v>CIJAWURA</v>
      </c>
      <c r="G989" s="4" t="str">
        <f>IFERROR(__xludf.DUMMYFUNCTION("""COMPUTED_VALUE"""),"GIS KIARACONDONG")</f>
        <v>GIS KIARACONDONG</v>
      </c>
      <c r="H989" s="4" t="str">
        <f>IFERROR(__xludf.DUMMYFUNCTION("""COMPUTED_VALUE"""),"KKB")</f>
        <v>KKB</v>
      </c>
      <c r="I989" s="4" t="str">
        <f>IFERROR(__xludf.DUMMYFUNCTION("""COMPUTED_VALUE"""),"SKBA - UJUNG")</f>
        <v>SKBA - UJUNG</v>
      </c>
      <c r="J989" s="4"/>
      <c r="K989" s="4" t="str">
        <f>IFERROR(__xludf.DUMMYFUNCTION("""COMPUTED_VALUE"""),"004")</f>
        <v>004</v>
      </c>
      <c r="L989" s="4" t="str">
        <f>IFERROR(__xludf.DUMMYFUNCTION("""COMPUTED_VALUE"""),"TM - 8B/H (Percabangan)")</f>
        <v>TM - 8B/H (Percabangan)</v>
      </c>
      <c r="M989" s="4" t="str">
        <f>IFERROR(__xludf.DUMMYFUNCTION("""COMPUTED_VALUE"""),"Tidak Ada")</f>
        <v>Tidak Ada</v>
      </c>
      <c r="N989" s="4"/>
      <c r="O989" s="4" t="str">
        <f>IFERROR(__xludf.DUMMYFUNCTION("""COMPUTED_VALUE"""),"PEMBANDING SEJENIS")</f>
        <v>PEMBANDING SEJENIS</v>
      </c>
      <c r="P989" s="4" t="str">
        <f>IFERROR(__xludf.DUMMYFUNCTION("""COMPUTED_VALUE"""),"KONEKTOR/JUMPER")</f>
        <v>KONEKTOR/JUMPER</v>
      </c>
      <c r="Q989" s="4">
        <f>IFERROR(__xludf.DUMMYFUNCTION("""COMPUTED_VALUE"""),22.0)</f>
        <v>22</v>
      </c>
      <c r="R989" s="4">
        <f>IFERROR(__xludf.DUMMYFUNCTION("""COMPUTED_VALUE"""),23.0)</f>
        <v>23</v>
      </c>
      <c r="S989" s="4">
        <f>IFERROR(__xludf.DUMMYFUNCTION("""COMPUTED_VALUE"""),22.0)</f>
        <v>22</v>
      </c>
      <c r="T989" s="4"/>
      <c r="U989" s="4" t="str">
        <f>IFERROR(__xludf.DUMMYFUNCTION("""COMPUTED_VALUE"""),"BAIK")</f>
        <v>BAIK</v>
      </c>
      <c r="V989" s="4" t="str">
        <f>IFERROR(__xludf.DUMMYFUNCTION("""COMPUTED_VALUE"""),"Tidak Ada")</f>
        <v>Tidak Ada</v>
      </c>
      <c r="W989" s="4"/>
      <c r="X989" s="4"/>
      <c r="Y989" s="4"/>
      <c r="Z989" s="4"/>
      <c r="AA989" s="4"/>
      <c r="AB989" s="4"/>
      <c r="AC989" s="4" t="str">
        <f>IFERROR(__xludf.DUMMYFUNCTION("""COMPUTED_VALUE"""),"INSPEKSI SUTM - T2_Images/f476e355.FOTO.191735.jpg")</f>
        <v>INSPEKSI SUTM - T2_Images/f476e355.FOTO.191735.jpg</v>
      </c>
      <c r="AD989" s="4"/>
      <c r="AE989" s="4"/>
      <c r="AF989" s="4" t="str">
        <f>IFERROR(__xludf.DUMMYFUNCTION("""COMPUTED_VALUE"""),"BELUM")</f>
        <v>BELUM</v>
      </c>
      <c r="AG989" s="6">
        <f>IFERROR(__xludf.DUMMYFUNCTION("""COMPUTED_VALUE"""),46109.0)</f>
        <v>46109</v>
      </c>
      <c r="AH989" s="4"/>
      <c r="AI989" s="4"/>
    </row>
    <row r="990" ht="15.75" customHeight="1">
      <c r="A990" s="4" t="str">
        <f>IFERROR(__xludf.DUMMYFUNCTION("""COMPUTED_VALUE"""),"0d315da1")</f>
        <v>0d315da1</v>
      </c>
      <c r="B990" s="5">
        <f>IFERROR(__xludf.DUMMYFUNCTION("""COMPUTED_VALUE"""),46109.09552083333)</f>
        <v>46109.09552</v>
      </c>
      <c r="C990" s="4" t="str">
        <f>IFERROR(__xludf.DUMMYFUNCTION("""COMPUTED_VALUE"""),"-6.929490, 107.655095")</f>
        <v>-6.929490, 107.655095</v>
      </c>
      <c r="D990" s="4" t="str">
        <f>IFERROR(__xludf.DUMMYFUNCTION("""COMPUTED_VALUE"""),"Jihan kiki")</f>
        <v>Jihan kiki</v>
      </c>
      <c r="E990" s="4" t="str">
        <f>IFERROR(__xludf.DUMMYFUNCTION("""COMPUTED_VALUE"""),"BANDUNG")</f>
        <v>BANDUNG</v>
      </c>
      <c r="F990" s="4" t="str">
        <f>IFERROR(__xludf.DUMMYFUNCTION("""COMPUTED_VALUE"""),"CIJAWURA")</f>
        <v>CIJAWURA</v>
      </c>
      <c r="G990" s="4" t="str">
        <f>IFERROR(__xludf.DUMMYFUNCTION("""COMPUTED_VALUE"""),"GIS KIARACONDONG")</f>
        <v>GIS KIARACONDONG</v>
      </c>
      <c r="H990" s="4" t="str">
        <f>IFERROR(__xludf.DUMMYFUNCTION("""COMPUTED_VALUE"""),"KKB")</f>
        <v>KKB</v>
      </c>
      <c r="I990" s="4" t="str">
        <f>IFERROR(__xludf.DUMMYFUNCTION("""COMPUTED_VALUE"""),"SKBA - UJUNG")</f>
        <v>SKBA - UJUNG</v>
      </c>
      <c r="J990" s="4"/>
      <c r="K990" s="4" t="str">
        <f>IFERROR(__xludf.DUMMYFUNCTION("""COMPUTED_VALUE"""),"010")</f>
        <v>010</v>
      </c>
      <c r="L990" s="4" t="str">
        <f>IFERROR(__xludf.DUMMYFUNCTION("""COMPUTED_VALUE"""),"TM - 7B/H (Afspan 90 Derajat)")</f>
        <v>TM - 7B/H (Afspan 90 Derajat)</v>
      </c>
      <c r="M990" s="4" t="str">
        <f>IFERROR(__xludf.DUMMYFUNCTION("""COMPUTED_VALUE"""),"Tidak Ada")</f>
        <v>Tidak Ada</v>
      </c>
      <c r="N990" s="4"/>
      <c r="O990" s="4" t="str">
        <f>IFERROR(__xludf.DUMMYFUNCTION("""COMPUTED_VALUE"""),"PEMBANDING SEJENIS")</f>
        <v>PEMBANDING SEJENIS</v>
      </c>
      <c r="P990" s="4" t="str">
        <f>IFERROR(__xludf.DUMMYFUNCTION("""COMPUTED_VALUE"""),"KONEKTOR/JUMPER")</f>
        <v>KONEKTOR/JUMPER</v>
      </c>
      <c r="Q990" s="4">
        <f>IFERROR(__xludf.DUMMYFUNCTION("""COMPUTED_VALUE"""),22.0)</f>
        <v>22</v>
      </c>
      <c r="R990" s="4">
        <f>IFERROR(__xludf.DUMMYFUNCTION("""COMPUTED_VALUE"""),22.0)</f>
        <v>22</v>
      </c>
      <c r="S990" s="4">
        <f>IFERROR(__xludf.DUMMYFUNCTION("""COMPUTED_VALUE"""),23.0)</f>
        <v>23</v>
      </c>
      <c r="T990" s="4"/>
      <c r="U990" s="4" t="str">
        <f>IFERROR(__xludf.DUMMYFUNCTION("""COMPUTED_VALUE"""),"BAIK")</f>
        <v>BAIK</v>
      </c>
      <c r="V990" s="4" t="str">
        <f>IFERROR(__xludf.DUMMYFUNCTION("""COMPUTED_VALUE"""),"Tidak Ada")</f>
        <v>Tidak Ada</v>
      </c>
      <c r="W990" s="4"/>
      <c r="X990" s="4"/>
      <c r="Y990" s="4"/>
      <c r="Z990" s="4"/>
      <c r="AA990" s="4"/>
      <c r="AB990" s="4"/>
      <c r="AC990" s="4" t="str">
        <f>IFERROR(__xludf.DUMMYFUNCTION("""COMPUTED_VALUE"""),"INSPEKSI SUTM - T2_Images/0d315da1.FOTO.191809.jpg")</f>
        <v>INSPEKSI SUTM - T2_Images/0d315da1.FOTO.191809.jpg</v>
      </c>
      <c r="AD990" s="4"/>
      <c r="AE990" s="4"/>
      <c r="AF990" s="4" t="str">
        <f>IFERROR(__xludf.DUMMYFUNCTION("""COMPUTED_VALUE"""),"BELUM")</f>
        <v>BELUM</v>
      </c>
      <c r="AG990" s="6">
        <f>IFERROR(__xludf.DUMMYFUNCTION("""COMPUTED_VALUE"""),46109.0)</f>
        <v>46109</v>
      </c>
      <c r="AH990" s="4"/>
      <c r="AI990" s="4"/>
    </row>
    <row r="991" ht="15.75" customHeight="1">
      <c r="A991" s="4" t="str">
        <f>IFERROR(__xludf.DUMMYFUNCTION("""COMPUTED_VALUE"""),"bc02cc6b")</f>
        <v>bc02cc6b</v>
      </c>
      <c r="B991" s="5">
        <f>IFERROR(__xludf.DUMMYFUNCTION("""COMPUTED_VALUE"""),46108.80358796296)</f>
        <v>46108.80359</v>
      </c>
      <c r="C991" s="4" t="str">
        <f>IFERROR(__xludf.DUMMYFUNCTION("""COMPUTED_VALUE"""),"-6.959789, 107.661883")</f>
        <v>-6.959789, 107.661883</v>
      </c>
      <c r="D991" s="4" t="str">
        <f>IFERROR(__xludf.DUMMYFUNCTION("""COMPUTED_VALUE"""),"Jihan kiki")</f>
        <v>Jihan kiki</v>
      </c>
      <c r="E991" s="4" t="str">
        <f>IFERROR(__xludf.DUMMYFUNCTION("""COMPUTED_VALUE"""),"BANDUNG")</f>
        <v>BANDUNG</v>
      </c>
      <c r="F991" s="4" t="str">
        <f>IFERROR(__xludf.DUMMYFUNCTION("""COMPUTED_VALUE"""),"CIJAWURA")</f>
        <v>CIJAWURA</v>
      </c>
      <c r="G991" s="4" t="str">
        <f>IFERROR(__xludf.DUMMYFUNCTION("""COMPUTED_VALUE"""),"GIS KIARACONDONG")</f>
        <v>GIS KIARACONDONG</v>
      </c>
      <c r="H991" s="4" t="str">
        <f>IFERROR(__xludf.DUMMYFUNCTION("""COMPUTED_VALUE"""),"KCH")</f>
        <v>KCH</v>
      </c>
      <c r="I991" s="4" t="str">
        <f>IFERROR(__xludf.DUMMYFUNCTION("""COMPUTED_VALUE"""),"KP CIWASTRA - LBS BDLB")</f>
        <v>KP CIWASTRA - LBS BDLB</v>
      </c>
      <c r="J991" s="4" t="str">
        <f>IFERROR(__xludf.DUMMYFUNCTION("""COMPUTED_VALUE"""),"ZONA 2")</f>
        <v>ZONA 2</v>
      </c>
      <c r="K991" s="4" t="str">
        <f>IFERROR(__xludf.DUMMYFUNCTION("""COMPUTED_VALUE"""),"004")</f>
        <v>004</v>
      </c>
      <c r="L991" s="4" t="str">
        <f>IFERROR(__xludf.DUMMYFUNCTION("""COMPUTED_VALUE"""),"TM - 13B/H (Kabel Naik Pada Tiang Tumpu)")</f>
        <v>TM - 13B/H (Kabel Naik Pada Tiang Tumpu)</v>
      </c>
      <c r="M991" s="4" t="str">
        <f>IFERROR(__xludf.DUMMYFUNCTION("""COMPUTED_VALUE"""),"Tidak Ada")</f>
        <v>Tidak Ada</v>
      </c>
      <c r="N991" s="4"/>
      <c r="O991" s="4" t="str">
        <f>IFERROR(__xludf.DUMMYFUNCTION("""COMPUTED_VALUE"""),"PEMBANDING SEJENIS")</f>
        <v>PEMBANDING SEJENIS</v>
      </c>
      <c r="P991" s="4" t="str">
        <f>IFERROR(__xludf.DUMMYFUNCTION("""COMPUTED_VALUE"""),"KONEKTOR/JUMPER")</f>
        <v>KONEKTOR/JUMPER</v>
      </c>
      <c r="Q991" s="4">
        <f>IFERROR(__xludf.DUMMYFUNCTION("""COMPUTED_VALUE"""),20.0)</f>
        <v>20</v>
      </c>
      <c r="R991" s="4">
        <f>IFERROR(__xludf.DUMMYFUNCTION("""COMPUTED_VALUE"""),20.0)</f>
        <v>20</v>
      </c>
      <c r="S991" s="4">
        <f>IFERROR(__xludf.DUMMYFUNCTION("""COMPUTED_VALUE"""),19.0)</f>
        <v>19</v>
      </c>
      <c r="T991" s="4"/>
      <c r="U991" s="4" t="str">
        <f>IFERROR(__xludf.DUMMYFUNCTION("""COMPUTED_VALUE"""),"BAIK")</f>
        <v>BAIK</v>
      </c>
      <c r="V991" s="4" t="str">
        <f>IFERROR(__xludf.DUMMYFUNCTION("""COMPUTED_VALUE"""),"Tidak Ada")</f>
        <v>Tidak Ada</v>
      </c>
      <c r="W991" s="4"/>
      <c r="X991" s="4"/>
      <c r="Y991" s="4"/>
      <c r="Z991" s="4"/>
      <c r="AA991" s="4"/>
      <c r="AB991" s="4"/>
      <c r="AC991" s="4" t="str">
        <f>IFERROR(__xludf.DUMMYFUNCTION("""COMPUTED_VALUE"""),"INSPEKSI SUTM - T2_Images/bc02cc6b.FOTO.191839.jpg")</f>
        <v>INSPEKSI SUTM - T2_Images/bc02cc6b.FOTO.191839.jpg</v>
      </c>
      <c r="AD991" s="4"/>
      <c r="AE991" s="4"/>
      <c r="AF991" s="4" t="str">
        <f>IFERROR(__xludf.DUMMYFUNCTION("""COMPUTED_VALUE"""),"BELUM")</f>
        <v>BELUM</v>
      </c>
      <c r="AG991" s="6">
        <f>IFERROR(__xludf.DUMMYFUNCTION("""COMPUTED_VALUE"""),46108.0)</f>
        <v>46108</v>
      </c>
      <c r="AH991" s="4"/>
      <c r="AI991" s="4"/>
    </row>
    <row r="992" ht="15.75" customHeight="1">
      <c r="A992" s="4" t="str">
        <f>IFERROR(__xludf.DUMMYFUNCTION("""COMPUTED_VALUE"""),"ea4f8970")</f>
        <v>ea4f8970</v>
      </c>
      <c r="B992" s="5">
        <f>IFERROR(__xludf.DUMMYFUNCTION("""COMPUTED_VALUE"""),46108.80489583333)</f>
        <v>46108.8049</v>
      </c>
      <c r="C992" s="4" t="str">
        <f>IFERROR(__xludf.DUMMYFUNCTION("""COMPUTED_VALUE"""),"-6.961949, 107.671556")</f>
        <v>-6.961949, 107.671556</v>
      </c>
      <c r="D992" s="4" t="str">
        <f>IFERROR(__xludf.DUMMYFUNCTION("""COMPUTED_VALUE"""),"Jihan kiki")</f>
        <v>Jihan kiki</v>
      </c>
      <c r="E992" s="4" t="str">
        <f>IFERROR(__xludf.DUMMYFUNCTION("""COMPUTED_VALUE"""),"BANDUNG")</f>
        <v>BANDUNG</v>
      </c>
      <c r="F992" s="4" t="str">
        <f>IFERROR(__xludf.DUMMYFUNCTION("""COMPUTED_VALUE"""),"CIJAWURA")</f>
        <v>CIJAWURA</v>
      </c>
      <c r="G992" s="4" t="str">
        <f>IFERROR(__xludf.DUMMYFUNCTION("""COMPUTED_VALUE"""),"GIS KIARACONDONG")</f>
        <v>GIS KIARACONDONG</v>
      </c>
      <c r="H992" s="4" t="str">
        <f>IFERROR(__xludf.DUMMYFUNCTION("""COMPUTED_VALUE"""),"KCH")</f>
        <v>KCH</v>
      </c>
      <c r="I992" s="4" t="str">
        <f>IFERROR(__xludf.DUMMYFUNCTION("""COMPUTED_VALUE"""),"KP CIWASTRA - LBS BDLB")</f>
        <v>KP CIWASTRA - LBS BDLB</v>
      </c>
      <c r="J992" s="4" t="str">
        <f>IFERROR(__xludf.DUMMYFUNCTION("""COMPUTED_VALUE"""),"ZONA 2")</f>
        <v>ZONA 2</v>
      </c>
      <c r="K992" s="4" t="str">
        <f>IFERROR(__xludf.DUMMYFUNCTION("""COMPUTED_VALUE"""),"005")</f>
        <v>005</v>
      </c>
      <c r="L992" s="4" t="str">
        <f>IFERROR(__xludf.DUMMYFUNCTION("""COMPUTED_VALUE"""),"TM - 8B/H (Percabangan)")</f>
        <v>TM - 8B/H (Percabangan)</v>
      </c>
      <c r="M992" s="4" t="str">
        <f>IFERROR(__xludf.DUMMYFUNCTION("""COMPUTED_VALUE"""),"Tidak Ada")</f>
        <v>Tidak Ada</v>
      </c>
      <c r="N992" s="4"/>
      <c r="O992" s="4" t="str">
        <f>IFERROR(__xludf.DUMMYFUNCTION("""COMPUTED_VALUE"""),"PEMBANDING SEJENIS")</f>
        <v>PEMBANDING SEJENIS</v>
      </c>
      <c r="P992" s="4" t="str">
        <f>IFERROR(__xludf.DUMMYFUNCTION("""COMPUTED_VALUE"""),"KONEKTOR/JUMPER")</f>
        <v>KONEKTOR/JUMPER</v>
      </c>
      <c r="Q992" s="4">
        <f>IFERROR(__xludf.DUMMYFUNCTION("""COMPUTED_VALUE"""),21.0)</f>
        <v>21</v>
      </c>
      <c r="R992" s="4">
        <f>IFERROR(__xludf.DUMMYFUNCTION("""COMPUTED_VALUE"""),21.0)</f>
        <v>21</v>
      </c>
      <c r="S992" s="4">
        <f>IFERROR(__xludf.DUMMYFUNCTION("""COMPUTED_VALUE"""),21.0)</f>
        <v>21</v>
      </c>
      <c r="T992" s="4"/>
      <c r="U992" s="4" t="str">
        <f>IFERROR(__xludf.DUMMYFUNCTION("""COMPUTED_VALUE"""),"BAIK")</f>
        <v>BAIK</v>
      </c>
      <c r="V992" s="4" t="str">
        <f>IFERROR(__xludf.DUMMYFUNCTION("""COMPUTED_VALUE"""),"Tidak Ada")</f>
        <v>Tidak Ada</v>
      </c>
      <c r="W992" s="4"/>
      <c r="X992" s="4"/>
      <c r="Y992" s="4"/>
      <c r="Z992" s="4"/>
      <c r="AA992" s="4"/>
      <c r="AB992" s="4"/>
      <c r="AC992" s="4" t="str">
        <f>IFERROR(__xludf.DUMMYFUNCTION("""COMPUTED_VALUE"""),"INSPEKSI SUTM - T2_Images/ea4f8970.FOTO.192030.jpg")</f>
        <v>INSPEKSI SUTM - T2_Images/ea4f8970.FOTO.192030.jpg</v>
      </c>
      <c r="AD992" s="4"/>
      <c r="AE992" s="4"/>
      <c r="AF992" s="4" t="str">
        <f>IFERROR(__xludf.DUMMYFUNCTION("""COMPUTED_VALUE"""),"BELUM")</f>
        <v>BELUM</v>
      </c>
      <c r="AG992" s="6">
        <f>IFERROR(__xludf.DUMMYFUNCTION("""COMPUTED_VALUE"""),46108.0)</f>
        <v>46108</v>
      </c>
      <c r="AH992" s="4"/>
      <c r="AI992" s="4"/>
    </row>
    <row r="993" ht="15.75" customHeight="1">
      <c r="A993" s="4" t="str">
        <f>IFERROR(__xludf.DUMMYFUNCTION("""COMPUTED_VALUE"""),"53b30f0e")</f>
        <v>53b30f0e</v>
      </c>
      <c r="B993" s="5">
        <f>IFERROR(__xludf.DUMMYFUNCTION("""COMPUTED_VALUE"""),46108.806122685186)</f>
        <v>46108.80612</v>
      </c>
      <c r="C993" s="4" t="str">
        <f>IFERROR(__xludf.DUMMYFUNCTION("""COMPUTED_VALUE"""),"-6.961965, 107.671985")</f>
        <v>-6.961965, 107.671985</v>
      </c>
      <c r="D993" s="4" t="str">
        <f>IFERROR(__xludf.DUMMYFUNCTION("""COMPUTED_VALUE"""),"Jihan kiki")</f>
        <v>Jihan kiki</v>
      </c>
      <c r="E993" s="4" t="str">
        <f>IFERROR(__xludf.DUMMYFUNCTION("""COMPUTED_VALUE"""),"BANDUNG")</f>
        <v>BANDUNG</v>
      </c>
      <c r="F993" s="4" t="str">
        <f>IFERROR(__xludf.DUMMYFUNCTION("""COMPUTED_VALUE"""),"CIJAWURA")</f>
        <v>CIJAWURA</v>
      </c>
      <c r="G993" s="4" t="str">
        <f>IFERROR(__xludf.DUMMYFUNCTION("""COMPUTED_VALUE"""),"GIS KIARACONDONG")</f>
        <v>GIS KIARACONDONG</v>
      </c>
      <c r="H993" s="4" t="str">
        <f>IFERROR(__xludf.DUMMYFUNCTION("""COMPUTED_VALUE"""),"KCH")</f>
        <v>KCH</v>
      </c>
      <c r="I993" s="4" t="str">
        <f>IFERROR(__xludf.DUMMYFUNCTION("""COMPUTED_VALUE"""),"KP CIWASTRA - LBS BDLB")</f>
        <v>KP CIWASTRA - LBS BDLB</v>
      </c>
      <c r="J993" s="4" t="str">
        <f>IFERROR(__xludf.DUMMYFUNCTION("""COMPUTED_VALUE"""),"ZONA 2")</f>
        <v>ZONA 2</v>
      </c>
      <c r="K993" s="4" t="str">
        <f>IFERROR(__xludf.DUMMYFUNCTION("""COMPUTED_VALUE"""),"005R02")</f>
        <v>005R02</v>
      </c>
      <c r="L993" s="4" t="str">
        <f>IFERROR(__xludf.DUMMYFUNCTION("""COMPUTED_VALUE"""),"TM - 16B/H (REC/SSO/LBS)")</f>
        <v>TM - 16B/H (REC/SSO/LBS)</v>
      </c>
      <c r="M993" s="4" t="str">
        <f>IFERROR(__xludf.DUMMYFUNCTION("""COMPUTED_VALUE"""),"LBS")</f>
        <v>LBS</v>
      </c>
      <c r="N993" s="4" t="str">
        <f>IFERROR(__xludf.DUMMYFUNCTION("""COMPUTED_VALUE"""),"PJR")</f>
        <v>PJR</v>
      </c>
      <c r="O993" s="4" t="str">
        <f>IFERROR(__xludf.DUMMYFUNCTION("""COMPUTED_VALUE"""),"PEMBANDING SEJENIS")</f>
        <v>PEMBANDING SEJENIS</v>
      </c>
      <c r="P993" s="4" t="str">
        <f>IFERROR(__xludf.DUMMYFUNCTION("""COMPUTED_VALUE"""),"KONEKTOR/JUMPER")</f>
        <v>KONEKTOR/JUMPER</v>
      </c>
      <c r="Q993" s="4">
        <f>IFERROR(__xludf.DUMMYFUNCTION("""COMPUTED_VALUE"""),21.0)</f>
        <v>21</v>
      </c>
      <c r="R993" s="4">
        <f>IFERROR(__xludf.DUMMYFUNCTION("""COMPUTED_VALUE"""),21.0)</f>
        <v>21</v>
      </c>
      <c r="S993" s="4">
        <f>IFERROR(__xludf.DUMMYFUNCTION("""COMPUTED_VALUE"""),20.0)</f>
        <v>20</v>
      </c>
      <c r="T993" s="4"/>
      <c r="U993" s="4" t="str">
        <f>IFERROR(__xludf.DUMMYFUNCTION("""COMPUTED_VALUE"""),"BAIK")</f>
        <v>BAIK</v>
      </c>
      <c r="V993" s="4" t="str">
        <f>IFERROR(__xludf.DUMMYFUNCTION("""COMPUTED_VALUE"""),"Tidak Ada")</f>
        <v>Tidak Ada</v>
      </c>
      <c r="W993" s="4"/>
      <c r="X993" s="4"/>
      <c r="Y993" s="4"/>
      <c r="Z993" s="4"/>
      <c r="AA993" s="4"/>
      <c r="AB993" s="4"/>
      <c r="AC993" s="4" t="str">
        <f>IFERROR(__xludf.DUMMYFUNCTION("""COMPUTED_VALUE"""),"INSPEKSI SUTM - T2_Images/53b30f0e.FOTO.192214.jpg")</f>
        <v>INSPEKSI SUTM - T2_Images/53b30f0e.FOTO.192214.jpg</v>
      </c>
      <c r="AD993" s="4"/>
      <c r="AE993" s="4"/>
      <c r="AF993" s="4" t="str">
        <f>IFERROR(__xludf.DUMMYFUNCTION("""COMPUTED_VALUE"""),"BELUM")</f>
        <v>BELUM</v>
      </c>
      <c r="AG993" s="6">
        <f>IFERROR(__xludf.DUMMYFUNCTION("""COMPUTED_VALUE"""),46108.0)</f>
        <v>46108</v>
      </c>
      <c r="AH993" s="4"/>
      <c r="AI993" s="4"/>
    </row>
    <row r="994" ht="15.75" customHeight="1">
      <c r="A994" s="4" t="str">
        <f>IFERROR(__xludf.DUMMYFUNCTION("""COMPUTED_VALUE"""),"7f4f7e48")</f>
        <v>7f4f7e48</v>
      </c>
      <c r="B994" s="5">
        <f>IFERROR(__xludf.DUMMYFUNCTION("""COMPUTED_VALUE"""),46108.807337962964)</f>
        <v>46108.80734</v>
      </c>
      <c r="C994" s="4" t="str">
        <f>IFERROR(__xludf.DUMMYFUNCTION("""COMPUTED_VALUE"""),"-6.961879, 107.671137")</f>
        <v>-6.961879, 107.671137</v>
      </c>
      <c r="D994" s="4" t="str">
        <f>IFERROR(__xludf.DUMMYFUNCTION("""COMPUTED_VALUE"""),"Jihan kiki")</f>
        <v>Jihan kiki</v>
      </c>
      <c r="E994" s="4" t="str">
        <f>IFERROR(__xludf.DUMMYFUNCTION("""COMPUTED_VALUE"""),"BANDUNG")</f>
        <v>BANDUNG</v>
      </c>
      <c r="F994" s="4" t="str">
        <f>IFERROR(__xludf.DUMMYFUNCTION("""COMPUTED_VALUE"""),"CIJAWURA")</f>
        <v>CIJAWURA</v>
      </c>
      <c r="G994" s="4" t="str">
        <f>IFERROR(__xludf.DUMMYFUNCTION("""COMPUTED_VALUE"""),"GIS KIARACONDONG")</f>
        <v>GIS KIARACONDONG</v>
      </c>
      <c r="H994" s="4" t="str">
        <f>IFERROR(__xludf.DUMMYFUNCTION("""COMPUTED_VALUE"""),"KCH")</f>
        <v>KCH</v>
      </c>
      <c r="I994" s="4" t="str">
        <f>IFERROR(__xludf.DUMMYFUNCTION("""COMPUTED_VALUE"""),"KP CIWASTRA - LBS BDLB")</f>
        <v>KP CIWASTRA - LBS BDLB</v>
      </c>
      <c r="J994" s="4" t="str">
        <f>IFERROR(__xludf.DUMMYFUNCTION("""COMPUTED_VALUE"""),"ZONA 2")</f>
        <v>ZONA 2</v>
      </c>
      <c r="K994" s="4" t="str">
        <f>IFERROR(__xludf.DUMMYFUNCTION("""COMPUTED_VALUE"""),"005R06")</f>
        <v>005R06</v>
      </c>
      <c r="L994" s="4" t="str">
        <f>IFERROR(__xludf.DUMMYFUNCTION("""COMPUTED_VALUE"""),"TM - 8B/H (Percabangan)")</f>
        <v>TM - 8B/H (Percabangan)</v>
      </c>
      <c r="M994" s="4" t="str">
        <f>IFERROR(__xludf.DUMMYFUNCTION("""COMPUTED_VALUE"""),"Tidak Ada")</f>
        <v>Tidak Ada</v>
      </c>
      <c r="N994" s="4"/>
      <c r="O994" s="4" t="str">
        <f>IFERROR(__xludf.DUMMYFUNCTION("""COMPUTED_VALUE"""),"PEMBANDING SEJENIS")</f>
        <v>PEMBANDING SEJENIS</v>
      </c>
      <c r="P994" s="4" t="str">
        <f>IFERROR(__xludf.DUMMYFUNCTION("""COMPUTED_VALUE"""),"KONEKTOR/JUMPER")</f>
        <v>KONEKTOR/JUMPER</v>
      </c>
      <c r="Q994" s="4">
        <f>IFERROR(__xludf.DUMMYFUNCTION("""COMPUTED_VALUE"""),20.0)</f>
        <v>20</v>
      </c>
      <c r="R994" s="4">
        <f>IFERROR(__xludf.DUMMYFUNCTION("""COMPUTED_VALUE"""),20.0)</f>
        <v>20</v>
      </c>
      <c r="S994" s="4">
        <f>IFERROR(__xludf.DUMMYFUNCTION("""COMPUTED_VALUE"""),21.0)</f>
        <v>21</v>
      </c>
      <c r="T994" s="4"/>
      <c r="U994" s="4" t="str">
        <f>IFERROR(__xludf.DUMMYFUNCTION("""COMPUTED_VALUE"""),"BAIK")</f>
        <v>BAIK</v>
      </c>
      <c r="V994" s="4" t="str">
        <f>IFERROR(__xludf.DUMMYFUNCTION("""COMPUTED_VALUE"""),"Tidak Ada")</f>
        <v>Tidak Ada</v>
      </c>
      <c r="W994" s="4"/>
      <c r="X994" s="4"/>
      <c r="Y994" s="4"/>
      <c r="Z994" s="4"/>
      <c r="AA994" s="4"/>
      <c r="AB994" s="4"/>
      <c r="AC994" s="4" t="str">
        <f>IFERROR(__xludf.DUMMYFUNCTION("""COMPUTED_VALUE"""),"INSPEKSI SUTM - T2_Images/7f4f7e48.FOTO.192408.jpg")</f>
        <v>INSPEKSI SUTM - T2_Images/7f4f7e48.FOTO.192408.jpg</v>
      </c>
      <c r="AD994" s="4"/>
      <c r="AE994" s="4"/>
      <c r="AF994" s="4" t="str">
        <f>IFERROR(__xludf.DUMMYFUNCTION("""COMPUTED_VALUE"""),"BELUM")</f>
        <v>BELUM</v>
      </c>
      <c r="AG994" s="6">
        <f>IFERROR(__xludf.DUMMYFUNCTION("""COMPUTED_VALUE"""),46108.0)</f>
        <v>46108</v>
      </c>
      <c r="AH994" s="4"/>
      <c r="AI994" s="4"/>
    </row>
    <row r="995" ht="15.75" customHeight="1">
      <c r="A995" s="4" t="str">
        <f>IFERROR(__xludf.DUMMYFUNCTION("""COMPUTED_VALUE"""),"032ba608")</f>
        <v>032ba608</v>
      </c>
      <c r="B995" s="5">
        <f>IFERROR(__xludf.DUMMYFUNCTION("""COMPUTED_VALUE"""),46108.80869212963)</f>
        <v>46108.80869</v>
      </c>
      <c r="C995" s="4" t="str">
        <f>IFERROR(__xludf.DUMMYFUNCTION("""COMPUTED_VALUE"""),"-6.961863, 107.671136")</f>
        <v>-6.961863, 107.671136</v>
      </c>
      <c r="D995" s="4" t="str">
        <f>IFERROR(__xludf.DUMMYFUNCTION("""COMPUTED_VALUE"""),"Jihan kikia")</f>
        <v>Jihan kikia</v>
      </c>
      <c r="E995" s="4" t="str">
        <f>IFERROR(__xludf.DUMMYFUNCTION("""COMPUTED_VALUE"""),"BANDUNG")</f>
        <v>BANDUNG</v>
      </c>
      <c r="F995" s="4" t="str">
        <f>IFERROR(__xludf.DUMMYFUNCTION("""COMPUTED_VALUE"""),"CIJAWURA")</f>
        <v>CIJAWURA</v>
      </c>
      <c r="G995" s="4" t="str">
        <f>IFERROR(__xludf.DUMMYFUNCTION("""COMPUTED_VALUE"""),"GIS KIARACONDONG")</f>
        <v>GIS KIARACONDONG</v>
      </c>
      <c r="H995" s="4" t="str">
        <f>IFERROR(__xludf.DUMMYFUNCTION("""COMPUTED_VALUE"""),"KCH")</f>
        <v>KCH</v>
      </c>
      <c r="I995" s="4" t="str">
        <f>IFERROR(__xludf.DUMMYFUNCTION("""COMPUTED_VALUE"""),"KP CIWASTRA - LBS BDLB")</f>
        <v>KP CIWASTRA - LBS BDLB</v>
      </c>
      <c r="J995" s="4" t="str">
        <f>IFERROR(__xludf.DUMMYFUNCTION("""COMPUTED_VALUE"""),"ZONA 2")</f>
        <v>ZONA 2</v>
      </c>
      <c r="K995" s="4" t="str">
        <f>IFERROR(__xludf.DUMMYFUNCTION("""COMPUTED_VALUE"""),"005R06L05")</f>
        <v>005R06L05</v>
      </c>
      <c r="L995" s="4" t="str">
        <f>IFERROR(__xludf.DUMMYFUNCTION("""COMPUTED_VALUE"""),"TM - 14B/H (Akhir)")</f>
        <v>TM - 14B/H (Akhir)</v>
      </c>
      <c r="M995" s="4" t="str">
        <f>IFERROR(__xludf.DUMMYFUNCTION("""COMPUTED_VALUE"""),"Tidak Ada")</f>
        <v>Tidak Ada</v>
      </c>
      <c r="N995" s="4"/>
      <c r="O995" s="4" t="str">
        <f>IFERROR(__xludf.DUMMYFUNCTION("""COMPUTED_VALUE"""),"PEMBANDING SEJENIS")</f>
        <v>PEMBANDING SEJENIS</v>
      </c>
      <c r="P995" s="4" t="str">
        <f>IFERROR(__xludf.DUMMYFUNCTION("""COMPUTED_VALUE"""),"KONEKTOR/JUMPER")</f>
        <v>KONEKTOR/JUMPER</v>
      </c>
      <c r="Q995" s="4">
        <f>IFERROR(__xludf.DUMMYFUNCTION("""COMPUTED_VALUE"""),20.0)</f>
        <v>20</v>
      </c>
      <c r="R995" s="4">
        <f>IFERROR(__xludf.DUMMYFUNCTION("""COMPUTED_VALUE"""),20.0)</f>
        <v>20</v>
      </c>
      <c r="S995" s="4">
        <f>IFERROR(__xludf.DUMMYFUNCTION("""COMPUTED_VALUE"""),23.0)</f>
        <v>23</v>
      </c>
      <c r="T995" s="4"/>
      <c r="U995" s="4" t="str">
        <f>IFERROR(__xludf.DUMMYFUNCTION("""COMPUTED_VALUE"""),"CUKUP")</f>
        <v>CUKUP</v>
      </c>
      <c r="V995" s="4" t="str">
        <f>IFERROR(__xludf.DUMMYFUNCTION("""COMPUTED_VALUE"""),"Tidak Ada")</f>
        <v>Tidak Ada</v>
      </c>
      <c r="W995" s="4"/>
      <c r="X995" s="4"/>
      <c r="Y995" s="4"/>
      <c r="Z995" s="4"/>
      <c r="AA995" s="4"/>
      <c r="AB995" s="4"/>
      <c r="AC995" s="4" t="str">
        <f>IFERROR(__xludf.DUMMYFUNCTION("""COMPUTED_VALUE"""),"INSPEKSI SUTM - T2_Images/032ba608.FOTO.192551.jpg")</f>
        <v>INSPEKSI SUTM - T2_Images/032ba608.FOTO.192551.jpg</v>
      </c>
      <c r="AD995" s="4"/>
      <c r="AE995" s="4"/>
      <c r="AF995" s="4" t="str">
        <f>IFERROR(__xludf.DUMMYFUNCTION("""COMPUTED_VALUE"""),"BELUM")</f>
        <v>BELUM</v>
      </c>
      <c r="AG995" s="6">
        <f>IFERROR(__xludf.DUMMYFUNCTION("""COMPUTED_VALUE"""),46108.0)</f>
        <v>46108</v>
      </c>
      <c r="AH995" s="4"/>
      <c r="AI995" s="4"/>
    </row>
    <row r="996" ht="15.75" customHeight="1">
      <c r="A996" s="4" t="str">
        <f>IFERROR(__xludf.DUMMYFUNCTION("""COMPUTED_VALUE"""),"5fa81537")</f>
        <v>5fa81537</v>
      </c>
      <c r="B996" s="5">
        <f>IFERROR(__xludf.DUMMYFUNCTION("""COMPUTED_VALUE"""),46108.81025462963)</f>
        <v>46108.81025</v>
      </c>
      <c r="C996" s="4" t="str">
        <f>IFERROR(__xludf.DUMMYFUNCTION("""COMPUTED_VALUE"""),"-6.961870, 107.671128")</f>
        <v>-6.961870, 107.671128</v>
      </c>
      <c r="D996" s="4" t="str">
        <f>IFERROR(__xludf.DUMMYFUNCTION("""COMPUTED_VALUE"""),"Jihan kiki")</f>
        <v>Jihan kiki</v>
      </c>
      <c r="E996" s="4" t="str">
        <f>IFERROR(__xludf.DUMMYFUNCTION("""COMPUTED_VALUE"""),"BANDUNG")</f>
        <v>BANDUNG</v>
      </c>
      <c r="F996" s="4" t="str">
        <f>IFERROR(__xludf.DUMMYFUNCTION("""COMPUTED_VALUE"""),"CIJAWURA")</f>
        <v>CIJAWURA</v>
      </c>
      <c r="G996" s="4" t="str">
        <f>IFERROR(__xludf.DUMMYFUNCTION("""COMPUTED_VALUE"""),"GIS KIARACONDONG")</f>
        <v>GIS KIARACONDONG</v>
      </c>
      <c r="H996" s="4" t="str">
        <f>IFERROR(__xludf.DUMMYFUNCTION("""COMPUTED_VALUE"""),"KCH")</f>
        <v>KCH</v>
      </c>
      <c r="I996" s="4" t="str">
        <f>IFERROR(__xludf.DUMMYFUNCTION("""COMPUTED_VALUE"""),"KP CIWASTRA - LBS BDLB")</f>
        <v>KP CIWASTRA - LBS BDLB</v>
      </c>
      <c r="J996" s="4" t="str">
        <f>IFERROR(__xludf.DUMMYFUNCTION("""COMPUTED_VALUE"""),"ZONA 2")</f>
        <v>ZONA 2</v>
      </c>
      <c r="K996" s="4" t="str">
        <f>IFERROR(__xludf.DUMMYFUNCTION("""COMPUTED_VALUE"""),"005R10")</f>
        <v>005R10</v>
      </c>
      <c r="L996" s="4" t="str">
        <f>IFERROR(__xludf.DUMMYFUNCTION("""COMPUTED_VALUE"""),"TM - 7B/H (Afspan 90 Derajat)")</f>
        <v>TM - 7B/H (Afspan 90 Derajat)</v>
      </c>
      <c r="M996" s="4" t="str">
        <f>IFERROR(__xludf.DUMMYFUNCTION("""COMPUTED_VALUE"""),"Tidak Ada")</f>
        <v>Tidak Ada</v>
      </c>
      <c r="N996" s="4"/>
      <c r="O996" s="4" t="str">
        <f>IFERROR(__xludf.DUMMYFUNCTION("""COMPUTED_VALUE"""),"PEMBANDING SEJENIS")</f>
        <v>PEMBANDING SEJENIS</v>
      </c>
      <c r="P996" s="4" t="str">
        <f>IFERROR(__xludf.DUMMYFUNCTION("""COMPUTED_VALUE"""),"KONEKTOR/JUMPER")</f>
        <v>KONEKTOR/JUMPER</v>
      </c>
      <c r="Q996" s="4">
        <f>IFERROR(__xludf.DUMMYFUNCTION("""COMPUTED_VALUE"""),23.0)</f>
        <v>23</v>
      </c>
      <c r="R996" s="4">
        <f>IFERROR(__xludf.DUMMYFUNCTION("""COMPUTED_VALUE"""),23.0)</f>
        <v>23</v>
      </c>
      <c r="S996" s="4">
        <f>IFERROR(__xludf.DUMMYFUNCTION("""COMPUTED_VALUE"""),23.0)</f>
        <v>23</v>
      </c>
      <c r="T996" s="4"/>
      <c r="U996" s="4" t="str">
        <f>IFERROR(__xludf.DUMMYFUNCTION("""COMPUTED_VALUE"""),"BAIK")</f>
        <v>BAIK</v>
      </c>
      <c r="V996" s="4" t="str">
        <f>IFERROR(__xludf.DUMMYFUNCTION("""COMPUTED_VALUE"""),"Tidak Ada")</f>
        <v>Tidak Ada</v>
      </c>
      <c r="W996" s="4"/>
      <c r="X996" s="4"/>
      <c r="Y996" s="4"/>
      <c r="Z996" s="4"/>
      <c r="AA996" s="4"/>
      <c r="AB996" s="4"/>
      <c r="AC996" s="4" t="str">
        <f>IFERROR(__xludf.DUMMYFUNCTION("""COMPUTED_VALUE"""),"INSPEKSI SUTM - T2_Images/5fa81537.FOTO.192902.jpg")</f>
        <v>INSPEKSI SUTM - T2_Images/5fa81537.FOTO.192902.jpg</v>
      </c>
      <c r="AD996" s="4"/>
      <c r="AE996" s="4"/>
      <c r="AF996" s="4" t="str">
        <f>IFERROR(__xludf.DUMMYFUNCTION("""COMPUTED_VALUE"""),"BELUM")</f>
        <v>BELUM</v>
      </c>
      <c r="AG996" s="6">
        <f>IFERROR(__xludf.DUMMYFUNCTION("""COMPUTED_VALUE"""),46108.0)</f>
        <v>46108</v>
      </c>
      <c r="AH996" s="4"/>
      <c r="AI996" s="4"/>
    </row>
    <row r="997" ht="15.75" customHeight="1">
      <c r="A997" s="4" t="str">
        <f>IFERROR(__xludf.DUMMYFUNCTION("""COMPUTED_VALUE"""),"458738ac")</f>
        <v>458738ac</v>
      </c>
      <c r="B997" s="5">
        <f>IFERROR(__xludf.DUMMYFUNCTION("""COMPUTED_VALUE"""),46108.813159722224)</f>
        <v>46108.81316</v>
      </c>
      <c r="C997" s="4" t="str">
        <f>IFERROR(__xludf.DUMMYFUNCTION("""COMPUTED_VALUE"""),"-6.961873, 107.671104")</f>
        <v>-6.961873, 107.671104</v>
      </c>
      <c r="D997" s="4" t="str">
        <f>IFERROR(__xludf.DUMMYFUNCTION("""COMPUTED_VALUE"""),"Jihan kiki")</f>
        <v>Jihan kiki</v>
      </c>
      <c r="E997" s="4" t="str">
        <f>IFERROR(__xludf.DUMMYFUNCTION("""COMPUTED_VALUE"""),"BANDUNG")</f>
        <v>BANDUNG</v>
      </c>
      <c r="F997" s="4" t="str">
        <f>IFERROR(__xludf.DUMMYFUNCTION("""COMPUTED_VALUE"""),"CIJAWURA")</f>
        <v>CIJAWURA</v>
      </c>
      <c r="G997" s="4" t="str">
        <f>IFERROR(__xludf.DUMMYFUNCTION("""COMPUTED_VALUE"""),"GIS KIARACONDONG")</f>
        <v>GIS KIARACONDONG</v>
      </c>
      <c r="H997" s="4" t="str">
        <f>IFERROR(__xludf.DUMMYFUNCTION("""COMPUTED_VALUE"""),"KCH")</f>
        <v>KCH</v>
      </c>
      <c r="I997" s="4" t="str">
        <f>IFERROR(__xludf.DUMMYFUNCTION("""COMPUTED_VALUE"""),"KP CIWASTRA - LBS BDLB")</f>
        <v>KP CIWASTRA - LBS BDLB</v>
      </c>
      <c r="J997" s="4" t="str">
        <f>IFERROR(__xludf.DUMMYFUNCTION("""COMPUTED_VALUE"""),"ZONA 2")</f>
        <v>ZONA 2</v>
      </c>
      <c r="K997" s="4" t="str">
        <f>IFERROR(__xludf.DUMMYFUNCTION("""COMPUTED_VALUE"""),"005R11")</f>
        <v>005R11</v>
      </c>
      <c r="L997" s="4" t="str">
        <f>IFERROR(__xludf.DUMMYFUNCTION("""COMPUTED_VALUE"""),"TM - 7B/H (Afspan 90 Derajat)")</f>
        <v>TM - 7B/H (Afspan 90 Derajat)</v>
      </c>
      <c r="M997" s="4" t="str">
        <f>IFERROR(__xludf.DUMMYFUNCTION("""COMPUTED_VALUE"""),"Tidak Ada")</f>
        <v>Tidak Ada</v>
      </c>
      <c r="N997" s="4"/>
      <c r="O997" s="4" t="str">
        <f>IFERROR(__xludf.DUMMYFUNCTION("""COMPUTED_VALUE"""),"PEMBANDING SEJENIS")</f>
        <v>PEMBANDING SEJENIS</v>
      </c>
      <c r="P997" s="4" t="str">
        <f>IFERROR(__xludf.DUMMYFUNCTION("""COMPUTED_VALUE"""),"KONEKTOR/JUMPER")</f>
        <v>KONEKTOR/JUMPER</v>
      </c>
      <c r="Q997" s="4">
        <f>IFERROR(__xludf.DUMMYFUNCTION("""COMPUTED_VALUE"""),20.0)</f>
        <v>20</v>
      </c>
      <c r="R997" s="4">
        <f>IFERROR(__xludf.DUMMYFUNCTION("""COMPUTED_VALUE"""),21.0)</f>
        <v>21</v>
      </c>
      <c r="S997" s="4">
        <f>IFERROR(__xludf.DUMMYFUNCTION("""COMPUTED_VALUE"""),20.0)</f>
        <v>20</v>
      </c>
      <c r="T997" s="4"/>
      <c r="U997" s="4" t="str">
        <f>IFERROR(__xludf.DUMMYFUNCTION("""COMPUTED_VALUE"""),"BAIK")</f>
        <v>BAIK</v>
      </c>
      <c r="V997" s="4" t="str">
        <f>IFERROR(__xludf.DUMMYFUNCTION("""COMPUTED_VALUE"""),"Tidak Ada")</f>
        <v>Tidak Ada</v>
      </c>
      <c r="W997" s="4"/>
      <c r="X997" s="4"/>
      <c r="Y997" s="4"/>
      <c r="Z997" s="4"/>
      <c r="AA997" s="4"/>
      <c r="AB997" s="4"/>
      <c r="AC997" s="4" t="str">
        <f>IFERROR(__xludf.DUMMYFUNCTION("""COMPUTED_VALUE"""),"INSPEKSI SUTM - T2_Images/458738ac.FOTO.193231.jpg")</f>
        <v>INSPEKSI SUTM - T2_Images/458738ac.FOTO.193231.jpg</v>
      </c>
      <c r="AD997" s="4"/>
      <c r="AE997" s="4"/>
      <c r="AF997" s="4" t="str">
        <f>IFERROR(__xludf.DUMMYFUNCTION("""COMPUTED_VALUE"""),"BELUM")</f>
        <v>BELUM</v>
      </c>
      <c r="AG997" s="6">
        <f>IFERROR(__xludf.DUMMYFUNCTION("""COMPUTED_VALUE"""),46108.0)</f>
        <v>46108</v>
      </c>
      <c r="AH997" s="4"/>
      <c r="AI997" s="4"/>
    </row>
    <row r="998" ht="15.75" customHeight="1">
      <c r="A998" s="4" t="str">
        <f>IFERROR(__xludf.DUMMYFUNCTION("""COMPUTED_VALUE"""),"fb111b74")</f>
        <v>fb111b74</v>
      </c>
      <c r="B998" s="5">
        <f>IFERROR(__xludf.DUMMYFUNCTION("""COMPUTED_VALUE"""),46108.814467592594)</f>
        <v>46108.81447</v>
      </c>
      <c r="C998" s="4" t="str">
        <f>IFERROR(__xludf.DUMMYFUNCTION("""COMPUTED_VALUE"""),"-6.961858, 107.671108")</f>
        <v>-6.961858, 107.671108</v>
      </c>
      <c r="D998" s="4" t="str">
        <f>IFERROR(__xludf.DUMMYFUNCTION("""COMPUTED_VALUE"""),"Jihan kiki")</f>
        <v>Jihan kiki</v>
      </c>
      <c r="E998" s="4" t="str">
        <f>IFERROR(__xludf.DUMMYFUNCTION("""COMPUTED_VALUE"""),"BANDUNG")</f>
        <v>BANDUNG</v>
      </c>
      <c r="F998" s="4" t="str">
        <f>IFERROR(__xludf.DUMMYFUNCTION("""COMPUTED_VALUE"""),"CIJAWURA")</f>
        <v>CIJAWURA</v>
      </c>
      <c r="G998" s="4" t="str">
        <f>IFERROR(__xludf.DUMMYFUNCTION("""COMPUTED_VALUE"""),"GIS KIARACONDONG")</f>
        <v>GIS KIARACONDONG</v>
      </c>
      <c r="H998" s="4" t="str">
        <f>IFERROR(__xludf.DUMMYFUNCTION("""COMPUTED_VALUE"""),"KCH")</f>
        <v>KCH</v>
      </c>
      <c r="I998" s="4" t="str">
        <f>IFERROR(__xludf.DUMMYFUNCTION("""COMPUTED_VALUE"""),"KP CIWASTRA - LBS BDLB")</f>
        <v>KP CIWASTRA - LBS BDLB</v>
      </c>
      <c r="J998" s="4" t="str">
        <f>IFERROR(__xludf.DUMMYFUNCTION("""COMPUTED_VALUE"""),"ZONA 2")</f>
        <v>ZONA 2</v>
      </c>
      <c r="K998" s="4" t="str">
        <f>IFERROR(__xludf.DUMMYFUNCTION("""COMPUTED_VALUE"""),"005R15")</f>
        <v>005R15</v>
      </c>
      <c r="L998" s="4" t="str">
        <f>IFERROR(__xludf.DUMMYFUNCTION("""COMPUTED_VALUE"""),"TM - 13B/H (Kabel Naik Pada Tiang Tumpu)")</f>
        <v>TM - 13B/H (Kabel Naik Pada Tiang Tumpu)</v>
      </c>
      <c r="M998" s="4" t="str">
        <f>IFERROR(__xludf.DUMMYFUNCTION("""COMPUTED_VALUE"""),"Tidak Ada")</f>
        <v>Tidak Ada</v>
      </c>
      <c r="N998" s="4"/>
      <c r="O998" s="4" t="str">
        <f>IFERROR(__xludf.DUMMYFUNCTION("""COMPUTED_VALUE"""),"PEMBANDING SEJENIS")</f>
        <v>PEMBANDING SEJENIS</v>
      </c>
      <c r="P998" s="4" t="str">
        <f>IFERROR(__xludf.DUMMYFUNCTION("""COMPUTED_VALUE"""),"KONEKTOR/JUMPER")</f>
        <v>KONEKTOR/JUMPER</v>
      </c>
      <c r="Q998" s="4">
        <f>IFERROR(__xludf.DUMMYFUNCTION("""COMPUTED_VALUE"""),21.0)</f>
        <v>21</v>
      </c>
      <c r="R998" s="4">
        <f>IFERROR(__xludf.DUMMYFUNCTION("""COMPUTED_VALUE"""),21.0)</f>
        <v>21</v>
      </c>
      <c r="S998" s="4">
        <f>IFERROR(__xludf.DUMMYFUNCTION("""COMPUTED_VALUE"""),20.0)</f>
        <v>20</v>
      </c>
      <c r="T998" s="4"/>
      <c r="U998" s="4" t="str">
        <f>IFERROR(__xludf.DUMMYFUNCTION("""COMPUTED_VALUE"""),"BAIK")</f>
        <v>BAIK</v>
      </c>
      <c r="V998" s="4" t="str">
        <f>IFERROR(__xludf.DUMMYFUNCTION("""COMPUTED_VALUE"""),"Tidak Ada")</f>
        <v>Tidak Ada</v>
      </c>
      <c r="W998" s="4"/>
      <c r="X998" s="4"/>
      <c r="Y998" s="4"/>
      <c r="Z998" s="4"/>
      <c r="AA998" s="4"/>
      <c r="AB998" s="4"/>
      <c r="AC998" s="4" t="str">
        <f>IFERROR(__xludf.DUMMYFUNCTION("""COMPUTED_VALUE"""),"INSPEKSI SUTM - T2_Images/fb111b74.FOTO.194518.jpg")</f>
        <v>INSPEKSI SUTM - T2_Images/fb111b74.FOTO.194518.jpg</v>
      </c>
      <c r="AD998" s="4"/>
      <c r="AE998" s="4"/>
      <c r="AF998" s="4" t="str">
        <f>IFERROR(__xludf.DUMMYFUNCTION("""COMPUTED_VALUE"""),"BELUM")</f>
        <v>BELUM</v>
      </c>
      <c r="AG998" s="6">
        <f>IFERROR(__xludf.DUMMYFUNCTION("""COMPUTED_VALUE"""),46108.0)</f>
        <v>46108</v>
      </c>
      <c r="AH998" s="4"/>
      <c r="AI998" s="4"/>
    </row>
    <row r="999" ht="15.75" customHeight="1">
      <c r="A999" s="4" t="str">
        <f>IFERROR(__xludf.DUMMYFUNCTION("""COMPUTED_VALUE"""),"f42b2d94")</f>
        <v>f42b2d94</v>
      </c>
      <c r="B999" s="5">
        <f>IFERROR(__xludf.DUMMYFUNCTION("""COMPUTED_VALUE"""),46108.83697916667)</f>
        <v>46108.83698</v>
      </c>
      <c r="C999" s="4" t="str">
        <f>IFERROR(__xludf.DUMMYFUNCTION("""COMPUTED_VALUE"""),"-6.961846, 107.671114")</f>
        <v>-6.961846, 107.671114</v>
      </c>
      <c r="D999" s="4" t="str">
        <f>IFERROR(__xludf.DUMMYFUNCTION("""COMPUTED_VALUE"""),"Jihan kiki")</f>
        <v>Jihan kiki</v>
      </c>
      <c r="E999" s="4" t="str">
        <f>IFERROR(__xludf.DUMMYFUNCTION("""COMPUTED_VALUE"""),"BANDUNG")</f>
        <v>BANDUNG</v>
      </c>
      <c r="F999" s="4" t="str">
        <f>IFERROR(__xludf.DUMMYFUNCTION("""COMPUTED_VALUE"""),"CIJAWURA")</f>
        <v>CIJAWURA</v>
      </c>
      <c r="G999" s="4" t="str">
        <f>IFERROR(__xludf.DUMMYFUNCTION("""COMPUTED_VALUE"""),"GIS KIARACONDONG")</f>
        <v>GIS KIARACONDONG</v>
      </c>
      <c r="H999" s="4" t="str">
        <f>IFERROR(__xludf.DUMMYFUNCTION("""COMPUTED_VALUE"""),"KCH")</f>
        <v>KCH</v>
      </c>
      <c r="I999" s="4" t="str">
        <f>IFERROR(__xludf.DUMMYFUNCTION("""COMPUTED_VALUE"""),"KP CIWASTRA - LBS BDLB")</f>
        <v>KP CIWASTRA - LBS BDLB</v>
      </c>
      <c r="J999" s="4" t="str">
        <f>IFERROR(__xludf.DUMMYFUNCTION("""COMPUTED_VALUE"""),"ZONA 2")</f>
        <v>ZONA 2</v>
      </c>
      <c r="K999" s="4" t="str">
        <f>IFERROR(__xludf.DUMMYFUNCTION("""COMPUTED_VALUE"""),"005R16")</f>
        <v>005R16</v>
      </c>
      <c r="L999" s="4" t="str">
        <f>IFERROR(__xludf.DUMMYFUNCTION("""COMPUTED_VALUE"""),"TM - 13B/H (Kabel Naik Pada Tiang Tumpu)")</f>
        <v>TM - 13B/H (Kabel Naik Pada Tiang Tumpu)</v>
      </c>
      <c r="M999" s="4" t="str">
        <f>IFERROR(__xludf.DUMMYFUNCTION("""COMPUTED_VALUE"""),"Tidak Ada")</f>
        <v>Tidak Ada</v>
      </c>
      <c r="N999" s="4"/>
      <c r="O999" s="4" t="str">
        <f>IFERROR(__xludf.DUMMYFUNCTION("""COMPUTED_VALUE"""),"PEMBANDING SEJENIS")</f>
        <v>PEMBANDING SEJENIS</v>
      </c>
      <c r="P999" s="4" t="str">
        <f>IFERROR(__xludf.DUMMYFUNCTION("""COMPUTED_VALUE"""),"KONEKTOR/JUMPER")</f>
        <v>KONEKTOR/JUMPER</v>
      </c>
      <c r="Q999" s="4">
        <f>IFERROR(__xludf.DUMMYFUNCTION("""COMPUTED_VALUE"""),21.0)</f>
        <v>21</v>
      </c>
      <c r="R999" s="4">
        <f>IFERROR(__xludf.DUMMYFUNCTION("""COMPUTED_VALUE"""),21.0)</f>
        <v>21</v>
      </c>
      <c r="S999" s="4">
        <f>IFERROR(__xludf.DUMMYFUNCTION("""COMPUTED_VALUE"""),22.0)</f>
        <v>22</v>
      </c>
      <c r="T999" s="4"/>
      <c r="U999" s="4" t="str">
        <f>IFERROR(__xludf.DUMMYFUNCTION("""COMPUTED_VALUE"""),"BAIK")</f>
        <v>BAIK</v>
      </c>
      <c r="V999" s="4" t="str">
        <f>IFERROR(__xludf.DUMMYFUNCTION("""COMPUTED_VALUE"""),"Tidak Ada")</f>
        <v>Tidak Ada</v>
      </c>
      <c r="W999" s="4"/>
      <c r="X999" s="4"/>
      <c r="Y999" s="4"/>
      <c r="Z999" s="4"/>
      <c r="AA999" s="4"/>
      <c r="AB999" s="4"/>
      <c r="AC999" s="4" t="str">
        <f>IFERROR(__xludf.DUMMYFUNCTION("""COMPUTED_VALUE"""),"INSPEKSI SUTM - T2_Images/f42b2d94.FOTO.200710.jpg")</f>
        <v>INSPEKSI SUTM - T2_Images/f42b2d94.FOTO.200710.jpg</v>
      </c>
      <c r="AD999" s="4"/>
      <c r="AE999" s="4"/>
      <c r="AF999" s="4" t="str">
        <f>IFERROR(__xludf.DUMMYFUNCTION("""COMPUTED_VALUE"""),"BELUM")</f>
        <v>BELUM</v>
      </c>
      <c r="AG999" s="6">
        <f>IFERROR(__xludf.DUMMYFUNCTION("""COMPUTED_VALUE"""),46108.0)</f>
        <v>46108</v>
      </c>
      <c r="AH999" s="4"/>
      <c r="AI999" s="4"/>
    </row>
    <row r="1000" ht="15.75" customHeight="1">
      <c r="A1000" s="4" t="str">
        <f>IFERROR(__xludf.DUMMYFUNCTION("""COMPUTED_VALUE"""),"b0fe62f9")</f>
        <v>b0fe62f9</v>
      </c>
      <c r="B1000" s="5">
        <f>IFERROR(__xludf.DUMMYFUNCTION("""COMPUTED_VALUE"""),46108.839004629626)</f>
        <v>46108.839</v>
      </c>
      <c r="C1000" s="4" t="str">
        <f>IFERROR(__xludf.DUMMYFUNCTION("""COMPUTED_VALUE"""),"-6.961819, 107.671100")</f>
        <v>-6.961819, 107.671100</v>
      </c>
      <c r="D1000" s="4" t="str">
        <f>IFERROR(__xludf.DUMMYFUNCTION("""COMPUTED_VALUE"""),"Jihan kiki")</f>
        <v>Jihan kiki</v>
      </c>
      <c r="E1000" s="4" t="str">
        <f>IFERROR(__xludf.DUMMYFUNCTION("""COMPUTED_VALUE"""),"BANDUNG")</f>
        <v>BANDUNG</v>
      </c>
      <c r="F1000" s="4" t="str">
        <f>IFERROR(__xludf.DUMMYFUNCTION("""COMPUTED_VALUE"""),"CIJAWURA")</f>
        <v>CIJAWURA</v>
      </c>
      <c r="G1000" s="4" t="str">
        <f>IFERROR(__xludf.DUMMYFUNCTION("""COMPUTED_VALUE"""),"GIS KIARACONDONG")</f>
        <v>GIS KIARACONDONG</v>
      </c>
      <c r="H1000" s="4" t="str">
        <f>IFERROR(__xludf.DUMMYFUNCTION("""COMPUTED_VALUE"""),"KCH")</f>
        <v>KCH</v>
      </c>
      <c r="I1000" s="4" t="str">
        <f>IFERROR(__xludf.DUMMYFUNCTION("""COMPUTED_VALUE"""),"KP CIWASTRA - LBS BDLB")</f>
        <v>KP CIWASTRA - LBS BDLB</v>
      </c>
      <c r="J1000" s="4" t="str">
        <f>IFERROR(__xludf.DUMMYFUNCTION("""COMPUTED_VALUE"""),"ZONA 2")</f>
        <v>ZONA 2</v>
      </c>
      <c r="K1000" s="4" t="str">
        <f>IFERROR(__xludf.DUMMYFUNCTION("""COMPUTED_VALUE"""),"005R19")</f>
        <v>005R19</v>
      </c>
      <c r="L1000" s="4" t="str">
        <f>IFERROR(__xludf.DUMMYFUNCTION("""COMPUTED_VALUE"""),"TM - 7B/H (Afspan 90 Derajat)")</f>
        <v>TM - 7B/H (Afspan 90 Derajat)</v>
      </c>
      <c r="M1000" s="4" t="str">
        <f>IFERROR(__xludf.DUMMYFUNCTION("""COMPUTED_VALUE"""),"Tidak Ada")</f>
        <v>Tidak Ada</v>
      </c>
      <c r="N1000" s="4"/>
      <c r="O1000" s="4" t="str">
        <f>IFERROR(__xludf.DUMMYFUNCTION("""COMPUTED_VALUE"""),"PEMBANDING SEJENIS")</f>
        <v>PEMBANDING SEJENIS</v>
      </c>
      <c r="P1000" s="4" t="str">
        <f>IFERROR(__xludf.DUMMYFUNCTION("""COMPUTED_VALUE"""),"KONEKTOR/JUMPER")</f>
        <v>KONEKTOR/JUMPER</v>
      </c>
      <c r="Q1000" s="4">
        <f>IFERROR(__xludf.DUMMYFUNCTION("""COMPUTED_VALUE"""),20.0)</f>
        <v>20</v>
      </c>
      <c r="R1000" s="4">
        <f>IFERROR(__xludf.DUMMYFUNCTION("""COMPUTED_VALUE"""),21.0)</f>
        <v>21</v>
      </c>
      <c r="S1000" s="4">
        <f>IFERROR(__xludf.DUMMYFUNCTION("""COMPUTED_VALUE"""),20.0)</f>
        <v>20</v>
      </c>
      <c r="T1000" s="4"/>
      <c r="U1000" s="4" t="str">
        <f>IFERROR(__xludf.DUMMYFUNCTION("""COMPUTED_VALUE"""),"BAIK")</f>
        <v>BAIK</v>
      </c>
      <c r="V1000" s="4" t="str">
        <f>IFERROR(__xludf.DUMMYFUNCTION("""COMPUTED_VALUE"""),"Tidak Ada")</f>
        <v>Tidak Ada</v>
      </c>
      <c r="W1000" s="4"/>
      <c r="X1000" s="4"/>
      <c r="Y1000" s="4"/>
      <c r="Z1000" s="4"/>
      <c r="AA1000" s="4"/>
      <c r="AB1000" s="4"/>
      <c r="AC1000" s="4" t="str">
        <f>IFERROR(__xludf.DUMMYFUNCTION("""COMPUTED_VALUE"""),"INSPEKSI SUTM - T2_Images/b0fe62f9.FOTO.200932.jpg")</f>
        <v>INSPEKSI SUTM - T2_Images/b0fe62f9.FOTO.200932.jpg</v>
      </c>
      <c r="AD1000" s="4"/>
      <c r="AE1000" s="4"/>
      <c r="AF1000" s="4" t="str">
        <f>IFERROR(__xludf.DUMMYFUNCTION("""COMPUTED_VALUE"""),"BELUM")</f>
        <v>BELUM</v>
      </c>
      <c r="AG1000" s="6">
        <f>IFERROR(__xludf.DUMMYFUNCTION("""COMPUTED_VALUE"""),46108.0)</f>
        <v>46108</v>
      </c>
      <c r="AH1000" s="4"/>
      <c r="AI1000" s="4"/>
    </row>
    <row r="1001" ht="15.75" customHeight="1">
      <c r="A1001" s="4" t="str">
        <f>IFERROR(__xludf.DUMMYFUNCTION("""COMPUTED_VALUE"""),"ea67b46e")</f>
        <v>ea67b46e</v>
      </c>
      <c r="B1001" s="5">
        <f>IFERROR(__xludf.DUMMYFUNCTION("""COMPUTED_VALUE"""),46108.83998842593)</f>
        <v>46108.83999</v>
      </c>
      <c r="C1001" s="4" t="str">
        <f>IFERROR(__xludf.DUMMYFUNCTION("""COMPUTED_VALUE"""),"-6.961801, 107.671111")</f>
        <v>-6.961801, 107.671111</v>
      </c>
      <c r="D1001" s="4" t="str">
        <f>IFERROR(__xludf.DUMMYFUNCTION("""COMPUTED_VALUE"""),"Jihan kiki")</f>
        <v>Jihan kiki</v>
      </c>
      <c r="E1001" s="4" t="str">
        <f>IFERROR(__xludf.DUMMYFUNCTION("""COMPUTED_VALUE"""),"BANDUNG")</f>
        <v>BANDUNG</v>
      </c>
      <c r="F1001" s="4" t="str">
        <f>IFERROR(__xludf.DUMMYFUNCTION("""COMPUTED_VALUE"""),"CIJAWURA")</f>
        <v>CIJAWURA</v>
      </c>
      <c r="G1001" s="4" t="str">
        <f>IFERROR(__xludf.DUMMYFUNCTION("""COMPUTED_VALUE"""),"GIS KIARACONDONG")</f>
        <v>GIS KIARACONDONG</v>
      </c>
      <c r="H1001" s="4" t="str">
        <f>IFERROR(__xludf.DUMMYFUNCTION("""COMPUTED_VALUE"""),"KCH")</f>
        <v>KCH</v>
      </c>
      <c r="I1001" s="4" t="str">
        <f>IFERROR(__xludf.DUMMYFUNCTION("""COMPUTED_VALUE"""),"KP CIWASTRA - LBS BDLB")</f>
        <v>KP CIWASTRA - LBS BDLB</v>
      </c>
      <c r="J1001" s="4" t="str">
        <f>IFERROR(__xludf.DUMMYFUNCTION("""COMPUTED_VALUE"""),"ZONA 2")</f>
        <v>ZONA 2</v>
      </c>
      <c r="K1001" s="4" t="str">
        <f>IFERROR(__xludf.DUMMYFUNCTION("""COMPUTED_VALUE"""),"005R22")</f>
        <v>005R22</v>
      </c>
      <c r="L1001" s="4" t="str">
        <f>IFERROR(__xludf.DUMMYFUNCTION("""COMPUTED_VALUE"""),"TM - 8B/H (Percabangan)")</f>
        <v>TM - 8B/H (Percabangan)</v>
      </c>
      <c r="M1001" s="4" t="str">
        <f>IFERROR(__xludf.DUMMYFUNCTION("""COMPUTED_VALUE"""),"Tidak Ada")</f>
        <v>Tidak Ada</v>
      </c>
      <c r="N1001" s="4"/>
      <c r="O1001" s="4" t="str">
        <f>IFERROR(__xludf.DUMMYFUNCTION("""COMPUTED_VALUE"""),"PEMBANDING SEJENIS")</f>
        <v>PEMBANDING SEJENIS</v>
      </c>
      <c r="P1001" s="4" t="str">
        <f>IFERROR(__xludf.DUMMYFUNCTION("""COMPUTED_VALUE"""),"KONEKTOR/JUMPER")</f>
        <v>KONEKTOR/JUMPER</v>
      </c>
      <c r="Q1001" s="4">
        <f>IFERROR(__xludf.DUMMYFUNCTION("""COMPUTED_VALUE"""),18.0)</f>
        <v>18</v>
      </c>
      <c r="R1001" s="4">
        <f>IFERROR(__xludf.DUMMYFUNCTION("""COMPUTED_VALUE"""),18.0)</f>
        <v>18</v>
      </c>
      <c r="S1001" s="4">
        <f>IFERROR(__xludf.DUMMYFUNCTION("""COMPUTED_VALUE"""),18.0)</f>
        <v>18</v>
      </c>
      <c r="T1001" s="4"/>
      <c r="U1001" s="4" t="str">
        <f>IFERROR(__xludf.DUMMYFUNCTION("""COMPUTED_VALUE"""),"BAIK")</f>
        <v>BAIK</v>
      </c>
      <c r="V1001" s="4" t="str">
        <f>IFERROR(__xludf.DUMMYFUNCTION("""COMPUTED_VALUE"""),"Tidak Ada")</f>
        <v>Tidak Ada</v>
      </c>
      <c r="W1001" s="4"/>
      <c r="X1001" s="4"/>
      <c r="Y1001" s="4"/>
      <c r="Z1001" s="4"/>
      <c r="AA1001" s="4"/>
      <c r="AB1001" s="4"/>
      <c r="AC1001" s="4" t="str">
        <f>IFERROR(__xludf.DUMMYFUNCTION("""COMPUTED_VALUE"""),"INSPEKSI SUTM - T2_Images/ea67b46e.FOTO.201109.jpg")</f>
        <v>INSPEKSI SUTM - T2_Images/ea67b46e.FOTO.201109.jpg</v>
      </c>
      <c r="AD1001" s="4"/>
      <c r="AE1001" s="4"/>
      <c r="AF1001" s="4" t="str">
        <f>IFERROR(__xludf.DUMMYFUNCTION("""COMPUTED_VALUE"""),"BELUM")</f>
        <v>BELUM</v>
      </c>
      <c r="AG1001" s="6">
        <f>IFERROR(__xludf.DUMMYFUNCTION("""COMPUTED_VALUE"""),46108.0)</f>
        <v>46108</v>
      </c>
      <c r="AH1001" s="4"/>
      <c r="AI1001" s="4"/>
    </row>
    <row r="1002" ht="15.75" customHeight="1">
      <c r="A1002" s="4" t="str">
        <f>IFERROR(__xludf.DUMMYFUNCTION("""COMPUTED_VALUE"""),"a727a966")</f>
        <v>a727a966</v>
      </c>
      <c r="B1002" s="5">
        <f>IFERROR(__xludf.DUMMYFUNCTION("""COMPUTED_VALUE"""),46110.84653935185)</f>
        <v>46110.84654</v>
      </c>
      <c r="C1002" s="4" t="str">
        <f>IFERROR(__xludf.DUMMYFUNCTION("""COMPUTED_VALUE"""),"-6.908366, 107.716677")</f>
        <v>-6.908366, 107.716677</v>
      </c>
      <c r="D1002" s="4" t="str">
        <f>IFERROR(__xludf.DUMMYFUNCTION("""COMPUTED_VALUE"""),"Heri chandta")</f>
        <v>Heri chandta</v>
      </c>
      <c r="E1002" s="4" t="str">
        <f>IFERROR(__xludf.DUMMYFUNCTION("""COMPUTED_VALUE"""),"BANDUNG")</f>
        <v>BANDUNG</v>
      </c>
      <c r="F1002" s="4" t="str">
        <f>IFERROR(__xludf.DUMMYFUNCTION("""COMPUTED_VALUE"""),"UJUNGBERUNG")</f>
        <v>UJUNGBERUNG</v>
      </c>
      <c r="G1002" s="4" t="str">
        <f>IFERROR(__xludf.DUMMYFUNCTION("""COMPUTED_VALUE"""),"UJUNGBERUNG")</f>
        <v>UJUNGBERUNG</v>
      </c>
      <c r="H1002" s="4" t="str">
        <f>IFERROR(__xludf.DUMMYFUNCTION("""COMPUTED_VALUE"""),"UTWU")</f>
        <v>UTWU</v>
      </c>
      <c r="I1002" s="4" t="str">
        <f>IFERROR(__xludf.DUMMYFUNCTION("""COMPUTED_VALUE"""),"LBS JMR - REC JMR")</f>
        <v>LBS JMR - REC JMR</v>
      </c>
      <c r="J1002" s="4"/>
      <c r="K1002" s="4" t="str">
        <f>IFERROR(__xludf.DUMMYFUNCTION("""COMPUTED_VALUE"""),"058R018R01")</f>
        <v>058R018R01</v>
      </c>
      <c r="L1002" s="4" t="str">
        <f>IFERROR(__xludf.DUMMYFUNCTION("""COMPUTED_VALUE"""),"TM - 4B/H (Afspan)")</f>
        <v>TM - 4B/H (Afspan)</v>
      </c>
      <c r="M1002" s="4" t="str">
        <f>IFERROR(__xludf.DUMMYFUNCTION("""COMPUTED_VALUE"""),"Tidak Ada")</f>
        <v>Tidak Ada</v>
      </c>
      <c r="N1002" s="4"/>
      <c r="O1002" s="4" t="str">
        <f>IFERROR(__xludf.DUMMYFUNCTION("""COMPUTED_VALUE"""),"PEMBANDING SEJENIS")</f>
        <v>PEMBANDING SEJENIS</v>
      </c>
      <c r="P1002" s="4" t="str">
        <f>IFERROR(__xludf.DUMMYFUNCTION("""COMPUTED_VALUE"""),"KONEKTOR/JUMPER")</f>
        <v>KONEKTOR/JUMPER</v>
      </c>
      <c r="Q1002" s="4">
        <f>IFERROR(__xludf.DUMMYFUNCTION("""COMPUTED_VALUE"""),22.5)</f>
        <v>22.5</v>
      </c>
      <c r="R1002" s="4">
        <f>IFERROR(__xludf.DUMMYFUNCTION("""COMPUTED_VALUE"""),22.1)</f>
        <v>22.1</v>
      </c>
      <c r="S1002" s="4">
        <f>IFERROR(__xludf.DUMMYFUNCTION("""COMPUTED_VALUE"""),22.4)</f>
        <v>22.4</v>
      </c>
      <c r="T1002" s="4"/>
      <c r="U1002" s="4" t="str">
        <f>IFERROR(__xludf.DUMMYFUNCTION("""COMPUTED_VALUE"""),"BAIK")</f>
        <v>BAIK</v>
      </c>
      <c r="V1002" s="4" t="str">
        <f>IFERROR(__xludf.DUMMYFUNCTION("""COMPUTED_VALUE"""),"Tidak Ada")</f>
        <v>Tidak Ada</v>
      </c>
      <c r="W1002" s="4"/>
      <c r="X1002" s="4"/>
      <c r="Y1002" s="4"/>
      <c r="Z1002" s="4"/>
      <c r="AA1002" s="4"/>
      <c r="AB1002" s="4"/>
      <c r="AC1002" s="4" t="str">
        <f>IFERROR(__xludf.DUMMYFUNCTION("""COMPUTED_VALUE"""),"INSPEKSI SUTM - T2_Images/a727a966.FOTO.132011.jpg")</f>
        <v>INSPEKSI SUTM - T2_Images/a727a966.FOTO.132011.jpg</v>
      </c>
      <c r="AD1002" s="4"/>
      <c r="AE1002" s="4"/>
      <c r="AF1002" s="4" t="str">
        <f>IFERROR(__xludf.DUMMYFUNCTION("""COMPUTED_VALUE"""),"BELUM")</f>
        <v>BELUM</v>
      </c>
      <c r="AG1002" s="6">
        <f>IFERROR(__xludf.DUMMYFUNCTION("""COMPUTED_VALUE"""),46110.0)</f>
        <v>46110</v>
      </c>
      <c r="AH1002" s="4"/>
      <c r="AI1002" s="4"/>
    </row>
    <row r="1003" ht="15.75" customHeight="1">
      <c r="A1003" s="4" t="str">
        <f>IFERROR(__xludf.DUMMYFUNCTION("""COMPUTED_VALUE"""),"24317dc0")</f>
        <v>24317dc0</v>
      </c>
      <c r="B1003" s="5">
        <f>IFERROR(__xludf.DUMMYFUNCTION("""COMPUTED_VALUE"""),46110.84777777778)</f>
        <v>46110.84778</v>
      </c>
      <c r="C1003" s="4" t="str">
        <f>IFERROR(__xludf.DUMMYFUNCTION("""COMPUTED_VALUE"""),"-6.908629, 107.716820")</f>
        <v>-6.908629, 107.716820</v>
      </c>
      <c r="D1003" s="4" t="str">
        <f>IFERROR(__xludf.DUMMYFUNCTION("""COMPUTED_VALUE"""),"Heri chandra")</f>
        <v>Heri chandra</v>
      </c>
      <c r="E1003" s="4" t="str">
        <f>IFERROR(__xludf.DUMMYFUNCTION("""COMPUTED_VALUE"""),"BANDUNG")</f>
        <v>BANDUNG</v>
      </c>
      <c r="F1003" s="4" t="str">
        <f>IFERROR(__xludf.DUMMYFUNCTION("""COMPUTED_VALUE"""),"UJUNGBERUNG")</f>
        <v>UJUNGBERUNG</v>
      </c>
      <c r="G1003" s="4" t="str">
        <f>IFERROR(__xludf.DUMMYFUNCTION("""COMPUTED_VALUE"""),"UJUNGBERUNG")</f>
        <v>UJUNGBERUNG</v>
      </c>
      <c r="H1003" s="4" t="str">
        <f>IFERROR(__xludf.DUMMYFUNCTION("""COMPUTED_VALUE"""),"UTWU")</f>
        <v>UTWU</v>
      </c>
      <c r="I1003" s="4" t="str">
        <f>IFERROR(__xludf.DUMMYFUNCTION("""COMPUTED_VALUE"""),"LBS JMR - REC JMR")</f>
        <v>LBS JMR - REC JMR</v>
      </c>
      <c r="J1003" s="4"/>
      <c r="K1003" s="4" t="str">
        <f>IFERROR(__xludf.DUMMYFUNCTION("""COMPUTED_VALUE"""),"058R018R03")</f>
        <v>058R018R03</v>
      </c>
      <c r="L1003" s="4" t="str">
        <f>IFERROR(__xludf.DUMMYFUNCTION("""COMPUTED_VALUE"""),"TM - 7B/H (Afspan 90 Derajat)")</f>
        <v>TM - 7B/H (Afspan 90 Derajat)</v>
      </c>
      <c r="M1003" s="4" t="str">
        <f>IFERROR(__xludf.DUMMYFUNCTION("""COMPUTED_VALUE"""),"Tidak Ada")</f>
        <v>Tidak Ada</v>
      </c>
      <c r="N1003" s="4"/>
      <c r="O1003" s="4" t="str">
        <f>IFERROR(__xludf.DUMMYFUNCTION("""COMPUTED_VALUE"""),"PEMBANDING SEJENIS")</f>
        <v>PEMBANDING SEJENIS</v>
      </c>
      <c r="P1003" s="4" t="str">
        <f>IFERROR(__xludf.DUMMYFUNCTION("""COMPUTED_VALUE"""),"KONEKTOR/JUMPER")</f>
        <v>KONEKTOR/JUMPER</v>
      </c>
      <c r="Q1003" s="4">
        <f>IFERROR(__xludf.DUMMYFUNCTION("""COMPUTED_VALUE"""),22.6)</f>
        <v>22.6</v>
      </c>
      <c r="R1003" s="4">
        <f>IFERROR(__xludf.DUMMYFUNCTION("""COMPUTED_VALUE"""),21.9)</f>
        <v>21.9</v>
      </c>
      <c r="S1003" s="4">
        <f>IFERROR(__xludf.DUMMYFUNCTION("""COMPUTED_VALUE"""),21.0)</f>
        <v>21</v>
      </c>
      <c r="T1003" s="4"/>
      <c r="U1003" s="4" t="str">
        <f>IFERROR(__xludf.DUMMYFUNCTION("""COMPUTED_VALUE"""),"BAIK")</f>
        <v>BAIK</v>
      </c>
      <c r="V1003" s="4" t="str">
        <f>IFERROR(__xludf.DUMMYFUNCTION("""COMPUTED_VALUE"""),"Tidak Ada")</f>
        <v>Tidak Ada</v>
      </c>
      <c r="W1003" s="4"/>
      <c r="X1003" s="4"/>
      <c r="Y1003" s="4"/>
      <c r="Z1003" s="4"/>
      <c r="AA1003" s="4"/>
      <c r="AB1003" s="4"/>
      <c r="AC1003" s="4" t="str">
        <f>IFERROR(__xludf.DUMMYFUNCTION("""COMPUTED_VALUE"""),"INSPEKSI SUTM - T2_Images/24317dc0.FOTO.132137.jpg")</f>
        <v>INSPEKSI SUTM - T2_Images/24317dc0.FOTO.132137.jpg</v>
      </c>
      <c r="AD1003" s="4"/>
      <c r="AE1003" s="4"/>
      <c r="AF1003" s="4" t="str">
        <f>IFERROR(__xludf.DUMMYFUNCTION("""COMPUTED_VALUE"""),"BELUM")</f>
        <v>BELUM</v>
      </c>
      <c r="AG1003" s="6">
        <f>IFERROR(__xludf.DUMMYFUNCTION("""COMPUTED_VALUE"""),46110.0)</f>
        <v>46110</v>
      </c>
      <c r="AH1003" s="4"/>
      <c r="AI1003" s="4"/>
    </row>
    <row r="1004" ht="15.75" customHeight="1">
      <c r="A1004" s="4" t="str">
        <f>IFERROR(__xludf.DUMMYFUNCTION("""COMPUTED_VALUE"""),"6a27378f")</f>
        <v>6a27378f</v>
      </c>
      <c r="B1004" s="5">
        <f>IFERROR(__xludf.DUMMYFUNCTION("""COMPUTED_VALUE"""),46110.84890046297)</f>
        <v>46110.8489</v>
      </c>
      <c r="C1004" s="4" t="str">
        <f>IFERROR(__xludf.DUMMYFUNCTION("""COMPUTED_VALUE"""),"-6.910858, 107.715367")</f>
        <v>-6.910858, 107.715367</v>
      </c>
      <c r="D1004" s="4" t="str">
        <f>IFERROR(__xludf.DUMMYFUNCTION("""COMPUTED_VALUE"""),"Heri chandra")</f>
        <v>Heri chandra</v>
      </c>
      <c r="E1004" s="4" t="str">
        <f>IFERROR(__xludf.DUMMYFUNCTION("""COMPUTED_VALUE"""),"BANDUNG")</f>
        <v>BANDUNG</v>
      </c>
      <c r="F1004" s="4" t="str">
        <f>IFERROR(__xludf.DUMMYFUNCTION("""COMPUTED_VALUE"""),"UJUNGBERUNG")</f>
        <v>UJUNGBERUNG</v>
      </c>
      <c r="G1004" s="4" t="str">
        <f>IFERROR(__xludf.DUMMYFUNCTION("""COMPUTED_VALUE"""),"UJUNGBERUNG")</f>
        <v>UJUNGBERUNG</v>
      </c>
      <c r="H1004" s="4" t="str">
        <f>IFERROR(__xludf.DUMMYFUNCTION("""COMPUTED_VALUE"""),"UTWU")</f>
        <v>UTWU</v>
      </c>
      <c r="I1004" s="4" t="str">
        <f>IFERROR(__xludf.DUMMYFUNCTION("""COMPUTED_VALUE"""),"LBS JMR - REC JMR")</f>
        <v>LBS JMR - REC JMR</v>
      </c>
      <c r="J1004" s="4"/>
      <c r="K1004" s="4" t="str">
        <f>IFERROR(__xludf.DUMMYFUNCTION("""COMPUTED_VALUE"""),"058R018R013")</f>
        <v>058R018R013</v>
      </c>
      <c r="L1004" s="4" t="str">
        <f>IFERROR(__xludf.DUMMYFUNCTION("""COMPUTED_VALUE"""),"TM - 13B/H (Kabel Naik Pada Tiang Tumpu)")</f>
        <v>TM - 13B/H (Kabel Naik Pada Tiang Tumpu)</v>
      </c>
      <c r="M1004" s="4" t="str">
        <f>IFERROR(__xludf.DUMMYFUNCTION("""COMPUTED_VALUE"""),"Tidak Ada")</f>
        <v>Tidak Ada</v>
      </c>
      <c r="N1004" s="4"/>
      <c r="O1004" s="4" t="str">
        <f>IFERROR(__xludf.DUMMYFUNCTION("""COMPUTED_VALUE"""),"PEMBANDING SEJENIS")</f>
        <v>PEMBANDING SEJENIS</v>
      </c>
      <c r="P1004" s="4" t="str">
        <f>IFERROR(__xludf.DUMMYFUNCTION("""COMPUTED_VALUE"""),"TERMINASI")</f>
        <v>TERMINASI</v>
      </c>
      <c r="Q1004" s="4">
        <f>IFERROR(__xludf.DUMMYFUNCTION("""COMPUTED_VALUE"""),23.6)</f>
        <v>23.6</v>
      </c>
      <c r="R1004" s="4">
        <f>IFERROR(__xludf.DUMMYFUNCTION("""COMPUTED_VALUE"""),21.5)</f>
        <v>21.5</v>
      </c>
      <c r="S1004" s="4">
        <f>IFERROR(__xludf.DUMMYFUNCTION("""COMPUTED_VALUE"""),24.0)</f>
        <v>24</v>
      </c>
      <c r="T1004" s="4"/>
      <c r="U1004" s="4" t="str">
        <f>IFERROR(__xludf.DUMMYFUNCTION("""COMPUTED_VALUE"""),"BAIK")</f>
        <v>BAIK</v>
      </c>
      <c r="V1004" s="4" t="str">
        <f>IFERROR(__xludf.DUMMYFUNCTION("""COMPUTED_VALUE"""),"Tidak Ada")</f>
        <v>Tidak Ada</v>
      </c>
      <c r="W1004" s="4"/>
      <c r="X1004" s="4"/>
      <c r="Y1004" s="4"/>
      <c r="Z1004" s="4"/>
      <c r="AA1004" s="4"/>
      <c r="AB1004" s="4"/>
      <c r="AC1004" s="4" t="str">
        <f>IFERROR(__xludf.DUMMYFUNCTION("""COMPUTED_VALUE"""),"INSPEKSI SUTM - T2_Images/6a27378f.FOTO.132318.jpg")</f>
        <v>INSPEKSI SUTM - T2_Images/6a27378f.FOTO.132318.jpg</v>
      </c>
      <c r="AD1004" s="4"/>
      <c r="AE1004" s="4"/>
      <c r="AF1004" s="4" t="str">
        <f>IFERROR(__xludf.DUMMYFUNCTION("""COMPUTED_VALUE"""),"BELUM")</f>
        <v>BELUM</v>
      </c>
      <c r="AG1004" s="6">
        <f>IFERROR(__xludf.DUMMYFUNCTION("""COMPUTED_VALUE"""),46110.0)</f>
        <v>46110</v>
      </c>
      <c r="AH1004" s="4"/>
      <c r="AI1004" s="4"/>
    </row>
    <row r="1005" ht="15.75" customHeight="1">
      <c r="A1005" s="4" t="str">
        <f>IFERROR(__xludf.DUMMYFUNCTION("""COMPUTED_VALUE"""),"47c96e80")</f>
        <v>47c96e80</v>
      </c>
      <c r="B1005" s="5">
        <f>IFERROR(__xludf.DUMMYFUNCTION("""COMPUTED_VALUE"""),46110.84979166667)</f>
        <v>46110.84979</v>
      </c>
      <c r="C1005" s="4" t="str">
        <f>IFERROR(__xludf.DUMMYFUNCTION("""COMPUTED_VALUE"""),"-6.910865, 107.714749")</f>
        <v>-6.910865, 107.714749</v>
      </c>
      <c r="D1005" s="4" t="str">
        <f>IFERROR(__xludf.DUMMYFUNCTION("""COMPUTED_VALUE"""),"Heri chandra")</f>
        <v>Heri chandra</v>
      </c>
      <c r="E1005" s="4" t="str">
        <f>IFERROR(__xludf.DUMMYFUNCTION("""COMPUTED_VALUE"""),"BANDUNG")</f>
        <v>BANDUNG</v>
      </c>
      <c r="F1005" s="4" t="str">
        <f>IFERROR(__xludf.DUMMYFUNCTION("""COMPUTED_VALUE"""),"UJUNGBERUNG")</f>
        <v>UJUNGBERUNG</v>
      </c>
      <c r="G1005" s="4" t="str">
        <f>IFERROR(__xludf.DUMMYFUNCTION("""COMPUTED_VALUE"""),"UJUNGBERUNG")</f>
        <v>UJUNGBERUNG</v>
      </c>
      <c r="H1005" s="4" t="str">
        <f>IFERROR(__xludf.DUMMYFUNCTION("""COMPUTED_VALUE"""),"UTWU")</f>
        <v>UTWU</v>
      </c>
      <c r="I1005" s="4" t="str">
        <f>IFERROR(__xludf.DUMMYFUNCTION("""COMPUTED_VALUE"""),"LBS JMR - REC JMR")</f>
        <v>LBS JMR - REC JMR</v>
      </c>
      <c r="J1005" s="4"/>
      <c r="K1005" s="4" t="str">
        <f>IFERROR(__xludf.DUMMYFUNCTION("""COMPUTED_VALUE"""),"058R018R013R02")</f>
        <v>058R018R013R02</v>
      </c>
      <c r="L1005" s="4" t="str">
        <f>IFERROR(__xludf.DUMMYFUNCTION("""COMPUTED_VALUE"""),"TM - 7B/H (Afspan 90 Derajat)")</f>
        <v>TM - 7B/H (Afspan 90 Derajat)</v>
      </c>
      <c r="M1005" s="4" t="str">
        <f>IFERROR(__xludf.DUMMYFUNCTION("""COMPUTED_VALUE"""),"Tidak Ada")</f>
        <v>Tidak Ada</v>
      </c>
      <c r="N1005" s="4"/>
      <c r="O1005" s="4" t="str">
        <f>IFERROR(__xludf.DUMMYFUNCTION("""COMPUTED_VALUE"""),"PEMBANDING SEJENIS")</f>
        <v>PEMBANDING SEJENIS</v>
      </c>
      <c r="P1005" s="4" t="str">
        <f>IFERROR(__xludf.DUMMYFUNCTION("""COMPUTED_VALUE"""),"KONEKTOR/JUMPER")</f>
        <v>KONEKTOR/JUMPER</v>
      </c>
      <c r="Q1005" s="4">
        <f>IFERROR(__xludf.DUMMYFUNCTION("""COMPUTED_VALUE"""),22.5)</f>
        <v>22.5</v>
      </c>
      <c r="R1005" s="4">
        <f>IFERROR(__xludf.DUMMYFUNCTION("""COMPUTED_VALUE"""),24.0)</f>
        <v>24</v>
      </c>
      <c r="S1005" s="4">
        <f>IFERROR(__xludf.DUMMYFUNCTION("""COMPUTED_VALUE"""),23.1)</f>
        <v>23.1</v>
      </c>
      <c r="T1005" s="4"/>
      <c r="U1005" s="4" t="str">
        <f>IFERROR(__xludf.DUMMYFUNCTION("""COMPUTED_VALUE"""),"BAIK")</f>
        <v>BAIK</v>
      </c>
      <c r="V1005" s="4" t="str">
        <f>IFERROR(__xludf.DUMMYFUNCTION("""COMPUTED_VALUE"""),"Tidak Ada")</f>
        <v>Tidak Ada</v>
      </c>
      <c r="W1005" s="4"/>
      <c r="X1005" s="4"/>
      <c r="Y1005" s="4"/>
      <c r="Z1005" s="4"/>
      <c r="AA1005" s="4"/>
      <c r="AB1005" s="4"/>
      <c r="AC1005" s="4" t="str">
        <f>IFERROR(__xludf.DUMMYFUNCTION("""COMPUTED_VALUE"""),"INSPEKSI SUTM - T2_Images/47c96e80.FOTO.132433.jpg")</f>
        <v>INSPEKSI SUTM - T2_Images/47c96e80.FOTO.132433.jpg</v>
      </c>
      <c r="AD1005" s="4"/>
      <c r="AE1005" s="4"/>
      <c r="AF1005" s="4" t="str">
        <f>IFERROR(__xludf.DUMMYFUNCTION("""COMPUTED_VALUE"""),"BELUM")</f>
        <v>BELUM</v>
      </c>
      <c r="AG1005" s="6">
        <f>IFERROR(__xludf.DUMMYFUNCTION("""COMPUTED_VALUE"""),46110.0)</f>
        <v>46110</v>
      </c>
      <c r="AH1005" s="4"/>
      <c r="AI1005" s="4"/>
    </row>
    <row r="1006" ht="15.75" customHeight="1">
      <c r="A1006" s="4" t="str">
        <f>IFERROR(__xludf.DUMMYFUNCTION("""COMPUTED_VALUE"""),"e7c9590b")</f>
        <v>e7c9590b</v>
      </c>
      <c r="B1006" s="5">
        <f>IFERROR(__xludf.DUMMYFUNCTION("""COMPUTED_VALUE"""),46110.850590277776)</f>
        <v>46110.85059</v>
      </c>
      <c r="C1006" s="4" t="str">
        <f>IFERROR(__xludf.DUMMYFUNCTION("""COMPUTED_VALUE"""),"-6.910448, 107.714831")</f>
        <v>-6.910448, 107.714831</v>
      </c>
      <c r="D1006" s="4" t="str">
        <f>IFERROR(__xludf.DUMMYFUNCTION("""COMPUTED_VALUE"""),"Herichandra")</f>
        <v>Herichandra</v>
      </c>
      <c r="E1006" s="4" t="str">
        <f>IFERROR(__xludf.DUMMYFUNCTION("""COMPUTED_VALUE"""),"BANDUNG")</f>
        <v>BANDUNG</v>
      </c>
      <c r="F1006" s="4" t="str">
        <f>IFERROR(__xludf.DUMMYFUNCTION("""COMPUTED_VALUE"""),"UJUNGBERUNG")</f>
        <v>UJUNGBERUNG</v>
      </c>
      <c r="G1006" s="4" t="str">
        <f>IFERROR(__xludf.DUMMYFUNCTION("""COMPUTED_VALUE"""),"UJUNGBERUNG")</f>
        <v>UJUNGBERUNG</v>
      </c>
      <c r="H1006" s="4" t="str">
        <f>IFERROR(__xludf.DUMMYFUNCTION("""COMPUTED_VALUE"""),"UTWU")</f>
        <v>UTWU</v>
      </c>
      <c r="I1006" s="4" t="str">
        <f>IFERROR(__xludf.DUMMYFUNCTION("""COMPUTED_VALUE"""),"LBS JMR - REC JMR")</f>
        <v>LBS JMR - REC JMR</v>
      </c>
      <c r="J1006" s="4"/>
      <c r="K1006" s="4" t="str">
        <f>IFERROR(__xludf.DUMMYFUNCTION("""COMPUTED_VALUE"""),"058R018R013R03")</f>
        <v>058R018R013R03</v>
      </c>
      <c r="L1006" s="4" t="str">
        <f>IFERROR(__xludf.DUMMYFUNCTION("""COMPUTED_VALUE"""),"TM - 7B/H (Afspan 90 Derajat)")</f>
        <v>TM - 7B/H (Afspan 90 Derajat)</v>
      </c>
      <c r="M1006" s="4" t="str">
        <f>IFERROR(__xludf.DUMMYFUNCTION("""COMPUTED_VALUE"""),"Tidak Ada")</f>
        <v>Tidak Ada</v>
      </c>
      <c r="N1006" s="4"/>
      <c r="O1006" s="4" t="str">
        <f>IFERROR(__xludf.DUMMYFUNCTION("""COMPUTED_VALUE"""),"PEMBANDING SEJENIS")</f>
        <v>PEMBANDING SEJENIS</v>
      </c>
      <c r="P1006" s="4" t="str">
        <f>IFERROR(__xludf.DUMMYFUNCTION("""COMPUTED_VALUE"""),"KONEKTOR/JUMPER")</f>
        <v>KONEKTOR/JUMPER</v>
      </c>
      <c r="Q1006" s="4">
        <f>IFERROR(__xludf.DUMMYFUNCTION("""COMPUTED_VALUE"""),22.5)</f>
        <v>22.5</v>
      </c>
      <c r="R1006" s="4">
        <f>IFERROR(__xludf.DUMMYFUNCTION("""COMPUTED_VALUE"""),24.0)</f>
        <v>24</v>
      </c>
      <c r="S1006" s="4">
        <f>IFERROR(__xludf.DUMMYFUNCTION("""COMPUTED_VALUE"""),23.1)</f>
        <v>23.1</v>
      </c>
      <c r="T1006" s="4"/>
      <c r="U1006" s="4" t="str">
        <f>IFERROR(__xludf.DUMMYFUNCTION("""COMPUTED_VALUE"""),"BAIK")</f>
        <v>BAIK</v>
      </c>
      <c r="V1006" s="4" t="str">
        <f>IFERROR(__xludf.DUMMYFUNCTION("""COMPUTED_VALUE"""),"Tidak Ada")</f>
        <v>Tidak Ada</v>
      </c>
      <c r="W1006" s="4"/>
      <c r="X1006" s="4"/>
      <c r="Y1006" s="4"/>
      <c r="Z1006" s="4"/>
      <c r="AA1006" s="4"/>
      <c r="AB1006" s="4"/>
      <c r="AC1006" s="4" t="str">
        <f>IFERROR(__xludf.DUMMYFUNCTION("""COMPUTED_VALUE"""),"INSPEKSI SUTM - T2_Images/e7c9590b.FOTO.132609.jpg")</f>
        <v>INSPEKSI SUTM - T2_Images/e7c9590b.FOTO.132609.jpg</v>
      </c>
      <c r="AD1006" s="4"/>
      <c r="AE1006" s="4"/>
      <c r="AF1006" s="4" t="str">
        <f>IFERROR(__xludf.DUMMYFUNCTION("""COMPUTED_VALUE"""),"BELUM")</f>
        <v>BELUM</v>
      </c>
      <c r="AG1006" s="6">
        <f>IFERROR(__xludf.DUMMYFUNCTION("""COMPUTED_VALUE"""),46110.0)</f>
        <v>46110</v>
      </c>
      <c r="AH1006" s="4"/>
      <c r="AI1006" s="4"/>
    </row>
    <row r="1007" ht="15.75" customHeight="1">
      <c r="A1007" s="4" t="str">
        <f>IFERROR(__xludf.DUMMYFUNCTION("""COMPUTED_VALUE"""),"c22f4571")</f>
        <v>c22f4571</v>
      </c>
      <c r="B1007" s="5">
        <f>IFERROR(__xludf.DUMMYFUNCTION("""COMPUTED_VALUE"""),46110.85167824074)</f>
        <v>46110.85168</v>
      </c>
      <c r="C1007" s="4" t="str">
        <f>IFERROR(__xludf.DUMMYFUNCTION("""COMPUTED_VALUE"""),"-6.910252, 107.714432")</f>
        <v>-6.910252, 107.714432</v>
      </c>
      <c r="D1007" s="4" t="str">
        <f>IFERROR(__xludf.DUMMYFUNCTION("""COMPUTED_VALUE"""),"Heri chandra")</f>
        <v>Heri chandra</v>
      </c>
      <c r="E1007" s="4" t="str">
        <f>IFERROR(__xludf.DUMMYFUNCTION("""COMPUTED_VALUE"""),"BANDUNG")</f>
        <v>BANDUNG</v>
      </c>
      <c r="F1007" s="4" t="str">
        <f>IFERROR(__xludf.DUMMYFUNCTION("""COMPUTED_VALUE"""),"UJUNGBERUNG")</f>
        <v>UJUNGBERUNG</v>
      </c>
      <c r="G1007" s="4" t="str">
        <f>IFERROR(__xludf.DUMMYFUNCTION("""COMPUTED_VALUE"""),"UJUNGBERUNG")</f>
        <v>UJUNGBERUNG</v>
      </c>
      <c r="H1007" s="4" t="str">
        <f>IFERROR(__xludf.DUMMYFUNCTION("""COMPUTED_VALUE"""),"UTWU")</f>
        <v>UTWU</v>
      </c>
      <c r="I1007" s="4" t="str">
        <f>IFERROR(__xludf.DUMMYFUNCTION("""COMPUTED_VALUE"""),"LBS JMR - REC JMR")</f>
        <v>LBS JMR - REC JMR</v>
      </c>
      <c r="J1007" s="4"/>
      <c r="K1007" s="4" t="str">
        <f>IFERROR(__xludf.DUMMYFUNCTION("""COMPUTED_VALUE"""),"058R018R013R05")</f>
        <v>058R018R013R05</v>
      </c>
      <c r="L1007" s="4" t="str">
        <f>IFERROR(__xludf.DUMMYFUNCTION("""COMPUTED_VALUE"""),"TM - 7B/H (Afspan 90 Derajat)")</f>
        <v>TM - 7B/H (Afspan 90 Derajat)</v>
      </c>
      <c r="M1007" s="4" t="str">
        <f>IFERROR(__xludf.DUMMYFUNCTION("""COMPUTED_VALUE"""),"Tidak Ada")</f>
        <v>Tidak Ada</v>
      </c>
      <c r="N1007" s="4"/>
      <c r="O1007" s="4" t="str">
        <f>IFERROR(__xludf.DUMMYFUNCTION("""COMPUTED_VALUE"""),"PEMBANDING SEJENIS")</f>
        <v>PEMBANDING SEJENIS</v>
      </c>
      <c r="P1007" s="4" t="str">
        <f>IFERROR(__xludf.DUMMYFUNCTION("""COMPUTED_VALUE"""),"KONEKTOR/JUMPER")</f>
        <v>KONEKTOR/JUMPER</v>
      </c>
      <c r="Q1007" s="4">
        <f>IFERROR(__xludf.DUMMYFUNCTION("""COMPUTED_VALUE"""),23.1)</f>
        <v>23.1</v>
      </c>
      <c r="R1007" s="4">
        <f>IFERROR(__xludf.DUMMYFUNCTION("""COMPUTED_VALUE"""),23.8)</f>
        <v>23.8</v>
      </c>
      <c r="S1007" s="4">
        <f>IFERROR(__xludf.DUMMYFUNCTION("""COMPUTED_VALUE"""),22.9)</f>
        <v>22.9</v>
      </c>
      <c r="T1007" s="4"/>
      <c r="U1007" s="4" t="str">
        <f>IFERROR(__xludf.DUMMYFUNCTION("""COMPUTED_VALUE"""),"BAIK")</f>
        <v>BAIK</v>
      </c>
      <c r="V1007" s="4" t="str">
        <f>IFERROR(__xludf.DUMMYFUNCTION("""COMPUTED_VALUE"""),"Tidak Ada")</f>
        <v>Tidak Ada</v>
      </c>
      <c r="W1007" s="4"/>
      <c r="X1007" s="4"/>
      <c r="Y1007" s="4"/>
      <c r="Z1007" s="4"/>
      <c r="AA1007" s="4"/>
      <c r="AB1007" s="4"/>
      <c r="AC1007" s="4" t="str">
        <f>IFERROR(__xludf.DUMMYFUNCTION("""COMPUTED_VALUE"""),"INSPEKSI SUTM - T2_Images/c22f4571.FOTO.132725.jpg")</f>
        <v>INSPEKSI SUTM - T2_Images/c22f4571.FOTO.132725.jpg</v>
      </c>
      <c r="AD1007" s="4"/>
      <c r="AE1007" s="4"/>
      <c r="AF1007" s="4" t="str">
        <f>IFERROR(__xludf.DUMMYFUNCTION("""COMPUTED_VALUE"""),"BELUM")</f>
        <v>BELUM</v>
      </c>
      <c r="AG1007" s="6">
        <f>IFERROR(__xludf.DUMMYFUNCTION("""COMPUTED_VALUE"""),46110.0)</f>
        <v>46110</v>
      </c>
      <c r="AH1007" s="4"/>
      <c r="AI1007" s="4"/>
    </row>
    <row r="1008" ht="15.75" customHeight="1">
      <c r="A1008" s="4" t="str">
        <f>IFERROR(__xludf.DUMMYFUNCTION("""COMPUTED_VALUE"""),"0e8874fe")</f>
        <v>0e8874fe</v>
      </c>
      <c r="B1008" s="5">
        <f>IFERROR(__xludf.DUMMYFUNCTION("""COMPUTED_VALUE"""),46110.852488425924)</f>
        <v>46110.85249</v>
      </c>
      <c r="C1008" s="4" t="str">
        <f>IFERROR(__xludf.DUMMYFUNCTION("""COMPUTED_VALUE"""),"-6.911498, 107.713895")</f>
        <v>-6.911498, 107.713895</v>
      </c>
      <c r="D1008" s="4" t="str">
        <f>IFERROR(__xludf.DUMMYFUNCTION("""COMPUTED_VALUE"""),"Heri chandra")</f>
        <v>Heri chandra</v>
      </c>
      <c r="E1008" s="4" t="str">
        <f>IFERROR(__xludf.DUMMYFUNCTION("""COMPUTED_VALUE"""),"BANDUNG")</f>
        <v>BANDUNG</v>
      </c>
      <c r="F1008" s="4" t="str">
        <f>IFERROR(__xludf.DUMMYFUNCTION("""COMPUTED_VALUE"""),"UJUNGBERUNG")</f>
        <v>UJUNGBERUNG</v>
      </c>
      <c r="G1008" s="4" t="str">
        <f>IFERROR(__xludf.DUMMYFUNCTION("""COMPUTED_VALUE"""),"UJUNGBERUNG")</f>
        <v>UJUNGBERUNG</v>
      </c>
      <c r="H1008" s="4" t="str">
        <f>IFERROR(__xludf.DUMMYFUNCTION("""COMPUTED_VALUE"""),"UTWU")</f>
        <v>UTWU</v>
      </c>
      <c r="I1008" s="4" t="str">
        <f>IFERROR(__xludf.DUMMYFUNCTION("""COMPUTED_VALUE"""),"LBS JMR - REC JMR")</f>
        <v>LBS JMR - REC JMR</v>
      </c>
      <c r="J1008" s="4"/>
      <c r="K1008" s="4" t="str">
        <f>IFERROR(__xludf.DUMMYFUNCTION("""COMPUTED_VALUE"""),"058R018R014")</f>
        <v>058R018R014</v>
      </c>
      <c r="L1008" s="4" t="str">
        <f>IFERROR(__xludf.DUMMYFUNCTION("""COMPUTED_VALUE"""),"TM - 11B/H (Kabel Naik)")</f>
        <v>TM - 11B/H (Kabel Naik)</v>
      </c>
      <c r="M1008" s="4" t="str">
        <f>IFERROR(__xludf.DUMMYFUNCTION("""COMPUTED_VALUE"""),"Tidak Ada")</f>
        <v>Tidak Ada</v>
      </c>
      <c r="N1008" s="4"/>
      <c r="O1008" s="4" t="str">
        <f>IFERROR(__xludf.DUMMYFUNCTION("""COMPUTED_VALUE"""),"PEMBANDING SEJENIS")</f>
        <v>PEMBANDING SEJENIS</v>
      </c>
      <c r="P1008" s="4" t="str">
        <f>IFERROR(__xludf.DUMMYFUNCTION("""COMPUTED_VALUE"""),"TERMINASI")</f>
        <v>TERMINASI</v>
      </c>
      <c r="Q1008" s="4">
        <f>IFERROR(__xludf.DUMMYFUNCTION("""COMPUTED_VALUE"""),21.5)</f>
        <v>21.5</v>
      </c>
      <c r="R1008" s="4">
        <f>IFERROR(__xludf.DUMMYFUNCTION("""COMPUTED_VALUE"""),24.0)</f>
        <v>24</v>
      </c>
      <c r="S1008" s="4">
        <f>IFERROR(__xludf.DUMMYFUNCTION("""COMPUTED_VALUE"""),21.0)</f>
        <v>21</v>
      </c>
      <c r="T1008" s="4"/>
      <c r="U1008" s="4" t="str">
        <f>IFERROR(__xludf.DUMMYFUNCTION("""COMPUTED_VALUE"""),"CUKUP")</f>
        <v>CUKUP</v>
      </c>
      <c r="V1008" s="4" t="str">
        <f>IFERROR(__xludf.DUMMYFUNCTION("""COMPUTED_VALUE"""),"Tidak Ada")</f>
        <v>Tidak Ada</v>
      </c>
      <c r="W1008" s="4"/>
      <c r="X1008" s="4"/>
      <c r="Y1008" s="4"/>
      <c r="Z1008" s="4"/>
      <c r="AA1008" s="4"/>
      <c r="AB1008" s="4"/>
      <c r="AC1008" s="4" t="str">
        <f>IFERROR(__xludf.DUMMYFUNCTION("""COMPUTED_VALUE"""),"INSPEKSI SUTM - T2_Images/0e8874fe.FOTO.132823.jpg")</f>
        <v>INSPEKSI SUTM - T2_Images/0e8874fe.FOTO.132823.jpg</v>
      </c>
      <c r="AD1008" s="4"/>
      <c r="AE1008" s="4"/>
      <c r="AF1008" s="4" t="str">
        <f>IFERROR(__xludf.DUMMYFUNCTION("""COMPUTED_VALUE"""),"BELUM")</f>
        <v>BELUM</v>
      </c>
      <c r="AG1008" s="6">
        <f>IFERROR(__xludf.DUMMYFUNCTION("""COMPUTED_VALUE"""),46110.0)</f>
        <v>46110</v>
      </c>
      <c r="AH1008" s="4"/>
      <c r="AI1008" s="4"/>
    </row>
    <row r="1009" ht="15.75" customHeight="1">
      <c r="A1009" s="4" t="str">
        <f>IFERROR(__xludf.DUMMYFUNCTION("""COMPUTED_VALUE"""),"aacb5342")</f>
        <v>aacb5342</v>
      </c>
      <c r="B1009" s="5">
        <f>IFERROR(__xludf.DUMMYFUNCTION("""COMPUTED_VALUE"""),46110.85329861111)</f>
        <v>46110.8533</v>
      </c>
      <c r="C1009" s="4" t="str">
        <f>IFERROR(__xludf.DUMMYFUNCTION("""COMPUTED_VALUE"""),"-6.912576, 107.714735")</f>
        <v>-6.912576, 107.714735</v>
      </c>
      <c r="D1009" s="4" t="str">
        <f>IFERROR(__xludf.DUMMYFUNCTION("""COMPUTED_VALUE"""),"Heri chandra")</f>
        <v>Heri chandra</v>
      </c>
      <c r="E1009" s="4" t="str">
        <f>IFERROR(__xludf.DUMMYFUNCTION("""COMPUTED_VALUE"""),"BANDUNG")</f>
        <v>BANDUNG</v>
      </c>
      <c r="F1009" s="4" t="str">
        <f>IFERROR(__xludf.DUMMYFUNCTION("""COMPUTED_VALUE"""),"UJUNGBERUNG")</f>
        <v>UJUNGBERUNG</v>
      </c>
      <c r="G1009" s="4" t="str">
        <f>IFERROR(__xludf.DUMMYFUNCTION("""COMPUTED_VALUE"""),"UJUNGBERUNG")</f>
        <v>UJUNGBERUNG</v>
      </c>
      <c r="H1009" s="4" t="str">
        <f>IFERROR(__xludf.DUMMYFUNCTION("""COMPUTED_VALUE"""),"UTWU")</f>
        <v>UTWU</v>
      </c>
      <c r="I1009" s="4" t="str">
        <f>IFERROR(__xludf.DUMMYFUNCTION("""COMPUTED_VALUE"""),"LBS JMR - REC JMR")</f>
        <v>LBS JMR - REC JMR</v>
      </c>
      <c r="J1009" s="4"/>
      <c r="K1009" s="4" t="str">
        <f>IFERROR(__xludf.DUMMYFUNCTION("""COMPUTED_VALUE"""),"058R018R016")</f>
        <v>058R018R016</v>
      </c>
      <c r="L1009" s="4" t="str">
        <f>IFERROR(__xludf.DUMMYFUNCTION("""COMPUTED_VALUE"""),"TM - 7B/H (Afspan 90 Derajat)")</f>
        <v>TM - 7B/H (Afspan 90 Derajat)</v>
      </c>
      <c r="M1009" s="4" t="str">
        <f>IFERROR(__xludf.DUMMYFUNCTION("""COMPUTED_VALUE"""),"Tidak Ada")</f>
        <v>Tidak Ada</v>
      </c>
      <c r="N1009" s="4"/>
      <c r="O1009" s="4" t="str">
        <f>IFERROR(__xludf.DUMMYFUNCTION("""COMPUTED_VALUE"""),"PEMBANDING SEJENIS")</f>
        <v>PEMBANDING SEJENIS</v>
      </c>
      <c r="P1009" s="4" t="str">
        <f>IFERROR(__xludf.DUMMYFUNCTION("""COMPUTED_VALUE"""),"KONEKTOR/JUMPER")</f>
        <v>KONEKTOR/JUMPER</v>
      </c>
      <c r="Q1009" s="4">
        <f>IFERROR(__xludf.DUMMYFUNCTION("""COMPUTED_VALUE"""),18.4)</f>
        <v>18.4</v>
      </c>
      <c r="R1009" s="4">
        <f>IFERROR(__xludf.DUMMYFUNCTION("""COMPUTED_VALUE"""),18.8)</f>
        <v>18.8</v>
      </c>
      <c r="S1009" s="4">
        <f>IFERROR(__xludf.DUMMYFUNCTION("""COMPUTED_VALUE"""),20.8)</f>
        <v>20.8</v>
      </c>
      <c r="T1009" s="4"/>
      <c r="U1009" s="4" t="str">
        <f>IFERROR(__xludf.DUMMYFUNCTION("""COMPUTED_VALUE"""),"BAIK")</f>
        <v>BAIK</v>
      </c>
      <c r="V1009" s="4" t="str">
        <f>IFERROR(__xludf.DUMMYFUNCTION("""COMPUTED_VALUE"""),"Tidak Ada")</f>
        <v>Tidak Ada</v>
      </c>
      <c r="W1009" s="4"/>
      <c r="X1009" s="4"/>
      <c r="Y1009" s="4"/>
      <c r="Z1009" s="4"/>
      <c r="AA1009" s="4"/>
      <c r="AB1009" s="4"/>
      <c r="AC1009" s="4" t="str">
        <f>IFERROR(__xludf.DUMMYFUNCTION("""COMPUTED_VALUE"""),"INSPEKSI SUTM - T2_Images/aacb5342.FOTO.132933.jpg")</f>
        <v>INSPEKSI SUTM - T2_Images/aacb5342.FOTO.132933.jpg</v>
      </c>
      <c r="AD1009" s="4"/>
      <c r="AE1009" s="4"/>
      <c r="AF1009" s="4" t="str">
        <f>IFERROR(__xludf.DUMMYFUNCTION("""COMPUTED_VALUE"""),"BELUM")</f>
        <v>BELUM</v>
      </c>
      <c r="AG1009" s="6">
        <f>IFERROR(__xludf.DUMMYFUNCTION("""COMPUTED_VALUE"""),46110.0)</f>
        <v>46110</v>
      </c>
      <c r="AH1009" s="4"/>
      <c r="AI1009" s="4"/>
    </row>
    <row r="1010" ht="15.75" customHeight="1">
      <c r="A1010" s="4" t="str">
        <f>IFERROR(__xludf.DUMMYFUNCTION("""COMPUTED_VALUE"""),"bb7fcb55")</f>
        <v>bb7fcb55</v>
      </c>
      <c r="B1010" s="5">
        <f>IFERROR(__xludf.DUMMYFUNCTION("""COMPUTED_VALUE"""),46110.85425925926)</f>
        <v>46110.85426</v>
      </c>
      <c r="C1010" s="4" t="str">
        <f>IFERROR(__xludf.DUMMYFUNCTION("""COMPUTED_VALUE"""),"-6.907533, 107.712588")</f>
        <v>-6.907533, 107.712588</v>
      </c>
      <c r="D1010" s="4" t="str">
        <f>IFERROR(__xludf.DUMMYFUNCTION("""COMPUTED_VALUE"""),"Heri chandra")</f>
        <v>Heri chandra</v>
      </c>
      <c r="E1010" s="4" t="str">
        <f>IFERROR(__xludf.DUMMYFUNCTION("""COMPUTED_VALUE"""),"BANDUNG")</f>
        <v>BANDUNG</v>
      </c>
      <c r="F1010" s="4" t="str">
        <f>IFERROR(__xludf.DUMMYFUNCTION("""COMPUTED_VALUE"""),"UJUNGBERUNG")</f>
        <v>UJUNGBERUNG</v>
      </c>
      <c r="G1010" s="4" t="str">
        <f>IFERROR(__xludf.DUMMYFUNCTION("""COMPUTED_VALUE"""),"UJUNGBERUNG")</f>
        <v>UJUNGBERUNG</v>
      </c>
      <c r="H1010" s="4" t="str">
        <f>IFERROR(__xludf.DUMMYFUNCTION("""COMPUTED_VALUE"""),"UTWU")</f>
        <v>UTWU</v>
      </c>
      <c r="I1010" s="4" t="str">
        <f>IFERROR(__xludf.DUMMYFUNCTION("""COMPUTED_VALUE"""),"LBS JMR - REC JMR")</f>
        <v>LBS JMR - REC JMR</v>
      </c>
      <c r="J1010" s="4"/>
      <c r="K1010" s="4" t="str">
        <f>IFERROR(__xludf.DUMMYFUNCTION("""COMPUTED_VALUE"""),"062")</f>
        <v>062</v>
      </c>
      <c r="L1010" s="4" t="str">
        <f>IFERROR(__xludf.DUMMYFUNCTION("""COMPUTED_VALUE"""),"TM - 8B/H (Percabangan)")</f>
        <v>TM - 8B/H (Percabangan)</v>
      </c>
      <c r="M1010" s="4" t="str">
        <f>IFERROR(__xludf.DUMMYFUNCTION("""COMPUTED_VALUE"""),"Tidak Ada")</f>
        <v>Tidak Ada</v>
      </c>
      <c r="N1010" s="4"/>
      <c r="O1010" s="4" t="str">
        <f>IFERROR(__xludf.DUMMYFUNCTION("""COMPUTED_VALUE"""),"PEMBANDING SEJENIS")</f>
        <v>PEMBANDING SEJENIS</v>
      </c>
      <c r="P1010" s="4" t="str">
        <f>IFERROR(__xludf.DUMMYFUNCTION("""COMPUTED_VALUE"""),"KONEKTOR/JUMPER")</f>
        <v>KONEKTOR/JUMPER</v>
      </c>
      <c r="Q1010" s="4">
        <f>IFERROR(__xludf.DUMMYFUNCTION("""COMPUTED_VALUE"""),24.7)</f>
        <v>24.7</v>
      </c>
      <c r="R1010" s="4">
        <f>IFERROR(__xludf.DUMMYFUNCTION("""COMPUTED_VALUE"""),24.7)</f>
        <v>24.7</v>
      </c>
      <c r="S1010" s="4">
        <f>IFERROR(__xludf.DUMMYFUNCTION("""COMPUTED_VALUE"""),25.2)</f>
        <v>25.2</v>
      </c>
      <c r="T1010" s="4"/>
      <c r="U1010" s="4" t="str">
        <f>IFERROR(__xludf.DUMMYFUNCTION("""COMPUTED_VALUE"""),"BAIK")</f>
        <v>BAIK</v>
      </c>
      <c r="V1010" s="4" t="str">
        <f>IFERROR(__xludf.DUMMYFUNCTION("""COMPUTED_VALUE"""),"Tidak Ada")</f>
        <v>Tidak Ada</v>
      </c>
      <c r="W1010" s="4"/>
      <c r="X1010" s="4"/>
      <c r="Y1010" s="4"/>
      <c r="Z1010" s="4"/>
      <c r="AA1010" s="4"/>
      <c r="AB1010" s="4"/>
      <c r="AC1010" s="4" t="str">
        <f>IFERROR(__xludf.DUMMYFUNCTION("""COMPUTED_VALUE"""),"INSPEKSI SUTM - T2_Images/bb7fcb55.FOTO.133100.jpg")</f>
        <v>INSPEKSI SUTM - T2_Images/bb7fcb55.FOTO.133100.jpg</v>
      </c>
      <c r="AD1010" s="4"/>
      <c r="AE1010" s="4"/>
      <c r="AF1010" s="4" t="str">
        <f>IFERROR(__xludf.DUMMYFUNCTION("""COMPUTED_VALUE"""),"BELUM")</f>
        <v>BELUM</v>
      </c>
      <c r="AG1010" s="6">
        <f>IFERROR(__xludf.DUMMYFUNCTION("""COMPUTED_VALUE"""),46110.0)</f>
        <v>46110</v>
      </c>
      <c r="AH1010" s="4"/>
      <c r="AI1010" s="4"/>
    </row>
    <row r="1011" ht="15.75" customHeight="1">
      <c r="A1011" s="4" t="str">
        <f>IFERROR(__xludf.DUMMYFUNCTION("""COMPUTED_VALUE"""),"151e77fe")</f>
        <v>151e77fe</v>
      </c>
      <c r="B1011" s="5">
        <f>IFERROR(__xludf.DUMMYFUNCTION("""COMPUTED_VALUE"""),46110.85505787037)</f>
        <v>46110.85506</v>
      </c>
      <c r="C1011" s="4" t="str">
        <f>IFERROR(__xludf.DUMMYFUNCTION("""COMPUTED_VALUE"""),"-6.908195, 107.713610")</f>
        <v>-6.908195, 107.713610</v>
      </c>
      <c r="D1011" s="4" t="str">
        <f>IFERROR(__xludf.DUMMYFUNCTION("""COMPUTED_VALUE"""),"Heri chandta")</f>
        <v>Heri chandta</v>
      </c>
      <c r="E1011" s="4" t="str">
        <f>IFERROR(__xludf.DUMMYFUNCTION("""COMPUTED_VALUE"""),"BANDUNG")</f>
        <v>BANDUNG</v>
      </c>
      <c r="F1011" s="4" t="str">
        <f>IFERROR(__xludf.DUMMYFUNCTION("""COMPUTED_VALUE"""),"UJUNGBERUNG")</f>
        <v>UJUNGBERUNG</v>
      </c>
      <c r="G1011" s="4" t="str">
        <f>IFERROR(__xludf.DUMMYFUNCTION("""COMPUTED_VALUE"""),"UJUNGBERUNG")</f>
        <v>UJUNGBERUNG</v>
      </c>
      <c r="H1011" s="4" t="str">
        <f>IFERROR(__xludf.DUMMYFUNCTION("""COMPUTED_VALUE"""),"UTWU")</f>
        <v>UTWU</v>
      </c>
      <c r="I1011" s="4" t="str">
        <f>IFERROR(__xludf.DUMMYFUNCTION("""COMPUTED_VALUE"""),"LBS JMR - REC JMR")</f>
        <v>LBS JMR - REC JMR</v>
      </c>
      <c r="J1011" s="4"/>
      <c r="K1011" s="4" t="str">
        <f>IFERROR(__xludf.DUMMYFUNCTION("""COMPUTED_VALUE"""),"062R08")</f>
        <v>062R08</v>
      </c>
      <c r="L1011" s="4" t="str">
        <f>IFERROR(__xludf.DUMMYFUNCTION("""COMPUTED_VALUE"""),"TM - 7B/H (Afspan 90 Derajat)")</f>
        <v>TM - 7B/H (Afspan 90 Derajat)</v>
      </c>
      <c r="M1011" s="4" t="str">
        <f>IFERROR(__xludf.DUMMYFUNCTION("""COMPUTED_VALUE"""),"Tidak Ada")</f>
        <v>Tidak Ada</v>
      </c>
      <c r="N1011" s="4"/>
      <c r="O1011" s="4" t="str">
        <f>IFERROR(__xludf.DUMMYFUNCTION("""COMPUTED_VALUE"""),"PEMBANDING SEJENIS")</f>
        <v>PEMBANDING SEJENIS</v>
      </c>
      <c r="P1011" s="4" t="str">
        <f>IFERROR(__xludf.DUMMYFUNCTION("""COMPUTED_VALUE"""),"KONEKTOR/JUMPER")</f>
        <v>KONEKTOR/JUMPER</v>
      </c>
      <c r="Q1011" s="4">
        <f>IFERROR(__xludf.DUMMYFUNCTION("""COMPUTED_VALUE"""),21.5)</f>
        <v>21.5</v>
      </c>
      <c r="R1011" s="4">
        <f>IFERROR(__xludf.DUMMYFUNCTION("""COMPUTED_VALUE"""),22.0)</f>
        <v>22</v>
      </c>
      <c r="S1011" s="4">
        <f>IFERROR(__xludf.DUMMYFUNCTION("""COMPUTED_VALUE"""),22.8)</f>
        <v>22.8</v>
      </c>
      <c r="T1011" s="4"/>
      <c r="U1011" s="4" t="str">
        <f>IFERROR(__xludf.DUMMYFUNCTION("""COMPUTED_VALUE"""),"BAIK")</f>
        <v>BAIK</v>
      </c>
      <c r="V1011" s="4" t="str">
        <f>IFERROR(__xludf.DUMMYFUNCTION("""COMPUTED_VALUE"""),"Tidak Ada")</f>
        <v>Tidak Ada</v>
      </c>
      <c r="W1011" s="4"/>
      <c r="X1011" s="4"/>
      <c r="Y1011" s="4"/>
      <c r="Z1011" s="4"/>
      <c r="AA1011" s="4"/>
      <c r="AB1011" s="4"/>
      <c r="AC1011" s="4" t="str">
        <f>IFERROR(__xludf.DUMMYFUNCTION("""COMPUTED_VALUE"""),"INSPEKSI SUTM - T2_Images/151e77fe.FOTO.133203.jpg")</f>
        <v>INSPEKSI SUTM - T2_Images/151e77fe.FOTO.133203.jpg</v>
      </c>
      <c r="AD1011" s="4"/>
      <c r="AE1011" s="4"/>
      <c r="AF1011" s="4" t="str">
        <f>IFERROR(__xludf.DUMMYFUNCTION("""COMPUTED_VALUE"""),"BELUM")</f>
        <v>BELUM</v>
      </c>
      <c r="AG1011" s="6">
        <f>IFERROR(__xludf.DUMMYFUNCTION("""COMPUTED_VALUE"""),46110.0)</f>
        <v>46110</v>
      </c>
      <c r="AH1011" s="4"/>
      <c r="AI1011" s="4"/>
    </row>
    <row r="1012" ht="15.75" customHeight="1">
      <c r="A1012" s="4" t="str">
        <f>IFERROR(__xludf.DUMMYFUNCTION("""COMPUTED_VALUE"""),"9b3bebbf")</f>
        <v>9b3bebbf</v>
      </c>
      <c r="B1012" s="5">
        <f>IFERROR(__xludf.DUMMYFUNCTION("""COMPUTED_VALUE"""),46110.85574074074)</f>
        <v>46110.85574</v>
      </c>
      <c r="C1012" s="4" t="str">
        <f>IFERROR(__xludf.DUMMYFUNCTION("""COMPUTED_VALUE"""),"-6.907143, 107.712734")</f>
        <v>-6.907143, 107.712734</v>
      </c>
      <c r="D1012" s="4" t="str">
        <f>IFERROR(__xludf.DUMMYFUNCTION("""COMPUTED_VALUE"""),"Heri chandta")</f>
        <v>Heri chandta</v>
      </c>
      <c r="E1012" s="4" t="str">
        <f>IFERROR(__xludf.DUMMYFUNCTION("""COMPUTED_VALUE"""),"BANDUNG")</f>
        <v>BANDUNG</v>
      </c>
      <c r="F1012" s="4" t="str">
        <f>IFERROR(__xludf.DUMMYFUNCTION("""COMPUTED_VALUE"""),"UJUNGBERUNG")</f>
        <v>UJUNGBERUNG</v>
      </c>
      <c r="G1012" s="4" t="str">
        <f>IFERROR(__xludf.DUMMYFUNCTION("""COMPUTED_VALUE"""),"UJUNGBERUNG")</f>
        <v>UJUNGBERUNG</v>
      </c>
      <c r="H1012" s="4" t="str">
        <f>IFERROR(__xludf.DUMMYFUNCTION("""COMPUTED_VALUE"""),"UTWU")</f>
        <v>UTWU</v>
      </c>
      <c r="I1012" s="4" t="str">
        <f>IFERROR(__xludf.DUMMYFUNCTION("""COMPUTED_VALUE"""),"REC JMR - UJUNG")</f>
        <v>REC JMR - UJUNG</v>
      </c>
      <c r="J1012" s="4" t="str">
        <f>IFERROR(__xludf.DUMMYFUNCTION("""COMPUTED_VALUE"""),"ZONA 2")</f>
        <v>ZONA 2</v>
      </c>
      <c r="K1012" s="4" t="str">
        <f>IFERROR(__xludf.DUMMYFUNCTION("""COMPUTED_VALUE"""),"063")</f>
        <v>063</v>
      </c>
      <c r="L1012" s="4" t="str">
        <f>IFERROR(__xludf.DUMMYFUNCTION("""COMPUTED_VALUE"""),"TM - 16B/H (REC/SSO/LBS)")</f>
        <v>TM - 16B/H (REC/SSO/LBS)</v>
      </c>
      <c r="M1012" s="4" t="str">
        <f>IFERROR(__xludf.DUMMYFUNCTION("""COMPUTED_VALUE"""),"REC")</f>
        <v>REC</v>
      </c>
      <c r="N1012" s="4" t="str">
        <f>IFERROR(__xludf.DUMMYFUNCTION("""COMPUTED_VALUE"""),"Jmr")</f>
        <v>Jmr</v>
      </c>
      <c r="O1012" s="4" t="str">
        <f>IFERROR(__xludf.DUMMYFUNCTION("""COMPUTED_VALUE"""),"PEMBANDING SEJENIS")</f>
        <v>PEMBANDING SEJENIS</v>
      </c>
      <c r="P1012" s="4" t="str">
        <f>IFERROR(__xludf.DUMMYFUNCTION("""COMPUTED_VALUE"""),"TERMINAL BUSHING")</f>
        <v>TERMINAL BUSHING</v>
      </c>
      <c r="Q1012" s="4">
        <f>IFERROR(__xludf.DUMMYFUNCTION("""COMPUTED_VALUE"""),21.7)</f>
        <v>21.7</v>
      </c>
      <c r="R1012" s="4">
        <f>IFERROR(__xludf.DUMMYFUNCTION("""COMPUTED_VALUE"""),23.1)</f>
        <v>23.1</v>
      </c>
      <c r="S1012" s="4">
        <f>IFERROR(__xludf.DUMMYFUNCTION("""COMPUTED_VALUE"""),22.3)</f>
        <v>22.3</v>
      </c>
      <c r="T1012" s="4"/>
      <c r="U1012" s="4" t="str">
        <f>IFERROR(__xludf.DUMMYFUNCTION("""COMPUTED_VALUE"""),"BAIK")</f>
        <v>BAIK</v>
      </c>
      <c r="V1012" s="4" t="str">
        <f>IFERROR(__xludf.DUMMYFUNCTION("""COMPUTED_VALUE"""),"Tidak Ada")</f>
        <v>Tidak Ada</v>
      </c>
      <c r="W1012" s="4"/>
      <c r="X1012" s="4"/>
      <c r="Y1012" s="4"/>
      <c r="Z1012" s="4"/>
      <c r="AA1012" s="4"/>
      <c r="AB1012" s="4"/>
      <c r="AC1012" s="4" t="str">
        <f>IFERROR(__xludf.DUMMYFUNCTION("""COMPUTED_VALUE"""),"INSPEKSI SUTM - T2_Images/9b3bebbf.FOTO.133310.jpg")</f>
        <v>INSPEKSI SUTM - T2_Images/9b3bebbf.FOTO.133310.jpg</v>
      </c>
      <c r="AD1012" s="4"/>
      <c r="AE1012" s="4"/>
      <c r="AF1012" s="4" t="str">
        <f>IFERROR(__xludf.DUMMYFUNCTION("""COMPUTED_VALUE"""),"BELUM")</f>
        <v>BELUM</v>
      </c>
      <c r="AG1012" s="6">
        <f>IFERROR(__xludf.DUMMYFUNCTION("""COMPUTED_VALUE"""),46110.0)</f>
        <v>46110</v>
      </c>
      <c r="AH1012" s="4"/>
      <c r="AI1012" s="4"/>
    </row>
    <row r="1013" ht="15.75" customHeight="1">
      <c r="A1013" s="4" t="str">
        <f>IFERROR(__xludf.DUMMYFUNCTION("""COMPUTED_VALUE"""),"1c2dac3c")</f>
        <v>1c2dac3c</v>
      </c>
      <c r="B1013" s="5">
        <f>IFERROR(__xludf.DUMMYFUNCTION("""COMPUTED_VALUE"""),46108.864594907405)</f>
        <v>46108.86459</v>
      </c>
      <c r="C1013" s="4" t="str">
        <f>IFERROR(__xludf.DUMMYFUNCTION("""COMPUTED_VALUE"""),"-6.962626, 107.661014")</f>
        <v>-6.962626, 107.661014</v>
      </c>
      <c r="D1013" s="4" t="str">
        <f>IFERROR(__xludf.DUMMYFUNCTION("""COMPUTED_VALUE"""),"Jihan kiki")</f>
        <v>Jihan kiki</v>
      </c>
      <c r="E1013" s="4" t="str">
        <f>IFERROR(__xludf.DUMMYFUNCTION("""COMPUTED_VALUE"""),"BANDUNG")</f>
        <v>BANDUNG</v>
      </c>
      <c r="F1013" s="4" t="str">
        <f>IFERROR(__xludf.DUMMYFUNCTION("""COMPUTED_VALUE"""),"CIJAWURA")</f>
        <v>CIJAWURA</v>
      </c>
      <c r="G1013" s="4" t="str">
        <f>IFERROR(__xludf.DUMMYFUNCTION("""COMPUTED_VALUE"""),"GIS KIARACONDONG")</f>
        <v>GIS KIARACONDONG</v>
      </c>
      <c r="H1013" s="4" t="str">
        <f>IFERROR(__xludf.DUMMYFUNCTION("""COMPUTED_VALUE"""),"KCH")</f>
        <v>KCH</v>
      </c>
      <c r="I1013" s="4" t="str">
        <f>IFERROR(__xludf.DUMMYFUNCTION("""COMPUTED_VALUE"""),"KP CIWASTRA - LBS BDLB")</f>
        <v>KP CIWASTRA - LBS BDLB</v>
      </c>
      <c r="J1013" s="4" t="str">
        <f>IFERROR(__xludf.DUMMYFUNCTION("""COMPUTED_VALUE"""),"ZONA 2")</f>
        <v>ZONA 2</v>
      </c>
      <c r="K1013" s="4" t="str">
        <f>IFERROR(__xludf.DUMMYFUNCTION("""COMPUTED_VALUE"""),"005R22L03")</f>
        <v>005R22L03</v>
      </c>
      <c r="L1013" s="4" t="str">
        <f>IFERROR(__xludf.DUMMYFUNCTION("""COMPUTED_VALUE"""),"TM - 7B/H (Afspan 90 Derajat)")</f>
        <v>TM - 7B/H (Afspan 90 Derajat)</v>
      </c>
      <c r="M1013" s="4" t="str">
        <f>IFERROR(__xludf.DUMMYFUNCTION("""COMPUTED_VALUE"""),"Tidak Ada")</f>
        <v>Tidak Ada</v>
      </c>
      <c r="N1013" s="4"/>
      <c r="O1013" s="4" t="str">
        <f>IFERROR(__xludf.DUMMYFUNCTION("""COMPUTED_VALUE"""),"PEMBANDING SEJENIS")</f>
        <v>PEMBANDING SEJENIS</v>
      </c>
      <c r="P1013" s="4" t="str">
        <f>IFERROR(__xludf.DUMMYFUNCTION("""COMPUTED_VALUE"""),"KONEKTOR/JUMPER")</f>
        <v>KONEKTOR/JUMPER</v>
      </c>
      <c r="Q1013" s="4">
        <f>IFERROR(__xludf.DUMMYFUNCTION("""COMPUTED_VALUE"""),18.0)</f>
        <v>18</v>
      </c>
      <c r="R1013" s="4">
        <f>IFERROR(__xludf.DUMMYFUNCTION("""COMPUTED_VALUE"""),18.0)</f>
        <v>18</v>
      </c>
      <c r="S1013" s="4">
        <f>IFERROR(__xludf.DUMMYFUNCTION("""COMPUTED_VALUE"""),18.0)</f>
        <v>18</v>
      </c>
      <c r="T1013" s="4"/>
      <c r="U1013" s="4" t="str">
        <f>IFERROR(__xludf.DUMMYFUNCTION("""COMPUTED_VALUE"""),"BAIK")</f>
        <v>BAIK</v>
      </c>
      <c r="V1013" s="4" t="str">
        <f>IFERROR(__xludf.DUMMYFUNCTION("""COMPUTED_VALUE"""),"Tidak Ada")</f>
        <v>Tidak Ada</v>
      </c>
      <c r="W1013" s="4"/>
      <c r="X1013" s="4"/>
      <c r="Y1013" s="4"/>
      <c r="Z1013" s="4"/>
      <c r="AA1013" s="4"/>
      <c r="AB1013" s="4"/>
      <c r="AC1013" s="4" t="str">
        <f>IFERROR(__xludf.DUMMYFUNCTION("""COMPUTED_VALUE"""),"INSPEKSI SUTM - T2_Images/1c2dac3c.FOTO.165913.jpg")</f>
        <v>INSPEKSI SUTM - T2_Images/1c2dac3c.FOTO.165913.jpg</v>
      </c>
      <c r="AD1013" s="4"/>
      <c r="AE1013" s="4"/>
      <c r="AF1013" s="4" t="str">
        <f>IFERROR(__xludf.DUMMYFUNCTION("""COMPUTED_VALUE"""),"BELUM")</f>
        <v>BELUM</v>
      </c>
      <c r="AG1013" s="6">
        <f>IFERROR(__xludf.DUMMYFUNCTION("""COMPUTED_VALUE"""),46108.0)</f>
        <v>46108</v>
      </c>
      <c r="AH1013" s="4"/>
      <c r="AI1013" s="4"/>
    </row>
    <row r="1014" ht="15.75" customHeight="1">
      <c r="A1014" s="4" t="str">
        <f>IFERROR(__xludf.DUMMYFUNCTION("""COMPUTED_VALUE"""),"e40d769e")</f>
        <v>e40d769e</v>
      </c>
      <c r="B1014" s="5">
        <f>IFERROR(__xludf.DUMMYFUNCTION("""COMPUTED_VALUE"""),46108.86667824074)</f>
        <v>46108.86668</v>
      </c>
      <c r="C1014" s="4" t="str">
        <f>IFERROR(__xludf.DUMMYFUNCTION("""COMPUTED_VALUE"""),"-6.963112, 107.660928")</f>
        <v>-6.963112, 107.660928</v>
      </c>
      <c r="D1014" s="4" t="str">
        <f>IFERROR(__xludf.DUMMYFUNCTION("""COMPUTED_VALUE"""),"Jihan kiki")</f>
        <v>Jihan kiki</v>
      </c>
      <c r="E1014" s="4" t="str">
        <f>IFERROR(__xludf.DUMMYFUNCTION("""COMPUTED_VALUE"""),"BANDUNG")</f>
        <v>BANDUNG</v>
      </c>
      <c r="F1014" s="4" t="str">
        <f>IFERROR(__xludf.DUMMYFUNCTION("""COMPUTED_VALUE"""),"CIJAWURA")</f>
        <v>CIJAWURA</v>
      </c>
      <c r="G1014" s="4" t="str">
        <f>IFERROR(__xludf.DUMMYFUNCTION("""COMPUTED_VALUE"""),"GIS KIARACONDONG")</f>
        <v>GIS KIARACONDONG</v>
      </c>
      <c r="H1014" s="4" t="str">
        <f>IFERROR(__xludf.DUMMYFUNCTION("""COMPUTED_VALUE"""),"KCH")</f>
        <v>KCH</v>
      </c>
      <c r="I1014" s="4" t="str">
        <f>IFERROR(__xludf.DUMMYFUNCTION("""COMPUTED_VALUE"""),"KP CIWASTRA - LBS BDLB")</f>
        <v>KP CIWASTRA - LBS BDLB</v>
      </c>
      <c r="J1014" s="4" t="str">
        <f>IFERROR(__xludf.DUMMYFUNCTION("""COMPUTED_VALUE"""),"ZONA 2")</f>
        <v>ZONA 2</v>
      </c>
      <c r="K1014" s="4" t="str">
        <f>IFERROR(__xludf.DUMMYFUNCTION("""COMPUTED_VALUE"""),"005R22L05")</f>
        <v>005R22L05</v>
      </c>
      <c r="L1014" s="4" t="str">
        <f>IFERROR(__xludf.DUMMYFUNCTION("""COMPUTED_VALUE"""),"TM - 11B/H (Kabel Naik)")</f>
        <v>TM - 11B/H (Kabel Naik)</v>
      </c>
      <c r="M1014" s="4" t="str">
        <f>IFERROR(__xludf.DUMMYFUNCTION("""COMPUTED_VALUE"""),"Tidak Ada")</f>
        <v>Tidak Ada</v>
      </c>
      <c r="N1014" s="4"/>
      <c r="O1014" s="4" t="str">
        <f>IFERROR(__xludf.DUMMYFUNCTION("""COMPUTED_VALUE"""),"PEMBANDING SEJENIS")</f>
        <v>PEMBANDING SEJENIS</v>
      </c>
      <c r="P1014" s="4" t="str">
        <f>IFERROR(__xludf.DUMMYFUNCTION("""COMPUTED_VALUE"""),"TERMINASI")</f>
        <v>TERMINASI</v>
      </c>
      <c r="Q1014" s="4">
        <f>IFERROR(__xludf.DUMMYFUNCTION("""COMPUTED_VALUE"""),22.0)</f>
        <v>22</v>
      </c>
      <c r="R1014" s="4">
        <f>IFERROR(__xludf.DUMMYFUNCTION("""COMPUTED_VALUE"""),21.0)</f>
        <v>21</v>
      </c>
      <c r="S1014" s="4">
        <f>IFERROR(__xludf.DUMMYFUNCTION("""COMPUTED_VALUE"""),18.0)</f>
        <v>18</v>
      </c>
      <c r="T1014" s="4"/>
      <c r="U1014" s="4" t="str">
        <f>IFERROR(__xludf.DUMMYFUNCTION("""COMPUTED_VALUE"""),"CUKUP")</f>
        <v>CUKUP</v>
      </c>
      <c r="V1014" s="4" t="str">
        <f>IFERROR(__xludf.DUMMYFUNCTION("""COMPUTED_VALUE"""),"Tidak Ada")</f>
        <v>Tidak Ada</v>
      </c>
      <c r="W1014" s="4"/>
      <c r="X1014" s="4"/>
      <c r="Y1014" s="4"/>
      <c r="Z1014" s="4"/>
      <c r="AA1014" s="4"/>
      <c r="AB1014" s="4"/>
      <c r="AC1014" s="4" t="str">
        <f>IFERROR(__xludf.DUMMYFUNCTION("""COMPUTED_VALUE"""),"INSPEKSI SUTM - T2_Images/e40d769e.FOTO.165922.jpg")</f>
        <v>INSPEKSI SUTM - T2_Images/e40d769e.FOTO.165922.jpg</v>
      </c>
      <c r="AD1014" s="4"/>
      <c r="AE1014" s="4"/>
      <c r="AF1014" s="4" t="str">
        <f>IFERROR(__xludf.DUMMYFUNCTION("""COMPUTED_VALUE"""),"BELUM")</f>
        <v>BELUM</v>
      </c>
      <c r="AG1014" s="6">
        <f>IFERROR(__xludf.DUMMYFUNCTION("""COMPUTED_VALUE"""),46108.0)</f>
        <v>46108</v>
      </c>
      <c r="AH1014" s="4"/>
      <c r="AI1014" s="4"/>
    </row>
    <row r="1015" ht="15.75" customHeight="1">
      <c r="A1015" s="4" t="str">
        <f>IFERROR(__xludf.DUMMYFUNCTION("""COMPUTED_VALUE"""),"10c47349")</f>
        <v>10c47349</v>
      </c>
      <c r="B1015" s="5">
        <f>IFERROR(__xludf.DUMMYFUNCTION("""COMPUTED_VALUE"""),46108.87053240741)</f>
        <v>46108.87053</v>
      </c>
      <c r="C1015" s="4" t="str">
        <f>IFERROR(__xludf.DUMMYFUNCTION("""COMPUTED_VALUE"""),"-6.960781, 107.665185")</f>
        <v>-6.960781, 107.665185</v>
      </c>
      <c r="D1015" s="4" t="str">
        <f>IFERROR(__xludf.DUMMYFUNCTION("""COMPUTED_VALUE"""),"Jihan kiki")</f>
        <v>Jihan kiki</v>
      </c>
      <c r="E1015" s="4" t="str">
        <f>IFERROR(__xludf.DUMMYFUNCTION("""COMPUTED_VALUE"""),"BANDUNG")</f>
        <v>BANDUNG</v>
      </c>
      <c r="F1015" s="4" t="str">
        <f>IFERROR(__xludf.DUMMYFUNCTION("""COMPUTED_VALUE"""),"CIJAWURA")</f>
        <v>CIJAWURA</v>
      </c>
      <c r="G1015" s="4" t="str">
        <f>IFERROR(__xludf.DUMMYFUNCTION("""COMPUTED_VALUE"""),"GIS KIARACONDONG")</f>
        <v>GIS KIARACONDONG</v>
      </c>
      <c r="H1015" s="4" t="str">
        <f>IFERROR(__xludf.DUMMYFUNCTION("""COMPUTED_VALUE"""),"KCH")</f>
        <v>KCH</v>
      </c>
      <c r="I1015" s="4" t="str">
        <f>IFERROR(__xludf.DUMMYFUNCTION("""COMPUTED_VALUE"""),"KP CIWASTRA - LBS BDLB")</f>
        <v>KP CIWASTRA - LBS BDLB</v>
      </c>
      <c r="J1015" s="4" t="str">
        <f>IFERROR(__xludf.DUMMYFUNCTION("""COMPUTED_VALUE"""),"ZONA 2")</f>
        <v>ZONA 2</v>
      </c>
      <c r="K1015" s="4" t="str">
        <f>IFERROR(__xludf.DUMMYFUNCTION("""COMPUTED_VALUE"""),"009")</f>
        <v>009</v>
      </c>
      <c r="L1015" s="4" t="str">
        <f>IFERROR(__xludf.DUMMYFUNCTION("""COMPUTED_VALUE"""),"TM - 8B/H (Percabangan)")</f>
        <v>TM - 8B/H (Percabangan)</v>
      </c>
      <c r="M1015" s="4" t="str">
        <f>IFERROR(__xludf.DUMMYFUNCTION("""COMPUTED_VALUE"""),"Tidak Ada")</f>
        <v>Tidak Ada</v>
      </c>
      <c r="N1015" s="4"/>
      <c r="O1015" s="4" t="str">
        <f>IFERROR(__xludf.DUMMYFUNCTION("""COMPUTED_VALUE"""),"PEMBANDING SEJENIS")</f>
        <v>PEMBANDING SEJENIS</v>
      </c>
      <c r="P1015" s="4" t="str">
        <f>IFERROR(__xludf.DUMMYFUNCTION("""COMPUTED_VALUE"""),"KONEKTOR/JUMPER")</f>
        <v>KONEKTOR/JUMPER</v>
      </c>
      <c r="Q1015" s="4">
        <f>IFERROR(__xludf.DUMMYFUNCTION("""COMPUTED_VALUE"""),20.0)</f>
        <v>20</v>
      </c>
      <c r="R1015" s="4">
        <f>IFERROR(__xludf.DUMMYFUNCTION("""COMPUTED_VALUE"""),21.0)</f>
        <v>21</v>
      </c>
      <c r="S1015" s="4">
        <f>IFERROR(__xludf.DUMMYFUNCTION("""COMPUTED_VALUE"""),20.0)</f>
        <v>20</v>
      </c>
      <c r="T1015" s="4"/>
      <c r="U1015" s="4" t="str">
        <f>IFERROR(__xludf.DUMMYFUNCTION("""COMPUTED_VALUE"""),"BAIK")</f>
        <v>BAIK</v>
      </c>
      <c r="V1015" s="4" t="str">
        <f>IFERROR(__xludf.DUMMYFUNCTION("""COMPUTED_VALUE"""),"Tidak Ada")</f>
        <v>Tidak Ada</v>
      </c>
      <c r="W1015" s="4"/>
      <c r="X1015" s="4"/>
      <c r="Y1015" s="4"/>
      <c r="Z1015" s="4"/>
      <c r="AA1015" s="4"/>
      <c r="AB1015" s="4"/>
      <c r="AC1015" s="4" t="str">
        <f>IFERROR(__xludf.DUMMYFUNCTION("""COMPUTED_VALUE"""),"INSPEKSI SUTM - T2_Images/10c47349.FOTO.165930.jpg")</f>
        <v>INSPEKSI SUTM - T2_Images/10c47349.FOTO.165930.jpg</v>
      </c>
      <c r="AD1015" s="4"/>
      <c r="AE1015" s="4"/>
      <c r="AF1015" s="4" t="str">
        <f>IFERROR(__xludf.DUMMYFUNCTION("""COMPUTED_VALUE"""),"BELUM")</f>
        <v>BELUM</v>
      </c>
      <c r="AG1015" s="6">
        <f>IFERROR(__xludf.DUMMYFUNCTION("""COMPUTED_VALUE"""),46108.0)</f>
        <v>46108</v>
      </c>
      <c r="AH1015" s="4"/>
      <c r="AI1015" s="4"/>
    </row>
    <row r="1016" ht="15.75" customHeight="1">
      <c r="A1016" s="4" t="str">
        <f>IFERROR(__xludf.DUMMYFUNCTION("""COMPUTED_VALUE"""),"dee0ac55")</f>
        <v>dee0ac55</v>
      </c>
      <c r="B1016" s="5">
        <f>IFERROR(__xludf.DUMMYFUNCTION("""COMPUTED_VALUE"""),46110.176203703704)</f>
        <v>46110.1762</v>
      </c>
      <c r="C1016" s="4" t="str">
        <f>IFERROR(__xludf.DUMMYFUNCTION("""COMPUTED_VALUE"""),"-6.961212, 107.667034")</f>
        <v>-6.961212, 107.667034</v>
      </c>
      <c r="D1016" s="4" t="str">
        <f>IFERROR(__xludf.DUMMYFUNCTION("""COMPUTED_VALUE"""),"Jihan kiki")</f>
        <v>Jihan kiki</v>
      </c>
      <c r="E1016" s="4" t="str">
        <f>IFERROR(__xludf.DUMMYFUNCTION("""COMPUTED_VALUE"""),"BANDUNG")</f>
        <v>BANDUNG</v>
      </c>
      <c r="F1016" s="4" t="str">
        <f>IFERROR(__xludf.DUMMYFUNCTION("""COMPUTED_VALUE"""),"CIJAWURA")</f>
        <v>CIJAWURA</v>
      </c>
      <c r="G1016" s="4" t="str">
        <f>IFERROR(__xludf.DUMMYFUNCTION("""COMPUTED_VALUE"""),"GIS KIARACONDONG")</f>
        <v>GIS KIARACONDONG</v>
      </c>
      <c r="H1016" s="4" t="str">
        <f>IFERROR(__xludf.DUMMYFUNCTION("""COMPUTED_VALUE"""),"KCH")</f>
        <v>KCH</v>
      </c>
      <c r="I1016" s="4" t="str">
        <f>IFERROR(__xludf.DUMMYFUNCTION("""COMPUTED_VALUE"""),"KP CIWASTRA - LBS BDLB")</f>
        <v>KP CIWASTRA - LBS BDLB</v>
      </c>
      <c r="J1016" s="4" t="str">
        <f>IFERROR(__xludf.DUMMYFUNCTION("""COMPUTED_VALUE"""),"ZONA 2")</f>
        <v>ZONA 2</v>
      </c>
      <c r="K1016" s="4" t="str">
        <f>IFERROR(__xludf.DUMMYFUNCTION("""COMPUTED_VALUE"""),"014")</f>
        <v>014</v>
      </c>
      <c r="L1016" s="4" t="str">
        <f>IFERROR(__xludf.DUMMYFUNCTION("""COMPUTED_VALUE"""),"TM - 8B/H (Percabangan)")</f>
        <v>TM - 8B/H (Percabangan)</v>
      </c>
      <c r="M1016" s="4" t="str">
        <f>IFERROR(__xludf.DUMMYFUNCTION("""COMPUTED_VALUE"""),"Tidak Ada")</f>
        <v>Tidak Ada</v>
      </c>
      <c r="N1016" s="4"/>
      <c r="O1016" s="4" t="str">
        <f>IFERROR(__xludf.DUMMYFUNCTION("""COMPUTED_VALUE"""),"PEMBANDING SEJENIS")</f>
        <v>PEMBANDING SEJENIS</v>
      </c>
      <c r="P1016" s="4" t="str">
        <f>IFERROR(__xludf.DUMMYFUNCTION("""COMPUTED_VALUE"""),"KONEKTOR/JUMPER")</f>
        <v>KONEKTOR/JUMPER</v>
      </c>
      <c r="Q1016" s="4">
        <f>IFERROR(__xludf.DUMMYFUNCTION("""COMPUTED_VALUE"""),19.0)</f>
        <v>19</v>
      </c>
      <c r="R1016" s="4">
        <f>IFERROR(__xludf.DUMMYFUNCTION("""COMPUTED_VALUE"""),12.0)</f>
        <v>12</v>
      </c>
      <c r="S1016" s="4">
        <f>IFERROR(__xludf.DUMMYFUNCTION("""COMPUTED_VALUE"""),17.0)</f>
        <v>17</v>
      </c>
      <c r="T1016" s="4"/>
      <c r="U1016" s="4" t="str">
        <f>IFERROR(__xludf.DUMMYFUNCTION("""COMPUTED_VALUE"""),"CUKUP")</f>
        <v>CUKUP</v>
      </c>
      <c r="V1016" s="4" t="str">
        <f>IFERROR(__xludf.DUMMYFUNCTION("""COMPUTED_VALUE"""),"Tidak Ada")</f>
        <v>Tidak Ada</v>
      </c>
      <c r="W1016" s="4"/>
      <c r="X1016" s="4"/>
      <c r="Y1016" s="4"/>
      <c r="Z1016" s="4"/>
      <c r="AA1016" s="4"/>
      <c r="AB1016" s="4"/>
      <c r="AC1016" s="4" t="str">
        <f>IFERROR(__xludf.DUMMYFUNCTION("""COMPUTED_VALUE"""),"INSPEKSI SUTM - T2_Images/dee0ac55.FOTO.165938.jpg")</f>
        <v>INSPEKSI SUTM - T2_Images/dee0ac55.FOTO.165938.jpg</v>
      </c>
      <c r="AD1016" s="4"/>
      <c r="AE1016" s="4"/>
      <c r="AF1016" s="4" t="str">
        <f>IFERROR(__xludf.DUMMYFUNCTION("""COMPUTED_VALUE"""),"BELUM")</f>
        <v>BELUM</v>
      </c>
      <c r="AG1016" s="6">
        <f>IFERROR(__xludf.DUMMYFUNCTION("""COMPUTED_VALUE"""),46110.0)</f>
        <v>46110</v>
      </c>
      <c r="AH1016" s="4"/>
      <c r="AI1016" s="4"/>
    </row>
    <row r="1017" ht="15.75" customHeight="1">
      <c r="A1017" s="4" t="str">
        <f>IFERROR(__xludf.DUMMYFUNCTION("""COMPUTED_VALUE"""),"2e26afe6")</f>
        <v>2e26afe6</v>
      </c>
      <c r="B1017" s="5">
        <f>IFERROR(__xludf.DUMMYFUNCTION("""COMPUTED_VALUE"""),46108.92795138889)</f>
        <v>46108.92795</v>
      </c>
      <c r="C1017" s="4" t="str">
        <f>IFERROR(__xludf.DUMMYFUNCTION("""COMPUTED_VALUE"""),"-6.959571, 107.667030")</f>
        <v>-6.959571, 107.667030</v>
      </c>
      <c r="D1017" s="4" t="str">
        <f>IFERROR(__xludf.DUMMYFUNCTION("""COMPUTED_VALUE"""),"Jihan kiki")</f>
        <v>Jihan kiki</v>
      </c>
      <c r="E1017" s="4" t="str">
        <f>IFERROR(__xludf.DUMMYFUNCTION("""COMPUTED_VALUE"""),"BANDUNG")</f>
        <v>BANDUNG</v>
      </c>
      <c r="F1017" s="4" t="str">
        <f>IFERROR(__xludf.DUMMYFUNCTION("""COMPUTED_VALUE"""),"CIJAWURA")</f>
        <v>CIJAWURA</v>
      </c>
      <c r="G1017" s="4" t="str">
        <f>IFERROR(__xludf.DUMMYFUNCTION("""COMPUTED_VALUE"""),"GIS KIARACONDONG")</f>
        <v>GIS KIARACONDONG</v>
      </c>
      <c r="H1017" s="4" t="str">
        <f>IFERROR(__xludf.DUMMYFUNCTION("""COMPUTED_VALUE"""),"KCH")</f>
        <v>KCH</v>
      </c>
      <c r="I1017" s="4" t="str">
        <f>IFERROR(__xludf.DUMMYFUNCTION("""COMPUTED_VALUE"""),"KP CIWASTRA - LBS BDLB")</f>
        <v>KP CIWASTRA - LBS BDLB</v>
      </c>
      <c r="J1017" s="4" t="str">
        <f>IFERROR(__xludf.DUMMYFUNCTION("""COMPUTED_VALUE"""),"ZONA 2")</f>
        <v>ZONA 2</v>
      </c>
      <c r="K1017" s="4" t="str">
        <f>IFERROR(__xludf.DUMMYFUNCTION("""COMPUTED_VALUE"""),"014L08")</f>
        <v>014L08</v>
      </c>
      <c r="L1017" s="4" t="str">
        <f>IFERROR(__xludf.DUMMYFUNCTION("""COMPUTED_VALUE"""),"TM - 8B/H (Percabangan)")</f>
        <v>TM - 8B/H (Percabangan)</v>
      </c>
      <c r="M1017" s="4" t="str">
        <f>IFERROR(__xludf.DUMMYFUNCTION("""COMPUTED_VALUE"""),"Tidak Ada")</f>
        <v>Tidak Ada</v>
      </c>
      <c r="N1017" s="4"/>
      <c r="O1017" s="4" t="str">
        <f>IFERROR(__xludf.DUMMYFUNCTION("""COMPUTED_VALUE"""),"PEMBANDING SEJENIS")</f>
        <v>PEMBANDING SEJENIS</v>
      </c>
      <c r="P1017" s="4" t="str">
        <f>IFERROR(__xludf.DUMMYFUNCTION("""COMPUTED_VALUE"""),"KONEKTOR/JUMPER")</f>
        <v>KONEKTOR/JUMPER</v>
      </c>
      <c r="Q1017" s="4">
        <f>IFERROR(__xludf.DUMMYFUNCTION("""COMPUTED_VALUE"""),19.0)</f>
        <v>19</v>
      </c>
      <c r="R1017" s="4">
        <f>IFERROR(__xludf.DUMMYFUNCTION("""COMPUTED_VALUE"""),19.0)</f>
        <v>19</v>
      </c>
      <c r="S1017" s="4">
        <f>IFERROR(__xludf.DUMMYFUNCTION("""COMPUTED_VALUE"""),18.0)</f>
        <v>18</v>
      </c>
      <c r="T1017" s="4"/>
      <c r="U1017" s="4" t="str">
        <f>IFERROR(__xludf.DUMMYFUNCTION("""COMPUTED_VALUE"""),"BAIK")</f>
        <v>BAIK</v>
      </c>
      <c r="V1017" s="4" t="str">
        <f>IFERROR(__xludf.DUMMYFUNCTION("""COMPUTED_VALUE"""),"Tidak Ada")</f>
        <v>Tidak Ada</v>
      </c>
      <c r="W1017" s="4"/>
      <c r="X1017" s="4"/>
      <c r="Y1017" s="4"/>
      <c r="Z1017" s="4"/>
      <c r="AA1017" s="4"/>
      <c r="AB1017" s="4"/>
      <c r="AC1017" s="4" t="str">
        <f>IFERROR(__xludf.DUMMYFUNCTION("""COMPUTED_VALUE"""),"INSPEKSI SUTM - T2_Images/2e26afe6.FOTO.165946.jpg")</f>
        <v>INSPEKSI SUTM - T2_Images/2e26afe6.FOTO.165946.jpg</v>
      </c>
      <c r="AD1017" s="4"/>
      <c r="AE1017" s="4"/>
      <c r="AF1017" s="4" t="str">
        <f>IFERROR(__xludf.DUMMYFUNCTION("""COMPUTED_VALUE"""),"BELUM")</f>
        <v>BELUM</v>
      </c>
      <c r="AG1017" s="6">
        <f>IFERROR(__xludf.DUMMYFUNCTION("""COMPUTED_VALUE"""),46108.0)</f>
        <v>46108</v>
      </c>
      <c r="AH1017" s="4"/>
      <c r="AI1017" s="4"/>
    </row>
    <row r="1018" ht="15.75" customHeight="1">
      <c r="A1018" s="4" t="str">
        <f>IFERROR(__xludf.DUMMYFUNCTION("""COMPUTED_VALUE"""),"4583272a")</f>
        <v>4583272a</v>
      </c>
      <c r="B1018" s="5">
        <f>IFERROR(__xludf.DUMMYFUNCTION("""COMPUTED_VALUE"""),46108.92920138889)</f>
        <v>46108.9292</v>
      </c>
      <c r="C1018" s="4" t="str">
        <f>IFERROR(__xludf.DUMMYFUNCTION("""COMPUTED_VALUE"""),"-6.958759, 107.667120")</f>
        <v>-6.958759, 107.667120</v>
      </c>
      <c r="D1018" s="4" t="str">
        <f>IFERROR(__xludf.DUMMYFUNCTION("""COMPUTED_VALUE"""),"Jihan kiki")</f>
        <v>Jihan kiki</v>
      </c>
      <c r="E1018" s="4" t="str">
        <f>IFERROR(__xludf.DUMMYFUNCTION("""COMPUTED_VALUE"""),"BANDUNG")</f>
        <v>BANDUNG</v>
      </c>
      <c r="F1018" s="4" t="str">
        <f>IFERROR(__xludf.DUMMYFUNCTION("""COMPUTED_VALUE"""),"CIJAWURA")</f>
        <v>CIJAWURA</v>
      </c>
      <c r="G1018" s="4" t="str">
        <f>IFERROR(__xludf.DUMMYFUNCTION("""COMPUTED_VALUE"""),"GIS KIARACONDONG")</f>
        <v>GIS KIARACONDONG</v>
      </c>
      <c r="H1018" s="4" t="str">
        <f>IFERROR(__xludf.DUMMYFUNCTION("""COMPUTED_VALUE"""),"KCH")</f>
        <v>KCH</v>
      </c>
      <c r="I1018" s="4" t="str">
        <f>IFERROR(__xludf.DUMMYFUNCTION("""COMPUTED_VALUE"""),"KP CIWASTRA - LBS BDLB")</f>
        <v>KP CIWASTRA - LBS BDLB</v>
      </c>
      <c r="J1018" s="4" t="str">
        <f>IFERROR(__xludf.DUMMYFUNCTION("""COMPUTED_VALUE"""),"ZONA 2")</f>
        <v>ZONA 2</v>
      </c>
      <c r="K1018" s="4" t="str">
        <f>IFERROR(__xludf.DUMMYFUNCTION("""COMPUTED_VALUE"""),"014L08L01")</f>
        <v>014L08L01</v>
      </c>
      <c r="L1018" s="4" t="str">
        <f>IFERROR(__xludf.DUMMYFUNCTION("""COMPUTED_VALUE"""),"TM - 7B/H (Afspan 90 Derajat)")</f>
        <v>TM - 7B/H (Afspan 90 Derajat)</v>
      </c>
      <c r="M1018" s="4" t="str">
        <f>IFERROR(__xludf.DUMMYFUNCTION("""COMPUTED_VALUE"""),"Tidak Ada")</f>
        <v>Tidak Ada</v>
      </c>
      <c r="N1018" s="4"/>
      <c r="O1018" s="4" t="str">
        <f>IFERROR(__xludf.DUMMYFUNCTION("""COMPUTED_VALUE"""),"PEMBANDING SEJENIS")</f>
        <v>PEMBANDING SEJENIS</v>
      </c>
      <c r="P1018" s="4" t="str">
        <f>IFERROR(__xludf.DUMMYFUNCTION("""COMPUTED_VALUE"""),"KONEKTOR/JUMPER")</f>
        <v>KONEKTOR/JUMPER</v>
      </c>
      <c r="Q1018" s="4">
        <f>IFERROR(__xludf.DUMMYFUNCTION("""COMPUTED_VALUE"""),22.0)</f>
        <v>22</v>
      </c>
      <c r="R1018" s="4">
        <f>IFERROR(__xludf.DUMMYFUNCTION("""COMPUTED_VALUE"""),20.0)</f>
        <v>20</v>
      </c>
      <c r="S1018" s="4">
        <f>IFERROR(__xludf.DUMMYFUNCTION("""COMPUTED_VALUE"""),22.0)</f>
        <v>22</v>
      </c>
      <c r="T1018" s="4"/>
      <c r="U1018" s="4" t="str">
        <f>IFERROR(__xludf.DUMMYFUNCTION("""COMPUTED_VALUE"""),"BAIK")</f>
        <v>BAIK</v>
      </c>
      <c r="V1018" s="4" t="str">
        <f>IFERROR(__xludf.DUMMYFUNCTION("""COMPUTED_VALUE"""),"Tidak Ada")</f>
        <v>Tidak Ada</v>
      </c>
      <c r="W1018" s="4"/>
      <c r="X1018" s="4"/>
      <c r="Y1018" s="4"/>
      <c r="Z1018" s="4"/>
      <c r="AA1018" s="4"/>
      <c r="AB1018" s="4"/>
      <c r="AC1018" s="4" t="str">
        <f>IFERROR(__xludf.DUMMYFUNCTION("""COMPUTED_VALUE"""),"INSPEKSI SUTM - T2_Images/4583272a.FOTO.165954.jpg")</f>
        <v>INSPEKSI SUTM - T2_Images/4583272a.FOTO.165954.jpg</v>
      </c>
      <c r="AD1018" s="4"/>
      <c r="AE1018" s="4"/>
      <c r="AF1018" s="4" t="str">
        <f>IFERROR(__xludf.DUMMYFUNCTION("""COMPUTED_VALUE"""),"BELUM")</f>
        <v>BELUM</v>
      </c>
      <c r="AG1018" s="6">
        <f>IFERROR(__xludf.DUMMYFUNCTION("""COMPUTED_VALUE"""),46108.0)</f>
        <v>46108</v>
      </c>
      <c r="AH1018" s="4"/>
      <c r="AI1018" s="4"/>
    </row>
    <row r="1019" ht="15.75" customHeight="1">
      <c r="A1019" s="4" t="str">
        <f>IFERROR(__xludf.DUMMYFUNCTION("""COMPUTED_VALUE"""),"9b6ca7de")</f>
        <v>9b6ca7de</v>
      </c>
      <c r="B1019" s="5">
        <f>IFERROR(__xludf.DUMMYFUNCTION("""COMPUTED_VALUE"""),46108.94986111111)</f>
        <v>46108.94986</v>
      </c>
      <c r="C1019" s="4" t="str">
        <f>IFERROR(__xludf.DUMMYFUNCTION("""COMPUTED_VALUE"""),"-6.958660, 107.667216")</f>
        <v>-6.958660, 107.667216</v>
      </c>
      <c r="D1019" s="4" t="str">
        <f>IFERROR(__xludf.DUMMYFUNCTION("""COMPUTED_VALUE"""),"Jihan kiki")</f>
        <v>Jihan kiki</v>
      </c>
      <c r="E1019" s="4" t="str">
        <f>IFERROR(__xludf.DUMMYFUNCTION("""COMPUTED_VALUE"""),"BANDUNG")</f>
        <v>BANDUNG</v>
      </c>
      <c r="F1019" s="4" t="str">
        <f>IFERROR(__xludf.DUMMYFUNCTION("""COMPUTED_VALUE"""),"CIJAWURA")</f>
        <v>CIJAWURA</v>
      </c>
      <c r="G1019" s="4" t="str">
        <f>IFERROR(__xludf.DUMMYFUNCTION("""COMPUTED_VALUE"""),"GIS KIARACONDONG")</f>
        <v>GIS KIARACONDONG</v>
      </c>
      <c r="H1019" s="4" t="str">
        <f>IFERROR(__xludf.DUMMYFUNCTION("""COMPUTED_VALUE"""),"KCH")</f>
        <v>KCH</v>
      </c>
      <c r="I1019" s="4" t="str">
        <f>IFERROR(__xludf.DUMMYFUNCTION("""COMPUTED_VALUE"""),"KP CIWASTRA - LBS BDLB")</f>
        <v>KP CIWASTRA - LBS BDLB</v>
      </c>
      <c r="J1019" s="4" t="str">
        <f>IFERROR(__xludf.DUMMYFUNCTION("""COMPUTED_VALUE"""),"ZONA 2")</f>
        <v>ZONA 2</v>
      </c>
      <c r="K1019" s="4" t="str">
        <f>IFERROR(__xludf.DUMMYFUNCTION("""COMPUTED_VALUE"""),"014L09")</f>
        <v>014L09</v>
      </c>
      <c r="L1019" s="4" t="str">
        <f>IFERROR(__xludf.DUMMYFUNCTION("""COMPUTED_VALUE"""),"TM - 7B/H (Afspan 90 Derajat)")</f>
        <v>TM - 7B/H (Afspan 90 Derajat)</v>
      </c>
      <c r="M1019" s="4" t="str">
        <f>IFERROR(__xludf.DUMMYFUNCTION("""COMPUTED_VALUE"""),"Tidak Ada")</f>
        <v>Tidak Ada</v>
      </c>
      <c r="N1019" s="4"/>
      <c r="O1019" s="4" t="str">
        <f>IFERROR(__xludf.DUMMYFUNCTION("""COMPUTED_VALUE"""),"PEMBANDING SEJENIS")</f>
        <v>PEMBANDING SEJENIS</v>
      </c>
      <c r="P1019" s="4" t="str">
        <f>IFERROR(__xludf.DUMMYFUNCTION("""COMPUTED_VALUE"""),"KONEKTOR/JUMPER")</f>
        <v>KONEKTOR/JUMPER</v>
      </c>
      <c r="Q1019" s="4">
        <f>IFERROR(__xludf.DUMMYFUNCTION("""COMPUTED_VALUE"""),20.0)</f>
        <v>20</v>
      </c>
      <c r="R1019" s="4">
        <f>IFERROR(__xludf.DUMMYFUNCTION("""COMPUTED_VALUE"""),19.0)</f>
        <v>19</v>
      </c>
      <c r="S1019" s="4">
        <f>IFERROR(__xludf.DUMMYFUNCTION("""COMPUTED_VALUE"""),21.0)</f>
        <v>21</v>
      </c>
      <c r="T1019" s="4"/>
      <c r="U1019" s="4" t="str">
        <f>IFERROR(__xludf.DUMMYFUNCTION("""COMPUTED_VALUE"""),"BAIK")</f>
        <v>BAIK</v>
      </c>
      <c r="V1019" s="4" t="str">
        <f>IFERROR(__xludf.DUMMYFUNCTION("""COMPUTED_VALUE"""),"Tidak Ada")</f>
        <v>Tidak Ada</v>
      </c>
      <c r="W1019" s="4"/>
      <c r="X1019" s="4"/>
      <c r="Y1019" s="4"/>
      <c r="Z1019" s="4"/>
      <c r="AA1019" s="4"/>
      <c r="AB1019" s="4"/>
      <c r="AC1019" s="4" t="str">
        <f>IFERROR(__xludf.DUMMYFUNCTION("""COMPUTED_VALUE"""),"INSPEKSI SUTM - T2_Images/9b6ca7de.FOTO.165957.jpg")</f>
        <v>INSPEKSI SUTM - T2_Images/9b6ca7de.FOTO.165957.jpg</v>
      </c>
      <c r="AD1019" s="4"/>
      <c r="AE1019" s="4"/>
      <c r="AF1019" s="4" t="str">
        <f>IFERROR(__xludf.DUMMYFUNCTION("""COMPUTED_VALUE"""),"BELUM")</f>
        <v>BELUM</v>
      </c>
      <c r="AG1019" s="6">
        <f>IFERROR(__xludf.DUMMYFUNCTION("""COMPUTED_VALUE"""),46108.0)</f>
        <v>46108</v>
      </c>
      <c r="AH1019" s="4"/>
      <c r="AI1019" s="4"/>
    </row>
    <row r="1020" ht="15.75" customHeight="1">
      <c r="A1020" s="4" t="str">
        <f>IFERROR(__xludf.DUMMYFUNCTION("""COMPUTED_VALUE"""),"f09fad01")</f>
        <v>f09fad01</v>
      </c>
      <c r="B1020" s="5">
        <f>IFERROR(__xludf.DUMMYFUNCTION("""COMPUTED_VALUE"""),46108.951145833336)</f>
        <v>46108.95115</v>
      </c>
      <c r="C1020" s="4" t="str">
        <f>IFERROR(__xludf.DUMMYFUNCTION("""COMPUTED_VALUE"""),"-6.958660, 107.667533")</f>
        <v>-6.958660, 107.667533</v>
      </c>
      <c r="D1020" s="4" t="str">
        <f>IFERROR(__xludf.DUMMYFUNCTION("""COMPUTED_VALUE"""),"Jihan kiki")</f>
        <v>Jihan kiki</v>
      </c>
      <c r="E1020" s="4" t="str">
        <f>IFERROR(__xludf.DUMMYFUNCTION("""COMPUTED_VALUE"""),"BANDUNG")</f>
        <v>BANDUNG</v>
      </c>
      <c r="F1020" s="4" t="str">
        <f>IFERROR(__xludf.DUMMYFUNCTION("""COMPUTED_VALUE"""),"CIJAWURA")</f>
        <v>CIJAWURA</v>
      </c>
      <c r="G1020" s="4" t="str">
        <f>IFERROR(__xludf.DUMMYFUNCTION("""COMPUTED_VALUE"""),"GIS KIARACONDONG")</f>
        <v>GIS KIARACONDONG</v>
      </c>
      <c r="H1020" s="4" t="str">
        <f>IFERROR(__xludf.DUMMYFUNCTION("""COMPUTED_VALUE"""),"KCH")</f>
        <v>KCH</v>
      </c>
      <c r="I1020" s="4" t="str">
        <f>IFERROR(__xludf.DUMMYFUNCTION("""COMPUTED_VALUE"""),"KP CIWASTRA - LBS BDLB")</f>
        <v>KP CIWASTRA - LBS BDLB</v>
      </c>
      <c r="J1020" s="4" t="str">
        <f>IFERROR(__xludf.DUMMYFUNCTION("""COMPUTED_VALUE"""),"ZONA 2")</f>
        <v>ZONA 2</v>
      </c>
      <c r="K1020" s="4" t="str">
        <f>IFERROR(__xludf.DUMMYFUNCTION("""COMPUTED_VALUE"""),"014L11")</f>
        <v>014L11</v>
      </c>
      <c r="L1020" s="4" t="str">
        <f>IFERROR(__xludf.DUMMYFUNCTION("""COMPUTED_VALUE"""),"TM - 8B/H (Percabangan)")</f>
        <v>TM - 8B/H (Percabangan)</v>
      </c>
      <c r="M1020" s="4" t="str">
        <f>IFERROR(__xludf.DUMMYFUNCTION("""COMPUTED_VALUE"""),"Tidak Ada")</f>
        <v>Tidak Ada</v>
      </c>
      <c r="N1020" s="4"/>
      <c r="O1020" s="4" t="str">
        <f>IFERROR(__xludf.DUMMYFUNCTION("""COMPUTED_VALUE"""),"PEMBANDING SEJENIS")</f>
        <v>PEMBANDING SEJENIS</v>
      </c>
      <c r="P1020" s="4" t="str">
        <f>IFERROR(__xludf.DUMMYFUNCTION("""COMPUTED_VALUE"""),"KONEKTOR/JUMPER")</f>
        <v>KONEKTOR/JUMPER</v>
      </c>
      <c r="Q1020" s="4">
        <f>IFERROR(__xludf.DUMMYFUNCTION("""COMPUTED_VALUE"""),18.0)</f>
        <v>18</v>
      </c>
      <c r="R1020" s="4">
        <f>IFERROR(__xludf.DUMMYFUNCTION("""COMPUTED_VALUE"""),19.0)</f>
        <v>19</v>
      </c>
      <c r="S1020" s="4">
        <f>IFERROR(__xludf.DUMMYFUNCTION("""COMPUTED_VALUE"""),15.0)</f>
        <v>15</v>
      </c>
      <c r="T1020" s="4"/>
      <c r="U1020" s="4" t="str">
        <f>IFERROR(__xludf.DUMMYFUNCTION("""COMPUTED_VALUE"""),"CUKUP")</f>
        <v>CUKUP</v>
      </c>
      <c r="V1020" s="4" t="str">
        <f>IFERROR(__xludf.DUMMYFUNCTION("""COMPUTED_VALUE"""),"Tidak Ada")</f>
        <v>Tidak Ada</v>
      </c>
      <c r="W1020" s="4"/>
      <c r="X1020" s="4"/>
      <c r="Y1020" s="4"/>
      <c r="Z1020" s="4"/>
      <c r="AA1020" s="4"/>
      <c r="AB1020" s="4"/>
      <c r="AC1020" s="4" t="str">
        <f>IFERROR(__xludf.DUMMYFUNCTION("""COMPUTED_VALUE"""),"INSPEKSI SUTM - T2_Images/f09fad01.FOTO.170001.jpg")</f>
        <v>INSPEKSI SUTM - T2_Images/f09fad01.FOTO.170001.jpg</v>
      </c>
      <c r="AD1020" s="4"/>
      <c r="AE1020" s="4"/>
      <c r="AF1020" s="4" t="str">
        <f>IFERROR(__xludf.DUMMYFUNCTION("""COMPUTED_VALUE"""),"BELUM")</f>
        <v>BELUM</v>
      </c>
      <c r="AG1020" s="6">
        <f>IFERROR(__xludf.DUMMYFUNCTION("""COMPUTED_VALUE"""),46108.0)</f>
        <v>46108</v>
      </c>
      <c r="AH1020" s="4"/>
      <c r="AI1020" s="4"/>
    </row>
    <row r="1021" ht="15.75" customHeight="1">
      <c r="A1021" s="4" t="str">
        <f>IFERROR(__xludf.DUMMYFUNCTION("""COMPUTED_VALUE"""),"0f905e1b")</f>
        <v>0f905e1b</v>
      </c>
      <c r="B1021" s="5">
        <f>IFERROR(__xludf.DUMMYFUNCTION("""COMPUTED_VALUE"""),46108.960856481484)</f>
        <v>46108.96086</v>
      </c>
      <c r="C1021" s="4" t="str">
        <f>IFERROR(__xludf.DUMMYFUNCTION("""COMPUTED_VALUE"""),"-6.958742, 107.668255")</f>
        <v>-6.958742, 107.668255</v>
      </c>
      <c r="D1021" s="4" t="str">
        <f>IFERROR(__xludf.DUMMYFUNCTION("""COMPUTED_VALUE"""),"Jihan kiki")</f>
        <v>Jihan kiki</v>
      </c>
      <c r="E1021" s="4" t="str">
        <f>IFERROR(__xludf.DUMMYFUNCTION("""COMPUTED_VALUE"""),"BANDUNG")</f>
        <v>BANDUNG</v>
      </c>
      <c r="F1021" s="4" t="str">
        <f>IFERROR(__xludf.DUMMYFUNCTION("""COMPUTED_VALUE"""),"CIJAWURA")</f>
        <v>CIJAWURA</v>
      </c>
      <c r="G1021" s="4" t="str">
        <f>IFERROR(__xludf.DUMMYFUNCTION("""COMPUTED_VALUE"""),"GIS KIARACONDONG")</f>
        <v>GIS KIARACONDONG</v>
      </c>
      <c r="H1021" s="4" t="str">
        <f>IFERROR(__xludf.DUMMYFUNCTION("""COMPUTED_VALUE"""),"KCH")</f>
        <v>KCH</v>
      </c>
      <c r="I1021" s="4" t="str">
        <f>IFERROR(__xludf.DUMMYFUNCTION("""COMPUTED_VALUE"""),"KP CIWASTRA - LBS BDLB")</f>
        <v>KP CIWASTRA - LBS BDLB</v>
      </c>
      <c r="J1021" s="4" t="str">
        <f>IFERROR(__xludf.DUMMYFUNCTION("""COMPUTED_VALUE"""),"ZONA 2")</f>
        <v>ZONA 2</v>
      </c>
      <c r="K1021" s="4" t="str">
        <f>IFERROR(__xludf.DUMMYFUNCTION("""COMPUTED_VALUE"""),"014L11R03")</f>
        <v>014L11R03</v>
      </c>
      <c r="L1021" s="4" t="str">
        <f>IFERROR(__xludf.DUMMYFUNCTION("""COMPUTED_VALUE"""),"TM - 1B/H (Tumpu)")</f>
        <v>TM - 1B/H (Tumpu)</v>
      </c>
      <c r="M1021" s="4" t="str">
        <f>IFERROR(__xludf.DUMMYFUNCTION("""COMPUTED_VALUE"""),"Tidak Ada")</f>
        <v>Tidak Ada</v>
      </c>
      <c r="N1021" s="4"/>
      <c r="O1021" s="4" t="str">
        <f>IFERROR(__xludf.DUMMYFUNCTION("""COMPUTED_VALUE"""),"PEMBANDING SEJENIS")</f>
        <v>PEMBANDING SEJENIS</v>
      </c>
      <c r="P1021" s="4" t="str">
        <f>IFERROR(__xludf.DUMMYFUNCTION("""COMPUTED_VALUE"""),"KONEKTOR/JUMPER")</f>
        <v>KONEKTOR/JUMPER</v>
      </c>
      <c r="Q1021" s="4">
        <f>IFERROR(__xludf.DUMMYFUNCTION("""COMPUTED_VALUE"""),20.0)</f>
        <v>20</v>
      </c>
      <c r="R1021" s="4">
        <f>IFERROR(__xludf.DUMMYFUNCTION("""COMPUTED_VALUE"""),20.0)</f>
        <v>20</v>
      </c>
      <c r="S1021" s="4">
        <f>IFERROR(__xludf.DUMMYFUNCTION("""COMPUTED_VALUE"""),20.0)</f>
        <v>20</v>
      </c>
      <c r="T1021" s="4"/>
      <c r="U1021" s="4" t="str">
        <f>IFERROR(__xludf.DUMMYFUNCTION("""COMPUTED_VALUE"""),"BAIK")</f>
        <v>BAIK</v>
      </c>
      <c r="V1021" s="4" t="str">
        <f>IFERROR(__xludf.DUMMYFUNCTION("""COMPUTED_VALUE"""),"Tidak Ada")</f>
        <v>Tidak Ada</v>
      </c>
      <c r="W1021" s="4"/>
      <c r="X1021" s="4"/>
      <c r="Y1021" s="4"/>
      <c r="Z1021" s="4"/>
      <c r="AA1021" s="4"/>
      <c r="AB1021" s="4"/>
      <c r="AC1021" s="4" t="str">
        <f>IFERROR(__xludf.DUMMYFUNCTION("""COMPUTED_VALUE"""),"INSPEKSI SUTM - T2_Images/0f905e1b.FOTO.170600.jpg")</f>
        <v>INSPEKSI SUTM - T2_Images/0f905e1b.FOTO.170600.jpg</v>
      </c>
      <c r="AD1021" s="4"/>
      <c r="AE1021" s="4"/>
      <c r="AF1021" s="4" t="str">
        <f>IFERROR(__xludf.DUMMYFUNCTION("""COMPUTED_VALUE"""),"BELUM")</f>
        <v>BELUM</v>
      </c>
      <c r="AG1021" s="6">
        <f>IFERROR(__xludf.DUMMYFUNCTION("""COMPUTED_VALUE"""),46108.0)</f>
        <v>46108</v>
      </c>
      <c r="AH1021" s="4"/>
      <c r="AI1021" s="4"/>
    </row>
    <row r="1022" ht="15.75" customHeight="1">
      <c r="A1022" s="4" t="str">
        <f>IFERROR(__xludf.DUMMYFUNCTION("""COMPUTED_VALUE"""),"6d9a5005")</f>
        <v>6d9a5005</v>
      </c>
      <c r="B1022" s="5">
        <f>IFERROR(__xludf.DUMMYFUNCTION("""COMPUTED_VALUE"""),46108.96203703704)</f>
        <v>46108.96204</v>
      </c>
      <c r="C1022" s="4" t="str">
        <f>IFERROR(__xludf.DUMMYFUNCTION("""COMPUTED_VALUE"""),"-6.958998, 107.668552")</f>
        <v>-6.958998, 107.668552</v>
      </c>
      <c r="D1022" s="4" t="str">
        <f>IFERROR(__xludf.DUMMYFUNCTION("""COMPUTED_VALUE"""),"014L11R05")</f>
        <v>014L11R05</v>
      </c>
      <c r="E1022" s="4" t="str">
        <f>IFERROR(__xludf.DUMMYFUNCTION("""COMPUTED_VALUE"""),"BANDUNG")</f>
        <v>BANDUNG</v>
      </c>
      <c r="F1022" s="4" t="str">
        <f>IFERROR(__xludf.DUMMYFUNCTION("""COMPUTED_VALUE"""),"CIJAWURA")</f>
        <v>CIJAWURA</v>
      </c>
      <c r="G1022" s="4" t="str">
        <f>IFERROR(__xludf.DUMMYFUNCTION("""COMPUTED_VALUE"""),"GIS KIARACONDONG")</f>
        <v>GIS KIARACONDONG</v>
      </c>
      <c r="H1022" s="4" t="str">
        <f>IFERROR(__xludf.DUMMYFUNCTION("""COMPUTED_VALUE"""),"KCH")</f>
        <v>KCH</v>
      </c>
      <c r="I1022" s="4" t="str">
        <f>IFERROR(__xludf.DUMMYFUNCTION("""COMPUTED_VALUE"""),"KP CIWASTRA - LBS BDLB")</f>
        <v>KP CIWASTRA - LBS BDLB</v>
      </c>
      <c r="J1022" s="4" t="str">
        <f>IFERROR(__xludf.DUMMYFUNCTION("""COMPUTED_VALUE"""),"ZONA 2")</f>
        <v>ZONA 2</v>
      </c>
      <c r="K1022" s="4" t="str">
        <f>IFERROR(__xludf.DUMMYFUNCTION("""COMPUTED_VALUE"""),"014L11R05")</f>
        <v>014L11R05</v>
      </c>
      <c r="L1022" s="4" t="str">
        <f>IFERROR(__xludf.DUMMYFUNCTION("""COMPUTED_VALUE"""),"TM - 7B/H (Afspan 90 Derajat)")</f>
        <v>TM - 7B/H (Afspan 90 Derajat)</v>
      </c>
      <c r="M1022" s="4" t="str">
        <f>IFERROR(__xludf.DUMMYFUNCTION("""COMPUTED_VALUE"""),"Tidak Ada")</f>
        <v>Tidak Ada</v>
      </c>
      <c r="N1022" s="4"/>
      <c r="O1022" s="4" t="str">
        <f>IFERROR(__xludf.DUMMYFUNCTION("""COMPUTED_VALUE"""),"PEMBANDING SEJENIS")</f>
        <v>PEMBANDING SEJENIS</v>
      </c>
      <c r="P1022" s="4" t="str">
        <f>IFERROR(__xludf.DUMMYFUNCTION("""COMPUTED_VALUE"""),"KONEKTOR/JUMPER")</f>
        <v>KONEKTOR/JUMPER</v>
      </c>
      <c r="Q1022" s="4">
        <f>IFERROR(__xludf.DUMMYFUNCTION("""COMPUTED_VALUE"""),22.0)</f>
        <v>22</v>
      </c>
      <c r="R1022" s="4">
        <f>IFERROR(__xludf.DUMMYFUNCTION("""COMPUTED_VALUE"""),21.0)</f>
        <v>21</v>
      </c>
      <c r="S1022" s="4">
        <f>IFERROR(__xludf.DUMMYFUNCTION("""COMPUTED_VALUE"""),19.0)</f>
        <v>19</v>
      </c>
      <c r="T1022" s="4"/>
      <c r="U1022" s="4" t="str">
        <f>IFERROR(__xludf.DUMMYFUNCTION("""COMPUTED_VALUE"""),"CUKUP")</f>
        <v>CUKUP</v>
      </c>
      <c r="V1022" s="4" t="str">
        <f>IFERROR(__xludf.DUMMYFUNCTION("""COMPUTED_VALUE"""),"Tidak Ada")</f>
        <v>Tidak Ada</v>
      </c>
      <c r="W1022" s="4"/>
      <c r="X1022" s="4"/>
      <c r="Y1022" s="4"/>
      <c r="Z1022" s="4"/>
      <c r="AA1022" s="4"/>
      <c r="AB1022" s="4"/>
      <c r="AC1022" s="4" t="str">
        <f>IFERROR(__xludf.DUMMYFUNCTION("""COMPUTED_VALUE"""),"INSPEKSI SUTM - T2_Images/6d9a5005.FOTO.170805.jpg")</f>
        <v>INSPEKSI SUTM - T2_Images/6d9a5005.FOTO.170805.jpg</v>
      </c>
      <c r="AD1022" s="4"/>
      <c r="AE1022" s="4"/>
      <c r="AF1022" s="4" t="str">
        <f>IFERROR(__xludf.DUMMYFUNCTION("""COMPUTED_VALUE"""),"BELUM")</f>
        <v>BELUM</v>
      </c>
      <c r="AG1022" s="6">
        <f>IFERROR(__xludf.DUMMYFUNCTION("""COMPUTED_VALUE"""),46108.0)</f>
        <v>46108</v>
      </c>
      <c r="AH1022" s="4"/>
      <c r="AI1022" s="4"/>
    </row>
    <row r="1023" ht="15.75" customHeight="1">
      <c r="A1023" s="4" t="str">
        <f>IFERROR(__xludf.DUMMYFUNCTION("""COMPUTED_VALUE"""),"90c6bc0c")</f>
        <v>90c6bc0c</v>
      </c>
      <c r="B1023" s="5">
        <f>IFERROR(__xludf.DUMMYFUNCTION("""COMPUTED_VALUE"""),46108.963229166664)</f>
        <v>46108.96323</v>
      </c>
      <c r="C1023" s="4" t="str">
        <f>IFERROR(__xludf.DUMMYFUNCTION("""COMPUTED_VALUE"""),"-6.958837, 107.668603")</f>
        <v>-6.958837, 107.668603</v>
      </c>
      <c r="D1023" s="4" t="str">
        <f>IFERROR(__xludf.DUMMYFUNCTION("""COMPUTED_VALUE"""),"Jihan kiki")</f>
        <v>Jihan kiki</v>
      </c>
      <c r="E1023" s="4" t="str">
        <f>IFERROR(__xludf.DUMMYFUNCTION("""COMPUTED_VALUE"""),"BANDUNG")</f>
        <v>BANDUNG</v>
      </c>
      <c r="F1023" s="4" t="str">
        <f>IFERROR(__xludf.DUMMYFUNCTION("""COMPUTED_VALUE"""),"CIJAWURA")</f>
        <v>CIJAWURA</v>
      </c>
      <c r="G1023" s="4" t="str">
        <f>IFERROR(__xludf.DUMMYFUNCTION("""COMPUTED_VALUE"""),"GIS KIARACONDONG")</f>
        <v>GIS KIARACONDONG</v>
      </c>
      <c r="H1023" s="4" t="str">
        <f>IFERROR(__xludf.DUMMYFUNCTION("""COMPUTED_VALUE"""),"KCH")</f>
        <v>KCH</v>
      </c>
      <c r="I1023" s="4" t="str">
        <f>IFERROR(__xludf.DUMMYFUNCTION("""COMPUTED_VALUE"""),"KP CIWASTRA - LBS BDLB")</f>
        <v>KP CIWASTRA - LBS BDLB</v>
      </c>
      <c r="J1023" s="4" t="str">
        <f>IFERROR(__xludf.DUMMYFUNCTION("""COMPUTED_VALUE"""),"ZONA 2")</f>
        <v>ZONA 2</v>
      </c>
      <c r="K1023" s="4" t="str">
        <f>IFERROR(__xludf.DUMMYFUNCTION("""COMPUTED_VALUE"""),"014L11R06")</f>
        <v>014L11R06</v>
      </c>
      <c r="L1023" s="4" t="str">
        <f>IFERROR(__xludf.DUMMYFUNCTION("""COMPUTED_VALUE"""),"TM - 1B/H (Tumpu)")</f>
        <v>TM - 1B/H (Tumpu)</v>
      </c>
      <c r="M1023" s="4" t="str">
        <f>IFERROR(__xludf.DUMMYFUNCTION("""COMPUTED_VALUE"""),"Tidak Ada")</f>
        <v>Tidak Ada</v>
      </c>
      <c r="N1023" s="4"/>
      <c r="O1023" s="4" t="str">
        <f>IFERROR(__xludf.DUMMYFUNCTION("""COMPUTED_VALUE"""),"PEMBANDING SEJENIS")</f>
        <v>PEMBANDING SEJENIS</v>
      </c>
      <c r="P1023" s="4" t="str">
        <f>IFERROR(__xludf.DUMMYFUNCTION("""COMPUTED_VALUE"""),"KONEKTOR/JUMPER")</f>
        <v>KONEKTOR/JUMPER</v>
      </c>
      <c r="Q1023" s="4">
        <f>IFERROR(__xludf.DUMMYFUNCTION("""COMPUTED_VALUE"""),22.0)</f>
        <v>22</v>
      </c>
      <c r="R1023" s="4">
        <f>IFERROR(__xludf.DUMMYFUNCTION("""COMPUTED_VALUE"""),21.0)</f>
        <v>21</v>
      </c>
      <c r="S1023" s="4">
        <f>IFERROR(__xludf.DUMMYFUNCTION("""COMPUTED_VALUE"""),19.0)</f>
        <v>19</v>
      </c>
      <c r="T1023" s="4"/>
      <c r="U1023" s="4" t="str">
        <f>IFERROR(__xludf.DUMMYFUNCTION("""COMPUTED_VALUE"""),"CUKUP")</f>
        <v>CUKUP</v>
      </c>
      <c r="V1023" s="4" t="str">
        <f>IFERROR(__xludf.DUMMYFUNCTION("""COMPUTED_VALUE"""),"Tidak Ada")</f>
        <v>Tidak Ada</v>
      </c>
      <c r="W1023" s="4"/>
      <c r="X1023" s="4"/>
      <c r="Y1023" s="4"/>
      <c r="Z1023" s="4"/>
      <c r="AA1023" s="4"/>
      <c r="AB1023" s="4"/>
      <c r="AC1023" s="4" t="str">
        <f>IFERROR(__xludf.DUMMYFUNCTION("""COMPUTED_VALUE"""),"INSPEKSI SUTM - T2_Images/90c6bc0c.FOTO.170951.jpg")</f>
        <v>INSPEKSI SUTM - T2_Images/90c6bc0c.FOTO.170951.jpg</v>
      </c>
      <c r="AD1023" s="4"/>
      <c r="AE1023" s="4"/>
      <c r="AF1023" s="4" t="str">
        <f>IFERROR(__xludf.DUMMYFUNCTION("""COMPUTED_VALUE"""),"BELUM")</f>
        <v>BELUM</v>
      </c>
      <c r="AG1023" s="6">
        <f>IFERROR(__xludf.DUMMYFUNCTION("""COMPUTED_VALUE"""),46108.0)</f>
        <v>46108</v>
      </c>
      <c r="AH1023" s="4"/>
      <c r="AI1023" s="4"/>
    </row>
    <row r="1024" ht="15.75" customHeight="1">
      <c r="A1024" s="4" t="str">
        <f>IFERROR(__xludf.DUMMYFUNCTION("""COMPUTED_VALUE"""),"3556542c")</f>
        <v>3556542c</v>
      </c>
      <c r="B1024" s="5">
        <f>IFERROR(__xludf.DUMMYFUNCTION("""COMPUTED_VALUE"""),46108.96501157407)</f>
        <v>46108.96501</v>
      </c>
      <c r="C1024" s="4" t="str">
        <f>IFERROR(__xludf.DUMMYFUNCTION("""COMPUTED_VALUE"""),"-6.958962, 107.669396")</f>
        <v>-6.958962, 107.669396</v>
      </c>
      <c r="D1024" s="4" t="str">
        <f>IFERROR(__xludf.DUMMYFUNCTION("""COMPUTED_VALUE"""),"014L11R09")</f>
        <v>014L11R09</v>
      </c>
      <c r="E1024" s="4" t="str">
        <f>IFERROR(__xludf.DUMMYFUNCTION("""COMPUTED_VALUE"""),"BANDUNG")</f>
        <v>BANDUNG</v>
      </c>
      <c r="F1024" s="4" t="str">
        <f>IFERROR(__xludf.DUMMYFUNCTION("""COMPUTED_VALUE"""),"CIJAWURA")</f>
        <v>CIJAWURA</v>
      </c>
      <c r="G1024" s="4" t="str">
        <f>IFERROR(__xludf.DUMMYFUNCTION("""COMPUTED_VALUE"""),"GIS KIARACONDONG")</f>
        <v>GIS KIARACONDONG</v>
      </c>
      <c r="H1024" s="4" t="str">
        <f>IFERROR(__xludf.DUMMYFUNCTION("""COMPUTED_VALUE"""),"KCH")</f>
        <v>KCH</v>
      </c>
      <c r="I1024" s="4" t="str">
        <f>IFERROR(__xludf.DUMMYFUNCTION("""COMPUTED_VALUE"""),"KP CIWASTRA - LBS BDLB")</f>
        <v>KP CIWASTRA - LBS BDLB</v>
      </c>
      <c r="J1024" s="4" t="str">
        <f>IFERROR(__xludf.DUMMYFUNCTION("""COMPUTED_VALUE"""),"ZONA 2")</f>
        <v>ZONA 2</v>
      </c>
      <c r="K1024" s="4" t="str">
        <f>IFERROR(__xludf.DUMMYFUNCTION("""COMPUTED_VALUE"""),"014L11R09")</f>
        <v>014L11R09</v>
      </c>
      <c r="L1024" s="4" t="str">
        <f>IFERROR(__xludf.DUMMYFUNCTION("""COMPUTED_VALUE"""),"TM - 1B/H (Tumpu)")</f>
        <v>TM - 1B/H (Tumpu)</v>
      </c>
      <c r="M1024" s="4" t="str">
        <f>IFERROR(__xludf.DUMMYFUNCTION("""COMPUTED_VALUE"""),"Tidak Ada")</f>
        <v>Tidak Ada</v>
      </c>
      <c r="N1024" s="4"/>
      <c r="O1024" s="4" t="str">
        <f>IFERROR(__xludf.DUMMYFUNCTION("""COMPUTED_VALUE"""),"PEMBANDING SEJENIS")</f>
        <v>PEMBANDING SEJENIS</v>
      </c>
      <c r="P1024" s="4" t="str">
        <f>IFERROR(__xludf.DUMMYFUNCTION("""COMPUTED_VALUE"""),"TERMINASI")</f>
        <v>TERMINASI</v>
      </c>
      <c r="Q1024" s="4">
        <f>IFERROR(__xludf.DUMMYFUNCTION("""COMPUTED_VALUE"""),20.0)</f>
        <v>20</v>
      </c>
      <c r="R1024" s="4">
        <f>IFERROR(__xludf.DUMMYFUNCTION("""COMPUTED_VALUE"""),19.0)</f>
        <v>19</v>
      </c>
      <c r="S1024" s="4">
        <f>IFERROR(__xludf.DUMMYFUNCTION("""COMPUTED_VALUE"""),19.0)</f>
        <v>19</v>
      </c>
      <c r="T1024" s="4"/>
      <c r="U1024" s="4" t="str">
        <f>IFERROR(__xludf.DUMMYFUNCTION("""COMPUTED_VALUE"""),"BAIK")</f>
        <v>BAIK</v>
      </c>
      <c r="V1024" s="4" t="str">
        <f>IFERROR(__xludf.DUMMYFUNCTION("""COMPUTED_VALUE"""),"Tidak Ada")</f>
        <v>Tidak Ada</v>
      </c>
      <c r="W1024" s="4"/>
      <c r="X1024" s="4"/>
      <c r="Y1024" s="4"/>
      <c r="Z1024" s="4"/>
      <c r="AA1024" s="4"/>
      <c r="AB1024" s="4"/>
      <c r="AC1024" s="4" t="str">
        <f>IFERROR(__xludf.DUMMYFUNCTION("""COMPUTED_VALUE"""),"INSPEKSI SUTM - T2_Images/3556542c.FOTO.012412.jpg")</f>
        <v>INSPEKSI SUTM - T2_Images/3556542c.FOTO.012412.jpg</v>
      </c>
      <c r="AD1024" s="4"/>
      <c r="AE1024" s="4"/>
      <c r="AF1024" s="4" t="str">
        <f>IFERROR(__xludf.DUMMYFUNCTION("""COMPUTED_VALUE"""),"BELUM")</f>
        <v>BELUM</v>
      </c>
      <c r="AG1024" s="6">
        <f>IFERROR(__xludf.DUMMYFUNCTION("""COMPUTED_VALUE"""),46108.0)</f>
        <v>46108</v>
      </c>
      <c r="AH1024" s="4"/>
      <c r="AI1024" s="4"/>
    </row>
    <row r="1025" ht="15.75" customHeight="1">
      <c r="A1025" s="4" t="str">
        <f>IFERROR(__xludf.DUMMYFUNCTION("""COMPUTED_VALUE"""),"125719d2")</f>
        <v>125719d2</v>
      </c>
      <c r="B1025" s="5">
        <f>IFERROR(__xludf.DUMMYFUNCTION("""COMPUTED_VALUE"""),46108.89309027778)</f>
        <v>46108.89309</v>
      </c>
      <c r="C1025" s="4" t="str">
        <f>IFERROR(__xludf.DUMMYFUNCTION("""COMPUTED_VALUE"""),"-6.957772, 107.667930")</f>
        <v>-6.957772, 107.667930</v>
      </c>
      <c r="D1025" s="4" t="str">
        <f>IFERROR(__xludf.DUMMYFUNCTION("""COMPUTED_VALUE"""),"Jihsn kiki")</f>
        <v>Jihsn kiki</v>
      </c>
      <c r="E1025" s="4" t="str">
        <f>IFERROR(__xludf.DUMMYFUNCTION("""COMPUTED_VALUE"""),"BANDUNG")</f>
        <v>BANDUNG</v>
      </c>
      <c r="F1025" s="4" t="str">
        <f>IFERROR(__xludf.DUMMYFUNCTION("""COMPUTED_VALUE"""),"CIJAWURA")</f>
        <v>CIJAWURA</v>
      </c>
      <c r="G1025" s="4" t="str">
        <f>IFERROR(__xludf.DUMMYFUNCTION("""COMPUTED_VALUE"""),"GIS KIARACONDONG")</f>
        <v>GIS KIARACONDONG</v>
      </c>
      <c r="H1025" s="4" t="str">
        <f>IFERROR(__xludf.DUMMYFUNCTION("""COMPUTED_VALUE"""),"KCH")</f>
        <v>KCH</v>
      </c>
      <c r="I1025" s="4" t="str">
        <f>IFERROR(__xludf.DUMMYFUNCTION("""COMPUTED_VALUE"""),"KP CIWASTRA - LBS BDLB")</f>
        <v>KP CIWASTRA - LBS BDLB</v>
      </c>
      <c r="J1025" s="4" t="str">
        <f>IFERROR(__xludf.DUMMYFUNCTION("""COMPUTED_VALUE"""),"ZONA 2")</f>
        <v>ZONA 2</v>
      </c>
      <c r="K1025" s="4" t="str">
        <f>IFERROR(__xludf.DUMMYFUNCTION("""COMPUTED_VALUE"""),"014L14")</f>
        <v>014L14</v>
      </c>
      <c r="L1025" s="4" t="str">
        <f>IFERROR(__xludf.DUMMYFUNCTION("""COMPUTED_VALUE"""),"TM - 8B/H (Percabangan)")</f>
        <v>TM - 8B/H (Percabangan)</v>
      </c>
      <c r="M1025" s="4" t="str">
        <f>IFERROR(__xludf.DUMMYFUNCTION("""COMPUTED_VALUE"""),"Tidak Ada")</f>
        <v>Tidak Ada</v>
      </c>
      <c r="N1025" s="4"/>
      <c r="O1025" s="4" t="str">
        <f>IFERROR(__xludf.DUMMYFUNCTION("""COMPUTED_VALUE"""),"PEMBANDING SEJENIS")</f>
        <v>PEMBANDING SEJENIS</v>
      </c>
      <c r="P1025" s="4" t="str">
        <f>IFERROR(__xludf.DUMMYFUNCTION("""COMPUTED_VALUE"""),"KONEKTOR/JUMPER")</f>
        <v>KONEKTOR/JUMPER</v>
      </c>
      <c r="Q1025" s="4">
        <f>IFERROR(__xludf.DUMMYFUNCTION("""COMPUTED_VALUE"""),20.0)</f>
        <v>20</v>
      </c>
      <c r="R1025" s="4">
        <f>IFERROR(__xludf.DUMMYFUNCTION("""COMPUTED_VALUE"""),19.0)</f>
        <v>19</v>
      </c>
      <c r="S1025" s="4">
        <f>IFERROR(__xludf.DUMMYFUNCTION("""COMPUTED_VALUE"""),17.0)</f>
        <v>17</v>
      </c>
      <c r="T1025" s="4"/>
      <c r="U1025" s="4" t="str">
        <f>IFERROR(__xludf.DUMMYFUNCTION("""COMPUTED_VALUE"""),"CUKUP")</f>
        <v>CUKUP</v>
      </c>
      <c r="V1025" s="4" t="str">
        <f>IFERROR(__xludf.DUMMYFUNCTION("""COMPUTED_VALUE"""),"Tidak Ada")</f>
        <v>Tidak Ada</v>
      </c>
      <c r="W1025" s="4"/>
      <c r="X1025" s="4"/>
      <c r="Y1025" s="4"/>
      <c r="Z1025" s="4"/>
      <c r="AA1025" s="4"/>
      <c r="AB1025" s="4"/>
      <c r="AC1025" s="4" t="str">
        <f>IFERROR(__xludf.DUMMYFUNCTION("""COMPUTED_VALUE"""),"INSPEKSI SUTM - T2_Images/125719d2.FOTO.012800.jpg")</f>
        <v>INSPEKSI SUTM - T2_Images/125719d2.FOTO.012800.jpg</v>
      </c>
      <c r="AD1025" s="4"/>
      <c r="AE1025" s="4"/>
      <c r="AF1025" s="4" t="str">
        <f>IFERROR(__xludf.DUMMYFUNCTION("""COMPUTED_VALUE"""),"BELUM")</f>
        <v>BELUM</v>
      </c>
      <c r="AG1025" s="6">
        <f>IFERROR(__xludf.DUMMYFUNCTION("""COMPUTED_VALUE"""),46108.0)</f>
        <v>46108</v>
      </c>
      <c r="AH1025" s="4"/>
      <c r="AI1025" s="4"/>
    </row>
    <row r="1026" ht="15.75" customHeight="1">
      <c r="A1026" s="4" t="str">
        <f>IFERROR(__xludf.DUMMYFUNCTION("""COMPUTED_VALUE"""),"1a75e911")</f>
        <v>1a75e911</v>
      </c>
      <c r="B1026" s="5">
        <f>IFERROR(__xludf.DUMMYFUNCTION("""COMPUTED_VALUE"""),46112.92435185185)</f>
        <v>46112.92435</v>
      </c>
      <c r="C1026" s="4" t="str">
        <f>IFERROR(__xludf.DUMMYFUNCTION("""COMPUTED_VALUE"""),"-6.965156, 107.670084")</f>
        <v>-6.965156, 107.670084</v>
      </c>
      <c r="D1026" s="4" t="str">
        <f>IFERROR(__xludf.DUMMYFUNCTION("""COMPUTED_VALUE"""),"Jihan kiki")</f>
        <v>Jihan kiki</v>
      </c>
      <c r="E1026" s="4" t="str">
        <f>IFERROR(__xludf.DUMMYFUNCTION("""COMPUTED_VALUE"""),"BANDUNG")</f>
        <v>BANDUNG</v>
      </c>
      <c r="F1026" s="4" t="str">
        <f>IFERROR(__xludf.DUMMYFUNCTION("""COMPUTED_VALUE"""),"CIJAWURA")</f>
        <v>CIJAWURA</v>
      </c>
      <c r="G1026" s="4" t="str">
        <f>IFERROR(__xludf.DUMMYFUNCTION("""COMPUTED_VALUE"""),"GIS KIARACONDONG")</f>
        <v>GIS KIARACONDONG</v>
      </c>
      <c r="H1026" s="4" t="str">
        <f>IFERROR(__xludf.DUMMYFUNCTION("""COMPUTED_VALUE"""),"KCH")</f>
        <v>KCH</v>
      </c>
      <c r="I1026" s="4" t="str">
        <f>IFERROR(__xludf.DUMMYFUNCTION("""COMPUTED_VALUE"""),"KP CIWASTRA - LBS BDLB")</f>
        <v>KP CIWASTRA - LBS BDLB</v>
      </c>
      <c r="J1026" s="4" t="str">
        <f>IFERROR(__xludf.DUMMYFUNCTION("""COMPUTED_VALUE"""),"ZONA 2")</f>
        <v>ZONA 2</v>
      </c>
      <c r="K1026" s="4" t="str">
        <f>IFERROR(__xludf.DUMMYFUNCTION("""COMPUTED_VALUE"""),"027R12")</f>
        <v>027R12</v>
      </c>
      <c r="L1026" s="4" t="str">
        <f>IFERROR(__xludf.DUMMYFUNCTION("""COMPUTED_VALUE"""),"TM - 11B/H (Kabel Naik)")</f>
        <v>TM - 11B/H (Kabel Naik)</v>
      </c>
      <c r="M1026" s="4" t="str">
        <f>IFERROR(__xludf.DUMMYFUNCTION("""COMPUTED_VALUE"""),"Tidak Ada")</f>
        <v>Tidak Ada</v>
      </c>
      <c r="N1026" s="4"/>
      <c r="O1026" s="4" t="str">
        <f>IFERROR(__xludf.DUMMYFUNCTION("""COMPUTED_VALUE"""),"PEMBANDING SEJENIS")</f>
        <v>PEMBANDING SEJENIS</v>
      </c>
      <c r="P1026" s="4" t="str">
        <f>IFERROR(__xludf.DUMMYFUNCTION("""COMPUTED_VALUE"""),"KONEKTOR/JUMPER")</f>
        <v>KONEKTOR/JUMPER</v>
      </c>
      <c r="Q1026" s="4">
        <f>IFERROR(__xludf.DUMMYFUNCTION("""COMPUTED_VALUE"""),14.0)</f>
        <v>14</v>
      </c>
      <c r="R1026" s="4">
        <f>IFERROR(__xludf.DUMMYFUNCTION("""COMPUTED_VALUE"""),16.0)</f>
        <v>16</v>
      </c>
      <c r="S1026" s="4">
        <f>IFERROR(__xludf.DUMMYFUNCTION("""COMPUTED_VALUE"""),16.0)</f>
        <v>16</v>
      </c>
      <c r="T1026" s="4"/>
      <c r="U1026" s="4" t="str">
        <f>IFERROR(__xludf.DUMMYFUNCTION("""COMPUTED_VALUE"""),"BAIK")</f>
        <v>BAIK</v>
      </c>
      <c r="V1026" s="4" t="str">
        <f>IFERROR(__xludf.DUMMYFUNCTION("""COMPUTED_VALUE"""),"Tidak Ada")</f>
        <v>Tidak Ada</v>
      </c>
      <c r="W1026" s="4"/>
      <c r="X1026" s="4"/>
      <c r="Y1026" s="4"/>
      <c r="Z1026" s="4"/>
      <c r="AA1026" s="4"/>
      <c r="AB1026" s="4"/>
      <c r="AC1026" s="4" t="str">
        <f>IFERROR(__xludf.DUMMYFUNCTION("""COMPUTED_VALUE"""),"INSPEKSI SUTM - T2_Images/1a75e911.FOTO.141257.jpg")</f>
        <v>INSPEKSI SUTM - T2_Images/1a75e911.FOTO.141257.jpg</v>
      </c>
      <c r="AD1026" s="4"/>
      <c r="AE1026" s="4"/>
      <c r="AF1026" s="4" t="str">
        <f>IFERROR(__xludf.DUMMYFUNCTION("""COMPUTED_VALUE"""),"BELUM")</f>
        <v>BELUM</v>
      </c>
      <c r="AG1026" s="6">
        <f>IFERROR(__xludf.DUMMYFUNCTION("""COMPUTED_VALUE"""),46112.0)</f>
        <v>46112</v>
      </c>
      <c r="AH1026" s="4"/>
      <c r="AI1026" s="4"/>
    </row>
    <row r="1027" ht="15.75" customHeight="1">
      <c r="A1027" s="4" t="str">
        <f>IFERROR(__xludf.DUMMYFUNCTION("""COMPUTED_VALUE"""),"3fb85cd2")</f>
        <v>3fb85cd2</v>
      </c>
      <c r="B1027" s="5">
        <f>IFERROR(__xludf.DUMMYFUNCTION("""COMPUTED_VALUE"""),46112.925671296296)</f>
        <v>46112.92567</v>
      </c>
      <c r="C1027" s="4" t="str">
        <f>IFERROR(__xludf.DUMMYFUNCTION("""COMPUTED_VALUE"""),"-6.964920, 107.670231")</f>
        <v>-6.964920, 107.670231</v>
      </c>
      <c r="D1027" s="4" t="str">
        <f>IFERROR(__xludf.DUMMYFUNCTION("""COMPUTED_VALUE"""),"Jihan kiki")</f>
        <v>Jihan kiki</v>
      </c>
      <c r="E1027" s="4" t="str">
        <f>IFERROR(__xludf.DUMMYFUNCTION("""COMPUTED_VALUE"""),"BANDUNG")</f>
        <v>BANDUNG</v>
      </c>
      <c r="F1027" s="4" t="str">
        <f>IFERROR(__xludf.DUMMYFUNCTION("""COMPUTED_VALUE"""),"CIJAWURA")</f>
        <v>CIJAWURA</v>
      </c>
      <c r="G1027" s="4" t="str">
        <f>IFERROR(__xludf.DUMMYFUNCTION("""COMPUTED_VALUE"""),"GIS KIARACONDONG")</f>
        <v>GIS KIARACONDONG</v>
      </c>
      <c r="H1027" s="4" t="str">
        <f>IFERROR(__xludf.DUMMYFUNCTION("""COMPUTED_VALUE"""),"KCH")</f>
        <v>KCH</v>
      </c>
      <c r="I1027" s="4" t="str">
        <f>IFERROR(__xludf.DUMMYFUNCTION("""COMPUTED_VALUE"""),"KP CIWASTRA - LBS BDLB")</f>
        <v>KP CIWASTRA - LBS BDLB</v>
      </c>
      <c r="J1027" s="4" t="str">
        <f>IFERROR(__xludf.DUMMYFUNCTION("""COMPUTED_VALUE"""),"ZONA 2")</f>
        <v>ZONA 2</v>
      </c>
      <c r="K1027" s="4" t="str">
        <f>IFERROR(__xludf.DUMMYFUNCTION("""COMPUTED_VALUE"""),"027R11")</f>
        <v>027R11</v>
      </c>
      <c r="L1027" s="4" t="str">
        <f>IFERROR(__xludf.DUMMYFUNCTION("""COMPUTED_VALUE"""),"TM - 11B/H (Kabel Naik)")</f>
        <v>TM - 11B/H (Kabel Naik)</v>
      </c>
      <c r="M1027" s="4" t="str">
        <f>IFERROR(__xludf.DUMMYFUNCTION("""COMPUTED_VALUE"""),"Tidak Ada")</f>
        <v>Tidak Ada</v>
      </c>
      <c r="N1027" s="4"/>
      <c r="O1027" s="4" t="str">
        <f>IFERROR(__xludf.DUMMYFUNCTION("""COMPUTED_VALUE"""),"PEMBANDING SEJENIS")</f>
        <v>PEMBANDING SEJENIS</v>
      </c>
      <c r="P1027" s="4" t="str">
        <f>IFERROR(__xludf.DUMMYFUNCTION("""COMPUTED_VALUE"""),"KONEKTOR/JUMPER")</f>
        <v>KONEKTOR/JUMPER</v>
      </c>
      <c r="Q1027" s="4">
        <f>IFERROR(__xludf.DUMMYFUNCTION("""COMPUTED_VALUE"""),20.0)</f>
        <v>20</v>
      </c>
      <c r="R1027" s="4">
        <f>IFERROR(__xludf.DUMMYFUNCTION("""COMPUTED_VALUE"""),20.0)</f>
        <v>20</v>
      </c>
      <c r="S1027" s="4">
        <f>IFERROR(__xludf.DUMMYFUNCTION("""COMPUTED_VALUE"""),19.0)</f>
        <v>19</v>
      </c>
      <c r="T1027" s="4"/>
      <c r="U1027" s="4" t="str">
        <f>IFERROR(__xludf.DUMMYFUNCTION("""COMPUTED_VALUE"""),"BAIK")</f>
        <v>BAIK</v>
      </c>
      <c r="V1027" s="4" t="str">
        <f>IFERROR(__xludf.DUMMYFUNCTION("""COMPUTED_VALUE"""),"Tidak Ada")</f>
        <v>Tidak Ada</v>
      </c>
      <c r="W1027" s="4"/>
      <c r="X1027" s="4"/>
      <c r="Y1027" s="4"/>
      <c r="Z1027" s="4"/>
      <c r="AA1027" s="4"/>
      <c r="AB1027" s="4"/>
      <c r="AC1027" s="4" t="str">
        <f>IFERROR(__xludf.DUMMYFUNCTION("""COMPUTED_VALUE"""),"INSPEKSI SUTM - T2_Images/3fb85cd2.FOTO.141646.jpg")</f>
        <v>INSPEKSI SUTM - T2_Images/3fb85cd2.FOTO.141646.jpg</v>
      </c>
      <c r="AD1027" s="4"/>
      <c r="AE1027" s="4"/>
      <c r="AF1027" s="4" t="str">
        <f>IFERROR(__xludf.DUMMYFUNCTION("""COMPUTED_VALUE"""),"BELUM")</f>
        <v>BELUM</v>
      </c>
      <c r="AG1027" s="6">
        <f>IFERROR(__xludf.DUMMYFUNCTION("""COMPUTED_VALUE"""),46112.0)</f>
        <v>46112</v>
      </c>
      <c r="AH1027" s="4"/>
      <c r="AI1027" s="4"/>
    </row>
    <row r="1028" ht="15.75" customHeight="1">
      <c r="A1028" s="4" t="str">
        <f>IFERROR(__xludf.DUMMYFUNCTION("""COMPUTED_VALUE"""),"88d78830")</f>
        <v>88d78830</v>
      </c>
      <c r="B1028" s="5">
        <f>IFERROR(__xludf.DUMMYFUNCTION("""COMPUTED_VALUE"""),46112.934328703705)</f>
        <v>46112.93433</v>
      </c>
      <c r="C1028" s="4" t="str">
        <f>IFERROR(__xludf.DUMMYFUNCTION("""COMPUTED_VALUE"""),"-6.962267, 107.671082")</f>
        <v>-6.962267, 107.671082</v>
      </c>
      <c r="D1028" s="4" t="str">
        <f>IFERROR(__xludf.DUMMYFUNCTION("""COMPUTED_VALUE"""),"Jihan kiki")</f>
        <v>Jihan kiki</v>
      </c>
      <c r="E1028" s="4" t="str">
        <f>IFERROR(__xludf.DUMMYFUNCTION("""COMPUTED_VALUE"""),"BANDUNG")</f>
        <v>BANDUNG</v>
      </c>
      <c r="F1028" s="4" t="str">
        <f>IFERROR(__xludf.DUMMYFUNCTION("""COMPUTED_VALUE"""),"CIJAWURA")</f>
        <v>CIJAWURA</v>
      </c>
      <c r="G1028" s="4" t="str">
        <f>IFERROR(__xludf.DUMMYFUNCTION("""COMPUTED_VALUE"""),"GIS KIARACONDONG")</f>
        <v>GIS KIARACONDONG</v>
      </c>
      <c r="H1028" s="4" t="str">
        <f>IFERROR(__xludf.DUMMYFUNCTION("""COMPUTED_VALUE"""),"KCH")</f>
        <v>KCH</v>
      </c>
      <c r="I1028" s="4" t="str">
        <f>IFERROR(__xludf.DUMMYFUNCTION("""COMPUTED_VALUE"""),"KP CIWASTRA - LBS BDLB")</f>
        <v>KP CIWASTRA - LBS BDLB</v>
      </c>
      <c r="J1028" s="4" t="str">
        <f>IFERROR(__xludf.DUMMYFUNCTION("""COMPUTED_VALUE"""),"ZONA 2")</f>
        <v>ZONA 2</v>
      </c>
      <c r="K1028" s="4" t="str">
        <f>IFERROR(__xludf.DUMMYFUNCTION("""COMPUTED_VALUE"""),"027R01")</f>
        <v>027R01</v>
      </c>
      <c r="L1028" s="4" t="str">
        <f>IFERROR(__xludf.DUMMYFUNCTION("""COMPUTED_VALUE"""),"TM - 11B/H (Kabel Naik)")</f>
        <v>TM - 11B/H (Kabel Naik)</v>
      </c>
      <c r="M1028" s="4" t="str">
        <f>IFERROR(__xludf.DUMMYFUNCTION("""COMPUTED_VALUE"""),"Tidak Ada")</f>
        <v>Tidak Ada</v>
      </c>
      <c r="N1028" s="4"/>
      <c r="O1028" s="4" t="str">
        <f>IFERROR(__xludf.DUMMYFUNCTION("""COMPUTED_VALUE"""),"PEMBANDING SEJENIS")</f>
        <v>PEMBANDING SEJENIS</v>
      </c>
      <c r="P1028" s="4" t="str">
        <f>IFERROR(__xludf.DUMMYFUNCTION("""COMPUTED_VALUE"""),"TERMINASI")</f>
        <v>TERMINASI</v>
      </c>
      <c r="Q1028" s="4">
        <f>IFERROR(__xludf.DUMMYFUNCTION("""COMPUTED_VALUE"""),20.0)</f>
        <v>20</v>
      </c>
      <c r="R1028" s="4">
        <f>IFERROR(__xludf.DUMMYFUNCTION("""COMPUTED_VALUE"""),19.0)</f>
        <v>19</v>
      </c>
      <c r="S1028" s="4">
        <f>IFERROR(__xludf.DUMMYFUNCTION("""COMPUTED_VALUE"""),19.0)</f>
        <v>19</v>
      </c>
      <c r="T1028" s="4"/>
      <c r="U1028" s="4" t="str">
        <f>IFERROR(__xludf.DUMMYFUNCTION("""COMPUTED_VALUE"""),"BAIK")</f>
        <v>BAIK</v>
      </c>
      <c r="V1028" s="4" t="str">
        <f>IFERROR(__xludf.DUMMYFUNCTION("""COMPUTED_VALUE"""),"Tidak Ada")</f>
        <v>Tidak Ada</v>
      </c>
      <c r="W1028" s="4"/>
      <c r="X1028" s="4"/>
      <c r="Y1028" s="4"/>
      <c r="Z1028" s="4"/>
      <c r="AA1028" s="4"/>
      <c r="AB1028" s="4"/>
      <c r="AC1028" s="4" t="str">
        <f>IFERROR(__xludf.DUMMYFUNCTION("""COMPUTED_VALUE"""),"INSPEKSI SUTM - T2_Images/88d78830.FOTO.142753.jpg")</f>
        <v>INSPEKSI SUTM - T2_Images/88d78830.FOTO.142753.jpg</v>
      </c>
      <c r="AD1028" s="4"/>
      <c r="AE1028" s="4"/>
      <c r="AF1028" s="4" t="str">
        <f>IFERROR(__xludf.DUMMYFUNCTION("""COMPUTED_VALUE"""),"BELUM")</f>
        <v>BELUM</v>
      </c>
      <c r="AG1028" s="6">
        <f>IFERROR(__xludf.DUMMYFUNCTION("""COMPUTED_VALUE"""),46112.0)</f>
        <v>46112</v>
      </c>
      <c r="AH1028" s="4"/>
      <c r="AI1028" s="4"/>
    </row>
    <row r="1029" ht="15.75" customHeight="1">
      <c r="A1029" s="4" t="str">
        <f>IFERROR(__xludf.DUMMYFUNCTION("""COMPUTED_VALUE"""),"265cc176")</f>
        <v>265cc176</v>
      </c>
      <c r="B1029" s="5">
        <f>IFERROR(__xludf.DUMMYFUNCTION("""COMPUTED_VALUE"""),46112.94267361111)</f>
        <v>46112.94267</v>
      </c>
      <c r="C1029" s="4" t="str">
        <f>IFERROR(__xludf.DUMMYFUNCTION("""COMPUTED_VALUE"""),"-6.955303, 107.671015")</f>
        <v>-6.955303, 107.671015</v>
      </c>
      <c r="D1029" s="4" t="str">
        <f>IFERROR(__xludf.DUMMYFUNCTION("""COMPUTED_VALUE"""),"Jihan kiki")</f>
        <v>Jihan kiki</v>
      </c>
      <c r="E1029" s="4" t="str">
        <f>IFERROR(__xludf.DUMMYFUNCTION("""COMPUTED_VALUE"""),"BANDUNG")</f>
        <v>BANDUNG</v>
      </c>
      <c r="F1029" s="4" t="str">
        <f>IFERROR(__xludf.DUMMYFUNCTION("""COMPUTED_VALUE"""),"CIJAWURA")</f>
        <v>CIJAWURA</v>
      </c>
      <c r="G1029" s="4" t="str">
        <f>IFERROR(__xludf.DUMMYFUNCTION("""COMPUTED_VALUE"""),"GIS KIARACONDONG")</f>
        <v>GIS KIARACONDONG</v>
      </c>
      <c r="H1029" s="4" t="str">
        <f>IFERROR(__xludf.DUMMYFUNCTION("""COMPUTED_VALUE"""),"KCH")</f>
        <v>KCH</v>
      </c>
      <c r="I1029" s="4" t="str">
        <f>IFERROR(__xludf.DUMMYFUNCTION("""COMPUTED_VALUE"""),"KP CIWASTRA - LBS BDLB")</f>
        <v>KP CIWASTRA - LBS BDLB</v>
      </c>
      <c r="J1029" s="4" t="str">
        <f>IFERROR(__xludf.DUMMYFUNCTION("""COMPUTED_VALUE"""),"ZONA 2")</f>
        <v>ZONA 2</v>
      </c>
      <c r="K1029" s="4" t="str">
        <f>IFERROR(__xludf.DUMMYFUNCTION("""COMPUTED_VALUE"""),"027L22")</f>
        <v>027L22</v>
      </c>
      <c r="L1029" s="4" t="str">
        <f>IFERROR(__xludf.DUMMYFUNCTION("""COMPUTED_VALUE"""),"TM - 8B/H (Percabangan)")</f>
        <v>TM - 8B/H (Percabangan)</v>
      </c>
      <c r="M1029" s="4" t="str">
        <f>IFERROR(__xludf.DUMMYFUNCTION("""COMPUTED_VALUE"""),"Tidak Ada")</f>
        <v>Tidak Ada</v>
      </c>
      <c r="N1029" s="4"/>
      <c r="O1029" s="4" t="str">
        <f>IFERROR(__xludf.DUMMYFUNCTION("""COMPUTED_VALUE"""),"PEMBANDING SEJENIS")</f>
        <v>PEMBANDING SEJENIS</v>
      </c>
      <c r="P1029" s="4" t="str">
        <f>IFERROR(__xludf.DUMMYFUNCTION("""COMPUTED_VALUE"""),"KONEKTOR/JUMPER")</f>
        <v>KONEKTOR/JUMPER</v>
      </c>
      <c r="Q1029" s="4">
        <f>IFERROR(__xludf.DUMMYFUNCTION("""COMPUTED_VALUE"""),18.0)</f>
        <v>18</v>
      </c>
      <c r="R1029" s="4">
        <f>IFERROR(__xludf.DUMMYFUNCTION("""COMPUTED_VALUE"""),15.0)</f>
        <v>15</v>
      </c>
      <c r="S1029" s="4">
        <f>IFERROR(__xludf.DUMMYFUNCTION("""COMPUTED_VALUE"""),15.0)</f>
        <v>15</v>
      </c>
      <c r="T1029" s="4"/>
      <c r="U1029" s="4" t="str">
        <f>IFERROR(__xludf.DUMMYFUNCTION("""COMPUTED_VALUE"""),"CUKUP")</f>
        <v>CUKUP</v>
      </c>
      <c r="V1029" s="4" t="str">
        <f>IFERROR(__xludf.DUMMYFUNCTION("""COMPUTED_VALUE"""),"Tidak Ada")</f>
        <v>Tidak Ada</v>
      </c>
      <c r="W1029" s="4"/>
      <c r="X1029" s="4"/>
      <c r="Y1029" s="4"/>
      <c r="Z1029" s="4"/>
      <c r="AA1029" s="4"/>
      <c r="AB1029" s="4"/>
      <c r="AC1029" s="4" t="str">
        <f>IFERROR(__xludf.DUMMYFUNCTION("""COMPUTED_VALUE"""),"INSPEKSI SUTM - T2_Images/265cc176.FOTO.143922.jpg")</f>
        <v>INSPEKSI SUTM - T2_Images/265cc176.FOTO.143922.jpg</v>
      </c>
      <c r="AD1029" s="4"/>
      <c r="AE1029" s="4"/>
      <c r="AF1029" s="4" t="str">
        <f>IFERROR(__xludf.DUMMYFUNCTION("""COMPUTED_VALUE"""),"BELUM")</f>
        <v>BELUM</v>
      </c>
      <c r="AG1029" s="6">
        <f>IFERROR(__xludf.DUMMYFUNCTION("""COMPUTED_VALUE"""),46112.0)</f>
        <v>46112</v>
      </c>
      <c r="AH1029" s="4"/>
      <c r="AI1029" s="4"/>
    </row>
    <row r="1030" ht="15.75" customHeight="1">
      <c r="A1030" s="4" t="str">
        <f>IFERROR(__xludf.DUMMYFUNCTION("""COMPUTED_VALUE"""),"8d2e1816")</f>
        <v>8d2e1816</v>
      </c>
      <c r="B1030" s="5">
        <f>IFERROR(__xludf.DUMMYFUNCTION("""COMPUTED_VALUE"""),46112.94974537037)</f>
        <v>46112.94975</v>
      </c>
      <c r="C1030" s="4" t="str">
        <f>IFERROR(__xludf.DUMMYFUNCTION("""COMPUTED_VALUE"""),"-6.957610, 107.668279")</f>
        <v>-6.957610, 107.668279</v>
      </c>
      <c r="D1030" s="4" t="str">
        <f>IFERROR(__xludf.DUMMYFUNCTION("""COMPUTED_VALUE"""),"Jihan kiki")</f>
        <v>Jihan kiki</v>
      </c>
      <c r="E1030" s="4" t="str">
        <f>IFERROR(__xludf.DUMMYFUNCTION("""COMPUTED_VALUE"""),"BANDUNG")</f>
        <v>BANDUNG</v>
      </c>
      <c r="F1030" s="4" t="str">
        <f>IFERROR(__xludf.DUMMYFUNCTION("""COMPUTED_VALUE"""),"CIJAWURA")</f>
        <v>CIJAWURA</v>
      </c>
      <c r="G1030" s="4" t="str">
        <f>IFERROR(__xludf.DUMMYFUNCTION("""COMPUTED_VALUE"""),"GIS KIARACONDONG")</f>
        <v>GIS KIARACONDONG</v>
      </c>
      <c r="H1030" s="4" t="str">
        <f>IFERROR(__xludf.DUMMYFUNCTION("""COMPUTED_VALUE"""),"KCH")</f>
        <v>KCH</v>
      </c>
      <c r="I1030" s="4" t="str">
        <f>IFERROR(__xludf.DUMMYFUNCTION("""COMPUTED_VALUE"""),"KP CIWASTRA - LBS BDLB")</f>
        <v>KP CIWASTRA - LBS BDLB</v>
      </c>
      <c r="J1030" s="4" t="str">
        <f>IFERROR(__xludf.DUMMYFUNCTION("""COMPUTED_VALUE"""),"ZONA 2")</f>
        <v>ZONA 2</v>
      </c>
      <c r="K1030" s="4" t="str">
        <f>IFERROR(__xludf.DUMMYFUNCTION("""COMPUTED_VALUE"""),"014L16")</f>
        <v>014L16</v>
      </c>
      <c r="L1030" s="4" t="str">
        <f>IFERROR(__xludf.DUMMYFUNCTION("""COMPUTED_VALUE"""),"TM - 7B/H (Afspan 90 Derajat)")</f>
        <v>TM - 7B/H (Afspan 90 Derajat)</v>
      </c>
      <c r="M1030" s="4" t="str">
        <f>IFERROR(__xludf.DUMMYFUNCTION("""COMPUTED_VALUE"""),"Tidak Ada")</f>
        <v>Tidak Ada</v>
      </c>
      <c r="N1030" s="4"/>
      <c r="O1030" s="4" t="str">
        <f>IFERROR(__xludf.DUMMYFUNCTION("""COMPUTED_VALUE"""),"PEMBANDING SEJENIS")</f>
        <v>PEMBANDING SEJENIS</v>
      </c>
      <c r="P1030" s="4" t="str">
        <f>IFERROR(__xludf.DUMMYFUNCTION("""COMPUTED_VALUE"""),"KONEKTOR/JUMPER")</f>
        <v>KONEKTOR/JUMPER</v>
      </c>
      <c r="Q1030" s="4">
        <f>IFERROR(__xludf.DUMMYFUNCTION("""COMPUTED_VALUE"""),18.0)</f>
        <v>18</v>
      </c>
      <c r="R1030" s="4">
        <f>IFERROR(__xludf.DUMMYFUNCTION("""COMPUTED_VALUE"""),20.0)</f>
        <v>20</v>
      </c>
      <c r="S1030" s="4">
        <f>IFERROR(__xludf.DUMMYFUNCTION("""COMPUTED_VALUE"""),20.0)</f>
        <v>20</v>
      </c>
      <c r="T1030" s="4"/>
      <c r="U1030" s="4" t="str">
        <f>IFERROR(__xludf.DUMMYFUNCTION("""COMPUTED_VALUE"""),"BAIK")</f>
        <v>BAIK</v>
      </c>
      <c r="V1030" s="4" t="str">
        <f>IFERROR(__xludf.DUMMYFUNCTION("""COMPUTED_VALUE"""),"Tidak Ada")</f>
        <v>Tidak Ada</v>
      </c>
      <c r="W1030" s="4"/>
      <c r="X1030" s="4"/>
      <c r="Y1030" s="4"/>
      <c r="Z1030" s="4"/>
      <c r="AA1030" s="4"/>
      <c r="AB1030" s="4"/>
      <c r="AC1030" s="4" t="str">
        <f>IFERROR(__xludf.DUMMYFUNCTION("""COMPUTED_VALUE"""),"INSPEKSI SUTM - T2_Images/8d2e1816.FOTO.145025.jpg")</f>
        <v>INSPEKSI SUTM - T2_Images/8d2e1816.FOTO.145025.jpg</v>
      </c>
      <c r="AD1030" s="4"/>
      <c r="AE1030" s="4"/>
      <c r="AF1030" s="4" t="str">
        <f>IFERROR(__xludf.DUMMYFUNCTION("""COMPUTED_VALUE"""),"BELUM")</f>
        <v>BELUM</v>
      </c>
      <c r="AG1030" s="6">
        <f>IFERROR(__xludf.DUMMYFUNCTION("""COMPUTED_VALUE"""),46112.0)</f>
        <v>46112</v>
      </c>
      <c r="AH1030" s="4"/>
      <c r="AI1030" s="4"/>
    </row>
    <row r="1031" ht="15.75" customHeight="1">
      <c r="A1031" s="4" t="str">
        <f>IFERROR(__xludf.DUMMYFUNCTION("""COMPUTED_VALUE"""),"543511cf")</f>
        <v>543511cf</v>
      </c>
      <c r="B1031" s="5">
        <f>IFERROR(__xludf.DUMMYFUNCTION("""COMPUTED_VALUE"""),46112.97179398148)</f>
        <v>46112.97179</v>
      </c>
      <c r="C1031" s="4" t="str">
        <f>IFERROR(__xludf.DUMMYFUNCTION("""COMPUTED_VALUE"""),"-6.961279, 107.667260")</f>
        <v>-6.961279, 107.667260</v>
      </c>
      <c r="D1031" s="4" t="str">
        <f>IFERROR(__xludf.DUMMYFUNCTION("""COMPUTED_VALUE"""),"Jihan kiki")</f>
        <v>Jihan kiki</v>
      </c>
      <c r="E1031" s="4" t="str">
        <f>IFERROR(__xludf.DUMMYFUNCTION("""COMPUTED_VALUE"""),"BANDUNG")</f>
        <v>BANDUNG</v>
      </c>
      <c r="F1031" s="4" t="str">
        <f>IFERROR(__xludf.DUMMYFUNCTION("""COMPUTED_VALUE"""),"CIJAWURA")</f>
        <v>CIJAWURA</v>
      </c>
      <c r="G1031" s="4" t="str">
        <f>IFERROR(__xludf.DUMMYFUNCTION("""COMPUTED_VALUE"""),"GIS KIARACONDONG")</f>
        <v>GIS KIARACONDONG</v>
      </c>
      <c r="H1031" s="4" t="str">
        <f>IFERROR(__xludf.DUMMYFUNCTION("""COMPUTED_VALUE"""),"KCH")</f>
        <v>KCH</v>
      </c>
      <c r="I1031" s="4" t="str">
        <f>IFERROR(__xludf.DUMMYFUNCTION("""COMPUTED_VALUE"""),"KP CIWASTRA - LBS BDLB")</f>
        <v>KP CIWASTRA - LBS BDLB</v>
      </c>
      <c r="J1031" s="4" t="str">
        <f>IFERROR(__xludf.DUMMYFUNCTION("""COMPUTED_VALUE"""),"ZONA 2")</f>
        <v>ZONA 2</v>
      </c>
      <c r="K1031" s="4" t="str">
        <f>IFERROR(__xludf.DUMMYFUNCTION("""COMPUTED_VALUE"""),"015")</f>
        <v>015</v>
      </c>
      <c r="L1031" s="4" t="str">
        <f>IFERROR(__xludf.DUMMYFUNCTION("""COMPUTED_VALUE"""),"TM - 8B/H (Percabangan)")</f>
        <v>TM - 8B/H (Percabangan)</v>
      </c>
      <c r="M1031" s="4" t="str">
        <f>IFERROR(__xludf.DUMMYFUNCTION("""COMPUTED_VALUE"""),"Tidak Ada")</f>
        <v>Tidak Ada</v>
      </c>
      <c r="N1031" s="4"/>
      <c r="O1031" s="4" t="str">
        <f>IFERROR(__xludf.DUMMYFUNCTION("""COMPUTED_VALUE"""),"PEMBANDING SEJENIS")</f>
        <v>PEMBANDING SEJENIS</v>
      </c>
      <c r="P1031" s="4" t="str">
        <f>IFERROR(__xludf.DUMMYFUNCTION("""COMPUTED_VALUE"""),"FCO")</f>
        <v>FCO</v>
      </c>
      <c r="Q1031" s="4">
        <f>IFERROR(__xludf.DUMMYFUNCTION("""COMPUTED_VALUE"""),21.0)</f>
        <v>21</v>
      </c>
      <c r="R1031" s="4">
        <f>IFERROR(__xludf.DUMMYFUNCTION("""COMPUTED_VALUE"""),22.0)</f>
        <v>22</v>
      </c>
      <c r="S1031" s="4">
        <f>IFERROR(__xludf.DUMMYFUNCTION("""COMPUTED_VALUE"""),21.0)</f>
        <v>21</v>
      </c>
      <c r="T1031" s="4"/>
      <c r="U1031" s="4" t="str">
        <f>IFERROR(__xludf.DUMMYFUNCTION("""COMPUTED_VALUE"""),"BAIK")</f>
        <v>BAIK</v>
      </c>
      <c r="V1031" s="4" t="str">
        <f>IFERROR(__xludf.DUMMYFUNCTION("""COMPUTED_VALUE"""),"Tidak Ada")</f>
        <v>Tidak Ada</v>
      </c>
      <c r="W1031" s="4"/>
      <c r="X1031" s="4"/>
      <c r="Y1031" s="4"/>
      <c r="Z1031" s="4"/>
      <c r="AA1031" s="4"/>
      <c r="AB1031" s="4"/>
      <c r="AC1031" s="4" t="str">
        <f>IFERROR(__xludf.DUMMYFUNCTION("""COMPUTED_VALUE"""),"INSPEKSI SUTM - T2_Images/543511cf.FOTO.152129.jpg")</f>
        <v>INSPEKSI SUTM - T2_Images/543511cf.FOTO.152129.jpg</v>
      </c>
      <c r="AD1031" s="4"/>
      <c r="AE1031" s="4"/>
      <c r="AF1031" s="4" t="str">
        <f>IFERROR(__xludf.DUMMYFUNCTION("""COMPUTED_VALUE"""),"BELUM")</f>
        <v>BELUM</v>
      </c>
      <c r="AG1031" s="6">
        <f>IFERROR(__xludf.DUMMYFUNCTION("""COMPUTED_VALUE"""),46112.0)</f>
        <v>46112</v>
      </c>
      <c r="AH1031" s="4"/>
      <c r="AI1031" s="4"/>
    </row>
    <row r="1032" ht="15.75" customHeight="1">
      <c r="A1032" s="4" t="str">
        <f>IFERROR(__xludf.DUMMYFUNCTION("""COMPUTED_VALUE"""),"f429148b")</f>
        <v>f429148b</v>
      </c>
      <c r="B1032" s="5">
        <f>IFERROR(__xludf.DUMMYFUNCTION("""COMPUTED_VALUE"""),46112.973599537036)</f>
        <v>46112.9736</v>
      </c>
      <c r="C1032" s="4" t="str">
        <f>IFERROR(__xludf.DUMMYFUNCTION("""COMPUTED_VALUE"""),"-6.963745, 107.666755")</f>
        <v>-6.963745, 107.666755</v>
      </c>
      <c r="D1032" s="4" t="str">
        <f>IFERROR(__xludf.DUMMYFUNCTION("""COMPUTED_VALUE"""),"Jihan kiki")</f>
        <v>Jihan kiki</v>
      </c>
      <c r="E1032" s="4" t="str">
        <f>IFERROR(__xludf.DUMMYFUNCTION("""COMPUTED_VALUE"""),"BANDUNG")</f>
        <v>BANDUNG</v>
      </c>
      <c r="F1032" s="4" t="str">
        <f>IFERROR(__xludf.DUMMYFUNCTION("""COMPUTED_VALUE"""),"CIJAWURA")</f>
        <v>CIJAWURA</v>
      </c>
      <c r="G1032" s="4" t="str">
        <f>IFERROR(__xludf.DUMMYFUNCTION("""COMPUTED_VALUE"""),"GIS KIARACONDONG")</f>
        <v>GIS KIARACONDONG</v>
      </c>
      <c r="H1032" s="4" t="str">
        <f>IFERROR(__xludf.DUMMYFUNCTION("""COMPUTED_VALUE"""),"KCH")</f>
        <v>KCH</v>
      </c>
      <c r="I1032" s="4" t="str">
        <f>IFERROR(__xludf.DUMMYFUNCTION("""COMPUTED_VALUE"""),"KP CIWASTRA - LBS BDLB")</f>
        <v>KP CIWASTRA - LBS BDLB</v>
      </c>
      <c r="J1032" s="4" t="str">
        <f>IFERROR(__xludf.DUMMYFUNCTION("""COMPUTED_VALUE"""),"ZONA 2")</f>
        <v>ZONA 2</v>
      </c>
      <c r="K1032" s="4" t="str">
        <f>IFERROR(__xludf.DUMMYFUNCTION("""COMPUTED_VALUE"""),"015R06")</f>
        <v>015R06</v>
      </c>
      <c r="L1032" s="4" t="str">
        <f>IFERROR(__xludf.DUMMYFUNCTION("""COMPUTED_VALUE"""),"TM - 8B/H (Percabangan)")</f>
        <v>TM - 8B/H (Percabangan)</v>
      </c>
      <c r="M1032" s="4" t="str">
        <f>IFERROR(__xludf.DUMMYFUNCTION("""COMPUTED_VALUE"""),"Tidak Ada")</f>
        <v>Tidak Ada</v>
      </c>
      <c r="N1032" s="4"/>
      <c r="O1032" s="4" t="str">
        <f>IFERROR(__xludf.DUMMYFUNCTION("""COMPUTED_VALUE"""),"PEMBANDING SEJENIS")</f>
        <v>PEMBANDING SEJENIS</v>
      </c>
      <c r="P1032" s="4" t="str">
        <f>IFERROR(__xludf.DUMMYFUNCTION("""COMPUTED_VALUE"""),"KONEKTOR/JUMPER")</f>
        <v>KONEKTOR/JUMPER</v>
      </c>
      <c r="Q1032" s="4">
        <f>IFERROR(__xludf.DUMMYFUNCTION("""COMPUTED_VALUE"""),18.0)</f>
        <v>18</v>
      </c>
      <c r="R1032" s="4">
        <f>IFERROR(__xludf.DUMMYFUNCTION("""COMPUTED_VALUE"""),22.0)</f>
        <v>22</v>
      </c>
      <c r="S1032" s="4">
        <f>IFERROR(__xludf.DUMMYFUNCTION("""COMPUTED_VALUE"""),19.0)</f>
        <v>19</v>
      </c>
      <c r="T1032" s="4"/>
      <c r="U1032" s="4" t="str">
        <f>IFERROR(__xludf.DUMMYFUNCTION("""COMPUTED_VALUE"""),"CUKUP")</f>
        <v>CUKUP</v>
      </c>
      <c r="V1032" s="4" t="str">
        <f>IFERROR(__xludf.DUMMYFUNCTION("""COMPUTED_VALUE"""),"Tidak Ada")</f>
        <v>Tidak Ada</v>
      </c>
      <c r="W1032" s="4"/>
      <c r="X1032" s="4"/>
      <c r="Y1032" s="4"/>
      <c r="Z1032" s="4"/>
      <c r="AA1032" s="4"/>
      <c r="AB1032" s="4"/>
      <c r="AC1032" s="4" t="str">
        <f>IFERROR(__xludf.DUMMYFUNCTION("""COMPUTED_VALUE"""),"INSPEKSI SUTM - T2_Images/f429148b.FOTO.152455.jpg")</f>
        <v>INSPEKSI SUTM - T2_Images/f429148b.FOTO.152455.jpg</v>
      </c>
      <c r="AD1032" s="4"/>
      <c r="AE1032" s="4"/>
      <c r="AF1032" s="4" t="str">
        <f>IFERROR(__xludf.DUMMYFUNCTION("""COMPUTED_VALUE"""),"BELUM")</f>
        <v>BELUM</v>
      </c>
      <c r="AG1032" s="6">
        <f>IFERROR(__xludf.DUMMYFUNCTION("""COMPUTED_VALUE"""),46112.0)</f>
        <v>46112</v>
      </c>
      <c r="AH1032" s="4"/>
      <c r="AI1032" s="4"/>
    </row>
    <row r="1033" ht="15.75" customHeight="1">
      <c r="A1033" s="4" t="str">
        <f>IFERROR(__xludf.DUMMYFUNCTION("""COMPUTED_VALUE"""),"755a61ca")</f>
        <v>755a61ca</v>
      </c>
      <c r="B1033" s="5">
        <f>IFERROR(__xludf.DUMMYFUNCTION("""COMPUTED_VALUE"""),46112.97582175926)</f>
        <v>46112.97582</v>
      </c>
      <c r="C1033" s="4" t="str">
        <f>IFERROR(__xludf.DUMMYFUNCTION("""COMPUTED_VALUE"""),"-6.964317, 107.666545")</f>
        <v>-6.964317, 107.666545</v>
      </c>
      <c r="D1033" s="4" t="str">
        <f>IFERROR(__xludf.DUMMYFUNCTION("""COMPUTED_VALUE"""),"Jihan kiki")</f>
        <v>Jihan kiki</v>
      </c>
      <c r="E1033" s="4" t="str">
        <f>IFERROR(__xludf.DUMMYFUNCTION("""COMPUTED_VALUE"""),"BANDUNG")</f>
        <v>BANDUNG</v>
      </c>
      <c r="F1033" s="4" t="str">
        <f>IFERROR(__xludf.DUMMYFUNCTION("""COMPUTED_VALUE"""),"CIJAWURA")</f>
        <v>CIJAWURA</v>
      </c>
      <c r="G1033" s="4" t="str">
        <f>IFERROR(__xludf.DUMMYFUNCTION("""COMPUTED_VALUE"""),"GIS KIARACONDONG")</f>
        <v>GIS KIARACONDONG</v>
      </c>
      <c r="H1033" s="4" t="str">
        <f>IFERROR(__xludf.DUMMYFUNCTION("""COMPUTED_VALUE"""),"KCH")</f>
        <v>KCH</v>
      </c>
      <c r="I1033" s="4" t="str">
        <f>IFERROR(__xludf.DUMMYFUNCTION("""COMPUTED_VALUE"""),"KP CIWASTRA - LBS BDLB")</f>
        <v>KP CIWASTRA - LBS BDLB</v>
      </c>
      <c r="J1033" s="4" t="str">
        <f>IFERROR(__xludf.DUMMYFUNCTION("""COMPUTED_VALUE"""),"ZONA 2")</f>
        <v>ZONA 2</v>
      </c>
      <c r="K1033" s="4" t="str">
        <f>IFERROR(__xludf.DUMMYFUNCTION("""COMPUTED_VALUE"""),"015R09")</f>
        <v>015R09</v>
      </c>
      <c r="L1033" s="4" t="str">
        <f>IFERROR(__xludf.DUMMYFUNCTION("""COMPUTED_VALUE"""),"TM - 7B/H (Afspan 90 Derajat)")</f>
        <v>TM - 7B/H (Afspan 90 Derajat)</v>
      </c>
      <c r="M1033" s="4" t="str">
        <f>IFERROR(__xludf.DUMMYFUNCTION("""COMPUTED_VALUE"""),"Tidak Ada")</f>
        <v>Tidak Ada</v>
      </c>
      <c r="N1033" s="4"/>
      <c r="O1033" s="4" t="str">
        <f>IFERROR(__xludf.DUMMYFUNCTION("""COMPUTED_VALUE"""),"PEMBANDING SEJENIS")</f>
        <v>PEMBANDING SEJENIS</v>
      </c>
      <c r="P1033" s="4" t="str">
        <f>IFERROR(__xludf.DUMMYFUNCTION("""COMPUTED_VALUE"""),"KONEKTOR/JUMPER")</f>
        <v>KONEKTOR/JUMPER</v>
      </c>
      <c r="Q1033" s="4">
        <f>IFERROR(__xludf.DUMMYFUNCTION("""COMPUTED_VALUE"""),21.0)</f>
        <v>21</v>
      </c>
      <c r="R1033" s="4">
        <f>IFERROR(__xludf.DUMMYFUNCTION("""COMPUTED_VALUE"""),20.0)</f>
        <v>20</v>
      </c>
      <c r="S1033" s="4">
        <f>IFERROR(__xludf.DUMMYFUNCTION("""COMPUTED_VALUE"""),22.0)</f>
        <v>22</v>
      </c>
      <c r="T1033" s="4"/>
      <c r="U1033" s="4" t="str">
        <f>IFERROR(__xludf.DUMMYFUNCTION("""COMPUTED_VALUE"""),"BAIK")</f>
        <v>BAIK</v>
      </c>
      <c r="V1033" s="4" t="str">
        <f>IFERROR(__xludf.DUMMYFUNCTION("""COMPUTED_VALUE"""),"Tidak Ada")</f>
        <v>Tidak Ada</v>
      </c>
      <c r="W1033" s="4"/>
      <c r="X1033" s="4"/>
      <c r="Y1033" s="4"/>
      <c r="Z1033" s="4"/>
      <c r="AA1033" s="4"/>
      <c r="AB1033" s="4"/>
      <c r="AC1033" s="4" t="str">
        <f>IFERROR(__xludf.DUMMYFUNCTION("""COMPUTED_VALUE"""),"INSPEKSI SUTM - T2_Images/755a61ca.FOTO.152642.jpg")</f>
        <v>INSPEKSI SUTM - T2_Images/755a61ca.FOTO.152642.jpg</v>
      </c>
      <c r="AD1033" s="4"/>
      <c r="AE1033" s="4"/>
      <c r="AF1033" s="4" t="str">
        <f>IFERROR(__xludf.DUMMYFUNCTION("""COMPUTED_VALUE"""),"BELUM")</f>
        <v>BELUM</v>
      </c>
      <c r="AG1033" s="6">
        <f>IFERROR(__xludf.DUMMYFUNCTION("""COMPUTED_VALUE"""),46112.0)</f>
        <v>46112</v>
      </c>
      <c r="AH1033" s="4"/>
      <c r="AI1033" s="4"/>
    </row>
    <row r="1034" ht="15.75" customHeight="1">
      <c r="A1034" s="4" t="str">
        <f>IFERROR(__xludf.DUMMYFUNCTION("""COMPUTED_VALUE"""),"d5a1586c")</f>
        <v>d5a1586c</v>
      </c>
      <c r="B1034" s="5">
        <f>IFERROR(__xludf.DUMMYFUNCTION("""COMPUTED_VALUE"""),46112.97789351852)</f>
        <v>46112.97789</v>
      </c>
      <c r="C1034" s="4" t="str">
        <f>IFERROR(__xludf.DUMMYFUNCTION("""COMPUTED_VALUE"""),"-6.964064, 107.664866")</f>
        <v>-6.964064, 107.664866</v>
      </c>
      <c r="D1034" s="4" t="str">
        <f>IFERROR(__xludf.DUMMYFUNCTION("""COMPUTED_VALUE"""),"Jihan kiki")</f>
        <v>Jihan kiki</v>
      </c>
      <c r="E1034" s="4" t="str">
        <f>IFERROR(__xludf.DUMMYFUNCTION("""COMPUTED_VALUE"""),"BANDUNG")</f>
        <v>BANDUNG</v>
      </c>
      <c r="F1034" s="4" t="str">
        <f>IFERROR(__xludf.DUMMYFUNCTION("""COMPUTED_VALUE"""),"CIJAWURA")</f>
        <v>CIJAWURA</v>
      </c>
      <c r="G1034" s="4" t="str">
        <f>IFERROR(__xludf.DUMMYFUNCTION("""COMPUTED_VALUE"""),"GIS KIARACONDONG")</f>
        <v>GIS KIARACONDONG</v>
      </c>
      <c r="H1034" s="4" t="str">
        <f>IFERROR(__xludf.DUMMYFUNCTION("""COMPUTED_VALUE"""),"KCH")</f>
        <v>KCH</v>
      </c>
      <c r="I1034" s="4" t="str">
        <f>IFERROR(__xludf.DUMMYFUNCTION("""COMPUTED_VALUE"""),"KP CIWASTRA - LBS BDLB")</f>
        <v>KP CIWASTRA - LBS BDLB</v>
      </c>
      <c r="J1034" s="4" t="str">
        <f>IFERROR(__xludf.DUMMYFUNCTION("""COMPUTED_VALUE"""),"ZONA 2")</f>
        <v>ZONA 2</v>
      </c>
      <c r="K1034" s="4" t="str">
        <f>IFERROR(__xludf.DUMMYFUNCTION("""COMPUTED_VALUE"""),"015R16")</f>
        <v>015R16</v>
      </c>
      <c r="L1034" s="4" t="str">
        <f>IFERROR(__xludf.DUMMYFUNCTION("""COMPUTED_VALUE"""),"TM - 14B/H (Akhir)")</f>
        <v>TM - 14B/H (Akhir)</v>
      </c>
      <c r="M1034" s="4" t="str">
        <f>IFERROR(__xludf.DUMMYFUNCTION("""COMPUTED_VALUE"""),"Tidak Ada")</f>
        <v>Tidak Ada</v>
      </c>
      <c r="N1034" s="4"/>
      <c r="O1034" s="4" t="str">
        <f>IFERROR(__xludf.DUMMYFUNCTION("""COMPUTED_VALUE"""),"PEMBANDING SEJENIS")</f>
        <v>PEMBANDING SEJENIS</v>
      </c>
      <c r="P1034" s="4" t="str">
        <f>IFERROR(__xludf.DUMMYFUNCTION("""COMPUTED_VALUE"""),"KONEKTOR/JUMPER")</f>
        <v>KONEKTOR/JUMPER</v>
      </c>
      <c r="Q1034" s="4">
        <f>IFERROR(__xludf.DUMMYFUNCTION("""COMPUTED_VALUE"""),20.0)</f>
        <v>20</v>
      </c>
      <c r="R1034" s="4">
        <f>IFERROR(__xludf.DUMMYFUNCTION("""COMPUTED_VALUE"""),20.0)</f>
        <v>20</v>
      </c>
      <c r="S1034" s="4">
        <f>IFERROR(__xludf.DUMMYFUNCTION("""COMPUTED_VALUE"""),18.0)</f>
        <v>18</v>
      </c>
      <c r="T1034" s="4"/>
      <c r="U1034" s="4" t="str">
        <f>IFERROR(__xludf.DUMMYFUNCTION("""COMPUTED_VALUE"""),"BAIK")</f>
        <v>BAIK</v>
      </c>
      <c r="V1034" s="4" t="str">
        <f>IFERROR(__xludf.DUMMYFUNCTION("""COMPUTED_VALUE"""),"Tidak Ada")</f>
        <v>Tidak Ada</v>
      </c>
      <c r="W1034" s="4"/>
      <c r="X1034" s="4"/>
      <c r="Y1034" s="4"/>
      <c r="Z1034" s="4"/>
      <c r="AA1034" s="4"/>
      <c r="AB1034" s="4"/>
      <c r="AC1034" s="4" t="str">
        <f>IFERROR(__xludf.DUMMYFUNCTION("""COMPUTED_VALUE"""),"INSPEKSI SUTM - T2_Images/d5a1586c.FOTO.152944.jpg")</f>
        <v>INSPEKSI SUTM - T2_Images/d5a1586c.FOTO.152944.jpg</v>
      </c>
      <c r="AD1034" s="4"/>
      <c r="AE1034" s="4"/>
      <c r="AF1034" s="4" t="str">
        <f>IFERROR(__xludf.DUMMYFUNCTION("""COMPUTED_VALUE"""),"BELUM")</f>
        <v>BELUM</v>
      </c>
      <c r="AG1034" s="6">
        <f>IFERROR(__xludf.DUMMYFUNCTION("""COMPUTED_VALUE"""),46112.0)</f>
        <v>46112</v>
      </c>
      <c r="AH1034" s="4"/>
      <c r="AI1034" s="4"/>
    </row>
    <row r="1035" ht="15.75" customHeight="1">
      <c r="A1035" s="4" t="str">
        <f>IFERROR(__xludf.DUMMYFUNCTION("""COMPUTED_VALUE"""),"f746cad0")</f>
        <v>f746cad0</v>
      </c>
      <c r="B1035" s="5">
        <f>IFERROR(__xludf.DUMMYFUNCTION("""COMPUTED_VALUE"""),46112.979212962964)</f>
        <v>46112.97921</v>
      </c>
      <c r="C1035" s="4" t="str">
        <f>IFERROR(__xludf.DUMMYFUNCTION("""COMPUTED_VALUE"""),"-6.961347, 107.667521")</f>
        <v>-6.961347, 107.667521</v>
      </c>
      <c r="D1035" s="4" t="str">
        <f>IFERROR(__xludf.DUMMYFUNCTION("""COMPUTED_VALUE"""),"Jihan kiki")</f>
        <v>Jihan kiki</v>
      </c>
      <c r="E1035" s="4" t="str">
        <f>IFERROR(__xludf.DUMMYFUNCTION("""COMPUTED_VALUE"""),"BANDUNG")</f>
        <v>BANDUNG</v>
      </c>
      <c r="F1035" s="4" t="str">
        <f>IFERROR(__xludf.DUMMYFUNCTION("""COMPUTED_VALUE"""),"CIJAWURA")</f>
        <v>CIJAWURA</v>
      </c>
      <c r="G1035" s="4" t="str">
        <f>IFERROR(__xludf.DUMMYFUNCTION("""COMPUTED_VALUE"""),"GIS KIARACONDONG")</f>
        <v>GIS KIARACONDONG</v>
      </c>
      <c r="H1035" s="4" t="str">
        <f>IFERROR(__xludf.DUMMYFUNCTION("""COMPUTED_VALUE"""),"KCH")</f>
        <v>KCH</v>
      </c>
      <c r="I1035" s="4" t="str">
        <f>IFERROR(__xludf.DUMMYFUNCTION("""COMPUTED_VALUE"""),"KP CIWASTRA - LBS BDLB")</f>
        <v>KP CIWASTRA - LBS BDLB</v>
      </c>
      <c r="J1035" s="4" t="str">
        <f>IFERROR(__xludf.DUMMYFUNCTION("""COMPUTED_VALUE"""),"ZONA 2")</f>
        <v>ZONA 2</v>
      </c>
      <c r="K1035" s="4" t="str">
        <f>IFERROR(__xludf.DUMMYFUNCTION("""COMPUTED_VALUE"""),"016")</f>
        <v>016</v>
      </c>
      <c r="L1035" s="4" t="str">
        <f>IFERROR(__xludf.DUMMYFUNCTION("""COMPUTED_VALUE"""),"TM - 4B/H (Afspan)")</f>
        <v>TM - 4B/H (Afspan)</v>
      </c>
      <c r="M1035" s="4" t="str">
        <f>IFERROR(__xludf.DUMMYFUNCTION("""COMPUTED_VALUE"""),"Tidak Ada")</f>
        <v>Tidak Ada</v>
      </c>
      <c r="N1035" s="4"/>
      <c r="O1035" s="4" t="str">
        <f>IFERROR(__xludf.DUMMYFUNCTION("""COMPUTED_VALUE"""),"PEMBANDING SEJENIS")</f>
        <v>PEMBANDING SEJENIS</v>
      </c>
      <c r="P1035" s="4" t="str">
        <f>IFERROR(__xludf.DUMMYFUNCTION("""COMPUTED_VALUE"""),"KONEKTOR/JUMPER")</f>
        <v>KONEKTOR/JUMPER</v>
      </c>
      <c r="Q1035" s="4">
        <f>IFERROR(__xludf.DUMMYFUNCTION("""COMPUTED_VALUE"""),20.0)</f>
        <v>20</v>
      </c>
      <c r="R1035" s="4">
        <f>IFERROR(__xludf.DUMMYFUNCTION("""COMPUTED_VALUE"""),21.0)</f>
        <v>21</v>
      </c>
      <c r="S1035" s="4">
        <f>IFERROR(__xludf.DUMMYFUNCTION("""COMPUTED_VALUE"""),20.0)</f>
        <v>20</v>
      </c>
      <c r="T1035" s="4"/>
      <c r="U1035" s="4" t="str">
        <f>IFERROR(__xludf.DUMMYFUNCTION("""COMPUTED_VALUE"""),"BAIK")</f>
        <v>BAIK</v>
      </c>
      <c r="V1035" s="4" t="str">
        <f>IFERROR(__xludf.DUMMYFUNCTION("""COMPUTED_VALUE"""),"Tidak Ada")</f>
        <v>Tidak Ada</v>
      </c>
      <c r="W1035" s="4"/>
      <c r="X1035" s="4"/>
      <c r="Y1035" s="4"/>
      <c r="Z1035" s="4"/>
      <c r="AA1035" s="4"/>
      <c r="AB1035" s="4"/>
      <c r="AC1035" s="4" t="str">
        <f>IFERROR(__xludf.DUMMYFUNCTION("""COMPUTED_VALUE"""),"INSPEKSI SUTM - T2_Images/f746cad0.FOTO.153138.jpg")</f>
        <v>INSPEKSI SUTM - T2_Images/f746cad0.FOTO.153138.jpg</v>
      </c>
      <c r="AD1035" s="4"/>
      <c r="AE1035" s="4"/>
      <c r="AF1035" s="4" t="str">
        <f>IFERROR(__xludf.DUMMYFUNCTION("""COMPUTED_VALUE"""),"BELUM")</f>
        <v>BELUM</v>
      </c>
      <c r="AG1035" s="6">
        <f>IFERROR(__xludf.DUMMYFUNCTION("""COMPUTED_VALUE"""),46112.0)</f>
        <v>46112</v>
      </c>
      <c r="AH1035" s="4"/>
      <c r="AI1035" s="4"/>
    </row>
    <row r="1036" ht="15.75" customHeight="1">
      <c r="A1036" s="4" t="str">
        <f>IFERROR(__xludf.DUMMYFUNCTION("""COMPUTED_VALUE"""),"d7c0b672")</f>
        <v>d7c0b672</v>
      </c>
      <c r="B1036" s="5">
        <f>IFERROR(__xludf.DUMMYFUNCTION("""COMPUTED_VALUE"""),46112.98034722222)</f>
        <v>46112.98035</v>
      </c>
      <c r="C1036" s="4" t="str">
        <f>IFERROR(__xludf.DUMMYFUNCTION("""COMPUTED_VALUE"""),"-6.961687, 107.669773")</f>
        <v>-6.961687, 107.669773</v>
      </c>
      <c r="D1036" s="4" t="str">
        <f>IFERROR(__xludf.DUMMYFUNCTION("""COMPUTED_VALUE"""),"Jihan kiki")</f>
        <v>Jihan kiki</v>
      </c>
      <c r="E1036" s="4" t="str">
        <f>IFERROR(__xludf.DUMMYFUNCTION("""COMPUTED_VALUE"""),"BANDUNG")</f>
        <v>BANDUNG</v>
      </c>
      <c r="F1036" s="4" t="str">
        <f>IFERROR(__xludf.DUMMYFUNCTION("""COMPUTED_VALUE"""),"CIJAWURA")</f>
        <v>CIJAWURA</v>
      </c>
      <c r="G1036" s="4" t="str">
        <f>IFERROR(__xludf.DUMMYFUNCTION("""COMPUTED_VALUE"""),"GIS KIARACONDONG")</f>
        <v>GIS KIARACONDONG</v>
      </c>
      <c r="H1036" s="4" t="str">
        <f>IFERROR(__xludf.DUMMYFUNCTION("""COMPUTED_VALUE"""),"KCH")</f>
        <v>KCH</v>
      </c>
      <c r="I1036" s="4" t="str">
        <f>IFERROR(__xludf.DUMMYFUNCTION("""COMPUTED_VALUE"""),"KP CIWASTRA - LBS BDLB")</f>
        <v>KP CIWASTRA - LBS BDLB</v>
      </c>
      <c r="J1036" s="4" t="str">
        <f>IFERROR(__xludf.DUMMYFUNCTION("""COMPUTED_VALUE"""),"ZONA 2")</f>
        <v>ZONA 2</v>
      </c>
      <c r="K1036" s="4" t="str">
        <f>IFERROR(__xludf.DUMMYFUNCTION("""COMPUTED_VALUE"""),"022")</f>
        <v>022</v>
      </c>
      <c r="L1036" s="4" t="str">
        <f>IFERROR(__xludf.DUMMYFUNCTION("""COMPUTED_VALUE"""),"TM - 4B/H (Afspan)")</f>
        <v>TM - 4B/H (Afspan)</v>
      </c>
      <c r="M1036" s="4" t="str">
        <f>IFERROR(__xludf.DUMMYFUNCTION("""COMPUTED_VALUE"""),"Tidak Ada")</f>
        <v>Tidak Ada</v>
      </c>
      <c r="N1036" s="4"/>
      <c r="O1036" s="4" t="str">
        <f>IFERROR(__xludf.DUMMYFUNCTION("""COMPUTED_VALUE"""),"PEMBANDING SEJENIS")</f>
        <v>PEMBANDING SEJENIS</v>
      </c>
      <c r="P1036" s="4" t="str">
        <f>IFERROR(__xludf.DUMMYFUNCTION("""COMPUTED_VALUE"""),"KONEKTOR/JUMPER")</f>
        <v>KONEKTOR/JUMPER</v>
      </c>
      <c r="Q1036" s="4">
        <f>IFERROR(__xludf.DUMMYFUNCTION("""COMPUTED_VALUE"""),21.0)</f>
        <v>21</v>
      </c>
      <c r="R1036" s="4">
        <f>IFERROR(__xludf.DUMMYFUNCTION("""COMPUTED_VALUE"""),20.0)</f>
        <v>20</v>
      </c>
      <c r="S1036" s="4">
        <f>IFERROR(__xludf.DUMMYFUNCTION("""COMPUTED_VALUE"""),21.0)</f>
        <v>21</v>
      </c>
      <c r="T1036" s="4"/>
      <c r="U1036" s="4" t="str">
        <f>IFERROR(__xludf.DUMMYFUNCTION("""COMPUTED_VALUE"""),"BAIK")</f>
        <v>BAIK</v>
      </c>
      <c r="V1036" s="4" t="str">
        <f>IFERROR(__xludf.DUMMYFUNCTION("""COMPUTED_VALUE"""),"Tidak Ada")</f>
        <v>Tidak Ada</v>
      </c>
      <c r="W1036" s="4"/>
      <c r="X1036" s="4"/>
      <c r="Y1036" s="4"/>
      <c r="Z1036" s="4"/>
      <c r="AA1036" s="4"/>
      <c r="AB1036" s="4"/>
      <c r="AC1036" s="4" t="str">
        <f>IFERROR(__xludf.DUMMYFUNCTION("""COMPUTED_VALUE"""),"INSPEKSI SUTM - T2_Images/d7c0b672.FOTO.154136.jpg")</f>
        <v>INSPEKSI SUTM - T2_Images/d7c0b672.FOTO.154136.jpg</v>
      </c>
      <c r="AD1036" s="4"/>
      <c r="AE1036" s="4"/>
      <c r="AF1036" s="4" t="str">
        <f>IFERROR(__xludf.DUMMYFUNCTION("""COMPUTED_VALUE"""),"BELUM")</f>
        <v>BELUM</v>
      </c>
      <c r="AG1036" s="6">
        <f>IFERROR(__xludf.DUMMYFUNCTION("""COMPUTED_VALUE"""),46112.0)</f>
        <v>46112</v>
      </c>
      <c r="AH1036" s="4"/>
      <c r="AI1036" s="4"/>
    </row>
    <row r="1037" ht="15.75" customHeight="1">
      <c r="A1037" s="4" t="str">
        <f>IFERROR(__xludf.DUMMYFUNCTION("""COMPUTED_VALUE"""),"01571c7f")</f>
        <v>01571c7f</v>
      </c>
      <c r="B1037" s="5">
        <f>IFERROR(__xludf.DUMMYFUNCTION("""COMPUTED_VALUE"""),46112.981412037036)</f>
        <v>46112.98141</v>
      </c>
      <c r="C1037" s="4" t="str">
        <f>IFERROR(__xludf.DUMMYFUNCTION("""COMPUTED_VALUE"""),"-6.961611, 107.671611")</f>
        <v>-6.961611, 107.671611</v>
      </c>
      <c r="D1037" s="4" t="str">
        <f>IFERROR(__xludf.DUMMYFUNCTION("""COMPUTED_VALUE"""),"Jihan kiki")</f>
        <v>Jihan kiki</v>
      </c>
      <c r="E1037" s="4" t="str">
        <f>IFERROR(__xludf.DUMMYFUNCTION("""COMPUTED_VALUE"""),"BANDUNG")</f>
        <v>BANDUNG</v>
      </c>
      <c r="F1037" s="4" t="str">
        <f>IFERROR(__xludf.DUMMYFUNCTION("""COMPUTED_VALUE"""),"CIJAWURA")</f>
        <v>CIJAWURA</v>
      </c>
      <c r="G1037" s="4" t="str">
        <f>IFERROR(__xludf.DUMMYFUNCTION("""COMPUTED_VALUE"""),"GIS KIARACONDONG")</f>
        <v>GIS KIARACONDONG</v>
      </c>
      <c r="H1037" s="4" t="str">
        <f>IFERROR(__xludf.DUMMYFUNCTION("""COMPUTED_VALUE"""),"KCH")</f>
        <v>KCH</v>
      </c>
      <c r="I1037" s="4" t="str">
        <f>IFERROR(__xludf.DUMMYFUNCTION("""COMPUTED_VALUE"""),"KP CIWASTRA - LBS BDLB")</f>
        <v>KP CIWASTRA - LBS BDLB</v>
      </c>
      <c r="J1037" s="4" t="str">
        <f>IFERROR(__xludf.DUMMYFUNCTION("""COMPUTED_VALUE"""),"ZONA 2")</f>
        <v>ZONA 2</v>
      </c>
      <c r="K1037" s="4" t="str">
        <f>IFERROR(__xludf.DUMMYFUNCTION("""COMPUTED_VALUE"""),"027")</f>
        <v>027</v>
      </c>
      <c r="L1037" s="4" t="str">
        <f>IFERROR(__xludf.DUMMYFUNCTION("""COMPUTED_VALUE"""),"TM - 10B/H (Dua Percabangan)")</f>
        <v>TM - 10B/H (Dua Percabangan)</v>
      </c>
      <c r="M1037" s="4" t="str">
        <f>IFERROR(__xludf.DUMMYFUNCTION("""COMPUTED_VALUE"""),"Tidak Ada")</f>
        <v>Tidak Ada</v>
      </c>
      <c r="N1037" s="4"/>
      <c r="O1037" s="4" t="str">
        <f>IFERROR(__xludf.DUMMYFUNCTION("""COMPUTED_VALUE"""),"PEMBANDING SEJENIS")</f>
        <v>PEMBANDING SEJENIS</v>
      </c>
      <c r="P1037" s="4" t="str">
        <f>IFERROR(__xludf.DUMMYFUNCTION("""COMPUTED_VALUE"""),"KONEKTOR/JUMPER")</f>
        <v>KONEKTOR/JUMPER</v>
      </c>
      <c r="Q1037" s="4">
        <f>IFERROR(__xludf.DUMMYFUNCTION("""COMPUTED_VALUE"""),19.0)</f>
        <v>19</v>
      </c>
      <c r="R1037" s="4">
        <f>IFERROR(__xludf.DUMMYFUNCTION("""COMPUTED_VALUE"""),19.0)</f>
        <v>19</v>
      </c>
      <c r="S1037" s="4">
        <f>IFERROR(__xludf.DUMMYFUNCTION("""COMPUTED_VALUE"""),18.0)</f>
        <v>18</v>
      </c>
      <c r="T1037" s="4"/>
      <c r="U1037" s="4" t="str">
        <f>IFERROR(__xludf.DUMMYFUNCTION("""COMPUTED_VALUE"""),"BAIK")</f>
        <v>BAIK</v>
      </c>
      <c r="V1037" s="4" t="str">
        <f>IFERROR(__xludf.DUMMYFUNCTION("""COMPUTED_VALUE"""),"Tidak Ada")</f>
        <v>Tidak Ada</v>
      </c>
      <c r="W1037" s="4"/>
      <c r="X1037" s="4"/>
      <c r="Y1037" s="4"/>
      <c r="Z1037" s="4"/>
      <c r="AA1037" s="4"/>
      <c r="AB1037" s="4"/>
      <c r="AC1037" s="4" t="str">
        <f>IFERROR(__xludf.DUMMYFUNCTION("""COMPUTED_VALUE"""),"INSPEKSI SUTM - T2_Images/01571c7f.FOTO.154142.jpg")</f>
        <v>INSPEKSI SUTM - T2_Images/01571c7f.FOTO.154142.jpg</v>
      </c>
      <c r="AD1037" s="4"/>
      <c r="AE1037" s="4"/>
      <c r="AF1037" s="4" t="str">
        <f>IFERROR(__xludf.DUMMYFUNCTION("""COMPUTED_VALUE"""),"BELUM")</f>
        <v>BELUM</v>
      </c>
      <c r="AG1037" s="6">
        <f>IFERROR(__xludf.DUMMYFUNCTION("""COMPUTED_VALUE"""),46112.0)</f>
        <v>46112</v>
      </c>
      <c r="AH1037" s="4"/>
      <c r="AI1037" s="4"/>
    </row>
    <row r="1038" ht="15.75" customHeight="1">
      <c r="A1038" s="4" t="str">
        <f>IFERROR(__xludf.DUMMYFUNCTION("""COMPUTED_VALUE"""),"d97bac06")</f>
        <v>d97bac06</v>
      </c>
      <c r="B1038" s="5">
        <f>IFERROR(__xludf.DUMMYFUNCTION("""COMPUTED_VALUE"""),46112.982627314814)</f>
        <v>46112.98263</v>
      </c>
      <c r="C1038" s="4" t="str">
        <f>IFERROR(__xludf.DUMMYFUNCTION("""COMPUTED_VALUE"""),"-6.960254, 107.671595")</f>
        <v>-6.960254, 107.671595</v>
      </c>
      <c r="D1038" s="4" t="str">
        <f>IFERROR(__xludf.DUMMYFUNCTION("""COMPUTED_VALUE"""),"Jihan kiki")</f>
        <v>Jihan kiki</v>
      </c>
      <c r="E1038" s="4" t="str">
        <f>IFERROR(__xludf.DUMMYFUNCTION("""COMPUTED_VALUE"""),"BANDUNG")</f>
        <v>BANDUNG</v>
      </c>
      <c r="F1038" s="4" t="str">
        <f>IFERROR(__xludf.DUMMYFUNCTION("""COMPUTED_VALUE"""),"CIJAWURA")</f>
        <v>CIJAWURA</v>
      </c>
      <c r="G1038" s="4" t="str">
        <f>IFERROR(__xludf.DUMMYFUNCTION("""COMPUTED_VALUE"""),"GIS KIARACONDONG")</f>
        <v>GIS KIARACONDONG</v>
      </c>
      <c r="H1038" s="4" t="str">
        <f>IFERROR(__xludf.DUMMYFUNCTION("""COMPUTED_VALUE"""),"KCH")</f>
        <v>KCH</v>
      </c>
      <c r="I1038" s="4" t="str">
        <f>IFERROR(__xludf.DUMMYFUNCTION("""COMPUTED_VALUE"""),"KP CIWASTRA - LBS BDLB")</f>
        <v>KP CIWASTRA - LBS BDLB</v>
      </c>
      <c r="J1038" s="4" t="str">
        <f>IFERROR(__xludf.DUMMYFUNCTION("""COMPUTED_VALUE"""),"ZONA 2")</f>
        <v>ZONA 2</v>
      </c>
      <c r="K1038" s="4" t="str">
        <f>IFERROR(__xludf.DUMMYFUNCTION("""COMPUTED_VALUE"""),"027L04")</f>
        <v>027L04</v>
      </c>
      <c r="L1038" s="4" t="str">
        <f>IFERROR(__xludf.DUMMYFUNCTION("""COMPUTED_VALUE"""),"TM - 4B/H (Afspan)")</f>
        <v>TM - 4B/H (Afspan)</v>
      </c>
      <c r="M1038" s="4" t="str">
        <f>IFERROR(__xludf.DUMMYFUNCTION("""COMPUTED_VALUE"""),"Tidak Ada")</f>
        <v>Tidak Ada</v>
      </c>
      <c r="N1038" s="4"/>
      <c r="O1038" s="4" t="str">
        <f>IFERROR(__xludf.DUMMYFUNCTION("""COMPUTED_VALUE"""),"PEMBANDING SEJENIS")</f>
        <v>PEMBANDING SEJENIS</v>
      </c>
      <c r="P1038" s="4" t="str">
        <f>IFERROR(__xludf.DUMMYFUNCTION("""COMPUTED_VALUE"""),"KONEKTOR/JUMPER")</f>
        <v>KONEKTOR/JUMPER</v>
      </c>
      <c r="Q1038" s="4">
        <f>IFERROR(__xludf.DUMMYFUNCTION("""COMPUTED_VALUE"""),20.0)</f>
        <v>20</v>
      </c>
      <c r="R1038" s="4">
        <f>IFERROR(__xludf.DUMMYFUNCTION("""COMPUTED_VALUE"""),18.0)</f>
        <v>18</v>
      </c>
      <c r="S1038" s="4">
        <f>IFERROR(__xludf.DUMMYFUNCTION("""COMPUTED_VALUE"""),19.0)</f>
        <v>19</v>
      </c>
      <c r="T1038" s="4"/>
      <c r="U1038" s="4" t="str">
        <f>IFERROR(__xludf.DUMMYFUNCTION("""COMPUTED_VALUE"""),"BAIK")</f>
        <v>BAIK</v>
      </c>
      <c r="V1038" s="4" t="str">
        <f>IFERROR(__xludf.DUMMYFUNCTION("""COMPUTED_VALUE"""),"Tidak Ada")</f>
        <v>Tidak Ada</v>
      </c>
      <c r="W1038" s="4"/>
      <c r="X1038" s="4"/>
      <c r="Y1038" s="4"/>
      <c r="Z1038" s="4"/>
      <c r="AA1038" s="4"/>
      <c r="AB1038" s="4"/>
      <c r="AC1038" s="4" t="str">
        <f>IFERROR(__xludf.DUMMYFUNCTION("""COMPUTED_VALUE"""),"INSPEKSI SUTM - T2_Images/d97bac06.FOTO.154147.jpg")</f>
        <v>INSPEKSI SUTM - T2_Images/d97bac06.FOTO.154147.jpg</v>
      </c>
      <c r="AD1038" s="4"/>
      <c r="AE1038" s="4"/>
      <c r="AF1038" s="4" t="str">
        <f>IFERROR(__xludf.DUMMYFUNCTION("""COMPUTED_VALUE"""),"BELUM")</f>
        <v>BELUM</v>
      </c>
      <c r="AG1038" s="6">
        <f>IFERROR(__xludf.DUMMYFUNCTION("""COMPUTED_VALUE"""),46112.0)</f>
        <v>46112</v>
      </c>
      <c r="AH1038" s="4"/>
      <c r="AI1038" s="4"/>
    </row>
    <row r="1039" ht="15.75" customHeight="1">
      <c r="A1039" s="4" t="str">
        <f>IFERROR(__xludf.DUMMYFUNCTION("""COMPUTED_VALUE"""),"af5f2edd")</f>
        <v>af5f2edd</v>
      </c>
      <c r="B1039" s="5">
        <f>IFERROR(__xludf.DUMMYFUNCTION("""COMPUTED_VALUE"""),46112.98421296296)</f>
        <v>46112.98421</v>
      </c>
      <c r="C1039" s="4" t="str">
        <f>IFERROR(__xludf.DUMMYFUNCTION("""COMPUTED_VALUE"""),"-6.960259, 107.671581")</f>
        <v>-6.960259, 107.671581</v>
      </c>
      <c r="D1039" s="4" t="str">
        <f>IFERROR(__xludf.DUMMYFUNCTION("""COMPUTED_VALUE"""),"Jihan kiki")</f>
        <v>Jihan kiki</v>
      </c>
      <c r="E1039" s="4" t="str">
        <f>IFERROR(__xludf.DUMMYFUNCTION("""COMPUTED_VALUE"""),"BANDUNG")</f>
        <v>BANDUNG</v>
      </c>
      <c r="F1039" s="4" t="str">
        <f>IFERROR(__xludf.DUMMYFUNCTION("""COMPUTED_VALUE"""),"CIJAWURA")</f>
        <v>CIJAWURA</v>
      </c>
      <c r="G1039" s="4" t="str">
        <f>IFERROR(__xludf.DUMMYFUNCTION("""COMPUTED_VALUE"""),"GIS KIARACONDONG")</f>
        <v>GIS KIARACONDONG</v>
      </c>
      <c r="H1039" s="4" t="str">
        <f>IFERROR(__xludf.DUMMYFUNCTION("""COMPUTED_VALUE"""),"KCH")</f>
        <v>KCH</v>
      </c>
      <c r="I1039" s="4" t="str">
        <f>IFERROR(__xludf.DUMMYFUNCTION("""COMPUTED_VALUE"""),"KP CIWASTRA - LBS BDLB")</f>
        <v>KP CIWASTRA - LBS BDLB</v>
      </c>
      <c r="J1039" s="4" t="str">
        <f>IFERROR(__xludf.DUMMYFUNCTION("""COMPUTED_VALUE"""),"ZONA 2")</f>
        <v>ZONA 2</v>
      </c>
      <c r="K1039" s="4" t="str">
        <f>IFERROR(__xludf.DUMMYFUNCTION("""COMPUTED_VALUE"""),"027L07")</f>
        <v>027L07</v>
      </c>
      <c r="L1039" s="4" t="str">
        <f>IFERROR(__xludf.DUMMYFUNCTION("""COMPUTED_VALUE"""),"TM - 7B/H (Afspan 90 Derajat)")</f>
        <v>TM - 7B/H (Afspan 90 Derajat)</v>
      </c>
      <c r="M1039" s="4" t="str">
        <f>IFERROR(__xludf.DUMMYFUNCTION("""COMPUTED_VALUE"""),"Tidak Ada")</f>
        <v>Tidak Ada</v>
      </c>
      <c r="N1039" s="4"/>
      <c r="O1039" s="4" t="str">
        <f>IFERROR(__xludf.DUMMYFUNCTION("""COMPUTED_VALUE"""),"PEMBANDING SEJENIS")</f>
        <v>PEMBANDING SEJENIS</v>
      </c>
      <c r="P1039" s="4" t="str">
        <f>IFERROR(__xludf.DUMMYFUNCTION("""COMPUTED_VALUE"""),"KONEKTOR/JUMPER")</f>
        <v>KONEKTOR/JUMPER</v>
      </c>
      <c r="Q1039" s="4">
        <f>IFERROR(__xludf.DUMMYFUNCTION("""COMPUTED_VALUE"""),20.0)</f>
        <v>20</v>
      </c>
      <c r="R1039" s="4">
        <f>IFERROR(__xludf.DUMMYFUNCTION("""COMPUTED_VALUE"""),19.0)</f>
        <v>19</v>
      </c>
      <c r="S1039" s="4">
        <f>IFERROR(__xludf.DUMMYFUNCTION("""COMPUTED_VALUE"""),20.0)</f>
        <v>20</v>
      </c>
      <c r="T1039" s="4"/>
      <c r="U1039" s="4" t="str">
        <f>IFERROR(__xludf.DUMMYFUNCTION("""COMPUTED_VALUE"""),"BAIK")</f>
        <v>BAIK</v>
      </c>
      <c r="V1039" s="4" t="str">
        <f>IFERROR(__xludf.DUMMYFUNCTION("""COMPUTED_VALUE"""),"Tidak Ada")</f>
        <v>Tidak Ada</v>
      </c>
      <c r="W1039" s="4"/>
      <c r="X1039" s="4"/>
      <c r="Y1039" s="4"/>
      <c r="Z1039" s="4"/>
      <c r="AA1039" s="4"/>
      <c r="AB1039" s="4"/>
      <c r="AC1039" s="4" t="str">
        <f>IFERROR(__xludf.DUMMYFUNCTION("""COMPUTED_VALUE"""),"INSPEKSI SUTM - T2_Images/af5f2edd.FOTO.154152.jpg")</f>
        <v>INSPEKSI SUTM - T2_Images/af5f2edd.FOTO.154152.jpg</v>
      </c>
      <c r="AD1039" s="4"/>
      <c r="AE1039" s="4"/>
      <c r="AF1039" s="4" t="str">
        <f>IFERROR(__xludf.DUMMYFUNCTION("""COMPUTED_VALUE"""),"BELUM")</f>
        <v>BELUM</v>
      </c>
      <c r="AG1039" s="6">
        <f>IFERROR(__xludf.DUMMYFUNCTION("""COMPUTED_VALUE"""),46112.0)</f>
        <v>46112</v>
      </c>
      <c r="AH1039" s="4"/>
      <c r="AI1039" s="4"/>
    </row>
    <row r="1040" ht="15.75" customHeight="1">
      <c r="A1040" s="4" t="str">
        <f>IFERROR(__xludf.DUMMYFUNCTION("""COMPUTED_VALUE"""),"16a0fe85")</f>
        <v>16a0fe85</v>
      </c>
      <c r="B1040" s="5">
        <f>IFERROR(__xludf.DUMMYFUNCTION("""COMPUTED_VALUE"""),46112.98548611111)</f>
        <v>46112.98549</v>
      </c>
      <c r="C1040" s="4" t="str">
        <f>IFERROR(__xludf.DUMMYFUNCTION("""COMPUTED_VALUE"""),"-6.957126, 107.671009")</f>
        <v>-6.957126, 107.671009</v>
      </c>
      <c r="D1040" s="4" t="str">
        <f>IFERROR(__xludf.DUMMYFUNCTION("""COMPUTED_VALUE"""),"Jihan kiki")</f>
        <v>Jihan kiki</v>
      </c>
      <c r="E1040" s="4" t="str">
        <f>IFERROR(__xludf.DUMMYFUNCTION("""COMPUTED_VALUE"""),"BANDUNG")</f>
        <v>BANDUNG</v>
      </c>
      <c r="F1040" s="4" t="str">
        <f>IFERROR(__xludf.DUMMYFUNCTION("""COMPUTED_VALUE"""),"CIJAWURA")</f>
        <v>CIJAWURA</v>
      </c>
      <c r="G1040" s="4" t="str">
        <f>IFERROR(__xludf.DUMMYFUNCTION("""COMPUTED_VALUE"""),"GIS KIARACONDONG")</f>
        <v>GIS KIARACONDONG</v>
      </c>
      <c r="H1040" s="4" t="str">
        <f>IFERROR(__xludf.DUMMYFUNCTION("""COMPUTED_VALUE"""),"KCH")</f>
        <v>KCH</v>
      </c>
      <c r="I1040" s="4" t="str">
        <f>IFERROR(__xludf.DUMMYFUNCTION("""COMPUTED_VALUE"""),"KP CIWASTRA - LBS BDLB")</f>
        <v>KP CIWASTRA - LBS BDLB</v>
      </c>
      <c r="J1040" s="4" t="str">
        <f>IFERROR(__xludf.DUMMYFUNCTION("""COMPUTED_VALUE"""),"ZONA 2")</f>
        <v>ZONA 2</v>
      </c>
      <c r="K1040" s="4" t="str">
        <f>IFERROR(__xludf.DUMMYFUNCTION("""COMPUTED_VALUE"""),"027L17")</f>
        <v>027L17</v>
      </c>
      <c r="L1040" s="4" t="str">
        <f>IFERROR(__xludf.DUMMYFUNCTION("""COMPUTED_VALUE"""),"TM - 4B/H (Afspan)")</f>
        <v>TM - 4B/H (Afspan)</v>
      </c>
      <c r="M1040" s="4" t="str">
        <f>IFERROR(__xludf.DUMMYFUNCTION("""COMPUTED_VALUE"""),"Tidak Ada")</f>
        <v>Tidak Ada</v>
      </c>
      <c r="N1040" s="4"/>
      <c r="O1040" s="4" t="str">
        <f>IFERROR(__xludf.DUMMYFUNCTION("""COMPUTED_VALUE"""),"PEMBANDING SEJENIS")</f>
        <v>PEMBANDING SEJENIS</v>
      </c>
      <c r="P1040" s="4" t="str">
        <f>IFERROR(__xludf.DUMMYFUNCTION("""COMPUTED_VALUE"""),"KONEKTOR/JUMPER")</f>
        <v>KONEKTOR/JUMPER</v>
      </c>
      <c r="Q1040" s="4">
        <f>IFERROR(__xludf.DUMMYFUNCTION("""COMPUTED_VALUE"""),20.0)</f>
        <v>20</v>
      </c>
      <c r="R1040" s="4">
        <f>IFERROR(__xludf.DUMMYFUNCTION("""COMPUTED_VALUE"""),19.0)</f>
        <v>19</v>
      </c>
      <c r="S1040" s="4">
        <f>IFERROR(__xludf.DUMMYFUNCTION("""COMPUTED_VALUE"""),20.0)</f>
        <v>20</v>
      </c>
      <c r="T1040" s="4"/>
      <c r="U1040" s="4" t="str">
        <f>IFERROR(__xludf.DUMMYFUNCTION("""COMPUTED_VALUE"""),"BAIK")</f>
        <v>BAIK</v>
      </c>
      <c r="V1040" s="4" t="str">
        <f>IFERROR(__xludf.DUMMYFUNCTION("""COMPUTED_VALUE"""),"Tidak Ada")</f>
        <v>Tidak Ada</v>
      </c>
      <c r="W1040" s="4"/>
      <c r="X1040" s="4"/>
      <c r="Y1040" s="4"/>
      <c r="Z1040" s="4"/>
      <c r="AA1040" s="4"/>
      <c r="AB1040" s="4"/>
      <c r="AC1040" s="4" t="str">
        <f>IFERROR(__xludf.DUMMYFUNCTION("""COMPUTED_VALUE"""),"INSPEKSI SUTM - T2_Images/16a0fe85.FOTO.154156.jpg")</f>
        <v>INSPEKSI SUTM - T2_Images/16a0fe85.FOTO.154156.jpg</v>
      </c>
      <c r="AD1040" s="4"/>
      <c r="AE1040" s="4"/>
      <c r="AF1040" s="4" t="str">
        <f>IFERROR(__xludf.DUMMYFUNCTION("""COMPUTED_VALUE"""),"BELUM")</f>
        <v>BELUM</v>
      </c>
      <c r="AG1040" s="6">
        <f>IFERROR(__xludf.DUMMYFUNCTION("""COMPUTED_VALUE"""),46112.0)</f>
        <v>46112</v>
      </c>
      <c r="AH1040" s="4"/>
      <c r="AI1040" s="4"/>
    </row>
    <row r="1041" ht="15.75" customHeight="1">
      <c r="A1041" s="4" t="str">
        <f>IFERROR(__xludf.DUMMYFUNCTION("""COMPUTED_VALUE"""),"c1dd1b8a")</f>
        <v>c1dd1b8a</v>
      </c>
      <c r="B1041" s="5">
        <f>IFERROR(__xludf.DUMMYFUNCTION("""COMPUTED_VALUE"""),46112.98637731482)</f>
        <v>46112.98638</v>
      </c>
      <c r="C1041" s="4" t="str">
        <f>IFERROR(__xludf.DUMMYFUNCTION("""COMPUTED_VALUE"""),"-6.957132, 107.671013")</f>
        <v>-6.957132, 107.671013</v>
      </c>
      <c r="D1041" s="4" t="str">
        <f>IFERROR(__xludf.DUMMYFUNCTION("""COMPUTED_VALUE"""),"Jihan kiki")</f>
        <v>Jihan kiki</v>
      </c>
      <c r="E1041" s="4" t="str">
        <f>IFERROR(__xludf.DUMMYFUNCTION("""COMPUTED_VALUE"""),"BANDUNG")</f>
        <v>BANDUNG</v>
      </c>
      <c r="F1041" s="4" t="str">
        <f>IFERROR(__xludf.DUMMYFUNCTION("""COMPUTED_VALUE"""),"CIJAWURA")</f>
        <v>CIJAWURA</v>
      </c>
      <c r="G1041" s="4" t="str">
        <f>IFERROR(__xludf.DUMMYFUNCTION("""COMPUTED_VALUE"""),"GIS KIARACONDONG")</f>
        <v>GIS KIARACONDONG</v>
      </c>
      <c r="H1041" s="4" t="str">
        <f>IFERROR(__xludf.DUMMYFUNCTION("""COMPUTED_VALUE"""),"KCH")</f>
        <v>KCH</v>
      </c>
      <c r="I1041" s="4" t="str">
        <f>IFERROR(__xludf.DUMMYFUNCTION("""COMPUTED_VALUE"""),"KP CIWASTRA - LBS BDLB")</f>
        <v>KP CIWASTRA - LBS BDLB</v>
      </c>
      <c r="J1041" s="4" t="str">
        <f>IFERROR(__xludf.DUMMYFUNCTION("""COMPUTED_VALUE"""),"ZONA 2")</f>
        <v>ZONA 2</v>
      </c>
      <c r="K1041" s="4" t="str">
        <f>IFERROR(__xludf.DUMMYFUNCTION("""COMPUTED_VALUE"""),"027L21")</f>
        <v>027L21</v>
      </c>
      <c r="L1041" s="4" t="str">
        <f>IFERROR(__xludf.DUMMYFUNCTION("""COMPUTED_VALUE"""),"TM - 8B/H (Percabangan)")</f>
        <v>TM - 8B/H (Percabangan)</v>
      </c>
      <c r="M1041" s="4" t="str">
        <f>IFERROR(__xludf.DUMMYFUNCTION("""COMPUTED_VALUE"""),"Tidak Ada")</f>
        <v>Tidak Ada</v>
      </c>
      <c r="N1041" s="4"/>
      <c r="O1041" s="4" t="str">
        <f>IFERROR(__xludf.DUMMYFUNCTION("""COMPUTED_VALUE"""),"PEMBANDING SEJENIS")</f>
        <v>PEMBANDING SEJENIS</v>
      </c>
      <c r="P1041" s="4" t="str">
        <f>IFERROR(__xludf.DUMMYFUNCTION("""COMPUTED_VALUE"""),"KONEKTOR/JUMPER")</f>
        <v>KONEKTOR/JUMPER</v>
      </c>
      <c r="Q1041" s="4">
        <f>IFERROR(__xludf.DUMMYFUNCTION("""COMPUTED_VALUE"""),21.0)</f>
        <v>21</v>
      </c>
      <c r="R1041" s="4">
        <f>IFERROR(__xludf.DUMMYFUNCTION("""COMPUTED_VALUE"""),22.0)</f>
        <v>22</v>
      </c>
      <c r="S1041" s="4">
        <f>IFERROR(__xludf.DUMMYFUNCTION("""COMPUTED_VALUE"""),21.0)</f>
        <v>21</v>
      </c>
      <c r="T1041" s="4"/>
      <c r="U1041" s="4" t="str">
        <f>IFERROR(__xludf.DUMMYFUNCTION("""COMPUTED_VALUE"""),"BAIK")</f>
        <v>BAIK</v>
      </c>
      <c r="V1041" s="4" t="str">
        <f>IFERROR(__xludf.DUMMYFUNCTION("""COMPUTED_VALUE"""),"Tidak Ada")</f>
        <v>Tidak Ada</v>
      </c>
      <c r="W1041" s="4"/>
      <c r="X1041" s="4"/>
      <c r="Y1041" s="4"/>
      <c r="Z1041" s="4"/>
      <c r="AA1041" s="4"/>
      <c r="AB1041" s="4"/>
      <c r="AC1041" s="4" t="str">
        <f>IFERROR(__xludf.DUMMYFUNCTION("""COMPUTED_VALUE"""),"INSPEKSI SUTM - T2_Images/c1dd1b8a.FOTO.154200.jpg")</f>
        <v>INSPEKSI SUTM - T2_Images/c1dd1b8a.FOTO.154200.jpg</v>
      </c>
      <c r="AD1041" s="4"/>
      <c r="AE1041" s="4"/>
      <c r="AF1041" s="4" t="str">
        <f>IFERROR(__xludf.DUMMYFUNCTION("""COMPUTED_VALUE"""),"BELUM")</f>
        <v>BELUM</v>
      </c>
      <c r="AG1041" s="6">
        <f>IFERROR(__xludf.DUMMYFUNCTION("""COMPUTED_VALUE"""),46112.0)</f>
        <v>46112</v>
      </c>
      <c r="AH1041" s="4"/>
      <c r="AI1041" s="4"/>
    </row>
    <row r="1042" ht="15.75" customHeight="1">
      <c r="A1042" s="4" t="str">
        <f>IFERROR(__xludf.DUMMYFUNCTION("""COMPUTED_VALUE"""),"30fb0d28")</f>
        <v>30fb0d28</v>
      </c>
      <c r="B1042" s="5">
        <f>IFERROR(__xludf.DUMMYFUNCTION("""COMPUTED_VALUE"""),46122.96925925926)</f>
        <v>46122.96926</v>
      </c>
      <c r="C1042" s="4" t="str">
        <f>IFERROR(__xludf.DUMMYFUNCTION("""COMPUTED_VALUE"""),"-6.872693, 107.693333")</f>
        <v>-6.872693, 107.693333</v>
      </c>
      <c r="D1042" s="4" t="str">
        <f>IFERROR(__xludf.DUMMYFUNCTION("""COMPUTED_VALUE"""),"Canra heri")</f>
        <v>Canra heri</v>
      </c>
      <c r="E1042" s="4" t="str">
        <f>IFERROR(__xludf.DUMMYFUNCTION("""COMPUTED_VALUE"""),"BANDUNG")</f>
        <v>BANDUNG</v>
      </c>
      <c r="F1042" s="4" t="str">
        <f>IFERROR(__xludf.DUMMYFUNCTION("""COMPUTED_VALUE"""),"UJUNGBERUNG")</f>
        <v>UJUNGBERUNG</v>
      </c>
      <c r="G1042" s="4" t="str">
        <f>IFERROR(__xludf.DUMMYFUNCTION("""COMPUTED_VALUE"""),"GIS BANDUNG TIMUR")</f>
        <v>GIS BANDUNG TIMUR</v>
      </c>
      <c r="H1042" s="4" t="str">
        <f>IFERROR(__xludf.DUMMYFUNCTION("""COMPUTED_VALUE"""),"MDMK")</f>
        <v>MDMK</v>
      </c>
      <c r="I1042" s="4" t="str">
        <f>IFERROR(__xludf.DUMMYFUNCTION("""COMPUTED_VALUE"""),"REC TARB - UJUNG")</f>
        <v>REC TARB - UJUNG</v>
      </c>
      <c r="J1042" s="4" t="str">
        <f>IFERROR(__xludf.DUMMYFUNCTION("""COMPUTED_VALUE"""),"ZONA 2")</f>
        <v>ZONA 2</v>
      </c>
      <c r="K1042" s="4" t="str">
        <f>IFERROR(__xludf.DUMMYFUNCTION("""COMPUTED_VALUE"""),"105L032")</f>
        <v>105L032</v>
      </c>
      <c r="L1042" s="4" t="str">
        <f>IFERROR(__xludf.DUMMYFUNCTION("""COMPUTED_VALUE"""),"TM - 8BC/HC (Percabangan dengan CO)")</f>
        <v>TM - 8BC/HC (Percabangan dengan CO)</v>
      </c>
      <c r="M1042" s="4" t="str">
        <f>IFERROR(__xludf.DUMMYFUNCTION("""COMPUTED_VALUE"""),"FCO")</f>
        <v>FCO</v>
      </c>
      <c r="N1042" s="4" t="str">
        <f>IFERROR(__xludf.DUMMYFUNCTION("""COMPUTED_VALUE"""),"Aftak gmkb")</f>
        <v>Aftak gmkb</v>
      </c>
      <c r="O1042" s="4" t="str">
        <f>IFERROR(__xludf.DUMMYFUNCTION("""COMPUTED_VALUE"""),"PEMBANDING SEJENIS")</f>
        <v>PEMBANDING SEJENIS</v>
      </c>
      <c r="P1042" s="4" t="str">
        <f>IFERROR(__xludf.DUMMYFUNCTION("""COMPUTED_VALUE"""),"KONEKTOR/JUMPER")</f>
        <v>KONEKTOR/JUMPER</v>
      </c>
      <c r="Q1042" s="4">
        <f>IFERROR(__xludf.DUMMYFUNCTION("""COMPUTED_VALUE"""),19.0)</f>
        <v>19</v>
      </c>
      <c r="R1042" s="4">
        <f>IFERROR(__xludf.DUMMYFUNCTION("""COMPUTED_VALUE"""),19.0)</f>
        <v>19</v>
      </c>
      <c r="S1042" s="4">
        <f>IFERROR(__xludf.DUMMYFUNCTION("""COMPUTED_VALUE"""),19.0)</f>
        <v>19</v>
      </c>
      <c r="T1042" s="4"/>
      <c r="U1042" s="4" t="str">
        <f>IFERROR(__xludf.DUMMYFUNCTION("""COMPUTED_VALUE"""),"BAIK")</f>
        <v>BAIK</v>
      </c>
      <c r="V1042" s="4" t="str">
        <f>IFERROR(__xludf.DUMMYFUNCTION("""COMPUTED_VALUE"""),"Tidak Ada")</f>
        <v>Tidak Ada</v>
      </c>
      <c r="W1042" s="4"/>
      <c r="X1042" s="4"/>
      <c r="Y1042" s="4"/>
      <c r="Z1042" s="4"/>
      <c r="AA1042" s="4"/>
      <c r="AB1042" s="4"/>
      <c r="AC1042" s="4" t="str">
        <f>IFERROR(__xludf.DUMMYFUNCTION("""COMPUTED_VALUE"""),"INSPEKSI SUTM - T2_Images/30fb0d28.FOTO.161710.jpg")</f>
        <v>INSPEKSI SUTM - T2_Images/30fb0d28.FOTO.161710.jpg</v>
      </c>
      <c r="AD1042" s="4"/>
      <c r="AE1042" s="4"/>
      <c r="AF1042" s="4" t="str">
        <f>IFERROR(__xludf.DUMMYFUNCTION("""COMPUTED_VALUE"""),"BELUM")</f>
        <v>BELUM</v>
      </c>
      <c r="AG1042" s="6">
        <f>IFERROR(__xludf.DUMMYFUNCTION("""COMPUTED_VALUE"""),46122.0)</f>
        <v>46122</v>
      </c>
      <c r="AH1042" s="4"/>
      <c r="AI1042" s="4"/>
    </row>
    <row r="1043" ht="15.75" customHeight="1">
      <c r="A1043" s="4" t="str">
        <f>IFERROR(__xludf.DUMMYFUNCTION("""COMPUTED_VALUE"""),"55d124d0")</f>
        <v>55d124d0</v>
      </c>
      <c r="B1043" s="5">
        <f>IFERROR(__xludf.DUMMYFUNCTION("""COMPUTED_VALUE"""),46122.97125)</f>
        <v>46122.97125</v>
      </c>
      <c r="C1043" s="4" t="str">
        <f>IFERROR(__xludf.DUMMYFUNCTION("""COMPUTED_VALUE"""),"-6.872919, 107.694368")</f>
        <v>-6.872919, 107.694368</v>
      </c>
      <c r="D1043" s="4" t="str">
        <f>IFERROR(__xludf.DUMMYFUNCTION("""COMPUTED_VALUE"""),"Canra heri")</f>
        <v>Canra heri</v>
      </c>
      <c r="E1043" s="4" t="str">
        <f>IFERROR(__xludf.DUMMYFUNCTION("""COMPUTED_VALUE"""),"BANDUNG")</f>
        <v>BANDUNG</v>
      </c>
      <c r="F1043" s="4" t="str">
        <f>IFERROR(__xludf.DUMMYFUNCTION("""COMPUTED_VALUE"""),"UJUNGBERUNG")</f>
        <v>UJUNGBERUNG</v>
      </c>
      <c r="G1043" s="4" t="str">
        <f>IFERROR(__xludf.DUMMYFUNCTION("""COMPUTED_VALUE"""),"GIS BANDUNG TIMUR")</f>
        <v>GIS BANDUNG TIMUR</v>
      </c>
      <c r="H1043" s="4" t="str">
        <f>IFERROR(__xludf.DUMMYFUNCTION("""COMPUTED_VALUE"""),"MDMK")</f>
        <v>MDMK</v>
      </c>
      <c r="I1043" s="4" t="str">
        <f>IFERROR(__xludf.DUMMYFUNCTION("""COMPUTED_VALUE"""),"REC TARB - UJUNG")</f>
        <v>REC TARB - UJUNG</v>
      </c>
      <c r="J1043" s="4" t="str">
        <f>IFERROR(__xludf.DUMMYFUNCTION("""COMPUTED_VALUE"""),"ZONA 2")</f>
        <v>ZONA 2</v>
      </c>
      <c r="K1043" s="4" t="str">
        <f>IFERROR(__xludf.DUMMYFUNCTION("""COMPUTED_VALUE"""),"105L032R02")</f>
        <v>105L032R02</v>
      </c>
      <c r="L1043" s="4" t="str">
        <f>IFERROR(__xludf.DUMMYFUNCTION("""COMPUTED_VALUE"""),"TM - 2B/H (Double Tumpu)")</f>
        <v>TM - 2B/H (Double Tumpu)</v>
      </c>
      <c r="M1043" s="4" t="str">
        <f>IFERROR(__xludf.DUMMYFUNCTION("""COMPUTED_VALUE"""),"Tidak Ada")</f>
        <v>Tidak Ada</v>
      </c>
      <c r="N1043" s="4"/>
      <c r="O1043" s="4" t="str">
        <f>IFERROR(__xludf.DUMMYFUNCTION("""COMPUTED_VALUE"""),"PEMBANDING SEJENIS")</f>
        <v>PEMBANDING SEJENIS</v>
      </c>
      <c r="P1043" s="4" t="str">
        <f>IFERROR(__xludf.DUMMYFUNCTION("""COMPUTED_VALUE"""),"ARRESTER")</f>
        <v>ARRESTER</v>
      </c>
      <c r="Q1043" s="4">
        <f>IFERROR(__xludf.DUMMYFUNCTION("""COMPUTED_VALUE"""),20.0)</f>
        <v>20</v>
      </c>
      <c r="R1043" s="4">
        <f>IFERROR(__xludf.DUMMYFUNCTION("""COMPUTED_VALUE"""),20.0)</f>
        <v>20</v>
      </c>
      <c r="S1043" s="4">
        <f>IFERROR(__xludf.DUMMYFUNCTION("""COMPUTED_VALUE"""),21.0)</f>
        <v>21</v>
      </c>
      <c r="T1043" s="4"/>
      <c r="U1043" s="4" t="str">
        <f>IFERROR(__xludf.DUMMYFUNCTION("""COMPUTED_VALUE"""),"BAIK")</f>
        <v>BAIK</v>
      </c>
      <c r="V1043" s="4" t="str">
        <f>IFERROR(__xludf.DUMMYFUNCTION("""COMPUTED_VALUE"""),"Tidak Ada")</f>
        <v>Tidak Ada</v>
      </c>
      <c r="W1043" s="4"/>
      <c r="X1043" s="4"/>
      <c r="Y1043" s="4"/>
      <c r="Z1043" s="4"/>
      <c r="AA1043" s="4"/>
      <c r="AB1043" s="4"/>
      <c r="AC1043" s="4" t="str">
        <f>IFERROR(__xludf.DUMMYFUNCTION("""COMPUTED_VALUE"""),"INSPEKSI SUTM - T2_Images/55d124d0.FOTO.162320.jpg")</f>
        <v>INSPEKSI SUTM - T2_Images/55d124d0.FOTO.162320.jpg</v>
      </c>
      <c r="AD1043" s="4"/>
      <c r="AE1043" s="4"/>
      <c r="AF1043" s="4" t="str">
        <f>IFERROR(__xludf.DUMMYFUNCTION("""COMPUTED_VALUE"""),"BELUM")</f>
        <v>BELUM</v>
      </c>
      <c r="AG1043" s="6">
        <f>IFERROR(__xludf.DUMMYFUNCTION("""COMPUTED_VALUE"""),46122.0)</f>
        <v>46122</v>
      </c>
      <c r="AH1043" s="4"/>
      <c r="AI1043" s="4"/>
    </row>
    <row r="1044" ht="15.75" customHeight="1">
      <c r="A1044" s="4" t="str">
        <f>IFERROR(__xludf.DUMMYFUNCTION("""COMPUTED_VALUE"""),"b5570a03")</f>
        <v>b5570a03</v>
      </c>
      <c r="B1044" s="5">
        <f>IFERROR(__xludf.DUMMYFUNCTION("""COMPUTED_VALUE"""),46122.972708333335)</f>
        <v>46122.97271</v>
      </c>
      <c r="C1044" s="4" t="str">
        <f>IFERROR(__xludf.DUMMYFUNCTION("""COMPUTED_VALUE"""),"-6.872409, 107.695212")</f>
        <v>-6.872409, 107.695212</v>
      </c>
      <c r="D1044" s="4" t="str">
        <f>IFERROR(__xludf.DUMMYFUNCTION("""COMPUTED_VALUE"""),"Canra heri")</f>
        <v>Canra heri</v>
      </c>
      <c r="E1044" s="4" t="str">
        <f>IFERROR(__xludf.DUMMYFUNCTION("""COMPUTED_VALUE"""),"BANDUNG")</f>
        <v>BANDUNG</v>
      </c>
      <c r="F1044" s="4" t="str">
        <f>IFERROR(__xludf.DUMMYFUNCTION("""COMPUTED_VALUE"""),"UJUNGBERUNG")</f>
        <v>UJUNGBERUNG</v>
      </c>
      <c r="G1044" s="4" t="str">
        <f>IFERROR(__xludf.DUMMYFUNCTION("""COMPUTED_VALUE"""),"GIS BANDUNG TIMUR")</f>
        <v>GIS BANDUNG TIMUR</v>
      </c>
      <c r="H1044" s="4" t="str">
        <f>IFERROR(__xludf.DUMMYFUNCTION("""COMPUTED_VALUE"""),"MDMK")</f>
        <v>MDMK</v>
      </c>
      <c r="I1044" s="4" t="str">
        <f>IFERROR(__xludf.DUMMYFUNCTION("""COMPUTED_VALUE"""),"REC TARB - UJUNG")</f>
        <v>REC TARB - UJUNG</v>
      </c>
      <c r="J1044" s="4" t="str">
        <f>IFERROR(__xludf.DUMMYFUNCTION("""COMPUTED_VALUE"""),"ZONA 2")</f>
        <v>ZONA 2</v>
      </c>
      <c r="K1044" s="4" t="str">
        <f>IFERROR(__xludf.DUMMYFUNCTION("""COMPUTED_VALUE"""),"105L032R04")</f>
        <v>105L032R04</v>
      </c>
      <c r="L1044" s="4" t="str">
        <f>IFERROR(__xludf.DUMMYFUNCTION("""COMPUTED_VALUE"""),"TM - 5B/H (Portal andongan &lt;170m)")</f>
        <v>TM - 5B/H (Portal andongan &lt;170m)</v>
      </c>
      <c r="M1044" s="4" t="str">
        <f>IFERROR(__xludf.DUMMYFUNCTION("""COMPUTED_VALUE"""),"Tidak Ada")</f>
        <v>Tidak Ada</v>
      </c>
      <c r="N1044" s="4"/>
      <c r="O1044" s="4" t="str">
        <f>IFERROR(__xludf.DUMMYFUNCTION("""COMPUTED_VALUE"""),"PEMBANDING SEJENIS")</f>
        <v>PEMBANDING SEJENIS</v>
      </c>
      <c r="P1044" s="4" t="str">
        <f>IFERROR(__xludf.DUMMYFUNCTION("""COMPUTED_VALUE"""),"KONEKTOR/JUMPER")</f>
        <v>KONEKTOR/JUMPER</v>
      </c>
      <c r="Q1044" s="4">
        <f>IFERROR(__xludf.DUMMYFUNCTION("""COMPUTED_VALUE"""),18.0)</f>
        <v>18</v>
      </c>
      <c r="R1044" s="4">
        <f>IFERROR(__xludf.DUMMYFUNCTION("""COMPUTED_VALUE"""),19.0)</f>
        <v>19</v>
      </c>
      <c r="S1044" s="4">
        <f>IFERROR(__xludf.DUMMYFUNCTION("""COMPUTED_VALUE"""),19.0)</f>
        <v>19</v>
      </c>
      <c r="T1044" s="4"/>
      <c r="U1044" s="4" t="str">
        <f>IFERROR(__xludf.DUMMYFUNCTION("""COMPUTED_VALUE"""),"BAIK")</f>
        <v>BAIK</v>
      </c>
      <c r="V1044" s="4" t="str">
        <f>IFERROR(__xludf.DUMMYFUNCTION("""COMPUTED_VALUE"""),"Tidak Ada")</f>
        <v>Tidak Ada</v>
      </c>
      <c r="W1044" s="4"/>
      <c r="X1044" s="4"/>
      <c r="Y1044" s="4"/>
      <c r="Z1044" s="4"/>
      <c r="AA1044" s="4"/>
      <c r="AB1044" s="4"/>
      <c r="AC1044" s="4" t="str">
        <f>IFERROR(__xludf.DUMMYFUNCTION("""COMPUTED_VALUE"""),"INSPEKSI SUTM - T2_Images/b5570a03.FOTO.162324.jpg")</f>
        <v>INSPEKSI SUTM - T2_Images/b5570a03.FOTO.162324.jpg</v>
      </c>
      <c r="AD1044" s="4"/>
      <c r="AE1044" s="4"/>
      <c r="AF1044" s="4" t="str">
        <f>IFERROR(__xludf.DUMMYFUNCTION("""COMPUTED_VALUE"""),"BELUM")</f>
        <v>BELUM</v>
      </c>
      <c r="AG1044" s="6">
        <f>IFERROR(__xludf.DUMMYFUNCTION("""COMPUTED_VALUE"""),46122.0)</f>
        <v>46122</v>
      </c>
      <c r="AH1044" s="4"/>
      <c r="AI1044" s="4"/>
    </row>
    <row r="1045" ht="15.75" customHeight="1">
      <c r="A1045" s="4" t="str">
        <f>IFERROR(__xludf.DUMMYFUNCTION("""COMPUTED_VALUE"""),"04161ace")</f>
        <v>04161ace</v>
      </c>
      <c r="B1045" s="5">
        <f>IFERROR(__xludf.DUMMYFUNCTION("""COMPUTED_VALUE"""),46122.97431712963)</f>
        <v>46122.97432</v>
      </c>
      <c r="C1045" s="4" t="str">
        <f>IFERROR(__xludf.DUMMYFUNCTION("""COMPUTED_VALUE"""),"-6.872376, 107.696675")</f>
        <v>-6.872376, 107.696675</v>
      </c>
      <c r="D1045" s="4" t="str">
        <f>IFERROR(__xludf.DUMMYFUNCTION("""COMPUTED_VALUE"""),"Canra heri")</f>
        <v>Canra heri</v>
      </c>
      <c r="E1045" s="4" t="str">
        <f>IFERROR(__xludf.DUMMYFUNCTION("""COMPUTED_VALUE"""),"BANDUNG")</f>
        <v>BANDUNG</v>
      </c>
      <c r="F1045" s="4" t="str">
        <f>IFERROR(__xludf.DUMMYFUNCTION("""COMPUTED_VALUE"""),"UJUNGBERUNG")</f>
        <v>UJUNGBERUNG</v>
      </c>
      <c r="G1045" s="4" t="str">
        <f>IFERROR(__xludf.DUMMYFUNCTION("""COMPUTED_VALUE"""),"GIS BANDUNG TIMUR")</f>
        <v>GIS BANDUNG TIMUR</v>
      </c>
      <c r="H1045" s="4" t="str">
        <f>IFERROR(__xludf.DUMMYFUNCTION("""COMPUTED_VALUE"""),"MDMK")</f>
        <v>MDMK</v>
      </c>
      <c r="I1045" s="4" t="str">
        <f>IFERROR(__xludf.DUMMYFUNCTION("""COMPUTED_VALUE"""),"REC TARB - UJUNG")</f>
        <v>REC TARB - UJUNG</v>
      </c>
      <c r="J1045" s="4" t="str">
        <f>IFERROR(__xludf.DUMMYFUNCTION("""COMPUTED_VALUE"""),"ZONA 2")</f>
        <v>ZONA 2</v>
      </c>
      <c r="K1045" s="4" t="str">
        <f>IFERROR(__xludf.DUMMYFUNCTION("""COMPUTED_VALUE"""),"105L032R05")</f>
        <v>105L032R05</v>
      </c>
      <c r="L1045" s="4" t="str">
        <f>IFERROR(__xludf.DUMMYFUNCTION("""COMPUTED_VALUE"""),"TM - 5B/H (Portal andongan &lt;170m)")</f>
        <v>TM - 5B/H (Portal andongan &lt;170m)</v>
      </c>
      <c r="M1045" s="4" t="str">
        <f>IFERROR(__xludf.DUMMYFUNCTION("""COMPUTED_VALUE"""),"Tidak Ada")</f>
        <v>Tidak Ada</v>
      </c>
      <c r="N1045" s="4"/>
      <c r="O1045" s="4" t="str">
        <f>IFERROR(__xludf.DUMMYFUNCTION("""COMPUTED_VALUE"""),"PEMBANDING SEJENIS")</f>
        <v>PEMBANDING SEJENIS</v>
      </c>
      <c r="P1045" s="4" t="str">
        <f>IFERROR(__xludf.DUMMYFUNCTION("""COMPUTED_VALUE"""),"KONEKTOR/JUMPER")</f>
        <v>KONEKTOR/JUMPER</v>
      </c>
      <c r="Q1045" s="4">
        <f>IFERROR(__xludf.DUMMYFUNCTION("""COMPUTED_VALUE"""),21.0)</f>
        <v>21</v>
      </c>
      <c r="R1045" s="4">
        <f>IFERROR(__xludf.DUMMYFUNCTION("""COMPUTED_VALUE"""),21.0)</f>
        <v>21</v>
      </c>
      <c r="S1045" s="4">
        <f>IFERROR(__xludf.DUMMYFUNCTION("""COMPUTED_VALUE"""),21.0)</f>
        <v>21</v>
      </c>
      <c r="T1045" s="4"/>
      <c r="U1045" s="4" t="str">
        <f>IFERROR(__xludf.DUMMYFUNCTION("""COMPUTED_VALUE"""),"BAIK")</f>
        <v>BAIK</v>
      </c>
      <c r="V1045" s="4" t="str">
        <f>IFERROR(__xludf.DUMMYFUNCTION("""COMPUTED_VALUE"""),"Tidak Ada")</f>
        <v>Tidak Ada</v>
      </c>
      <c r="W1045" s="4"/>
      <c r="X1045" s="4"/>
      <c r="Y1045" s="4"/>
      <c r="Z1045" s="4"/>
      <c r="AA1045" s="4"/>
      <c r="AB1045" s="4"/>
      <c r="AC1045" s="4" t="str">
        <f>IFERROR(__xludf.DUMMYFUNCTION("""COMPUTED_VALUE"""),"INSPEKSI SUTM - T2_Images/04161ace.FOTO.162352.jpg")</f>
        <v>INSPEKSI SUTM - T2_Images/04161ace.FOTO.162352.jpg</v>
      </c>
      <c r="AD1045" s="4"/>
      <c r="AE1045" s="4"/>
      <c r="AF1045" s="4" t="str">
        <f>IFERROR(__xludf.DUMMYFUNCTION("""COMPUTED_VALUE"""),"BELUM")</f>
        <v>BELUM</v>
      </c>
      <c r="AG1045" s="6">
        <f>IFERROR(__xludf.DUMMYFUNCTION("""COMPUTED_VALUE"""),46122.0)</f>
        <v>46122</v>
      </c>
      <c r="AH1045" s="4"/>
      <c r="AI1045" s="4"/>
    </row>
    <row r="1046" ht="15.75" customHeight="1">
      <c r="A1046" s="4" t="str">
        <f>IFERROR(__xludf.DUMMYFUNCTION("""COMPUTED_VALUE"""),"d5d0e783")</f>
        <v>d5d0e783</v>
      </c>
      <c r="B1046" s="5">
        <f>IFERROR(__xludf.DUMMYFUNCTION("""COMPUTED_VALUE"""),46122.97729166667)</f>
        <v>46122.97729</v>
      </c>
      <c r="C1046" s="4" t="str">
        <f>IFERROR(__xludf.DUMMYFUNCTION("""COMPUTED_VALUE"""),"-6.871912, 107.697591")</f>
        <v>-6.871912, 107.697591</v>
      </c>
      <c r="D1046" s="4" t="str">
        <f>IFERROR(__xludf.DUMMYFUNCTION("""COMPUTED_VALUE"""),"Cantaa heri")</f>
        <v>Cantaa heri</v>
      </c>
      <c r="E1046" s="4" t="str">
        <f>IFERROR(__xludf.DUMMYFUNCTION("""COMPUTED_VALUE"""),"BANDUNG")</f>
        <v>BANDUNG</v>
      </c>
      <c r="F1046" s="4" t="str">
        <f>IFERROR(__xludf.DUMMYFUNCTION("""COMPUTED_VALUE"""),"UJUNGBERUNG")</f>
        <v>UJUNGBERUNG</v>
      </c>
      <c r="G1046" s="4" t="str">
        <f>IFERROR(__xludf.DUMMYFUNCTION("""COMPUTED_VALUE"""),"GIS BANDUNG TIMUR")</f>
        <v>GIS BANDUNG TIMUR</v>
      </c>
      <c r="H1046" s="4" t="str">
        <f>IFERROR(__xludf.DUMMYFUNCTION("""COMPUTED_VALUE"""),"MDMK")</f>
        <v>MDMK</v>
      </c>
      <c r="I1046" s="4" t="str">
        <f>IFERROR(__xludf.DUMMYFUNCTION("""COMPUTED_VALUE"""),"REC TARB - UJUNG")</f>
        <v>REC TARB - UJUNG</v>
      </c>
      <c r="J1046" s="4" t="str">
        <f>IFERROR(__xludf.DUMMYFUNCTION("""COMPUTED_VALUE"""),"ZONA 2")</f>
        <v>ZONA 2</v>
      </c>
      <c r="K1046" s="4" t="str">
        <f>IFERROR(__xludf.DUMMYFUNCTION("""COMPUTED_VALUE"""),"105L040")</f>
        <v>105L040</v>
      </c>
      <c r="L1046" s="4" t="str">
        <f>IFERROR(__xludf.DUMMYFUNCTION("""COMPUTED_VALUE"""),"TM - 4B/H (Afspan)")</f>
        <v>TM - 4B/H (Afspan)</v>
      </c>
      <c r="M1046" s="4" t="str">
        <f>IFERROR(__xludf.DUMMYFUNCTION("""COMPUTED_VALUE"""),"Tidak Ada")</f>
        <v>Tidak Ada</v>
      </c>
      <c r="N1046" s="4"/>
      <c r="O1046" s="4" t="str">
        <f>IFERROR(__xludf.DUMMYFUNCTION("""COMPUTED_VALUE"""),"PEMBANDING SEJENIS")</f>
        <v>PEMBANDING SEJENIS</v>
      </c>
      <c r="P1046" s="4" t="str">
        <f>IFERROR(__xludf.DUMMYFUNCTION("""COMPUTED_VALUE"""),"KONEKTOR/JUMPER")</f>
        <v>KONEKTOR/JUMPER</v>
      </c>
      <c r="Q1046" s="4">
        <f>IFERROR(__xludf.DUMMYFUNCTION("""COMPUTED_VALUE"""),20.0)</f>
        <v>20</v>
      </c>
      <c r="R1046" s="4">
        <f>IFERROR(__xludf.DUMMYFUNCTION("""COMPUTED_VALUE"""),20.0)</f>
        <v>20</v>
      </c>
      <c r="S1046" s="4">
        <f>IFERROR(__xludf.DUMMYFUNCTION("""COMPUTED_VALUE"""),19.0)</f>
        <v>19</v>
      </c>
      <c r="T1046" s="4"/>
      <c r="U1046" s="4" t="str">
        <f>IFERROR(__xludf.DUMMYFUNCTION("""COMPUTED_VALUE"""),"BAIK")</f>
        <v>BAIK</v>
      </c>
      <c r="V1046" s="4" t="str">
        <f>IFERROR(__xludf.DUMMYFUNCTION("""COMPUTED_VALUE"""),"Tidak Ada")</f>
        <v>Tidak Ada</v>
      </c>
      <c r="W1046" s="4"/>
      <c r="X1046" s="4"/>
      <c r="Y1046" s="4"/>
      <c r="Z1046" s="4"/>
      <c r="AA1046" s="4"/>
      <c r="AB1046" s="4"/>
      <c r="AC1046" s="4" t="str">
        <f>IFERROR(__xludf.DUMMYFUNCTION("""COMPUTED_VALUE"""),"INSPEKSI SUTM - T2_Images/d5d0e783.FOTO.162811.jpg")</f>
        <v>INSPEKSI SUTM - T2_Images/d5d0e783.FOTO.162811.jpg</v>
      </c>
      <c r="AD1046" s="4"/>
      <c r="AE1046" s="4"/>
      <c r="AF1046" s="4" t="str">
        <f>IFERROR(__xludf.DUMMYFUNCTION("""COMPUTED_VALUE"""),"BELUM")</f>
        <v>BELUM</v>
      </c>
      <c r="AG1046" s="6">
        <f>IFERROR(__xludf.DUMMYFUNCTION("""COMPUTED_VALUE"""),46122.0)</f>
        <v>46122</v>
      </c>
      <c r="AH1046" s="4"/>
      <c r="AI1046" s="4"/>
    </row>
    <row r="1047" ht="15.75" customHeight="1">
      <c r="A1047" s="4" t="str">
        <f>IFERROR(__xludf.DUMMYFUNCTION("""COMPUTED_VALUE"""),"19cb38c0")</f>
        <v>19cb38c0</v>
      </c>
      <c r="B1047" s="5">
        <f>IFERROR(__xludf.DUMMYFUNCTION("""COMPUTED_VALUE"""),46125.8659837963)</f>
        <v>46125.86598</v>
      </c>
      <c r="C1047" s="4" t="str">
        <f>IFERROR(__xludf.DUMMYFUNCTION("""COMPUTED_VALUE"""),"-6.867933, 107.695998")</f>
        <v>-6.867933, 107.695998</v>
      </c>
      <c r="D1047" s="4" t="str">
        <f>IFERROR(__xludf.DUMMYFUNCTION("""COMPUTED_VALUE"""),"Canra heri")</f>
        <v>Canra heri</v>
      </c>
      <c r="E1047" s="4" t="str">
        <f>IFERROR(__xludf.DUMMYFUNCTION("""COMPUTED_VALUE"""),"BANDUNG")</f>
        <v>BANDUNG</v>
      </c>
      <c r="F1047" s="4" t="str">
        <f>IFERROR(__xludf.DUMMYFUNCTION("""COMPUTED_VALUE"""),"UJUNGBERUNG")</f>
        <v>UJUNGBERUNG</v>
      </c>
      <c r="G1047" s="4" t="str">
        <f>IFERROR(__xludf.DUMMYFUNCTION("""COMPUTED_VALUE"""),"GIS BANDUNG TIMUR")</f>
        <v>GIS BANDUNG TIMUR</v>
      </c>
      <c r="H1047" s="4" t="str">
        <f>IFERROR(__xludf.DUMMYFUNCTION("""COMPUTED_VALUE"""),"MDMK")</f>
        <v>MDMK</v>
      </c>
      <c r="I1047" s="4" t="str">
        <f>IFERROR(__xludf.DUMMYFUNCTION("""COMPUTED_VALUE"""),"REC TARB - UJUNG")</f>
        <v>REC TARB - UJUNG</v>
      </c>
      <c r="J1047" s="4" t="str">
        <f>IFERROR(__xludf.DUMMYFUNCTION("""COMPUTED_VALUE"""),"ZONA 2")</f>
        <v>ZONA 2</v>
      </c>
      <c r="K1047" s="4" t="str">
        <f>IFERROR(__xludf.DUMMYFUNCTION("""COMPUTED_VALUE"""),"105L047")</f>
        <v>105L047</v>
      </c>
      <c r="L1047" s="4" t="str">
        <f>IFERROR(__xludf.DUMMYFUNCTION("""COMPUTED_VALUE"""),"TM - 7B/H (Afspan 90 Derajat)")</f>
        <v>TM - 7B/H (Afspan 90 Derajat)</v>
      </c>
      <c r="M1047" s="4" t="str">
        <f>IFERROR(__xludf.DUMMYFUNCTION("""COMPUTED_VALUE"""),"Tidak Ada")</f>
        <v>Tidak Ada</v>
      </c>
      <c r="N1047" s="4"/>
      <c r="O1047" s="4" t="str">
        <f>IFERROR(__xludf.DUMMYFUNCTION("""COMPUTED_VALUE"""),"PEMBANDING SEJENIS")</f>
        <v>PEMBANDING SEJENIS</v>
      </c>
      <c r="P1047" s="4" t="str">
        <f>IFERROR(__xludf.DUMMYFUNCTION("""COMPUTED_VALUE"""),"KONEKTOR/JUMPER")</f>
        <v>KONEKTOR/JUMPER</v>
      </c>
      <c r="Q1047" s="4">
        <f>IFERROR(__xludf.DUMMYFUNCTION("""COMPUTED_VALUE"""),20.0)</f>
        <v>20</v>
      </c>
      <c r="R1047" s="4">
        <f>IFERROR(__xludf.DUMMYFUNCTION("""COMPUTED_VALUE"""),19.0)</f>
        <v>19</v>
      </c>
      <c r="S1047" s="4">
        <f>IFERROR(__xludf.DUMMYFUNCTION("""COMPUTED_VALUE"""),20.0)</f>
        <v>20</v>
      </c>
      <c r="T1047" s="4"/>
      <c r="U1047" s="4" t="str">
        <f>IFERROR(__xludf.DUMMYFUNCTION("""COMPUTED_VALUE"""),"BAIK")</f>
        <v>BAIK</v>
      </c>
      <c r="V1047" s="4" t="str">
        <f>IFERROR(__xludf.DUMMYFUNCTION("""COMPUTED_VALUE"""),"Tidak Ada")</f>
        <v>Tidak Ada</v>
      </c>
      <c r="W1047" s="4"/>
      <c r="X1047" s="4"/>
      <c r="Y1047" s="4"/>
      <c r="Z1047" s="4"/>
      <c r="AA1047" s="4"/>
      <c r="AB1047" s="4"/>
      <c r="AC1047" s="4" t="str">
        <f>IFERROR(__xludf.DUMMYFUNCTION("""COMPUTED_VALUE"""),"INSPEKSI SUTM - T2_Images/19cb38c0.FOTO.134810.jpg")</f>
        <v>INSPEKSI SUTM - T2_Images/19cb38c0.FOTO.134810.jpg</v>
      </c>
      <c r="AD1047" s="4"/>
      <c r="AE1047" s="4"/>
      <c r="AF1047" s="4" t="str">
        <f>IFERROR(__xludf.DUMMYFUNCTION("""COMPUTED_VALUE"""),"BELUM")</f>
        <v>BELUM</v>
      </c>
      <c r="AG1047" s="6">
        <f>IFERROR(__xludf.DUMMYFUNCTION("""COMPUTED_VALUE"""),46125.0)</f>
        <v>46125</v>
      </c>
      <c r="AH1047" s="4"/>
      <c r="AI1047" s="4"/>
    </row>
    <row r="1048" ht="15.75" customHeight="1">
      <c r="A1048" s="4" t="str">
        <f>IFERROR(__xludf.DUMMYFUNCTION("""COMPUTED_VALUE"""),"59e8202d")</f>
        <v>59e8202d</v>
      </c>
      <c r="B1048" s="5">
        <f>IFERROR(__xludf.DUMMYFUNCTION("""COMPUTED_VALUE"""),46125.86834490741)</f>
        <v>46125.86834</v>
      </c>
      <c r="C1048" s="4" t="str">
        <f>IFERROR(__xludf.DUMMYFUNCTION("""COMPUTED_VALUE"""),"-6.867156, 107.694668")</f>
        <v>-6.867156, 107.694668</v>
      </c>
      <c r="D1048" s="4" t="str">
        <f>IFERROR(__xludf.DUMMYFUNCTION("""COMPUTED_VALUE"""),"Canra heri")</f>
        <v>Canra heri</v>
      </c>
      <c r="E1048" s="4" t="str">
        <f>IFERROR(__xludf.DUMMYFUNCTION("""COMPUTED_VALUE"""),"BANDUNG")</f>
        <v>BANDUNG</v>
      </c>
      <c r="F1048" s="4" t="str">
        <f>IFERROR(__xludf.DUMMYFUNCTION("""COMPUTED_VALUE"""),"UJUNGBERUNG")</f>
        <v>UJUNGBERUNG</v>
      </c>
      <c r="G1048" s="4" t="str">
        <f>IFERROR(__xludf.DUMMYFUNCTION("""COMPUTED_VALUE"""),"GIS BANDUNG TIMUR")</f>
        <v>GIS BANDUNG TIMUR</v>
      </c>
      <c r="H1048" s="4" t="str">
        <f>IFERROR(__xludf.DUMMYFUNCTION("""COMPUTED_VALUE"""),"MDMK")</f>
        <v>MDMK</v>
      </c>
      <c r="I1048" s="4" t="str">
        <f>IFERROR(__xludf.DUMMYFUNCTION("""COMPUTED_VALUE"""),"REC TARB - UJUNG")</f>
        <v>REC TARB - UJUNG</v>
      </c>
      <c r="J1048" s="4" t="str">
        <f>IFERROR(__xludf.DUMMYFUNCTION("""COMPUTED_VALUE"""),"ZONA 2")</f>
        <v>ZONA 2</v>
      </c>
      <c r="K1048" s="4" t="str">
        <f>IFERROR(__xludf.DUMMYFUNCTION("""COMPUTED_VALUE"""),"105L051")</f>
        <v>105L051</v>
      </c>
      <c r="L1048" s="4" t="str">
        <f>IFERROR(__xludf.DUMMYFUNCTION("""COMPUTED_VALUE"""),"TM - 7B/H (Afspan 90 Derajat)")</f>
        <v>TM - 7B/H (Afspan 90 Derajat)</v>
      </c>
      <c r="M1048" s="4" t="str">
        <f>IFERROR(__xludf.DUMMYFUNCTION("""COMPUTED_VALUE"""),"Tidak Ada")</f>
        <v>Tidak Ada</v>
      </c>
      <c r="N1048" s="4"/>
      <c r="O1048" s="4" t="str">
        <f>IFERROR(__xludf.DUMMYFUNCTION("""COMPUTED_VALUE"""),"PEMBANDING SEJENIS")</f>
        <v>PEMBANDING SEJENIS</v>
      </c>
      <c r="P1048" s="4" t="str">
        <f>IFERROR(__xludf.DUMMYFUNCTION("""COMPUTED_VALUE"""),"KONEKTOR/JUMPER")</f>
        <v>KONEKTOR/JUMPER</v>
      </c>
      <c r="Q1048" s="4">
        <f>IFERROR(__xludf.DUMMYFUNCTION("""COMPUTED_VALUE"""),19.0)</f>
        <v>19</v>
      </c>
      <c r="R1048" s="4">
        <f>IFERROR(__xludf.DUMMYFUNCTION("""COMPUTED_VALUE"""),19.0)</f>
        <v>19</v>
      </c>
      <c r="S1048" s="4">
        <f>IFERROR(__xludf.DUMMYFUNCTION("""COMPUTED_VALUE"""),20.0)</f>
        <v>20</v>
      </c>
      <c r="T1048" s="4"/>
      <c r="U1048" s="4" t="str">
        <f>IFERROR(__xludf.DUMMYFUNCTION("""COMPUTED_VALUE"""),"BAIK")</f>
        <v>BAIK</v>
      </c>
      <c r="V1048" s="4" t="str">
        <f>IFERROR(__xludf.DUMMYFUNCTION("""COMPUTED_VALUE"""),"Tidak Ada")</f>
        <v>Tidak Ada</v>
      </c>
      <c r="W1048" s="4"/>
      <c r="X1048" s="4"/>
      <c r="Y1048" s="4"/>
      <c r="Z1048" s="4"/>
      <c r="AA1048" s="4"/>
      <c r="AB1048" s="4"/>
      <c r="AC1048" s="4" t="str">
        <f>IFERROR(__xludf.DUMMYFUNCTION("""COMPUTED_VALUE"""),"INSPEKSI SUTM - T2_Images/59e8202d.FOTO.135119.jpg")</f>
        <v>INSPEKSI SUTM - T2_Images/59e8202d.FOTO.135119.jpg</v>
      </c>
      <c r="AD1048" s="4"/>
      <c r="AE1048" s="4"/>
      <c r="AF1048" s="4" t="str">
        <f>IFERROR(__xludf.DUMMYFUNCTION("""COMPUTED_VALUE"""),"BELUM")</f>
        <v>BELUM</v>
      </c>
      <c r="AG1048" s="6">
        <f>IFERROR(__xludf.DUMMYFUNCTION("""COMPUTED_VALUE"""),46125.0)</f>
        <v>46125</v>
      </c>
      <c r="AH1048" s="4"/>
      <c r="AI1048" s="4"/>
    </row>
    <row r="1049" ht="15.75" customHeight="1">
      <c r="A1049" s="4" t="str">
        <f>IFERROR(__xludf.DUMMYFUNCTION("""COMPUTED_VALUE"""),"0ff3640a")</f>
        <v>0ff3640a</v>
      </c>
      <c r="B1049" s="5">
        <f>IFERROR(__xludf.DUMMYFUNCTION("""COMPUTED_VALUE"""),46125.86944444444)</f>
        <v>46125.86944</v>
      </c>
      <c r="C1049" s="4" t="str">
        <f>IFERROR(__xludf.DUMMYFUNCTION("""COMPUTED_VALUE"""),"-6.866559, 107.694909")</f>
        <v>-6.866559, 107.694909</v>
      </c>
      <c r="D1049" s="4" t="str">
        <f>IFERROR(__xludf.DUMMYFUNCTION("""COMPUTED_VALUE"""),"Canra heri")</f>
        <v>Canra heri</v>
      </c>
      <c r="E1049" s="4" t="str">
        <f>IFERROR(__xludf.DUMMYFUNCTION("""COMPUTED_VALUE"""),"BANDUNG")</f>
        <v>BANDUNG</v>
      </c>
      <c r="F1049" s="4" t="str">
        <f>IFERROR(__xludf.DUMMYFUNCTION("""COMPUTED_VALUE"""),"UJUNGBERUNG")</f>
        <v>UJUNGBERUNG</v>
      </c>
      <c r="G1049" s="4" t="str">
        <f>IFERROR(__xludf.DUMMYFUNCTION("""COMPUTED_VALUE"""),"GIS BANDUNG TIMUR")</f>
        <v>GIS BANDUNG TIMUR</v>
      </c>
      <c r="H1049" s="4" t="str">
        <f>IFERROR(__xludf.DUMMYFUNCTION("""COMPUTED_VALUE"""),"MDMK")</f>
        <v>MDMK</v>
      </c>
      <c r="I1049" s="4" t="str">
        <f>IFERROR(__xludf.DUMMYFUNCTION("""COMPUTED_VALUE"""),"REC TARB - UJUNG")</f>
        <v>REC TARB - UJUNG</v>
      </c>
      <c r="J1049" s="4" t="str">
        <f>IFERROR(__xludf.DUMMYFUNCTION("""COMPUTED_VALUE"""),"ZONA 2")</f>
        <v>ZONA 2</v>
      </c>
      <c r="K1049" s="4" t="str">
        <f>IFERROR(__xludf.DUMMYFUNCTION("""COMPUTED_VALUE"""),"105L053")</f>
        <v>105L053</v>
      </c>
      <c r="L1049" s="4" t="str">
        <f>IFERROR(__xludf.DUMMYFUNCTION("""COMPUTED_VALUE"""),"TM - 7B/H (Afspan 90 Derajat)")</f>
        <v>TM - 7B/H (Afspan 90 Derajat)</v>
      </c>
      <c r="M1049" s="4" t="str">
        <f>IFERROR(__xludf.DUMMYFUNCTION("""COMPUTED_VALUE"""),"Tidak Ada")</f>
        <v>Tidak Ada</v>
      </c>
      <c r="N1049" s="4"/>
      <c r="O1049" s="4" t="str">
        <f>IFERROR(__xludf.DUMMYFUNCTION("""COMPUTED_VALUE"""),"PEMBANDING SEJENIS")</f>
        <v>PEMBANDING SEJENIS</v>
      </c>
      <c r="P1049" s="4" t="str">
        <f>IFERROR(__xludf.DUMMYFUNCTION("""COMPUTED_VALUE"""),"KONEKTOR/JUMPER")</f>
        <v>KONEKTOR/JUMPER</v>
      </c>
      <c r="Q1049" s="4">
        <f>IFERROR(__xludf.DUMMYFUNCTION("""COMPUTED_VALUE"""),20.0)</f>
        <v>20</v>
      </c>
      <c r="R1049" s="4">
        <f>IFERROR(__xludf.DUMMYFUNCTION("""COMPUTED_VALUE"""),20.0)</f>
        <v>20</v>
      </c>
      <c r="S1049" s="4">
        <f>IFERROR(__xludf.DUMMYFUNCTION("""COMPUTED_VALUE"""),20.0)</f>
        <v>20</v>
      </c>
      <c r="T1049" s="4"/>
      <c r="U1049" s="4" t="str">
        <f>IFERROR(__xludf.DUMMYFUNCTION("""COMPUTED_VALUE"""),"BAIK")</f>
        <v>BAIK</v>
      </c>
      <c r="V1049" s="4" t="str">
        <f>IFERROR(__xludf.DUMMYFUNCTION("""COMPUTED_VALUE"""),"Tidak Ada")</f>
        <v>Tidak Ada</v>
      </c>
      <c r="W1049" s="4"/>
      <c r="X1049" s="4"/>
      <c r="Y1049" s="4"/>
      <c r="Z1049" s="4"/>
      <c r="AA1049" s="4"/>
      <c r="AB1049" s="4"/>
      <c r="AC1049" s="4" t="str">
        <f>IFERROR(__xludf.DUMMYFUNCTION("""COMPUTED_VALUE"""),"INSPEKSI SUTM - T2_Images/0ff3640a.FOTO.135253.jpg")</f>
        <v>INSPEKSI SUTM - T2_Images/0ff3640a.FOTO.135253.jpg</v>
      </c>
      <c r="AD1049" s="4"/>
      <c r="AE1049" s="4"/>
      <c r="AF1049" s="4" t="str">
        <f>IFERROR(__xludf.DUMMYFUNCTION("""COMPUTED_VALUE"""),"BELUM")</f>
        <v>BELUM</v>
      </c>
      <c r="AG1049" s="6">
        <f>IFERROR(__xludf.DUMMYFUNCTION("""COMPUTED_VALUE"""),46125.0)</f>
        <v>46125</v>
      </c>
      <c r="AH1049" s="4"/>
      <c r="AI1049" s="4"/>
    </row>
    <row r="1050" ht="15.75" customHeight="1">
      <c r="A1050" s="4" t="str">
        <f>IFERROR(__xludf.DUMMYFUNCTION("""COMPUTED_VALUE"""),"259575ff")</f>
        <v>259575ff</v>
      </c>
      <c r="B1050" s="5">
        <f>IFERROR(__xludf.DUMMYFUNCTION("""COMPUTED_VALUE"""),46125.87111111111)</f>
        <v>46125.87111</v>
      </c>
      <c r="C1050" s="4" t="str">
        <f>IFERROR(__xludf.DUMMYFUNCTION("""COMPUTED_VALUE"""),"-6.865605, 107.693443")</f>
        <v>-6.865605, 107.693443</v>
      </c>
      <c r="D1050" s="4" t="str">
        <f>IFERROR(__xludf.DUMMYFUNCTION("""COMPUTED_VALUE"""),"Canra heri")</f>
        <v>Canra heri</v>
      </c>
      <c r="E1050" s="4" t="str">
        <f>IFERROR(__xludf.DUMMYFUNCTION("""COMPUTED_VALUE"""),"BANDUNG")</f>
        <v>BANDUNG</v>
      </c>
      <c r="F1050" s="4" t="str">
        <f>IFERROR(__xludf.DUMMYFUNCTION("""COMPUTED_VALUE"""),"UJUNGBERUNG")</f>
        <v>UJUNGBERUNG</v>
      </c>
      <c r="G1050" s="4" t="str">
        <f>IFERROR(__xludf.DUMMYFUNCTION("""COMPUTED_VALUE"""),"GIS BANDUNG TIMUR")</f>
        <v>GIS BANDUNG TIMUR</v>
      </c>
      <c r="H1050" s="4" t="str">
        <f>IFERROR(__xludf.DUMMYFUNCTION("""COMPUTED_VALUE"""),"MDMK")</f>
        <v>MDMK</v>
      </c>
      <c r="I1050" s="4" t="str">
        <f>IFERROR(__xludf.DUMMYFUNCTION("""COMPUTED_VALUE"""),"REC TARB - UJUNG")</f>
        <v>REC TARB - UJUNG</v>
      </c>
      <c r="J1050" s="4" t="str">
        <f>IFERROR(__xludf.DUMMYFUNCTION("""COMPUTED_VALUE"""),"ZONA 2")</f>
        <v>ZONA 2</v>
      </c>
      <c r="K1050" s="4" t="str">
        <f>IFERROR(__xludf.DUMMYFUNCTION("""COMPUTED_VALUE"""),"105L057")</f>
        <v>105L057</v>
      </c>
      <c r="L1050" s="4" t="str">
        <f>IFERROR(__xludf.DUMMYFUNCTION("""COMPUTED_VALUE"""),"TM - 16B/H (REC/SSO/LBS)")</f>
        <v>TM - 16B/H (REC/SSO/LBS)</v>
      </c>
      <c r="M1050" s="4" t="str">
        <f>IFERROR(__xludf.DUMMYFUNCTION("""COMPUTED_VALUE"""),"LBS")</f>
        <v>LBS</v>
      </c>
      <c r="N1050" s="4" t="str">
        <f>IFERROR(__xludf.DUMMYFUNCTION("""COMPUTED_VALUE"""),"Mknf")</f>
        <v>Mknf</v>
      </c>
      <c r="O1050" s="4" t="str">
        <f>IFERROR(__xludf.DUMMYFUNCTION("""COMPUTED_VALUE"""),"PEMBANDING SEJENIS")</f>
        <v>PEMBANDING SEJENIS</v>
      </c>
      <c r="P1050" s="4" t="str">
        <f>IFERROR(__xludf.DUMMYFUNCTION("""COMPUTED_VALUE"""),"ARRESTER")</f>
        <v>ARRESTER</v>
      </c>
      <c r="Q1050" s="4">
        <f>IFERROR(__xludf.DUMMYFUNCTION("""COMPUTED_VALUE"""),22.0)</f>
        <v>22</v>
      </c>
      <c r="R1050" s="4">
        <f>IFERROR(__xludf.DUMMYFUNCTION("""COMPUTED_VALUE"""),22.0)</f>
        <v>22</v>
      </c>
      <c r="S1050" s="4">
        <f>IFERROR(__xludf.DUMMYFUNCTION("""COMPUTED_VALUE"""),22.0)</f>
        <v>22</v>
      </c>
      <c r="T1050" s="4"/>
      <c r="U1050" s="4" t="str">
        <f>IFERROR(__xludf.DUMMYFUNCTION("""COMPUTED_VALUE"""),"BAIK")</f>
        <v>BAIK</v>
      </c>
      <c r="V1050" s="4" t="str">
        <f>IFERROR(__xludf.DUMMYFUNCTION("""COMPUTED_VALUE"""),"Tidak Ada")</f>
        <v>Tidak Ada</v>
      </c>
      <c r="W1050" s="4"/>
      <c r="X1050" s="4"/>
      <c r="Y1050" s="4"/>
      <c r="Z1050" s="4"/>
      <c r="AA1050" s="4"/>
      <c r="AB1050" s="4"/>
      <c r="AC1050" s="4" t="str">
        <f>IFERROR(__xludf.DUMMYFUNCTION("""COMPUTED_VALUE"""),"INSPEKSI SUTM - T2_Images/259575ff.FOTO.135523.jpg")</f>
        <v>INSPEKSI SUTM - T2_Images/259575ff.FOTO.135523.jpg</v>
      </c>
      <c r="AD1050" s="4"/>
      <c r="AE1050" s="4"/>
      <c r="AF1050" s="4" t="str">
        <f>IFERROR(__xludf.DUMMYFUNCTION("""COMPUTED_VALUE"""),"BELUM")</f>
        <v>BELUM</v>
      </c>
      <c r="AG1050" s="6">
        <f>IFERROR(__xludf.DUMMYFUNCTION("""COMPUTED_VALUE"""),46125.0)</f>
        <v>46125</v>
      </c>
      <c r="AH1050" s="4"/>
      <c r="AI1050" s="4"/>
    </row>
    <row r="1051" ht="15.75" customHeight="1">
      <c r="A1051" s="4" t="str">
        <f>IFERROR(__xludf.DUMMYFUNCTION("""COMPUTED_VALUE"""),"165e9e38")</f>
        <v>165e9e38</v>
      </c>
      <c r="B1051" s="5">
        <f>IFERROR(__xludf.DUMMYFUNCTION("""COMPUTED_VALUE"""),46125.87384259259)</f>
        <v>46125.87384</v>
      </c>
      <c r="C1051" s="4" t="str">
        <f>IFERROR(__xludf.DUMMYFUNCTION("""COMPUTED_VALUE"""),"-6.877309, 107.692312")</f>
        <v>-6.877309, 107.692312</v>
      </c>
      <c r="D1051" s="4" t="str">
        <f>IFERROR(__xludf.DUMMYFUNCTION("""COMPUTED_VALUE"""),"Canra heei")</f>
        <v>Canra heei</v>
      </c>
      <c r="E1051" s="4" t="str">
        <f>IFERROR(__xludf.DUMMYFUNCTION("""COMPUTED_VALUE"""),"BANDUNG")</f>
        <v>BANDUNG</v>
      </c>
      <c r="F1051" s="4" t="str">
        <f>IFERROR(__xludf.DUMMYFUNCTION("""COMPUTED_VALUE"""),"UJUNGBERUNG")</f>
        <v>UJUNGBERUNG</v>
      </c>
      <c r="G1051" s="4" t="str">
        <f>IFERROR(__xludf.DUMMYFUNCTION("""COMPUTED_VALUE"""),"GIS BANDUNG TIMUR")</f>
        <v>GIS BANDUNG TIMUR</v>
      </c>
      <c r="H1051" s="4" t="str">
        <f>IFERROR(__xludf.DUMMYFUNCTION("""COMPUTED_VALUE"""),"MDMK")</f>
        <v>MDMK</v>
      </c>
      <c r="I1051" s="4" t="str">
        <f>IFERROR(__xludf.DUMMYFUNCTION("""COMPUTED_VALUE"""),"REC TARB - UJUNG")</f>
        <v>REC TARB - UJUNG</v>
      </c>
      <c r="J1051" s="4" t="str">
        <f>IFERROR(__xludf.DUMMYFUNCTION("""COMPUTED_VALUE"""),"ZONA 2")</f>
        <v>ZONA 2</v>
      </c>
      <c r="K1051" s="4" t="str">
        <f>IFERROR(__xludf.DUMMYFUNCTION("""COMPUTED_VALUE"""),"105L021")</f>
        <v>105L021</v>
      </c>
      <c r="L1051" s="4" t="str">
        <f>IFERROR(__xludf.DUMMYFUNCTION("""COMPUTED_VALUE"""),"TM - 1B/H (Tumpu)")</f>
        <v>TM - 1B/H (Tumpu)</v>
      </c>
      <c r="M1051" s="4" t="str">
        <f>IFERROR(__xludf.DUMMYFUNCTION("""COMPUTED_VALUE"""),"Tidak Ada")</f>
        <v>Tidak Ada</v>
      </c>
      <c r="N1051" s="4"/>
      <c r="O1051" s="4" t="str">
        <f>IFERROR(__xludf.DUMMYFUNCTION("""COMPUTED_VALUE"""),"PEMBANDING SEJENIS")</f>
        <v>PEMBANDING SEJENIS</v>
      </c>
      <c r="P1051" s="4" t="str">
        <f>IFERROR(__xludf.DUMMYFUNCTION("""COMPUTED_VALUE"""),"ARRESTER")</f>
        <v>ARRESTER</v>
      </c>
      <c r="Q1051" s="4">
        <f>IFERROR(__xludf.DUMMYFUNCTION("""COMPUTED_VALUE"""),19.0)</f>
        <v>19</v>
      </c>
      <c r="R1051" s="4">
        <f>IFERROR(__xludf.DUMMYFUNCTION("""COMPUTED_VALUE"""),19.0)</f>
        <v>19</v>
      </c>
      <c r="S1051" s="4">
        <f>IFERROR(__xludf.DUMMYFUNCTION("""COMPUTED_VALUE"""),19.0)</f>
        <v>19</v>
      </c>
      <c r="T1051" s="4"/>
      <c r="U1051" s="4" t="str">
        <f>IFERROR(__xludf.DUMMYFUNCTION("""COMPUTED_VALUE"""),"BAIK")</f>
        <v>BAIK</v>
      </c>
      <c r="V1051" s="4" t="str">
        <f>IFERROR(__xludf.DUMMYFUNCTION("""COMPUTED_VALUE"""),"Tidak Ada")</f>
        <v>Tidak Ada</v>
      </c>
      <c r="W1051" s="4"/>
      <c r="X1051" s="4"/>
      <c r="Y1051" s="4"/>
      <c r="Z1051" s="4"/>
      <c r="AA1051" s="4"/>
      <c r="AB1051" s="4"/>
      <c r="AC1051" s="4" t="str">
        <f>IFERROR(__xludf.DUMMYFUNCTION("""COMPUTED_VALUE"""),"INSPEKSI SUTM - T2_Images/165e9e38.FOTO.135922.jpg")</f>
        <v>INSPEKSI SUTM - T2_Images/165e9e38.FOTO.135922.jpg</v>
      </c>
      <c r="AD1051" s="4"/>
      <c r="AE1051" s="4"/>
      <c r="AF1051" s="4" t="str">
        <f>IFERROR(__xludf.DUMMYFUNCTION("""COMPUTED_VALUE"""),"BELUM")</f>
        <v>BELUM</v>
      </c>
      <c r="AG1051" s="6">
        <f>IFERROR(__xludf.DUMMYFUNCTION("""COMPUTED_VALUE"""),46125.0)</f>
        <v>46125</v>
      </c>
      <c r="AH1051" s="4"/>
      <c r="AI1051" s="4"/>
    </row>
    <row r="1052" ht="15.75" customHeight="1">
      <c r="A1052" s="4" t="str">
        <f>IFERROR(__xludf.DUMMYFUNCTION("""COMPUTED_VALUE"""),"22e3b227")</f>
        <v>22e3b227</v>
      </c>
      <c r="B1052" s="5">
        <f>IFERROR(__xludf.DUMMYFUNCTION("""COMPUTED_VALUE"""),46125.87515046296)</f>
        <v>46125.87515</v>
      </c>
      <c r="C1052" s="4" t="str">
        <f>IFERROR(__xludf.DUMMYFUNCTION("""COMPUTED_VALUE"""),"-6.874544, 107.692998")</f>
        <v>-6.874544, 107.692998</v>
      </c>
      <c r="D1052" s="4" t="str">
        <f>IFERROR(__xludf.DUMMYFUNCTION("""COMPUTED_VALUE"""),"Canra heri")</f>
        <v>Canra heri</v>
      </c>
      <c r="E1052" s="4" t="str">
        <f>IFERROR(__xludf.DUMMYFUNCTION("""COMPUTED_VALUE"""),"BANDUNG")</f>
        <v>BANDUNG</v>
      </c>
      <c r="F1052" s="4" t="str">
        <f>IFERROR(__xludf.DUMMYFUNCTION("""COMPUTED_VALUE"""),"UJUNGBERUNG")</f>
        <v>UJUNGBERUNG</v>
      </c>
      <c r="G1052" s="4" t="str">
        <f>IFERROR(__xludf.DUMMYFUNCTION("""COMPUTED_VALUE"""),"GIS BANDUNG TIMUR")</f>
        <v>GIS BANDUNG TIMUR</v>
      </c>
      <c r="H1052" s="4" t="str">
        <f>IFERROR(__xludf.DUMMYFUNCTION("""COMPUTED_VALUE"""),"MDMK")</f>
        <v>MDMK</v>
      </c>
      <c r="I1052" s="4" t="str">
        <f>IFERROR(__xludf.DUMMYFUNCTION("""COMPUTED_VALUE"""),"REC TARB - UJUNG")</f>
        <v>REC TARB - UJUNG</v>
      </c>
      <c r="J1052" s="4" t="str">
        <f>IFERROR(__xludf.DUMMYFUNCTION("""COMPUTED_VALUE"""),"ZONA 2")</f>
        <v>ZONA 2</v>
      </c>
      <c r="K1052" s="4" t="str">
        <f>IFERROR(__xludf.DUMMYFUNCTION("""COMPUTED_VALUE"""),"105L028")</f>
        <v>105L028</v>
      </c>
      <c r="L1052" s="4" t="str">
        <f>IFERROR(__xludf.DUMMYFUNCTION("""COMPUTED_VALUE"""),"TM - 1B/H (Tumpu)")</f>
        <v>TM - 1B/H (Tumpu)</v>
      </c>
      <c r="M1052" s="4" t="str">
        <f>IFERROR(__xludf.DUMMYFUNCTION("""COMPUTED_VALUE"""),"Tidak Ada")</f>
        <v>Tidak Ada</v>
      </c>
      <c r="N1052" s="4"/>
      <c r="O1052" s="4" t="str">
        <f>IFERROR(__xludf.DUMMYFUNCTION("""COMPUTED_VALUE"""),"PEMBANDING SEJENIS")</f>
        <v>PEMBANDING SEJENIS</v>
      </c>
      <c r="P1052" s="4" t="str">
        <f>IFERROR(__xludf.DUMMYFUNCTION("""COMPUTED_VALUE"""),"ARRESTER")</f>
        <v>ARRESTER</v>
      </c>
      <c r="Q1052" s="4">
        <f>IFERROR(__xludf.DUMMYFUNCTION("""COMPUTED_VALUE"""),20.0)</f>
        <v>20</v>
      </c>
      <c r="R1052" s="4">
        <f>IFERROR(__xludf.DUMMYFUNCTION("""COMPUTED_VALUE"""),20.0)</f>
        <v>20</v>
      </c>
      <c r="S1052" s="4">
        <f>IFERROR(__xludf.DUMMYFUNCTION("""COMPUTED_VALUE"""),20.0)</f>
        <v>20</v>
      </c>
      <c r="T1052" s="4"/>
      <c r="U1052" s="4" t="str">
        <f>IFERROR(__xludf.DUMMYFUNCTION("""COMPUTED_VALUE"""),"BAIK")</f>
        <v>BAIK</v>
      </c>
      <c r="V1052" s="4" t="str">
        <f>IFERROR(__xludf.DUMMYFUNCTION("""COMPUTED_VALUE"""),"Tidak Ada")</f>
        <v>Tidak Ada</v>
      </c>
      <c r="W1052" s="4"/>
      <c r="X1052" s="4"/>
      <c r="Y1052" s="4"/>
      <c r="Z1052" s="4"/>
      <c r="AA1052" s="4"/>
      <c r="AB1052" s="4"/>
      <c r="AC1052" s="4" t="str">
        <f>IFERROR(__xludf.DUMMYFUNCTION("""COMPUTED_VALUE"""),"INSPEKSI SUTM - T2_Images/22e3b227.FOTO.140103.jpg")</f>
        <v>INSPEKSI SUTM - T2_Images/22e3b227.FOTO.140103.jpg</v>
      </c>
      <c r="AD1052" s="4"/>
      <c r="AE1052" s="4"/>
      <c r="AF1052" s="4" t="str">
        <f>IFERROR(__xludf.DUMMYFUNCTION("""COMPUTED_VALUE"""),"BELUM")</f>
        <v>BELUM</v>
      </c>
      <c r="AG1052" s="6">
        <f>IFERROR(__xludf.DUMMYFUNCTION("""COMPUTED_VALUE"""),46125.0)</f>
        <v>46125</v>
      </c>
      <c r="AH1052" s="4"/>
      <c r="AI1052" s="4"/>
    </row>
    <row r="1053" ht="15.75" customHeight="1">
      <c r="A1053" s="4" t="str">
        <f>IFERROR(__xludf.DUMMYFUNCTION("""COMPUTED_VALUE"""),"b43666f7")</f>
        <v>b43666f7</v>
      </c>
      <c r="B1053" s="5">
        <f>IFERROR(__xludf.DUMMYFUNCTION("""COMPUTED_VALUE"""),46125.87631944445)</f>
        <v>46125.87632</v>
      </c>
      <c r="C1053" s="4" t="str">
        <f>IFERROR(__xludf.DUMMYFUNCTION("""COMPUTED_VALUE"""),"-6.873068, 107.693219")</f>
        <v>-6.873068, 107.693219</v>
      </c>
      <c r="D1053" s="4" t="str">
        <f>IFERROR(__xludf.DUMMYFUNCTION("""COMPUTED_VALUE"""),"Canra heri")</f>
        <v>Canra heri</v>
      </c>
      <c r="E1053" s="4" t="str">
        <f>IFERROR(__xludf.DUMMYFUNCTION("""COMPUTED_VALUE"""),"BANDUNG")</f>
        <v>BANDUNG</v>
      </c>
      <c r="F1053" s="4" t="str">
        <f>IFERROR(__xludf.DUMMYFUNCTION("""COMPUTED_VALUE"""),"UJUNGBERUNG")</f>
        <v>UJUNGBERUNG</v>
      </c>
      <c r="G1053" s="4" t="str">
        <f>IFERROR(__xludf.DUMMYFUNCTION("""COMPUTED_VALUE"""),"GIS BANDUNG TIMUR")</f>
        <v>GIS BANDUNG TIMUR</v>
      </c>
      <c r="H1053" s="4" t="str">
        <f>IFERROR(__xludf.DUMMYFUNCTION("""COMPUTED_VALUE"""),"MDMK")</f>
        <v>MDMK</v>
      </c>
      <c r="I1053" s="4" t="str">
        <f>IFERROR(__xludf.DUMMYFUNCTION("""COMPUTED_VALUE"""),"REC TARB - UJUNG")</f>
        <v>REC TARB - UJUNG</v>
      </c>
      <c r="J1053" s="4" t="str">
        <f>IFERROR(__xludf.DUMMYFUNCTION("""COMPUTED_VALUE"""),"ZONA 2")</f>
        <v>ZONA 2</v>
      </c>
      <c r="K1053" s="4" t="str">
        <f>IFERROR(__xludf.DUMMYFUNCTION("""COMPUTED_VALUE"""),"105L031")</f>
        <v>105L031</v>
      </c>
      <c r="L1053" s="4" t="str">
        <f>IFERROR(__xludf.DUMMYFUNCTION("""COMPUTED_VALUE"""),"TM - 4B/H (Afspan)")</f>
        <v>TM - 4B/H (Afspan)</v>
      </c>
      <c r="M1053" s="4" t="str">
        <f>IFERROR(__xludf.DUMMYFUNCTION("""COMPUTED_VALUE"""),"Tidak Ada")</f>
        <v>Tidak Ada</v>
      </c>
      <c r="N1053" s="4"/>
      <c r="O1053" s="4" t="str">
        <f>IFERROR(__xludf.DUMMYFUNCTION("""COMPUTED_VALUE"""),"PEMBANDING SEJENIS")</f>
        <v>PEMBANDING SEJENIS</v>
      </c>
      <c r="P1053" s="4" t="str">
        <f>IFERROR(__xludf.DUMMYFUNCTION("""COMPUTED_VALUE"""),"KONEKTOR/JUMPER")</f>
        <v>KONEKTOR/JUMPER</v>
      </c>
      <c r="Q1053" s="4">
        <f>IFERROR(__xludf.DUMMYFUNCTION("""COMPUTED_VALUE"""),22.0)</f>
        <v>22</v>
      </c>
      <c r="R1053" s="4">
        <f>IFERROR(__xludf.DUMMYFUNCTION("""COMPUTED_VALUE"""),23.0)</f>
        <v>23</v>
      </c>
      <c r="S1053" s="4">
        <f>IFERROR(__xludf.DUMMYFUNCTION("""COMPUTED_VALUE"""),23.0)</f>
        <v>23</v>
      </c>
      <c r="T1053" s="4"/>
      <c r="U1053" s="4" t="str">
        <f>IFERROR(__xludf.DUMMYFUNCTION("""COMPUTED_VALUE"""),"BAIK")</f>
        <v>BAIK</v>
      </c>
      <c r="V1053" s="4" t="str">
        <f>IFERROR(__xludf.DUMMYFUNCTION("""COMPUTED_VALUE"""),"Tidak Ada")</f>
        <v>Tidak Ada</v>
      </c>
      <c r="W1053" s="4"/>
      <c r="X1053" s="4"/>
      <c r="Y1053" s="4"/>
      <c r="Z1053" s="4"/>
      <c r="AA1053" s="4"/>
      <c r="AB1053" s="4"/>
      <c r="AC1053" s="4" t="str">
        <f>IFERROR(__xludf.DUMMYFUNCTION("""COMPUTED_VALUE"""),"INSPEKSI SUTM - T2_Images/b43666f7.FOTO.140245.jpg")</f>
        <v>INSPEKSI SUTM - T2_Images/b43666f7.FOTO.140245.jpg</v>
      </c>
      <c r="AD1053" s="4"/>
      <c r="AE1053" s="4"/>
      <c r="AF1053" s="4" t="str">
        <f>IFERROR(__xludf.DUMMYFUNCTION("""COMPUTED_VALUE"""),"BELUM")</f>
        <v>BELUM</v>
      </c>
      <c r="AG1053" s="6">
        <f>IFERROR(__xludf.DUMMYFUNCTION("""COMPUTED_VALUE"""),46125.0)</f>
        <v>46125</v>
      </c>
      <c r="AH1053" s="4"/>
      <c r="AI1053" s="4"/>
    </row>
    <row r="1054" ht="15.75" customHeight="1">
      <c r="A1054" s="4" t="str">
        <f>IFERROR(__xludf.DUMMYFUNCTION("""COMPUTED_VALUE"""),"ef33dd35")</f>
        <v>ef33dd35</v>
      </c>
      <c r="B1054" s="5">
        <f>IFERROR(__xludf.DUMMYFUNCTION("""COMPUTED_VALUE"""),46125.8794212963)</f>
        <v>46125.87942</v>
      </c>
      <c r="C1054" s="4" t="str">
        <f>IFERROR(__xludf.DUMMYFUNCTION("""COMPUTED_VALUE"""),"-6.868222, 107.695929")</f>
        <v>-6.868222, 107.695929</v>
      </c>
      <c r="D1054" s="4" t="str">
        <f>IFERROR(__xludf.DUMMYFUNCTION("""COMPUTED_VALUE"""),"Canra heei")</f>
        <v>Canra heei</v>
      </c>
      <c r="E1054" s="4" t="str">
        <f>IFERROR(__xludf.DUMMYFUNCTION("""COMPUTED_VALUE"""),"BANDUNG")</f>
        <v>BANDUNG</v>
      </c>
      <c r="F1054" s="4" t="str">
        <f>IFERROR(__xludf.DUMMYFUNCTION("""COMPUTED_VALUE"""),"UJUNGBERUNG")</f>
        <v>UJUNGBERUNG</v>
      </c>
      <c r="G1054" s="4" t="str">
        <f>IFERROR(__xludf.DUMMYFUNCTION("""COMPUTED_VALUE"""),"GIS BANDUNG TIMUR")</f>
        <v>GIS BANDUNG TIMUR</v>
      </c>
      <c r="H1054" s="4" t="str">
        <f>IFERROR(__xludf.DUMMYFUNCTION("""COMPUTED_VALUE"""),"MDMK")</f>
        <v>MDMK</v>
      </c>
      <c r="I1054" s="4" t="str">
        <f>IFERROR(__xludf.DUMMYFUNCTION("""COMPUTED_VALUE"""),"REC TARB - UJUNG")</f>
        <v>REC TARB - UJUNG</v>
      </c>
      <c r="J1054" s="4" t="str">
        <f>IFERROR(__xludf.DUMMYFUNCTION("""COMPUTED_VALUE"""),"ZONA 2")</f>
        <v>ZONA 2</v>
      </c>
      <c r="K1054" s="4" t="str">
        <f>IFERROR(__xludf.DUMMYFUNCTION("""COMPUTED_VALUE"""),"105L046")</f>
        <v>105L046</v>
      </c>
      <c r="L1054" s="4" t="str">
        <f>IFERROR(__xludf.DUMMYFUNCTION("""COMPUTED_VALUE"""),"TM - 4B/H (Afspan)")</f>
        <v>TM - 4B/H (Afspan)</v>
      </c>
      <c r="M1054" s="4" t="str">
        <f>IFERROR(__xludf.DUMMYFUNCTION("""COMPUTED_VALUE"""),"Tidak Ada")</f>
        <v>Tidak Ada</v>
      </c>
      <c r="N1054" s="4"/>
      <c r="O1054" s="4" t="str">
        <f>IFERROR(__xludf.DUMMYFUNCTION("""COMPUTED_VALUE"""),"PEMBANDING SEJENIS")</f>
        <v>PEMBANDING SEJENIS</v>
      </c>
      <c r="P1054" s="4" t="str">
        <f>IFERROR(__xludf.DUMMYFUNCTION("""COMPUTED_VALUE"""),"ARRESTER")</f>
        <v>ARRESTER</v>
      </c>
      <c r="Q1054" s="4">
        <f>IFERROR(__xludf.DUMMYFUNCTION("""COMPUTED_VALUE"""),20.0)</f>
        <v>20</v>
      </c>
      <c r="R1054" s="4">
        <f>IFERROR(__xludf.DUMMYFUNCTION("""COMPUTED_VALUE"""),24.0)</f>
        <v>24</v>
      </c>
      <c r="S1054" s="4">
        <f>IFERROR(__xludf.DUMMYFUNCTION("""COMPUTED_VALUE"""),23.0)</f>
        <v>23</v>
      </c>
      <c r="T1054" s="4"/>
      <c r="U1054" s="4" t="str">
        <f>IFERROR(__xludf.DUMMYFUNCTION("""COMPUTED_VALUE"""),"CUKUP")</f>
        <v>CUKUP</v>
      </c>
      <c r="V1054" s="4" t="str">
        <f>IFERROR(__xludf.DUMMYFUNCTION("""COMPUTED_VALUE"""),"Tidak Ada")</f>
        <v>Tidak Ada</v>
      </c>
      <c r="W1054" s="4"/>
      <c r="X1054" s="4"/>
      <c r="Y1054" s="4"/>
      <c r="Z1054" s="4"/>
      <c r="AA1054" s="4"/>
      <c r="AB1054" s="4"/>
      <c r="AC1054" s="4" t="str">
        <f>IFERROR(__xludf.DUMMYFUNCTION("""COMPUTED_VALUE"""),"INSPEKSI SUTM - T2_Images/ef33dd35.FOTO.140716.jpg")</f>
        <v>INSPEKSI SUTM - T2_Images/ef33dd35.FOTO.140716.jpg</v>
      </c>
      <c r="AD1054" s="4"/>
      <c r="AE1054" s="4"/>
      <c r="AF1054" s="4" t="str">
        <f>IFERROR(__xludf.DUMMYFUNCTION("""COMPUTED_VALUE"""),"BELUM")</f>
        <v>BELUM</v>
      </c>
      <c r="AG1054" s="6">
        <f>IFERROR(__xludf.DUMMYFUNCTION("""COMPUTED_VALUE"""),46125.0)</f>
        <v>46125</v>
      </c>
      <c r="AH1054" s="4"/>
      <c r="AI1054" s="4"/>
    </row>
    <row r="1055" ht="15.75" customHeight="1">
      <c r="A1055" s="4" t="str">
        <f>IFERROR(__xludf.DUMMYFUNCTION("""COMPUTED_VALUE"""),"f9c2bf40")</f>
        <v>f9c2bf40</v>
      </c>
      <c r="B1055" s="5">
        <f>IFERROR(__xludf.DUMMYFUNCTION("""COMPUTED_VALUE"""),46125.88248842592)</f>
        <v>46125.88249</v>
      </c>
      <c r="C1055" s="4" t="str">
        <f>IFERROR(__xludf.DUMMYFUNCTION("""COMPUTED_VALUE"""),"-6.879635, 107.692228")</f>
        <v>-6.879635, 107.692228</v>
      </c>
      <c r="D1055" s="4" t="str">
        <f>IFERROR(__xludf.DUMMYFUNCTION("""COMPUTED_VALUE"""),"Canra heri")</f>
        <v>Canra heri</v>
      </c>
      <c r="E1055" s="4" t="str">
        <f>IFERROR(__xludf.DUMMYFUNCTION("""COMPUTED_VALUE"""),"BANDUNG")</f>
        <v>BANDUNG</v>
      </c>
      <c r="F1055" s="4" t="str">
        <f>IFERROR(__xludf.DUMMYFUNCTION("""COMPUTED_VALUE"""),"UJUNGBERUNG")</f>
        <v>UJUNGBERUNG</v>
      </c>
      <c r="G1055" s="4" t="str">
        <f>IFERROR(__xludf.DUMMYFUNCTION("""COMPUTED_VALUE"""),"GIS BANDUNG TIMUR")</f>
        <v>GIS BANDUNG TIMUR</v>
      </c>
      <c r="H1055" s="4" t="str">
        <f>IFERROR(__xludf.DUMMYFUNCTION("""COMPUTED_VALUE"""),"MDMK")</f>
        <v>MDMK</v>
      </c>
      <c r="I1055" s="4" t="str">
        <f>IFERROR(__xludf.DUMMYFUNCTION("""COMPUTED_VALUE"""),"REC TARB - UJUNG")</f>
        <v>REC TARB - UJUNG</v>
      </c>
      <c r="J1055" s="4" t="str">
        <f>IFERROR(__xludf.DUMMYFUNCTION("""COMPUTED_VALUE"""),"ZONA 2")</f>
        <v>ZONA 2</v>
      </c>
      <c r="K1055" s="4" t="str">
        <f>IFERROR(__xludf.DUMMYFUNCTION("""COMPUTED_VALUE"""),"105L018")</f>
        <v>105L018</v>
      </c>
      <c r="L1055" s="4" t="str">
        <f>IFERROR(__xludf.DUMMYFUNCTION("""COMPUTED_VALUE"""),"TM - 16B/H (REC/SSO/LBS)")</f>
        <v>TM - 16B/H (REC/SSO/LBS)</v>
      </c>
      <c r="M1055" s="4" t="str">
        <f>IFERROR(__xludf.DUMMYFUNCTION("""COMPUTED_VALUE"""),"LBS")</f>
        <v>LBS</v>
      </c>
      <c r="N1055" s="4" t="str">
        <f>IFERROR(__xludf.DUMMYFUNCTION("""COMPUTED_VALUE"""),"Amkg")</f>
        <v>Amkg</v>
      </c>
      <c r="O1055" s="4" t="str">
        <f>IFERROR(__xludf.DUMMYFUNCTION("""COMPUTED_VALUE"""),"PEMBANDING SEJENIS")</f>
        <v>PEMBANDING SEJENIS</v>
      </c>
      <c r="P1055" s="4" t="str">
        <f>IFERROR(__xludf.DUMMYFUNCTION("""COMPUTED_VALUE"""),"KONEKTOR/JUMPER")</f>
        <v>KONEKTOR/JUMPER</v>
      </c>
      <c r="Q1055" s="4">
        <f>IFERROR(__xludf.DUMMYFUNCTION("""COMPUTED_VALUE"""),19.0)</f>
        <v>19</v>
      </c>
      <c r="R1055" s="4">
        <f>IFERROR(__xludf.DUMMYFUNCTION("""COMPUTED_VALUE"""),20.0)</f>
        <v>20</v>
      </c>
      <c r="S1055" s="4">
        <f>IFERROR(__xludf.DUMMYFUNCTION("""COMPUTED_VALUE"""),19.0)</f>
        <v>19</v>
      </c>
      <c r="T1055" s="4"/>
      <c r="U1055" s="4" t="str">
        <f>IFERROR(__xludf.DUMMYFUNCTION("""COMPUTED_VALUE"""),"BAIK")</f>
        <v>BAIK</v>
      </c>
      <c r="V1055" s="4" t="str">
        <f>IFERROR(__xludf.DUMMYFUNCTION("""COMPUTED_VALUE"""),"Tidak Ada")</f>
        <v>Tidak Ada</v>
      </c>
      <c r="W1055" s="4"/>
      <c r="X1055" s="4"/>
      <c r="Y1055" s="4"/>
      <c r="Z1055" s="4"/>
      <c r="AA1055" s="4"/>
      <c r="AB1055" s="4"/>
      <c r="AC1055" s="4" t="str">
        <f>IFERROR(__xludf.DUMMYFUNCTION("""COMPUTED_VALUE"""),"INSPEKSI SUTM - T2_Images/f9c2bf40.FOTO.143214.jpg")</f>
        <v>INSPEKSI SUTM - T2_Images/f9c2bf40.FOTO.143214.jpg</v>
      </c>
      <c r="AD1055" s="4"/>
      <c r="AE1055" s="4"/>
      <c r="AF1055" s="4" t="str">
        <f>IFERROR(__xludf.DUMMYFUNCTION("""COMPUTED_VALUE"""),"BELUM")</f>
        <v>BELUM</v>
      </c>
      <c r="AG1055" s="6">
        <f>IFERROR(__xludf.DUMMYFUNCTION("""COMPUTED_VALUE"""),46125.0)</f>
        <v>46125</v>
      </c>
      <c r="AH1055" s="4"/>
      <c r="AI1055" s="4"/>
    </row>
    <row r="1056" ht="15.75" customHeight="1">
      <c r="A1056" s="4" t="str">
        <f>IFERROR(__xludf.DUMMYFUNCTION("""COMPUTED_VALUE"""),"d2145b11")</f>
        <v>d2145b11</v>
      </c>
      <c r="B1056" s="5">
        <f>IFERROR(__xludf.DUMMYFUNCTION("""COMPUTED_VALUE"""),46125.98353009259)</f>
        <v>46125.98353</v>
      </c>
      <c r="C1056" s="4" t="str">
        <f>IFERROR(__xludf.DUMMYFUNCTION("""COMPUTED_VALUE"""),"-6.899141, 107.645415")</f>
        <v>-6.899141, 107.645415</v>
      </c>
      <c r="D1056" s="4" t="str">
        <f>IFERROR(__xludf.DUMMYFUNCTION("""COMPUTED_VALUE"""),"Nugi firman")</f>
        <v>Nugi firman</v>
      </c>
      <c r="E1056" s="4" t="str">
        <f>IFERROR(__xludf.DUMMYFUNCTION("""COMPUTED_VALUE"""),"BANDUNG")</f>
        <v>BANDUNG</v>
      </c>
      <c r="F1056" s="4" t="str">
        <f>IFERROR(__xludf.DUMMYFUNCTION("""COMPUTED_VALUE"""),"KOPO")</f>
        <v>KOPO</v>
      </c>
      <c r="G1056" s="4" t="str">
        <f>IFERROR(__xludf.DUMMYFUNCTION("""COMPUTED_VALUE"""),"NEW CIBEUREUM")</f>
        <v>NEW CIBEUREUM</v>
      </c>
      <c r="H1056" s="4" t="str">
        <f>IFERROR(__xludf.DUMMYFUNCTION("""COMPUTED_VALUE"""),"WHB")</f>
        <v>WHB</v>
      </c>
      <c r="I1056" s="4" t="str">
        <f>IFERROR(__xludf.DUMMYFUNCTION("""COMPUTED_VALUE"""),"KBLA - LBS EDY")</f>
        <v>KBLA - LBS EDY</v>
      </c>
      <c r="J1056" s="4" t="str">
        <f>IFERROR(__xludf.DUMMYFUNCTION("""COMPUTED_VALUE"""),"ZONA 2")</f>
        <v>ZONA 2</v>
      </c>
      <c r="K1056" s="4" t="str">
        <f>IFERROR(__xludf.DUMMYFUNCTION("""COMPUTED_VALUE"""),"001")</f>
        <v>001</v>
      </c>
      <c r="L1056" s="4" t="str">
        <f>IFERROR(__xludf.DUMMYFUNCTION("""COMPUTED_VALUE"""),"TM - 11B/H (Kabel Naik)")</f>
        <v>TM - 11B/H (Kabel Naik)</v>
      </c>
      <c r="M1056" s="4" t="str">
        <f>IFERROR(__xludf.DUMMYFUNCTION("""COMPUTED_VALUE"""),"Tidak Ada")</f>
        <v>Tidak Ada</v>
      </c>
      <c r="N1056" s="4"/>
      <c r="O1056" s="4" t="str">
        <f>IFERROR(__xludf.DUMMYFUNCTION("""COMPUTED_VALUE"""),"PEMBANDING SEJENIS")</f>
        <v>PEMBANDING SEJENIS</v>
      </c>
      <c r="P1056" s="4" t="str">
        <f>IFERROR(__xludf.DUMMYFUNCTION("""COMPUTED_VALUE"""),"TERMINASI")</f>
        <v>TERMINASI</v>
      </c>
      <c r="Q1056" s="4">
        <f>IFERROR(__xludf.DUMMYFUNCTION("""COMPUTED_VALUE"""),21.0)</f>
        <v>21</v>
      </c>
      <c r="R1056" s="4">
        <f>IFERROR(__xludf.DUMMYFUNCTION("""COMPUTED_VALUE"""),23.0)</f>
        <v>23</v>
      </c>
      <c r="S1056" s="4">
        <f>IFERROR(__xludf.DUMMYFUNCTION("""COMPUTED_VALUE"""),23.0)</f>
        <v>23</v>
      </c>
      <c r="T1056" s="4"/>
      <c r="U1056" s="4" t="str">
        <f>IFERROR(__xludf.DUMMYFUNCTION("""COMPUTED_VALUE"""),"BAIK")</f>
        <v>BAIK</v>
      </c>
      <c r="V1056" s="4" t="str">
        <f>IFERROR(__xludf.DUMMYFUNCTION("""COMPUTED_VALUE"""),"Tidak Ada")</f>
        <v>Tidak Ada</v>
      </c>
      <c r="W1056" s="4"/>
      <c r="X1056" s="4"/>
      <c r="Y1056" s="4"/>
      <c r="Z1056" s="4"/>
      <c r="AA1056" s="4"/>
      <c r="AB1056" s="4"/>
      <c r="AC1056" s="4" t="str">
        <f>IFERROR(__xludf.DUMMYFUNCTION("""COMPUTED_VALUE"""),"INSPEKSI SUTM - T2_Images/d2145b11.FOTO.165645.jpg")</f>
        <v>INSPEKSI SUTM - T2_Images/d2145b11.FOTO.165645.jpg</v>
      </c>
      <c r="AD1056" s="4"/>
      <c r="AE1056" s="4"/>
      <c r="AF1056" s="4" t="str">
        <f>IFERROR(__xludf.DUMMYFUNCTION("""COMPUTED_VALUE"""),"BELUM")</f>
        <v>BELUM</v>
      </c>
      <c r="AG1056" s="6">
        <f>IFERROR(__xludf.DUMMYFUNCTION("""COMPUTED_VALUE"""),46125.0)</f>
        <v>46125</v>
      </c>
      <c r="AH1056" s="4"/>
      <c r="AI1056" s="4"/>
    </row>
    <row r="1057" ht="15.75" customHeight="1">
      <c r="A1057" s="4" t="str">
        <f>IFERROR(__xludf.DUMMYFUNCTION("""COMPUTED_VALUE"""),"2d406b80")</f>
        <v>2d406b80</v>
      </c>
      <c r="B1057" s="5">
        <f>IFERROR(__xludf.DUMMYFUNCTION("""COMPUTED_VALUE"""),46125.984768518516)</f>
        <v>46125.98477</v>
      </c>
      <c r="C1057" s="4" t="str">
        <f>IFERROR(__xludf.DUMMYFUNCTION("""COMPUTED_VALUE"""),"-6.899124, 107.645454")</f>
        <v>-6.899124, 107.645454</v>
      </c>
      <c r="D1057" s="4" t="str">
        <f>IFERROR(__xludf.DUMMYFUNCTION("""COMPUTED_VALUE"""),"Nugi firman")</f>
        <v>Nugi firman</v>
      </c>
      <c r="E1057" s="4" t="str">
        <f>IFERROR(__xludf.DUMMYFUNCTION("""COMPUTED_VALUE"""),"BANDUNG")</f>
        <v>BANDUNG</v>
      </c>
      <c r="F1057" s="4" t="str">
        <f>IFERROR(__xludf.DUMMYFUNCTION("""COMPUTED_VALUE"""),"KOPO")</f>
        <v>KOPO</v>
      </c>
      <c r="G1057" s="4" t="str">
        <f>IFERROR(__xludf.DUMMYFUNCTION("""COMPUTED_VALUE"""),"NEW CIBEUREUM")</f>
        <v>NEW CIBEUREUM</v>
      </c>
      <c r="H1057" s="4" t="str">
        <f>IFERROR(__xludf.DUMMYFUNCTION("""COMPUTED_VALUE"""),"WHB")</f>
        <v>WHB</v>
      </c>
      <c r="I1057" s="4" t="str">
        <f>IFERROR(__xludf.DUMMYFUNCTION("""COMPUTED_VALUE"""),"KBLA - LBS EDY")</f>
        <v>KBLA - LBS EDY</v>
      </c>
      <c r="J1057" s="4" t="str">
        <f>IFERROR(__xludf.DUMMYFUNCTION("""COMPUTED_VALUE"""),"ZONA 2")</f>
        <v>ZONA 2</v>
      </c>
      <c r="K1057" s="4" t="str">
        <f>IFERROR(__xludf.DUMMYFUNCTION("""COMPUTED_VALUE"""),"003")</f>
        <v>003</v>
      </c>
      <c r="L1057" s="4" t="str">
        <f>IFERROR(__xludf.DUMMYFUNCTION("""COMPUTED_VALUE"""),"TM - 7B/H (Afspan 90 Derajat)")</f>
        <v>TM - 7B/H (Afspan 90 Derajat)</v>
      </c>
      <c r="M1057" s="4" t="str">
        <f>IFERROR(__xludf.DUMMYFUNCTION("""COMPUTED_VALUE"""),"Tidak Ada")</f>
        <v>Tidak Ada</v>
      </c>
      <c r="N1057" s="4"/>
      <c r="O1057" s="4" t="str">
        <f>IFERROR(__xludf.DUMMYFUNCTION("""COMPUTED_VALUE"""),"PEMBANDING SEJENIS")</f>
        <v>PEMBANDING SEJENIS</v>
      </c>
      <c r="P1057" s="4" t="str">
        <f>IFERROR(__xludf.DUMMYFUNCTION("""COMPUTED_VALUE"""),"KONEKTOR/JUMPER")</f>
        <v>KONEKTOR/JUMPER</v>
      </c>
      <c r="Q1057" s="4">
        <f>IFERROR(__xludf.DUMMYFUNCTION("""COMPUTED_VALUE"""),21.0)</f>
        <v>21</v>
      </c>
      <c r="R1057" s="4">
        <f>IFERROR(__xludf.DUMMYFUNCTION("""COMPUTED_VALUE"""),21.0)</f>
        <v>21</v>
      </c>
      <c r="S1057" s="4">
        <f>IFERROR(__xludf.DUMMYFUNCTION("""COMPUTED_VALUE"""),20.0)</f>
        <v>20</v>
      </c>
      <c r="T1057" s="4"/>
      <c r="U1057" s="4" t="str">
        <f>IFERROR(__xludf.DUMMYFUNCTION("""COMPUTED_VALUE"""),"BAIK")</f>
        <v>BAIK</v>
      </c>
      <c r="V1057" s="4" t="str">
        <f>IFERROR(__xludf.DUMMYFUNCTION("""COMPUTED_VALUE"""),"Tidak Ada")</f>
        <v>Tidak Ada</v>
      </c>
      <c r="W1057" s="4"/>
      <c r="X1057" s="4"/>
      <c r="Y1057" s="4"/>
      <c r="Z1057" s="4"/>
      <c r="AA1057" s="4"/>
      <c r="AB1057" s="4"/>
      <c r="AC1057" s="4" t="str">
        <f>IFERROR(__xludf.DUMMYFUNCTION("""COMPUTED_VALUE"""),"INSPEKSI SUTM - T2_Images/2d406b80.FOTO.165650.jpg")</f>
        <v>INSPEKSI SUTM - T2_Images/2d406b80.FOTO.165650.jpg</v>
      </c>
      <c r="AD1057" s="4"/>
      <c r="AE1057" s="4"/>
      <c r="AF1057" s="4" t="str">
        <f>IFERROR(__xludf.DUMMYFUNCTION("""COMPUTED_VALUE"""),"BELUM")</f>
        <v>BELUM</v>
      </c>
      <c r="AG1057" s="6">
        <f>IFERROR(__xludf.DUMMYFUNCTION("""COMPUTED_VALUE"""),46125.0)</f>
        <v>46125</v>
      </c>
      <c r="AH1057" s="4"/>
      <c r="AI1057" s="4"/>
    </row>
    <row r="1058" ht="15.75" customHeight="1">
      <c r="A1058" s="4" t="str">
        <f>IFERROR(__xludf.DUMMYFUNCTION("""COMPUTED_VALUE"""),"22ed282f")</f>
        <v>22ed282f</v>
      </c>
      <c r="B1058" s="5">
        <f>IFERROR(__xludf.DUMMYFUNCTION("""COMPUTED_VALUE"""),46125.985625)</f>
        <v>46125.98563</v>
      </c>
      <c r="C1058" s="4" t="str">
        <f>IFERROR(__xludf.DUMMYFUNCTION("""COMPUTED_VALUE"""),"-6.899123, 107.645455")</f>
        <v>-6.899123, 107.645455</v>
      </c>
      <c r="D1058" s="4" t="str">
        <f>IFERROR(__xludf.DUMMYFUNCTION("""COMPUTED_VALUE"""),"Nugi firman")</f>
        <v>Nugi firman</v>
      </c>
      <c r="E1058" s="4" t="str">
        <f>IFERROR(__xludf.DUMMYFUNCTION("""COMPUTED_VALUE"""),"BANDUNG")</f>
        <v>BANDUNG</v>
      </c>
      <c r="F1058" s="4" t="str">
        <f>IFERROR(__xludf.DUMMYFUNCTION("""COMPUTED_VALUE"""),"KOPO")</f>
        <v>KOPO</v>
      </c>
      <c r="G1058" s="4" t="str">
        <f>IFERROR(__xludf.DUMMYFUNCTION("""COMPUTED_VALUE"""),"NEW CIBEUREUM")</f>
        <v>NEW CIBEUREUM</v>
      </c>
      <c r="H1058" s="4" t="str">
        <f>IFERROR(__xludf.DUMMYFUNCTION("""COMPUTED_VALUE"""),"WHB")</f>
        <v>WHB</v>
      </c>
      <c r="I1058" s="4" t="str">
        <f>IFERROR(__xludf.DUMMYFUNCTION("""COMPUTED_VALUE"""),"KBLA - LBS EDY")</f>
        <v>KBLA - LBS EDY</v>
      </c>
      <c r="J1058" s="4" t="str">
        <f>IFERROR(__xludf.DUMMYFUNCTION("""COMPUTED_VALUE"""),"ZONA 2")</f>
        <v>ZONA 2</v>
      </c>
      <c r="K1058" s="4" t="str">
        <f>IFERROR(__xludf.DUMMYFUNCTION("""COMPUTED_VALUE"""),"004")</f>
        <v>004</v>
      </c>
      <c r="L1058" s="4" t="str">
        <f>IFERROR(__xludf.DUMMYFUNCTION("""COMPUTED_VALUE"""),"TM - 7B/H (Afspan 90 Derajat)")</f>
        <v>TM - 7B/H (Afspan 90 Derajat)</v>
      </c>
      <c r="M1058" s="4" t="str">
        <f>IFERROR(__xludf.DUMMYFUNCTION("""COMPUTED_VALUE"""),"Tidak Ada")</f>
        <v>Tidak Ada</v>
      </c>
      <c r="N1058" s="4"/>
      <c r="O1058" s="4" t="str">
        <f>IFERROR(__xludf.DUMMYFUNCTION("""COMPUTED_VALUE"""),"PEMBANDING SEJENIS")</f>
        <v>PEMBANDING SEJENIS</v>
      </c>
      <c r="P1058" s="4" t="str">
        <f>IFERROR(__xludf.DUMMYFUNCTION("""COMPUTED_VALUE"""),"KONEKTOR/JUMPER")</f>
        <v>KONEKTOR/JUMPER</v>
      </c>
      <c r="Q1058" s="4">
        <f>IFERROR(__xludf.DUMMYFUNCTION("""COMPUTED_VALUE"""),21.0)</f>
        <v>21</v>
      </c>
      <c r="R1058" s="4">
        <f>IFERROR(__xludf.DUMMYFUNCTION("""COMPUTED_VALUE"""),22.0)</f>
        <v>22</v>
      </c>
      <c r="S1058" s="4">
        <f>IFERROR(__xludf.DUMMYFUNCTION("""COMPUTED_VALUE"""),22.0)</f>
        <v>22</v>
      </c>
      <c r="T1058" s="4"/>
      <c r="U1058" s="4" t="str">
        <f>IFERROR(__xludf.DUMMYFUNCTION("""COMPUTED_VALUE"""),"BAIK")</f>
        <v>BAIK</v>
      </c>
      <c r="V1058" s="4" t="str">
        <f>IFERROR(__xludf.DUMMYFUNCTION("""COMPUTED_VALUE"""),"Tidak Ada")</f>
        <v>Tidak Ada</v>
      </c>
      <c r="W1058" s="4"/>
      <c r="X1058" s="4"/>
      <c r="Y1058" s="4"/>
      <c r="Z1058" s="4"/>
      <c r="AA1058" s="4"/>
      <c r="AB1058" s="4"/>
      <c r="AC1058" s="4" t="str">
        <f>IFERROR(__xludf.DUMMYFUNCTION("""COMPUTED_VALUE"""),"INSPEKSI SUTM - T2_Images/22ed282f.FOTO.165656.jpg")</f>
        <v>INSPEKSI SUTM - T2_Images/22ed282f.FOTO.165656.jpg</v>
      </c>
      <c r="AD1058" s="4"/>
      <c r="AE1058" s="4"/>
      <c r="AF1058" s="4" t="str">
        <f>IFERROR(__xludf.DUMMYFUNCTION("""COMPUTED_VALUE"""),"BELUM")</f>
        <v>BELUM</v>
      </c>
      <c r="AG1058" s="6">
        <f>IFERROR(__xludf.DUMMYFUNCTION("""COMPUTED_VALUE"""),46125.0)</f>
        <v>46125</v>
      </c>
      <c r="AH1058" s="4"/>
      <c r="AI1058" s="4"/>
    </row>
    <row r="1059" ht="15.75" customHeight="1">
      <c r="A1059" s="4" t="str">
        <f>IFERROR(__xludf.DUMMYFUNCTION("""COMPUTED_VALUE"""),"13cb52f9")</f>
        <v>13cb52f9</v>
      </c>
      <c r="B1059" s="5">
        <f>IFERROR(__xludf.DUMMYFUNCTION("""COMPUTED_VALUE"""),46125.9865625)</f>
        <v>46125.98656</v>
      </c>
      <c r="C1059" s="4" t="str">
        <f>IFERROR(__xludf.DUMMYFUNCTION("""COMPUTED_VALUE"""),"-6.899122, 107.645456")</f>
        <v>-6.899122, 107.645456</v>
      </c>
      <c r="D1059" s="4" t="str">
        <f>IFERROR(__xludf.DUMMYFUNCTION("""COMPUTED_VALUE"""),"Nugi firman")</f>
        <v>Nugi firman</v>
      </c>
      <c r="E1059" s="4" t="str">
        <f>IFERROR(__xludf.DUMMYFUNCTION("""COMPUTED_VALUE"""),"BANDUNG")</f>
        <v>BANDUNG</v>
      </c>
      <c r="F1059" s="4" t="str">
        <f>IFERROR(__xludf.DUMMYFUNCTION("""COMPUTED_VALUE"""),"KOPO")</f>
        <v>KOPO</v>
      </c>
      <c r="G1059" s="4" t="str">
        <f>IFERROR(__xludf.DUMMYFUNCTION("""COMPUTED_VALUE"""),"NEW CIBEUREUM")</f>
        <v>NEW CIBEUREUM</v>
      </c>
      <c r="H1059" s="4" t="str">
        <f>IFERROR(__xludf.DUMMYFUNCTION("""COMPUTED_VALUE"""),"WHB")</f>
        <v>WHB</v>
      </c>
      <c r="I1059" s="4" t="str">
        <f>IFERROR(__xludf.DUMMYFUNCTION("""COMPUTED_VALUE"""),"KBLA - LBS EDY")</f>
        <v>KBLA - LBS EDY</v>
      </c>
      <c r="J1059" s="4" t="str">
        <f>IFERROR(__xludf.DUMMYFUNCTION("""COMPUTED_VALUE"""),"ZONA 2")</f>
        <v>ZONA 2</v>
      </c>
      <c r="K1059" s="4" t="str">
        <f>IFERROR(__xludf.DUMMYFUNCTION("""COMPUTED_VALUE"""),"005")</f>
        <v>005</v>
      </c>
      <c r="L1059" s="4" t="str">
        <f>IFERROR(__xludf.DUMMYFUNCTION("""COMPUTED_VALUE"""),"TM - 4B/H (Afspan)")</f>
        <v>TM - 4B/H (Afspan)</v>
      </c>
      <c r="M1059" s="4" t="str">
        <f>IFERROR(__xludf.DUMMYFUNCTION("""COMPUTED_VALUE"""),"Gardu")</f>
        <v>Gardu</v>
      </c>
      <c r="N1059" s="4" t="str">
        <f>IFERROR(__xludf.DUMMYFUNCTION("""COMPUTED_VALUE"""),"RCD")</f>
        <v>RCD</v>
      </c>
      <c r="O1059" s="4" t="str">
        <f>IFERROR(__xludf.DUMMYFUNCTION("""COMPUTED_VALUE"""),"PEMBANDING SEJENIS")</f>
        <v>PEMBANDING SEJENIS</v>
      </c>
      <c r="P1059" s="4" t="str">
        <f>IFERROR(__xludf.DUMMYFUNCTION("""COMPUTED_VALUE"""),"KONEKTOR/JUMPER")</f>
        <v>KONEKTOR/JUMPER</v>
      </c>
      <c r="Q1059" s="4">
        <f>IFERROR(__xludf.DUMMYFUNCTION("""COMPUTED_VALUE"""),21.0)</f>
        <v>21</v>
      </c>
      <c r="R1059" s="4">
        <f>IFERROR(__xludf.DUMMYFUNCTION("""COMPUTED_VALUE"""),22.0)</f>
        <v>22</v>
      </c>
      <c r="S1059" s="4">
        <f>IFERROR(__xludf.DUMMYFUNCTION("""COMPUTED_VALUE"""),21.0)</f>
        <v>21</v>
      </c>
      <c r="T1059" s="4"/>
      <c r="U1059" s="4" t="str">
        <f>IFERROR(__xludf.DUMMYFUNCTION("""COMPUTED_VALUE"""),"BAIK")</f>
        <v>BAIK</v>
      </c>
      <c r="V1059" s="4" t="str">
        <f>IFERROR(__xludf.DUMMYFUNCTION("""COMPUTED_VALUE"""),"Tidak Ada")</f>
        <v>Tidak Ada</v>
      </c>
      <c r="W1059" s="4"/>
      <c r="X1059" s="4"/>
      <c r="Y1059" s="4"/>
      <c r="Z1059" s="4"/>
      <c r="AA1059" s="4"/>
      <c r="AB1059" s="4"/>
      <c r="AC1059" s="4" t="str">
        <f>IFERROR(__xludf.DUMMYFUNCTION("""COMPUTED_VALUE"""),"INSPEKSI SUTM - T2_Images/13cb52f9.FOTO.165702.jpg")</f>
        <v>INSPEKSI SUTM - T2_Images/13cb52f9.FOTO.165702.jpg</v>
      </c>
      <c r="AD1059" s="4"/>
      <c r="AE1059" s="4"/>
      <c r="AF1059" s="4" t="str">
        <f>IFERROR(__xludf.DUMMYFUNCTION("""COMPUTED_VALUE"""),"BELUM")</f>
        <v>BELUM</v>
      </c>
      <c r="AG1059" s="6">
        <f>IFERROR(__xludf.DUMMYFUNCTION("""COMPUTED_VALUE"""),46125.0)</f>
        <v>46125</v>
      </c>
      <c r="AH1059" s="4"/>
      <c r="AI1059" s="4"/>
    </row>
    <row r="1060" ht="15.75" customHeight="1">
      <c r="A1060" s="4" t="str">
        <f>IFERROR(__xludf.DUMMYFUNCTION("""COMPUTED_VALUE"""),"40aca5b3")</f>
        <v>40aca5b3</v>
      </c>
      <c r="B1060" s="5">
        <f>IFERROR(__xludf.DUMMYFUNCTION("""COMPUTED_VALUE"""),46125.98804398148)</f>
        <v>46125.98804</v>
      </c>
      <c r="C1060" s="4" t="str">
        <f>IFERROR(__xludf.DUMMYFUNCTION("""COMPUTED_VALUE"""),"-6.899128, 107.645446")</f>
        <v>-6.899128, 107.645446</v>
      </c>
      <c r="D1060" s="4" t="str">
        <f>IFERROR(__xludf.DUMMYFUNCTION("""COMPUTED_VALUE"""),"Nugi firman")</f>
        <v>Nugi firman</v>
      </c>
      <c r="E1060" s="4" t="str">
        <f>IFERROR(__xludf.DUMMYFUNCTION("""COMPUTED_VALUE"""),"BANDUNG")</f>
        <v>BANDUNG</v>
      </c>
      <c r="F1060" s="4" t="str">
        <f>IFERROR(__xludf.DUMMYFUNCTION("""COMPUTED_VALUE"""),"KOPO")</f>
        <v>KOPO</v>
      </c>
      <c r="G1060" s="4" t="str">
        <f>IFERROR(__xludf.DUMMYFUNCTION("""COMPUTED_VALUE"""),"NEW CIBEUREUM")</f>
        <v>NEW CIBEUREUM</v>
      </c>
      <c r="H1060" s="4" t="str">
        <f>IFERROR(__xludf.DUMMYFUNCTION("""COMPUTED_VALUE"""),"WHB")</f>
        <v>WHB</v>
      </c>
      <c r="I1060" s="4" t="str">
        <f>IFERROR(__xludf.DUMMYFUNCTION("""COMPUTED_VALUE"""),"KBLA - LBS EDY")</f>
        <v>KBLA - LBS EDY</v>
      </c>
      <c r="J1060" s="4" t="str">
        <f>IFERROR(__xludf.DUMMYFUNCTION("""COMPUTED_VALUE"""),"ZONA 2")</f>
        <v>ZONA 2</v>
      </c>
      <c r="K1060" s="4" t="str">
        <f>IFERROR(__xludf.DUMMYFUNCTION("""COMPUTED_VALUE"""),"006")</f>
        <v>006</v>
      </c>
      <c r="L1060" s="4" t="str">
        <f>IFERROR(__xludf.DUMMYFUNCTION("""COMPUTED_VALUE"""),"TM - 1B/H (Tumpu)")</f>
        <v>TM - 1B/H (Tumpu)</v>
      </c>
      <c r="M1060" s="4" t="str">
        <f>IFERROR(__xludf.DUMMYFUNCTION("""COMPUTED_VALUE"""),"Tidak Ada")</f>
        <v>Tidak Ada</v>
      </c>
      <c r="N1060" s="4"/>
      <c r="O1060" s="4" t="str">
        <f>IFERROR(__xludf.DUMMYFUNCTION("""COMPUTED_VALUE"""),"PEMBANDING SEJENIS")</f>
        <v>PEMBANDING SEJENIS</v>
      </c>
      <c r="P1060" s="4" t="str">
        <f>IFERROR(__xludf.DUMMYFUNCTION("""COMPUTED_VALUE"""),"KONEKTOR/JUMPER")</f>
        <v>KONEKTOR/JUMPER</v>
      </c>
      <c r="Q1060" s="4">
        <f>IFERROR(__xludf.DUMMYFUNCTION("""COMPUTED_VALUE"""),22.0)</f>
        <v>22</v>
      </c>
      <c r="R1060" s="4">
        <f>IFERROR(__xludf.DUMMYFUNCTION("""COMPUTED_VALUE"""),23.0)</f>
        <v>23</v>
      </c>
      <c r="S1060" s="4">
        <f>IFERROR(__xludf.DUMMYFUNCTION("""COMPUTED_VALUE"""),23.0)</f>
        <v>23</v>
      </c>
      <c r="T1060" s="4"/>
      <c r="U1060" s="4" t="str">
        <f>IFERROR(__xludf.DUMMYFUNCTION("""COMPUTED_VALUE"""),"BAIK")</f>
        <v>BAIK</v>
      </c>
      <c r="V1060" s="4" t="str">
        <f>IFERROR(__xludf.DUMMYFUNCTION("""COMPUTED_VALUE"""),"Tidak Ada")</f>
        <v>Tidak Ada</v>
      </c>
      <c r="W1060" s="4"/>
      <c r="X1060" s="4"/>
      <c r="Y1060" s="4"/>
      <c r="Z1060" s="4"/>
      <c r="AA1060" s="4"/>
      <c r="AB1060" s="4"/>
      <c r="AC1060" s="4" t="str">
        <f>IFERROR(__xludf.DUMMYFUNCTION("""COMPUTED_VALUE"""),"INSPEKSI SUTM - T2_Images/40aca5b3.FOTO.165707.jpg")</f>
        <v>INSPEKSI SUTM - T2_Images/40aca5b3.FOTO.165707.jpg</v>
      </c>
      <c r="AD1060" s="4"/>
      <c r="AE1060" s="4"/>
      <c r="AF1060" s="4" t="str">
        <f>IFERROR(__xludf.DUMMYFUNCTION("""COMPUTED_VALUE"""),"BELUM")</f>
        <v>BELUM</v>
      </c>
      <c r="AG1060" s="6">
        <f>IFERROR(__xludf.DUMMYFUNCTION("""COMPUTED_VALUE"""),46125.0)</f>
        <v>46125</v>
      </c>
      <c r="AH1060" s="4"/>
      <c r="AI1060" s="4"/>
    </row>
    <row r="1061" ht="15.75" customHeight="1">
      <c r="A1061" s="4" t="str">
        <f>IFERROR(__xludf.DUMMYFUNCTION("""COMPUTED_VALUE"""),"575182eb")</f>
        <v>575182eb</v>
      </c>
      <c r="B1061" s="5">
        <f>IFERROR(__xludf.DUMMYFUNCTION("""COMPUTED_VALUE"""),46125.98903935185)</f>
        <v>46125.98904</v>
      </c>
      <c r="C1061" s="4" t="str">
        <f>IFERROR(__xludf.DUMMYFUNCTION("""COMPUTED_VALUE"""),"-6.899141, 107.645434")</f>
        <v>-6.899141, 107.645434</v>
      </c>
      <c r="D1061" s="4" t="str">
        <f>IFERROR(__xludf.DUMMYFUNCTION("""COMPUTED_VALUE"""),"Nugi firman")</f>
        <v>Nugi firman</v>
      </c>
      <c r="E1061" s="4" t="str">
        <f>IFERROR(__xludf.DUMMYFUNCTION("""COMPUTED_VALUE"""),"BANDUNG")</f>
        <v>BANDUNG</v>
      </c>
      <c r="F1061" s="4" t="str">
        <f>IFERROR(__xludf.DUMMYFUNCTION("""COMPUTED_VALUE"""),"KOPO")</f>
        <v>KOPO</v>
      </c>
      <c r="G1061" s="4" t="str">
        <f>IFERROR(__xludf.DUMMYFUNCTION("""COMPUTED_VALUE"""),"NEW CIBEUREUM")</f>
        <v>NEW CIBEUREUM</v>
      </c>
      <c r="H1061" s="4" t="str">
        <f>IFERROR(__xludf.DUMMYFUNCTION("""COMPUTED_VALUE"""),"WHB")</f>
        <v>WHB</v>
      </c>
      <c r="I1061" s="4" t="str">
        <f>IFERROR(__xludf.DUMMYFUNCTION("""COMPUTED_VALUE"""),"KBLA - LBS EDY")</f>
        <v>KBLA - LBS EDY</v>
      </c>
      <c r="J1061" s="4" t="str">
        <f>IFERROR(__xludf.DUMMYFUNCTION("""COMPUTED_VALUE"""),"ZONA 2")</f>
        <v>ZONA 2</v>
      </c>
      <c r="K1061" s="4" t="str">
        <f>IFERROR(__xludf.DUMMYFUNCTION("""COMPUTED_VALUE"""),"009")</f>
        <v>009</v>
      </c>
      <c r="L1061" s="4" t="str">
        <f>IFERROR(__xludf.DUMMYFUNCTION("""COMPUTED_VALUE"""),"TM - 7B/H (Afspan 90 Derajat)")</f>
        <v>TM - 7B/H (Afspan 90 Derajat)</v>
      </c>
      <c r="M1061" s="4" t="str">
        <f>IFERROR(__xludf.DUMMYFUNCTION("""COMPUTED_VALUE"""),"Tidak Ada")</f>
        <v>Tidak Ada</v>
      </c>
      <c r="N1061" s="4"/>
      <c r="O1061" s="4" t="str">
        <f>IFERROR(__xludf.DUMMYFUNCTION("""COMPUTED_VALUE"""),"PEMBANDING SEJENIS")</f>
        <v>PEMBANDING SEJENIS</v>
      </c>
      <c r="P1061" s="4" t="str">
        <f>IFERROR(__xludf.DUMMYFUNCTION("""COMPUTED_VALUE"""),"KONEKTOR/JUMPER")</f>
        <v>KONEKTOR/JUMPER</v>
      </c>
      <c r="Q1061" s="4">
        <f>IFERROR(__xludf.DUMMYFUNCTION("""COMPUTED_VALUE"""),20.0)</f>
        <v>20</v>
      </c>
      <c r="R1061" s="4">
        <f>IFERROR(__xludf.DUMMYFUNCTION("""COMPUTED_VALUE"""),22.0)</f>
        <v>22</v>
      </c>
      <c r="S1061" s="4">
        <f>IFERROR(__xludf.DUMMYFUNCTION("""COMPUTED_VALUE"""),21.0)</f>
        <v>21</v>
      </c>
      <c r="T1061" s="4"/>
      <c r="U1061" s="4" t="str">
        <f>IFERROR(__xludf.DUMMYFUNCTION("""COMPUTED_VALUE"""),"BAIK")</f>
        <v>BAIK</v>
      </c>
      <c r="V1061" s="4" t="str">
        <f>IFERROR(__xludf.DUMMYFUNCTION("""COMPUTED_VALUE"""),"Tidak Ada")</f>
        <v>Tidak Ada</v>
      </c>
      <c r="W1061" s="4"/>
      <c r="X1061" s="4"/>
      <c r="Y1061" s="4"/>
      <c r="Z1061" s="4"/>
      <c r="AA1061" s="4"/>
      <c r="AB1061" s="4"/>
      <c r="AC1061" s="4" t="str">
        <f>IFERROR(__xludf.DUMMYFUNCTION("""COMPUTED_VALUE"""),"INSPEKSI SUTM - T2_Images/575182eb.FOTO.165717.jpg")</f>
        <v>INSPEKSI SUTM - T2_Images/575182eb.FOTO.165717.jpg</v>
      </c>
      <c r="AD1061" s="4"/>
      <c r="AE1061" s="4"/>
      <c r="AF1061" s="4" t="str">
        <f>IFERROR(__xludf.DUMMYFUNCTION("""COMPUTED_VALUE"""),"BELUM")</f>
        <v>BELUM</v>
      </c>
      <c r="AG1061" s="6">
        <f>IFERROR(__xludf.DUMMYFUNCTION("""COMPUTED_VALUE"""),46125.0)</f>
        <v>46125</v>
      </c>
      <c r="AH1061" s="4"/>
      <c r="AI1061" s="4"/>
    </row>
    <row r="1062" ht="15.75" customHeight="1">
      <c r="A1062" s="4" t="str">
        <f>IFERROR(__xludf.DUMMYFUNCTION("""COMPUTED_VALUE"""),"18d2e6ce")</f>
        <v>18d2e6ce</v>
      </c>
      <c r="B1062" s="5">
        <f>IFERROR(__xludf.DUMMYFUNCTION("""COMPUTED_VALUE"""),46125.989756944444)</f>
        <v>46125.98976</v>
      </c>
      <c r="C1062" s="4" t="str">
        <f>IFERROR(__xludf.DUMMYFUNCTION("""COMPUTED_VALUE"""),"-6.899124, 107.645452")</f>
        <v>-6.899124, 107.645452</v>
      </c>
      <c r="D1062" s="4" t="str">
        <f>IFERROR(__xludf.DUMMYFUNCTION("""COMPUTED_VALUE"""),"Nugi firman")</f>
        <v>Nugi firman</v>
      </c>
      <c r="E1062" s="4" t="str">
        <f>IFERROR(__xludf.DUMMYFUNCTION("""COMPUTED_VALUE"""),"BANDUNG")</f>
        <v>BANDUNG</v>
      </c>
      <c r="F1062" s="4" t="str">
        <f>IFERROR(__xludf.DUMMYFUNCTION("""COMPUTED_VALUE"""),"KOPO")</f>
        <v>KOPO</v>
      </c>
      <c r="G1062" s="4" t="str">
        <f>IFERROR(__xludf.DUMMYFUNCTION("""COMPUTED_VALUE"""),"NEW CIBEUREUM")</f>
        <v>NEW CIBEUREUM</v>
      </c>
      <c r="H1062" s="4" t="str">
        <f>IFERROR(__xludf.DUMMYFUNCTION("""COMPUTED_VALUE"""),"WHB")</f>
        <v>WHB</v>
      </c>
      <c r="I1062" s="4" t="str">
        <f>IFERROR(__xludf.DUMMYFUNCTION("""COMPUTED_VALUE"""),"KBLA - LBS EDY")</f>
        <v>KBLA - LBS EDY</v>
      </c>
      <c r="J1062" s="4" t="str">
        <f>IFERROR(__xludf.DUMMYFUNCTION("""COMPUTED_VALUE"""),"ZONA 2")</f>
        <v>ZONA 2</v>
      </c>
      <c r="K1062" s="4" t="str">
        <f>IFERROR(__xludf.DUMMYFUNCTION("""COMPUTED_VALUE"""),"011")</f>
        <v>011</v>
      </c>
      <c r="L1062" s="4" t="str">
        <f>IFERROR(__xludf.DUMMYFUNCTION("""COMPUTED_VALUE"""),"TM - 11B/H (Kabel Naik)")</f>
        <v>TM - 11B/H (Kabel Naik)</v>
      </c>
      <c r="M1062" s="4" t="str">
        <f>IFERROR(__xludf.DUMMYFUNCTION("""COMPUTED_VALUE"""),"Tidak Ada")</f>
        <v>Tidak Ada</v>
      </c>
      <c r="N1062" s="4"/>
      <c r="O1062" s="4" t="str">
        <f>IFERROR(__xludf.DUMMYFUNCTION("""COMPUTED_VALUE"""),"PEMBANDING SEJENIS")</f>
        <v>PEMBANDING SEJENIS</v>
      </c>
      <c r="P1062" s="4" t="str">
        <f>IFERROR(__xludf.DUMMYFUNCTION("""COMPUTED_VALUE"""),"KONEKTOR/JUMPER")</f>
        <v>KONEKTOR/JUMPER</v>
      </c>
      <c r="Q1062" s="4">
        <f>IFERROR(__xludf.DUMMYFUNCTION("""COMPUTED_VALUE"""),22.0)</f>
        <v>22</v>
      </c>
      <c r="R1062" s="4">
        <f>IFERROR(__xludf.DUMMYFUNCTION("""COMPUTED_VALUE"""),23.0)</f>
        <v>23</v>
      </c>
      <c r="S1062" s="4">
        <f>IFERROR(__xludf.DUMMYFUNCTION("""COMPUTED_VALUE"""),21.0)</f>
        <v>21</v>
      </c>
      <c r="T1062" s="4"/>
      <c r="U1062" s="4" t="str">
        <f>IFERROR(__xludf.DUMMYFUNCTION("""COMPUTED_VALUE"""),"BAIK")</f>
        <v>BAIK</v>
      </c>
      <c r="V1062" s="4" t="str">
        <f>IFERROR(__xludf.DUMMYFUNCTION("""COMPUTED_VALUE"""),"Tidak Ada")</f>
        <v>Tidak Ada</v>
      </c>
      <c r="W1062" s="4"/>
      <c r="X1062" s="4"/>
      <c r="Y1062" s="4"/>
      <c r="Z1062" s="4"/>
      <c r="AA1062" s="4"/>
      <c r="AB1062" s="4"/>
      <c r="AC1062" s="4" t="str">
        <f>IFERROR(__xludf.DUMMYFUNCTION("""COMPUTED_VALUE"""),"INSPEKSI SUTM - T2_Images/18d2e6ce.FOTO.165723.jpg")</f>
        <v>INSPEKSI SUTM - T2_Images/18d2e6ce.FOTO.165723.jpg</v>
      </c>
      <c r="AD1062" s="4"/>
      <c r="AE1062" s="4"/>
      <c r="AF1062" s="4" t="str">
        <f>IFERROR(__xludf.DUMMYFUNCTION("""COMPUTED_VALUE"""),"BELUM")</f>
        <v>BELUM</v>
      </c>
      <c r="AG1062" s="6">
        <f>IFERROR(__xludf.DUMMYFUNCTION("""COMPUTED_VALUE"""),46125.0)</f>
        <v>46125</v>
      </c>
      <c r="AH1062" s="4"/>
      <c r="AI1062" s="4"/>
    </row>
    <row r="1063" ht="15.75" customHeight="1">
      <c r="A1063" s="4" t="str">
        <f>IFERROR(__xludf.DUMMYFUNCTION("""COMPUTED_VALUE"""),"a981027c")</f>
        <v>a981027c</v>
      </c>
      <c r="B1063" s="5">
        <f>IFERROR(__xludf.DUMMYFUNCTION("""COMPUTED_VALUE"""),46125.9912962963)</f>
        <v>46125.9913</v>
      </c>
      <c r="C1063" s="4" t="str">
        <f>IFERROR(__xludf.DUMMYFUNCTION("""COMPUTED_VALUE"""),"-6.899134, 107.645444")</f>
        <v>-6.899134, 107.645444</v>
      </c>
      <c r="D1063" s="4" t="str">
        <f>IFERROR(__xludf.DUMMYFUNCTION("""COMPUTED_VALUE"""),"Nagi firmang")</f>
        <v>Nagi firmang</v>
      </c>
      <c r="E1063" s="4" t="str">
        <f>IFERROR(__xludf.DUMMYFUNCTION("""COMPUTED_VALUE"""),"BANDUNG")</f>
        <v>BANDUNG</v>
      </c>
      <c r="F1063" s="4" t="str">
        <f>IFERROR(__xludf.DUMMYFUNCTION("""COMPUTED_VALUE"""),"KOPO")</f>
        <v>KOPO</v>
      </c>
      <c r="G1063" s="4" t="str">
        <f>IFERROR(__xludf.DUMMYFUNCTION("""COMPUTED_VALUE"""),"NEW CIBEUREUM")</f>
        <v>NEW CIBEUREUM</v>
      </c>
      <c r="H1063" s="4" t="str">
        <f>IFERROR(__xludf.DUMMYFUNCTION("""COMPUTED_VALUE"""),"WHB")</f>
        <v>WHB</v>
      </c>
      <c r="I1063" s="4" t="str">
        <f>IFERROR(__xludf.DUMMYFUNCTION("""COMPUTED_VALUE"""),"KBLA - LBS EDY")</f>
        <v>KBLA - LBS EDY</v>
      </c>
      <c r="J1063" s="4" t="str">
        <f>IFERROR(__xludf.DUMMYFUNCTION("""COMPUTED_VALUE"""),"ZONA 2")</f>
        <v>ZONA 2</v>
      </c>
      <c r="K1063" s="4" t="str">
        <f>IFERROR(__xludf.DUMMYFUNCTION("""COMPUTED_VALUE"""),"015")</f>
        <v>015</v>
      </c>
      <c r="L1063" s="4" t="str">
        <f>IFERROR(__xludf.DUMMYFUNCTION("""COMPUTED_VALUE"""),"TM - 8B/H (Percabangan)")</f>
        <v>TM - 8B/H (Percabangan)</v>
      </c>
      <c r="M1063" s="4" t="str">
        <f>IFERROR(__xludf.DUMMYFUNCTION("""COMPUTED_VALUE"""),"Tidak Ada")</f>
        <v>Tidak Ada</v>
      </c>
      <c r="N1063" s="4"/>
      <c r="O1063" s="4" t="str">
        <f>IFERROR(__xludf.DUMMYFUNCTION("""COMPUTED_VALUE"""),"PEMBANDING SEJENIS")</f>
        <v>PEMBANDING SEJENIS</v>
      </c>
      <c r="P1063" s="4" t="str">
        <f>IFERROR(__xludf.DUMMYFUNCTION("""COMPUTED_VALUE"""),"KONEKTOR/JUMPER")</f>
        <v>KONEKTOR/JUMPER</v>
      </c>
      <c r="Q1063" s="4">
        <f>IFERROR(__xludf.DUMMYFUNCTION("""COMPUTED_VALUE"""),21.0)</f>
        <v>21</v>
      </c>
      <c r="R1063" s="4">
        <f>IFERROR(__xludf.DUMMYFUNCTION("""COMPUTED_VALUE"""),20.0)</f>
        <v>20</v>
      </c>
      <c r="S1063" s="4">
        <f>IFERROR(__xludf.DUMMYFUNCTION("""COMPUTED_VALUE"""),21.0)</f>
        <v>21</v>
      </c>
      <c r="T1063" s="4"/>
      <c r="U1063" s="4" t="str">
        <f>IFERROR(__xludf.DUMMYFUNCTION("""COMPUTED_VALUE"""),"BAIK")</f>
        <v>BAIK</v>
      </c>
      <c r="V1063" s="4" t="str">
        <f>IFERROR(__xludf.DUMMYFUNCTION("""COMPUTED_VALUE"""),"Tidak Ada")</f>
        <v>Tidak Ada</v>
      </c>
      <c r="W1063" s="4"/>
      <c r="X1063" s="4"/>
      <c r="Y1063" s="4"/>
      <c r="Z1063" s="4"/>
      <c r="AA1063" s="4"/>
      <c r="AB1063" s="4"/>
      <c r="AC1063" s="4" t="str">
        <f>IFERROR(__xludf.DUMMYFUNCTION("""COMPUTED_VALUE"""),"INSPEKSI SUTM - T2_Images/a981027c.FOTO.165727.jpg")</f>
        <v>INSPEKSI SUTM - T2_Images/a981027c.FOTO.165727.jpg</v>
      </c>
      <c r="AD1063" s="4"/>
      <c r="AE1063" s="4"/>
      <c r="AF1063" s="4" t="str">
        <f>IFERROR(__xludf.DUMMYFUNCTION("""COMPUTED_VALUE"""),"BELUM")</f>
        <v>BELUM</v>
      </c>
      <c r="AG1063" s="6">
        <f>IFERROR(__xludf.DUMMYFUNCTION("""COMPUTED_VALUE"""),46125.0)</f>
        <v>46125</v>
      </c>
      <c r="AH1063" s="4"/>
      <c r="AI1063" s="4"/>
    </row>
    <row r="1064" ht="15.75" customHeight="1">
      <c r="A1064" s="4" t="str">
        <f>IFERROR(__xludf.DUMMYFUNCTION("""COMPUTED_VALUE"""),"124d3413")</f>
        <v>124d3413</v>
      </c>
      <c r="B1064" s="5">
        <f>IFERROR(__xludf.DUMMYFUNCTION("""COMPUTED_VALUE"""),46125.99581018519)</f>
        <v>46125.99581</v>
      </c>
      <c r="C1064" s="4" t="str">
        <f>IFERROR(__xludf.DUMMYFUNCTION("""COMPUTED_VALUE"""),"-6.899125, 107.645451")</f>
        <v>-6.899125, 107.645451</v>
      </c>
      <c r="D1064" s="4" t="str">
        <f>IFERROR(__xludf.DUMMYFUNCTION("""COMPUTED_VALUE"""),"Nugi firman")</f>
        <v>Nugi firman</v>
      </c>
      <c r="E1064" s="4" t="str">
        <f>IFERROR(__xludf.DUMMYFUNCTION("""COMPUTED_VALUE"""),"BANDUNG")</f>
        <v>BANDUNG</v>
      </c>
      <c r="F1064" s="4" t="str">
        <f>IFERROR(__xludf.DUMMYFUNCTION("""COMPUTED_VALUE"""),"KOPO")</f>
        <v>KOPO</v>
      </c>
      <c r="G1064" s="4" t="str">
        <f>IFERROR(__xludf.DUMMYFUNCTION("""COMPUTED_VALUE"""),"NEW CIBEUREUM")</f>
        <v>NEW CIBEUREUM</v>
      </c>
      <c r="H1064" s="4" t="str">
        <f>IFERROR(__xludf.DUMMYFUNCTION("""COMPUTED_VALUE"""),"WHB")</f>
        <v>WHB</v>
      </c>
      <c r="I1064" s="4" t="str">
        <f>IFERROR(__xludf.DUMMYFUNCTION("""COMPUTED_VALUE"""),"KBLA - LBS EDY")</f>
        <v>KBLA - LBS EDY</v>
      </c>
      <c r="J1064" s="4" t="str">
        <f>IFERROR(__xludf.DUMMYFUNCTION("""COMPUTED_VALUE"""),"ZONA 2")</f>
        <v>ZONA 2</v>
      </c>
      <c r="K1064" s="4" t="str">
        <f>IFERROR(__xludf.DUMMYFUNCTION("""COMPUTED_VALUE"""),"017")</f>
        <v>017</v>
      </c>
      <c r="L1064" s="4" t="str">
        <f>IFERROR(__xludf.DUMMYFUNCTION("""COMPUTED_VALUE"""),"TM - 7B/H (Afspan 90 Derajat)")</f>
        <v>TM - 7B/H (Afspan 90 Derajat)</v>
      </c>
      <c r="M1064" s="4" t="str">
        <f>IFERROR(__xludf.DUMMYFUNCTION("""COMPUTED_VALUE"""),"Tidak Ada")</f>
        <v>Tidak Ada</v>
      </c>
      <c r="N1064" s="4"/>
      <c r="O1064" s="4" t="str">
        <f>IFERROR(__xludf.DUMMYFUNCTION("""COMPUTED_VALUE"""),"PEMBANDING SEJENIS")</f>
        <v>PEMBANDING SEJENIS</v>
      </c>
      <c r="P1064" s="4" t="str">
        <f>IFERROR(__xludf.DUMMYFUNCTION("""COMPUTED_VALUE"""),"KONEKTOR/JUMPER")</f>
        <v>KONEKTOR/JUMPER</v>
      </c>
      <c r="Q1064" s="4">
        <f>IFERROR(__xludf.DUMMYFUNCTION("""COMPUTED_VALUE"""),21.0)</f>
        <v>21</v>
      </c>
      <c r="R1064" s="4">
        <f>IFERROR(__xludf.DUMMYFUNCTION("""COMPUTED_VALUE"""),20.0)</f>
        <v>20</v>
      </c>
      <c r="S1064" s="4">
        <f>IFERROR(__xludf.DUMMYFUNCTION("""COMPUTED_VALUE"""),21.0)</f>
        <v>21</v>
      </c>
      <c r="T1064" s="4"/>
      <c r="U1064" s="4" t="str">
        <f>IFERROR(__xludf.DUMMYFUNCTION("""COMPUTED_VALUE"""),"BAIK")</f>
        <v>BAIK</v>
      </c>
      <c r="V1064" s="4" t="str">
        <f>IFERROR(__xludf.DUMMYFUNCTION("""COMPUTED_VALUE"""),"Tidak Ada")</f>
        <v>Tidak Ada</v>
      </c>
      <c r="W1064" s="4"/>
      <c r="X1064" s="4"/>
      <c r="Y1064" s="4"/>
      <c r="Z1064" s="4"/>
      <c r="AA1064" s="4"/>
      <c r="AB1064" s="4"/>
      <c r="AC1064" s="4" t="str">
        <f>IFERROR(__xludf.DUMMYFUNCTION("""COMPUTED_VALUE"""),"INSPEKSI SUTM - T2_Images/124d3413.FOTO.011649.jpg")</f>
        <v>INSPEKSI SUTM - T2_Images/124d3413.FOTO.011649.jpg</v>
      </c>
      <c r="AD1064" s="4"/>
      <c r="AE1064" s="4"/>
      <c r="AF1064" s="4" t="str">
        <f>IFERROR(__xludf.DUMMYFUNCTION("""COMPUTED_VALUE"""),"BELUM")</f>
        <v>BELUM</v>
      </c>
      <c r="AG1064" s="6">
        <f>IFERROR(__xludf.DUMMYFUNCTION("""COMPUTED_VALUE"""),46125.0)</f>
        <v>46125</v>
      </c>
      <c r="AH1064" s="4"/>
      <c r="AI1064" s="4"/>
    </row>
    <row r="1065" ht="15.75" customHeight="1">
      <c r="A1065" s="4" t="str">
        <f>IFERROR(__xludf.DUMMYFUNCTION("""COMPUTED_VALUE"""),"369a7005")</f>
        <v>369a7005</v>
      </c>
      <c r="B1065" s="5">
        <f>IFERROR(__xludf.DUMMYFUNCTION("""COMPUTED_VALUE"""),46125.996354166666)</f>
        <v>46125.99635</v>
      </c>
      <c r="C1065" s="4" t="str">
        <f>IFERROR(__xludf.DUMMYFUNCTION("""COMPUTED_VALUE"""),"-6.899125, 107.645451")</f>
        <v>-6.899125, 107.645451</v>
      </c>
      <c r="D1065" s="4" t="str">
        <f>IFERROR(__xludf.DUMMYFUNCTION("""COMPUTED_VALUE"""),"Nugi firman")</f>
        <v>Nugi firman</v>
      </c>
      <c r="E1065" s="4" t="str">
        <f>IFERROR(__xludf.DUMMYFUNCTION("""COMPUTED_VALUE"""),"BANDUNG")</f>
        <v>BANDUNG</v>
      </c>
      <c r="F1065" s="4" t="str">
        <f>IFERROR(__xludf.DUMMYFUNCTION("""COMPUTED_VALUE"""),"KOPO")</f>
        <v>KOPO</v>
      </c>
      <c r="G1065" s="4" t="str">
        <f>IFERROR(__xludf.DUMMYFUNCTION("""COMPUTED_VALUE"""),"NEW CIBEUREUM")</f>
        <v>NEW CIBEUREUM</v>
      </c>
      <c r="H1065" s="4" t="str">
        <f>IFERROR(__xludf.DUMMYFUNCTION("""COMPUTED_VALUE"""),"WHB")</f>
        <v>WHB</v>
      </c>
      <c r="I1065" s="4" t="str">
        <f>IFERROR(__xludf.DUMMYFUNCTION("""COMPUTED_VALUE"""),"KBLA - LBS EDY")</f>
        <v>KBLA - LBS EDY</v>
      </c>
      <c r="J1065" s="4" t="str">
        <f>IFERROR(__xludf.DUMMYFUNCTION("""COMPUTED_VALUE"""),"ZONA 2")</f>
        <v>ZONA 2</v>
      </c>
      <c r="K1065" s="4" t="str">
        <f>IFERROR(__xludf.DUMMYFUNCTION("""COMPUTED_VALUE"""),"018")</f>
        <v>018</v>
      </c>
      <c r="L1065" s="4" t="str">
        <f>IFERROR(__xludf.DUMMYFUNCTION("""COMPUTED_VALUE"""),"TM - 8B/H (Percabangan)")</f>
        <v>TM - 8B/H (Percabangan)</v>
      </c>
      <c r="M1065" s="4" t="str">
        <f>IFERROR(__xludf.DUMMYFUNCTION("""COMPUTED_VALUE"""),"Tidak Ada")</f>
        <v>Tidak Ada</v>
      </c>
      <c r="N1065" s="4"/>
      <c r="O1065" s="4" t="str">
        <f>IFERROR(__xludf.DUMMYFUNCTION("""COMPUTED_VALUE"""),"PEMBANDING SEJENIS")</f>
        <v>PEMBANDING SEJENIS</v>
      </c>
      <c r="P1065" s="4" t="str">
        <f>IFERROR(__xludf.DUMMYFUNCTION("""COMPUTED_VALUE"""),"KONEKTOR/JUMPER")</f>
        <v>KONEKTOR/JUMPER</v>
      </c>
      <c r="Q1065" s="4">
        <f>IFERROR(__xludf.DUMMYFUNCTION("""COMPUTED_VALUE"""),20.0)</f>
        <v>20</v>
      </c>
      <c r="R1065" s="4">
        <f>IFERROR(__xludf.DUMMYFUNCTION("""COMPUTED_VALUE"""),20.0)</f>
        <v>20</v>
      </c>
      <c r="S1065" s="4">
        <f>IFERROR(__xludf.DUMMYFUNCTION("""COMPUTED_VALUE"""),21.0)</f>
        <v>21</v>
      </c>
      <c r="T1065" s="4"/>
      <c r="U1065" s="4" t="str">
        <f>IFERROR(__xludf.DUMMYFUNCTION("""COMPUTED_VALUE"""),"BAIK")</f>
        <v>BAIK</v>
      </c>
      <c r="V1065" s="4" t="str">
        <f>IFERROR(__xludf.DUMMYFUNCTION("""COMPUTED_VALUE"""),"Tidak Ada")</f>
        <v>Tidak Ada</v>
      </c>
      <c r="W1065" s="4"/>
      <c r="X1065" s="4"/>
      <c r="Y1065" s="4"/>
      <c r="Z1065" s="4"/>
      <c r="AA1065" s="4"/>
      <c r="AB1065" s="4"/>
      <c r="AC1065" s="4" t="str">
        <f>IFERROR(__xludf.DUMMYFUNCTION("""COMPUTED_VALUE"""),"INSPEKSI SUTM - T2_Images/369a7005.FOTO.011654.jpg")</f>
        <v>INSPEKSI SUTM - T2_Images/369a7005.FOTO.011654.jpg</v>
      </c>
      <c r="AD1065" s="4"/>
      <c r="AE1065" s="4"/>
      <c r="AF1065" s="4" t="str">
        <f>IFERROR(__xludf.DUMMYFUNCTION("""COMPUTED_VALUE"""),"BELUM")</f>
        <v>BELUM</v>
      </c>
      <c r="AG1065" s="6">
        <f>IFERROR(__xludf.DUMMYFUNCTION("""COMPUTED_VALUE"""),46125.0)</f>
        <v>46125</v>
      </c>
      <c r="AH1065" s="4"/>
      <c r="AI1065" s="4"/>
    </row>
    <row r="1066" ht="15.75" customHeight="1">
      <c r="A1066" s="4" t="str">
        <f>IFERROR(__xludf.DUMMYFUNCTION("""COMPUTED_VALUE"""),"af82a549")</f>
        <v>af82a549</v>
      </c>
      <c r="B1066" s="5">
        <f>IFERROR(__xludf.DUMMYFUNCTION("""COMPUTED_VALUE"""),46134.06631944444)</f>
        <v>46134.06632</v>
      </c>
      <c r="C1066" s="4" t="str">
        <f>IFERROR(__xludf.DUMMYFUNCTION("""COMPUTED_VALUE"""),"-6.899166, 107.645279")</f>
        <v>-6.899166, 107.645279</v>
      </c>
      <c r="D1066" s="4" t="str">
        <f>IFERROR(__xludf.DUMMYFUNCTION("""COMPUTED_VALUE"""),"Nugi firman")</f>
        <v>Nugi firman</v>
      </c>
      <c r="E1066" s="4" t="str">
        <f>IFERROR(__xludf.DUMMYFUNCTION("""COMPUTED_VALUE"""),"BANDUNG")</f>
        <v>BANDUNG</v>
      </c>
      <c r="F1066" s="4" t="str">
        <f>IFERROR(__xludf.DUMMYFUNCTION("""COMPUTED_VALUE"""),"KOPO")</f>
        <v>KOPO</v>
      </c>
      <c r="G1066" s="4" t="str">
        <f>IFERROR(__xludf.DUMMYFUNCTION("""COMPUTED_VALUE"""),"NEW CIBEUREUM")</f>
        <v>NEW CIBEUREUM</v>
      </c>
      <c r="H1066" s="4" t="str">
        <f>IFERROR(__xludf.DUMMYFUNCTION("""COMPUTED_VALUE"""),"WHB")</f>
        <v>WHB</v>
      </c>
      <c r="I1066" s="4" t="str">
        <f>IFERROR(__xludf.DUMMYFUNCTION("""COMPUTED_VALUE"""),"KBLA - LBS EDY")</f>
        <v>KBLA - LBS EDY</v>
      </c>
      <c r="J1066" s="4" t="str">
        <f>IFERROR(__xludf.DUMMYFUNCTION("""COMPUTED_VALUE"""),"ZONA 2")</f>
        <v>ZONA 2</v>
      </c>
      <c r="K1066" s="4" t="str">
        <f>IFERROR(__xludf.DUMMYFUNCTION("""COMPUTED_VALUE"""),"018R01")</f>
        <v>018R01</v>
      </c>
      <c r="L1066" s="4" t="str">
        <f>IFERROR(__xludf.DUMMYFUNCTION("""COMPUTED_VALUE"""),"TM - 4B/H (Afspan)")</f>
        <v>TM - 4B/H (Afspan)</v>
      </c>
      <c r="M1066" s="4" t="str">
        <f>IFERROR(__xludf.DUMMYFUNCTION("""COMPUTED_VALUE"""),"Tidak Ada")</f>
        <v>Tidak Ada</v>
      </c>
      <c r="N1066" s="4"/>
      <c r="O1066" s="4" t="str">
        <f>IFERROR(__xludf.DUMMYFUNCTION("""COMPUTED_VALUE"""),"PEMBANDING SEJENIS")</f>
        <v>PEMBANDING SEJENIS</v>
      </c>
      <c r="P1066" s="4" t="str">
        <f>IFERROR(__xludf.DUMMYFUNCTION("""COMPUTED_VALUE"""),"KONEKTOR/JUMPER")</f>
        <v>KONEKTOR/JUMPER</v>
      </c>
      <c r="Q1066" s="4">
        <f>IFERROR(__xludf.DUMMYFUNCTION("""COMPUTED_VALUE"""),20.0)</f>
        <v>20</v>
      </c>
      <c r="R1066" s="4">
        <f>IFERROR(__xludf.DUMMYFUNCTION("""COMPUTED_VALUE"""),20.0)</f>
        <v>20</v>
      </c>
      <c r="S1066" s="4">
        <f>IFERROR(__xludf.DUMMYFUNCTION("""COMPUTED_VALUE"""),19.0)</f>
        <v>19</v>
      </c>
      <c r="T1066" s="4"/>
      <c r="U1066" s="4" t="str">
        <f>IFERROR(__xludf.DUMMYFUNCTION("""COMPUTED_VALUE"""),"BAIK")</f>
        <v>BAIK</v>
      </c>
      <c r="V1066" s="4" t="str">
        <f>IFERROR(__xludf.DUMMYFUNCTION("""COMPUTED_VALUE"""),"Tidak Ada")</f>
        <v>Tidak Ada</v>
      </c>
      <c r="W1066" s="4"/>
      <c r="X1066" s="4"/>
      <c r="Y1066" s="4"/>
      <c r="Z1066" s="4"/>
      <c r="AA1066" s="4"/>
      <c r="AB1066" s="4"/>
      <c r="AC1066" s="4" t="str">
        <f>IFERROR(__xludf.DUMMYFUNCTION("""COMPUTED_VALUE"""),"INSPEKSI SUTM - T2_Images/af82a549.FOTO.183848.jpg")</f>
        <v>INSPEKSI SUTM - T2_Images/af82a549.FOTO.183848.jpg</v>
      </c>
      <c r="AD1066" s="4"/>
      <c r="AE1066" s="4"/>
      <c r="AF1066" s="4" t="str">
        <f>IFERROR(__xludf.DUMMYFUNCTION("""COMPUTED_VALUE"""),"BELUM")</f>
        <v>BELUM</v>
      </c>
      <c r="AG1066" s="6">
        <f>IFERROR(__xludf.DUMMYFUNCTION("""COMPUTED_VALUE"""),46134.0)</f>
        <v>46134</v>
      </c>
      <c r="AH1066" s="4"/>
      <c r="AI1066" s="4"/>
    </row>
    <row r="1067" ht="15.75" customHeight="1">
      <c r="A1067" s="4" t="str">
        <f>IFERROR(__xludf.DUMMYFUNCTION("""COMPUTED_VALUE"""),"a7034e93")</f>
        <v>a7034e93</v>
      </c>
      <c r="B1067" s="5">
        <f>IFERROR(__xludf.DUMMYFUNCTION("""COMPUTED_VALUE"""),46134.06869212963)</f>
        <v>46134.06869</v>
      </c>
      <c r="C1067" s="4" t="str">
        <f>IFERROR(__xludf.DUMMYFUNCTION("""COMPUTED_VALUE"""),"-6.899175, 107.645378")</f>
        <v>-6.899175, 107.645378</v>
      </c>
      <c r="D1067" s="4" t="str">
        <f>IFERROR(__xludf.DUMMYFUNCTION("""COMPUTED_VALUE"""),"Nugi firman")</f>
        <v>Nugi firman</v>
      </c>
      <c r="E1067" s="4" t="str">
        <f>IFERROR(__xludf.DUMMYFUNCTION("""COMPUTED_VALUE"""),"BANDUNG")</f>
        <v>BANDUNG</v>
      </c>
      <c r="F1067" s="4" t="str">
        <f>IFERROR(__xludf.DUMMYFUNCTION("""COMPUTED_VALUE"""),"KOPO")</f>
        <v>KOPO</v>
      </c>
      <c r="G1067" s="4" t="str">
        <f>IFERROR(__xludf.DUMMYFUNCTION("""COMPUTED_VALUE"""),"NEW CIBEUREUM")</f>
        <v>NEW CIBEUREUM</v>
      </c>
      <c r="H1067" s="4" t="str">
        <f>IFERROR(__xludf.DUMMYFUNCTION("""COMPUTED_VALUE"""),"WHB")</f>
        <v>WHB</v>
      </c>
      <c r="I1067" s="4" t="str">
        <f>IFERROR(__xludf.DUMMYFUNCTION("""COMPUTED_VALUE"""),"KBLA - LBS EDY")</f>
        <v>KBLA - LBS EDY</v>
      </c>
      <c r="J1067" s="4" t="str">
        <f>IFERROR(__xludf.DUMMYFUNCTION("""COMPUTED_VALUE"""),"ZONA 2")</f>
        <v>ZONA 2</v>
      </c>
      <c r="K1067" s="4" t="str">
        <f>IFERROR(__xludf.DUMMYFUNCTION("""COMPUTED_VALUE"""),"018R07")</f>
        <v>018R07</v>
      </c>
      <c r="L1067" s="4" t="str">
        <f>IFERROR(__xludf.DUMMYFUNCTION("""COMPUTED_VALUE"""),"TM - 8B/H (Percabangan)")</f>
        <v>TM - 8B/H (Percabangan)</v>
      </c>
      <c r="M1067" s="4" t="str">
        <f>IFERROR(__xludf.DUMMYFUNCTION("""COMPUTED_VALUE"""),"Tidak Ada")</f>
        <v>Tidak Ada</v>
      </c>
      <c r="N1067" s="4"/>
      <c r="O1067" s="4" t="str">
        <f>IFERROR(__xludf.DUMMYFUNCTION("""COMPUTED_VALUE"""),"PEMBANDING SEJENIS")</f>
        <v>PEMBANDING SEJENIS</v>
      </c>
      <c r="P1067" s="4" t="str">
        <f>IFERROR(__xludf.DUMMYFUNCTION("""COMPUTED_VALUE"""),"KONEKTOR/JUMPER")</f>
        <v>KONEKTOR/JUMPER</v>
      </c>
      <c r="Q1067" s="4">
        <f>IFERROR(__xludf.DUMMYFUNCTION("""COMPUTED_VALUE"""),22.0)</f>
        <v>22</v>
      </c>
      <c r="R1067" s="4">
        <f>IFERROR(__xludf.DUMMYFUNCTION("""COMPUTED_VALUE"""),22.0)</f>
        <v>22</v>
      </c>
      <c r="S1067" s="4">
        <f>IFERROR(__xludf.DUMMYFUNCTION("""COMPUTED_VALUE"""),22.0)</f>
        <v>22</v>
      </c>
      <c r="T1067" s="4"/>
      <c r="U1067" s="4" t="str">
        <f>IFERROR(__xludf.DUMMYFUNCTION("""COMPUTED_VALUE"""),"BAIK")</f>
        <v>BAIK</v>
      </c>
      <c r="V1067" s="4" t="str">
        <f>IFERROR(__xludf.DUMMYFUNCTION("""COMPUTED_VALUE"""),"Tidak Ada")</f>
        <v>Tidak Ada</v>
      </c>
      <c r="W1067" s="4"/>
      <c r="X1067" s="4"/>
      <c r="Y1067" s="4"/>
      <c r="Z1067" s="4"/>
      <c r="AA1067" s="4"/>
      <c r="AB1067" s="4"/>
      <c r="AC1067" s="4" t="str">
        <f>IFERROR(__xludf.DUMMYFUNCTION("""COMPUTED_VALUE"""),"INSPEKSI SUTM - T2_Images/a7034e93.FOTO.183943.jpg")</f>
        <v>INSPEKSI SUTM - T2_Images/a7034e93.FOTO.183943.jpg</v>
      </c>
      <c r="AD1067" s="4"/>
      <c r="AE1067" s="4"/>
      <c r="AF1067" s="4" t="str">
        <f>IFERROR(__xludf.DUMMYFUNCTION("""COMPUTED_VALUE"""),"BELUM")</f>
        <v>BELUM</v>
      </c>
      <c r="AG1067" s="6">
        <f>IFERROR(__xludf.DUMMYFUNCTION("""COMPUTED_VALUE"""),46134.0)</f>
        <v>46134</v>
      </c>
      <c r="AH1067" s="4"/>
      <c r="AI1067" s="4"/>
    </row>
    <row r="1068" ht="15.75" customHeight="1">
      <c r="A1068" s="4" t="str">
        <f>IFERROR(__xludf.DUMMYFUNCTION("""COMPUTED_VALUE"""),"233da9a9")</f>
        <v>233da9a9</v>
      </c>
      <c r="B1068" s="5">
        <f>IFERROR(__xludf.DUMMYFUNCTION("""COMPUTED_VALUE"""),46134.06929398148)</f>
        <v>46134.06929</v>
      </c>
      <c r="C1068" s="4" t="str">
        <f>IFERROR(__xludf.DUMMYFUNCTION("""COMPUTED_VALUE"""),"-6.899175, 107.645378")</f>
        <v>-6.899175, 107.645378</v>
      </c>
      <c r="D1068" s="4" t="str">
        <f>IFERROR(__xludf.DUMMYFUNCTION("""COMPUTED_VALUE"""),"Nugi firman")</f>
        <v>Nugi firman</v>
      </c>
      <c r="E1068" s="4" t="str">
        <f>IFERROR(__xludf.DUMMYFUNCTION("""COMPUTED_VALUE"""),"BANDUNG")</f>
        <v>BANDUNG</v>
      </c>
      <c r="F1068" s="4" t="str">
        <f>IFERROR(__xludf.DUMMYFUNCTION("""COMPUTED_VALUE"""),"KOPO")</f>
        <v>KOPO</v>
      </c>
      <c r="G1068" s="4" t="str">
        <f>IFERROR(__xludf.DUMMYFUNCTION("""COMPUTED_VALUE"""),"NEW CIBEUREUM")</f>
        <v>NEW CIBEUREUM</v>
      </c>
      <c r="H1068" s="4" t="str">
        <f>IFERROR(__xludf.DUMMYFUNCTION("""COMPUTED_VALUE"""),"WHB")</f>
        <v>WHB</v>
      </c>
      <c r="I1068" s="4" t="str">
        <f>IFERROR(__xludf.DUMMYFUNCTION("""COMPUTED_VALUE"""),"KBLA - LBS EDY")</f>
        <v>KBLA - LBS EDY</v>
      </c>
      <c r="J1068" s="4" t="str">
        <f>IFERROR(__xludf.DUMMYFUNCTION("""COMPUTED_VALUE"""),"ZONA 2")</f>
        <v>ZONA 2</v>
      </c>
      <c r="K1068" s="4" t="str">
        <f>IFERROR(__xludf.DUMMYFUNCTION("""COMPUTED_VALUE"""),"018R07L01")</f>
        <v>018R07L01</v>
      </c>
      <c r="L1068" s="4" t="str">
        <f>IFERROR(__xludf.DUMMYFUNCTION("""COMPUTED_VALUE"""),"TM - 4B/H (Afspan)")</f>
        <v>TM - 4B/H (Afspan)</v>
      </c>
      <c r="M1068" s="4" t="str">
        <f>IFERROR(__xludf.DUMMYFUNCTION("""COMPUTED_VALUE"""),"Tidak Ada")</f>
        <v>Tidak Ada</v>
      </c>
      <c r="N1068" s="4"/>
      <c r="O1068" s="4" t="str">
        <f>IFERROR(__xludf.DUMMYFUNCTION("""COMPUTED_VALUE"""),"PEMBANDING SEJENIS")</f>
        <v>PEMBANDING SEJENIS</v>
      </c>
      <c r="P1068" s="4" t="str">
        <f>IFERROR(__xludf.DUMMYFUNCTION("""COMPUTED_VALUE"""),"KONEKTOR/JUMPER")</f>
        <v>KONEKTOR/JUMPER</v>
      </c>
      <c r="Q1068" s="4">
        <f>IFERROR(__xludf.DUMMYFUNCTION("""COMPUTED_VALUE"""),21.0)</f>
        <v>21</v>
      </c>
      <c r="R1068" s="4">
        <f>IFERROR(__xludf.DUMMYFUNCTION("""COMPUTED_VALUE"""),21.0)</f>
        <v>21</v>
      </c>
      <c r="S1068" s="4">
        <f>IFERROR(__xludf.DUMMYFUNCTION("""COMPUTED_VALUE"""),21.0)</f>
        <v>21</v>
      </c>
      <c r="T1068" s="4"/>
      <c r="U1068" s="4" t="str">
        <f>IFERROR(__xludf.DUMMYFUNCTION("""COMPUTED_VALUE"""),"BAIK")</f>
        <v>BAIK</v>
      </c>
      <c r="V1068" s="4" t="str">
        <f>IFERROR(__xludf.DUMMYFUNCTION("""COMPUTED_VALUE"""),"Tidak Ada")</f>
        <v>Tidak Ada</v>
      </c>
      <c r="W1068" s="4"/>
      <c r="X1068" s="4"/>
      <c r="Y1068" s="4"/>
      <c r="Z1068" s="4"/>
      <c r="AA1068" s="4"/>
      <c r="AB1068" s="4"/>
      <c r="AC1068" s="4" t="str">
        <f>IFERROR(__xludf.DUMMYFUNCTION("""COMPUTED_VALUE"""),"INSPEKSI SUTM - T2_Images/233da9a9.FOTO.184031.jpg")</f>
        <v>INSPEKSI SUTM - T2_Images/233da9a9.FOTO.184031.jpg</v>
      </c>
      <c r="AD1068" s="4"/>
      <c r="AE1068" s="4"/>
      <c r="AF1068" s="4" t="str">
        <f>IFERROR(__xludf.DUMMYFUNCTION("""COMPUTED_VALUE"""),"BELUM")</f>
        <v>BELUM</v>
      </c>
      <c r="AG1068" s="6">
        <f>IFERROR(__xludf.DUMMYFUNCTION("""COMPUTED_VALUE"""),46134.0)</f>
        <v>46134</v>
      </c>
      <c r="AH1068" s="4"/>
      <c r="AI1068" s="4"/>
    </row>
    <row r="1069" ht="15.75" customHeight="1">
      <c r="A1069" s="4" t="str">
        <f>IFERROR(__xludf.DUMMYFUNCTION("""COMPUTED_VALUE"""),"c2bb8bcd")</f>
        <v>c2bb8bcd</v>
      </c>
      <c r="B1069" s="5">
        <f>IFERROR(__xludf.DUMMYFUNCTION("""COMPUTED_VALUE"""),46134.06983796296)</f>
        <v>46134.06984</v>
      </c>
      <c r="C1069" s="4" t="str">
        <f>IFERROR(__xludf.DUMMYFUNCTION("""COMPUTED_VALUE"""),"-6.899175, 107.645378")</f>
        <v>-6.899175, 107.645378</v>
      </c>
      <c r="D1069" s="4" t="str">
        <f>IFERROR(__xludf.DUMMYFUNCTION("""COMPUTED_VALUE"""),"Nugi firman")</f>
        <v>Nugi firman</v>
      </c>
      <c r="E1069" s="4" t="str">
        <f>IFERROR(__xludf.DUMMYFUNCTION("""COMPUTED_VALUE"""),"BANDUNG")</f>
        <v>BANDUNG</v>
      </c>
      <c r="F1069" s="4" t="str">
        <f>IFERROR(__xludf.DUMMYFUNCTION("""COMPUTED_VALUE"""),"KOPO")</f>
        <v>KOPO</v>
      </c>
      <c r="G1069" s="4" t="str">
        <f>IFERROR(__xludf.DUMMYFUNCTION("""COMPUTED_VALUE"""),"NEW CIBEUREUM")</f>
        <v>NEW CIBEUREUM</v>
      </c>
      <c r="H1069" s="4" t="str">
        <f>IFERROR(__xludf.DUMMYFUNCTION("""COMPUTED_VALUE"""),"WHB")</f>
        <v>WHB</v>
      </c>
      <c r="I1069" s="4" t="str">
        <f>IFERROR(__xludf.DUMMYFUNCTION("""COMPUTED_VALUE"""),"KBLA - LBS EDY")</f>
        <v>KBLA - LBS EDY</v>
      </c>
      <c r="J1069" s="4" t="str">
        <f>IFERROR(__xludf.DUMMYFUNCTION("""COMPUTED_VALUE"""),"ZONA 2")</f>
        <v>ZONA 2</v>
      </c>
      <c r="K1069" s="4" t="str">
        <f>IFERROR(__xludf.DUMMYFUNCTION("""COMPUTED_VALUE"""),"018R07L05")</f>
        <v>018R07L05</v>
      </c>
      <c r="L1069" s="4" t="str">
        <f>IFERROR(__xludf.DUMMYFUNCTION("""COMPUTED_VALUE"""),"TM - 14B/H (Akhir)")</f>
        <v>TM - 14B/H (Akhir)</v>
      </c>
      <c r="M1069" s="4" t="str">
        <f>IFERROR(__xludf.DUMMYFUNCTION("""COMPUTED_VALUE"""),"Tidak Ada")</f>
        <v>Tidak Ada</v>
      </c>
      <c r="N1069" s="4"/>
      <c r="O1069" s="4" t="str">
        <f>IFERROR(__xludf.DUMMYFUNCTION("""COMPUTED_VALUE"""),"PEMBANDING SEJENIS")</f>
        <v>PEMBANDING SEJENIS</v>
      </c>
      <c r="P1069" s="4" t="str">
        <f>IFERROR(__xludf.DUMMYFUNCTION("""COMPUTED_VALUE"""),"KONEKTOR/JUMPER")</f>
        <v>KONEKTOR/JUMPER</v>
      </c>
      <c r="Q1069" s="4">
        <f>IFERROR(__xludf.DUMMYFUNCTION("""COMPUTED_VALUE"""),22.0)</f>
        <v>22</v>
      </c>
      <c r="R1069" s="4">
        <f>IFERROR(__xludf.DUMMYFUNCTION("""COMPUTED_VALUE"""),22.0)</f>
        <v>22</v>
      </c>
      <c r="S1069" s="4">
        <f>IFERROR(__xludf.DUMMYFUNCTION("""COMPUTED_VALUE"""),22.0)</f>
        <v>22</v>
      </c>
      <c r="T1069" s="4"/>
      <c r="U1069" s="4" t="str">
        <f>IFERROR(__xludf.DUMMYFUNCTION("""COMPUTED_VALUE"""),"BAIK")</f>
        <v>BAIK</v>
      </c>
      <c r="V1069" s="4" t="str">
        <f>IFERROR(__xludf.DUMMYFUNCTION("""COMPUTED_VALUE"""),"Tidak Ada")</f>
        <v>Tidak Ada</v>
      </c>
      <c r="W1069" s="4"/>
      <c r="X1069" s="4"/>
      <c r="Y1069" s="4"/>
      <c r="Z1069" s="4"/>
      <c r="AA1069" s="4"/>
      <c r="AB1069" s="4"/>
      <c r="AC1069" s="4" t="str">
        <f>IFERROR(__xludf.DUMMYFUNCTION("""COMPUTED_VALUE"""),"INSPEKSI SUTM - T2_Images/c2bb8bcd.FOTO.184120.jpg")</f>
        <v>INSPEKSI SUTM - T2_Images/c2bb8bcd.FOTO.184120.jpg</v>
      </c>
      <c r="AD1069" s="4"/>
      <c r="AE1069" s="4"/>
      <c r="AF1069" s="4" t="str">
        <f>IFERROR(__xludf.DUMMYFUNCTION("""COMPUTED_VALUE"""),"BELUM")</f>
        <v>BELUM</v>
      </c>
      <c r="AG1069" s="6">
        <f>IFERROR(__xludf.DUMMYFUNCTION("""COMPUTED_VALUE"""),46134.0)</f>
        <v>46134</v>
      </c>
      <c r="AH1069" s="4"/>
      <c r="AI1069" s="4"/>
    </row>
    <row r="1070" ht="15.75" customHeight="1">
      <c r="A1070" s="4" t="str">
        <f>IFERROR(__xludf.DUMMYFUNCTION("""COMPUTED_VALUE"""),"fd58ca65")</f>
        <v>fd58ca65</v>
      </c>
      <c r="B1070" s="5">
        <f>IFERROR(__xludf.DUMMYFUNCTION("""COMPUTED_VALUE"""),46134.07068287037)</f>
        <v>46134.07068</v>
      </c>
      <c r="C1070" s="4" t="str">
        <f>IFERROR(__xludf.DUMMYFUNCTION("""COMPUTED_VALUE"""),"-6.899175, 107.645378")</f>
        <v>-6.899175, 107.645378</v>
      </c>
      <c r="D1070" s="4" t="str">
        <f>IFERROR(__xludf.DUMMYFUNCTION("""COMPUTED_VALUE"""),"Nugi firman")</f>
        <v>Nugi firman</v>
      </c>
      <c r="E1070" s="4" t="str">
        <f>IFERROR(__xludf.DUMMYFUNCTION("""COMPUTED_VALUE"""),"BANDUNG")</f>
        <v>BANDUNG</v>
      </c>
      <c r="F1070" s="4" t="str">
        <f>IFERROR(__xludf.DUMMYFUNCTION("""COMPUTED_VALUE"""),"KOPO")</f>
        <v>KOPO</v>
      </c>
      <c r="G1070" s="4" t="str">
        <f>IFERROR(__xludf.DUMMYFUNCTION("""COMPUTED_VALUE"""),"NEW CIBEUREUM")</f>
        <v>NEW CIBEUREUM</v>
      </c>
      <c r="H1070" s="4" t="str">
        <f>IFERROR(__xludf.DUMMYFUNCTION("""COMPUTED_VALUE"""),"WHB")</f>
        <v>WHB</v>
      </c>
      <c r="I1070" s="4" t="str">
        <f>IFERROR(__xludf.DUMMYFUNCTION("""COMPUTED_VALUE"""),"KBLA - LBS EDY")</f>
        <v>KBLA - LBS EDY</v>
      </c>
      <c r="J1070" s="4" t="str">
        <f>IFERROR(__xludf.DUMMYFUNCTION("""COMPUTED_VALUE"""),"ZONA 2")</f>
        <v>ZONA 2</v>
      </c>
      <c r="K1070" s="4" t="str">
        <f>IFERROR(__xludf.DUMMYFUNCTION("""COMPUTED_VALUE"""),"018R10")</f>
        <v>018R10</v>
      </c>
      <c r="L1070" s="4" t="str">
        <f>IFERROR(__xludf.DUMMYFUNCTION("""COMPUTED_VALUE"""),"TM - 8B/H (Percabangan)")</f>
        <v>TM - 8B/H (Percabangan)</v>
      </c>
      <c r="M1070" s="4" t="str">
        <f>IFERROR(__xludf.DUMMYFUNCTION("""COMPUTED_VALUE"""),"Tidak Ada")</f>
        <v>Tidak Ada</v>
      </c>
      <c r="N1070" s="4"/>
      <c r="O1070" s="4" t="str">
        <f>IFERROR(__xludf.DUMMYFUNCTION("""COMPUTED_VALUE"""),"PEMBANDING SEJENIS")</f>
        <v>PEMBANDING SEJENIS</v>
      </c>
      <c r="P1070" s="4" t="str">
        <f>IFERROR(__xludf.DUMMYFUNCTION("""COMPUTED_VALUE"""),"KONEKTOR/JUMPER")</f>
        <v>KONEKTOR/JUMPER</v>
      </c>
      <c r="Q1070" s="4">
        <f>IFERROR(__xludf.DUMMYFUNCTION("""COMPUTED_VALUE"""),21.0)</f>
        <v>21</v>
      </c>
      <c r="R1070" s="4">
        <f>IFERROR(__xludf.DUMMYFUNCTION("""COMPUTED_VALUE"""),21.0)</f>
        <v>21</v>
      </c>
      <c r="S1070" s="4">
        <f>IFERROR(__xludf.DUMMYFUNCTION("""COMPUTED_VALUE"""),20.0)</f>
        <v>20</v>
      </c>
      <c r="T1070" s="4"/>
      <c r="U1070" s="4" t="str">
        <f>IFERROR(__xludf.DUMMYFUNCTION("""COMPUTED_VALUE"""),"BAIK")</f>
        <v>BAIK</v>
      </c>
      <c r="V1070" s="4" t="str">
        <f>IFERROR(__xludf.DUMMYFUNCTION("""COMPUTED_VALUE"""),"Tidak Ada")</f>
        <v>Tidak Ada</v>
      </c>
      <c r="W1070" s="4"/>
      <c r="X1070" s="4"/>
      <c r="Y1070" s="4"/>
      <c r="Z1070" s="4"/>
      <c r="AA1070" s="4"/>
      <c r="AB1070" s="4"/>
      <c r="AC1070" s="4" t="str">
        <f>IFERROR(__xludf.DUMMYFUNCTION("""COMPUTED_VALUE"""),"INSPEKSI SUTM - T2_Images/fd58ca65.FOTO.184304.jpg")</f>
        <v>INSPEKSI SUTM - T2_Images/fd58ca65.FOTO.184304.jpg</v>
      </c>
      <c r="AD1070" s="4"/>
      <c r="AE1070" s="4"/>
      <c r="AF1070" s="4" t="str">
        <f>IFERROR(__xludf.DUMMYFUNCTION("""COMPUTED_VALUE"""),"BELUM")</f>
        <v>BELUM</v>
      </c>
      <c r="AG1070" s="6">
        <f>IFERROR(__xludf.DUMMYFUNCTION("""COMPUTED_VALUE"""),46134.0)</f>
        <v>46134</v>
      </c>
      <c r="AH1070" s="4"/>
      <c r="AI1070" s="4"/>
    </row>
    <row r="1071" ht="15.75" customHeight="1">
      <c r="A1071" s="4" t="str">
        <f>IFERROR(__xludf.DUMMYFUNCTION("""COMPUTED_VALUE"""),"6c35f77b")</f>
        <v>6c35f77b</v>
      </c>
      <c r="B1071" s="5">
        <f>IFERROR(__xludf.DUMMYFUNCTION("""COMPUTED_VALUE"""),46134.07163194445)</f>
        <v>46134.07163</v>
      </c>
      <c r="C1071" s="4" t="str">
        <f>IFERROR(__xludf.DUMMYFUNCTION("""COMPUTED_VALUE"""),"-6.899167, 107.645290")</f>
        <v>-6.899167, 107.645290</v>
      </c>
      <c r="D1071" s="4" t="str">
        <f>IFERROR(__xludf.DUMMYFUNCTION("""COMPUTED_VALUE"""),"Nugi firman")</f>
        <v>Nugi firman</v>
      </c>
      <c r="E1071" s="4" t="str">
        <f>IFERROR(__xludf.DUMMYFUNCTION("""COMPUTED_VALUE"""),"BANDUNG")</f>
        <v>BANDUNG</v>
      </c>
      <c r="F1071" s="4" t="str">
        <f>IFERROR(__xludf.DUMMYFUNCTION("""COMPUTED_VALUE"""),"KOPO")</f>
        <v>KOPO</v>
      </c>
      <c r="G1071" s="4" t="str">
        <f>IFERROR(__xludf.DUMMYFUNCTION("""COMPUTED_VALUE"""),"NEW CIBEUREUM")</f>
        <v>NEW CIBEUREUM</v>
      </c>
      <c r="H1071" s="4" t="str">
        <f>IFERROR(__xludf.DUMMYFUNCTION("""COMPUTED_VALUE"""),"WHB")</f>
        <v>WHB</v>
      </c>
      <c r="I1071" s="4" t="str">
        <f>IFERROR(__xludf.DUMMYFUNCTION("""COMPUTED_VALUE"""),"KBLA - LBS EDY")</f>
        <v>KBLA - LBS EDY</v>
      </c>
      <c r="J1071" s="4" t="str">
        <f>IFERROR(__xludf.DUMMYFUNCTION("""COMPUTED_VALUE"""),"ZONA 2")</f>
        <v>ZONA 2</v>
      </c>
      <c r="K1071" s="4" t="str">
        <f>IFERROR(__xludf.DUMMYFUNCTION("""COMPUTED_VALUE"""),"018R12")</f>
        <v>018R12</v>
      </c>
      <c r="L1071" s="4" t="str">
        <f>IFERROR(__xludf.DUMMYFUNCTION("""COMPUTED_VALUE"""),"TM - 7B/H (Afspan 90 Derajat)")</f>
        <v>TM - 7B/H (Afspan 90 Derajat)</v>
      </c>
      <c r="M1071" s="4" t="str">
        <f>IFERROR(__xludf.DUMMYFUNCTION("""COMPUTED_VALUE"""),"Tidak Ada")</f>
        <v>Tidak Ada</v>
      </c>
      <c r="N1071" s="4"/>
      <c r="O1071" s="4" t="str">
        <f>IFERROR(__xludf.DUMMYFUNCTION("""COMPUTED_VALUE"""),"PEMBANDING SEJENIS")</f>
        <v>PEMBANDING SEJENIS</v>
      </c>
      <c r="P1071" s="4" t="str">
        <f>IFERROR(__xludf.DUMMYFUNCTION("""COMPUTED_VALUE"""),"KONEKTOR/JUMPER")</f>
        <v>KONEKTOR/JUMPER</v>
      </c>
      <c r="Q1071" s="4">
        <f>IFERROR(__xludf.DUMMYFUNCTION("""COMPUTED_VALUE"""),21.0)</f>
        <v>21</v>
      </c>
      <c r="R1071" s="4">
        <f>IFERROR(__xludf.DUMMYFUNCTION("""COMPUTED_VALUE"""),21.0)</f>
        <v>21</v>
      </c>
      <c r="S1071" s="4">
        <f>IFERROR(__xludf.DUMMYFUNCTION("""COMPUTED_VALUE"""),20.0)</f>
        <v>20</v>
      </c>
      <c r="T1071" s="4"/>
      <c r="U1071" s="4" t="str">
        <f>IFERROR(__xludf.DUMMYFUNCTION("""COMPUTED_VALUE"""),"BAIK")</f>
        <v>BAIK</v>
      </c>
      <c r="V1071" s="4" t="str">
        <f>IFERROR(__xludf.DUMMYFUNCTION("""COMPUTED_VALUE"""),"Tidak Ada")</f>
        <v>Tidak Ada</v>
      </c>
      <c r="W1071" s="4"/>
      <c r="X1071" s="4"/>
      <c r="Y1071" s="4"/>
      <c r="Z1071" s="4"/>
      <c r="AA1071" s="4"/>
      <c r="AB1071" s="4"/>
      <c r="AC1071" s="4" t="str">
        <f>IFERROR(__xludf.DUMMYFUNCTION("""COMPUTED_VALUE"""),"INSPEKSI SUTM - T2_Images/6c35f77b.FOTO.184356.jpg")</f>
        <v>INSPEKSI SUTM - T2_Images/6c35f77b.FOTO.184356.jpg</v>
      </c>
      <c r="AD1071" s="4"/>
      <c r="AE1071" s="4"/>
      <c r="AF1071" s="4" t="str">
        <f>IFERROR(__xludf.DUMMYFUNCTION("""COMPUTED_VALUE"""),"BELUM")</f>
        <v>BELUM</v>
      </c>
      <c r="AG1071" s="6">
        <f>IFERROR(__xludf.DUMMYFUNCTION("""COMPUTED_VALUE"""),46134.0)</f>
        <v>46134</v>
      </c>
      <c r="AH1071" s="4"/>
      <c r="AI1071" s="4"/>
    </row>
    <row r="1072" ht="15.75" customHeight="1">
      <c r="A1072" s="4" t="str">
        <f>IFERROR(__xludf.DUMMYFUNCTION("""COMPUTED_VALUE"""),"144f42a6")</f>
        <v>144f42a6</v>
      </c>
      <c r="B1072" s="5">
        <f>IFERROR(__xludf.DUMMYFUNCTION("""COMPUTED_VALUE"""),46134.07230324074)</f>
        <v>46134.0723</v>
      </c>
      <c r="C1072" s="4" t="str">
        <f>IFERROR(__xludf.DUMMYFUNCTION("""COMPUTED_VALUE"""),"-6.899205, 107.645307")</f>
        <v>-6.899205, 107.645307</v>
      </c>
      <c r="D1072" s="4" t="str">
        <f>IFERROR(__xludf.DUMMYFUNCTION("""COMPUTED_VALUE"""),"Nugi firma")</f>
        <v>Nugi firma</v>
      </c>
      <c r="E1072" s="4" t="str">
        <f>IFERROR(__xludf.DUMMYFUNCTION("""COMPUTED_VALUE"""),"BANDUNG")</f>
        <v>BANDUNG</v>
      </c>
      <c r="F1072" s="4" t="str">
        <f>IFERROR(__xludf.DUMMYFUNCTION("""COMPUTED_VALUE"""),"KOPO")</f>
        <v>KOPO</v>
      </c>
      <c r="G1072" s="4" t="str">
        <f>IFERROR(__xludf.DUMMYFUNCTION("""COMPUTED_VALUE"""),"NEW CIBEUREUM")</f>
        <v>NEW CIBEUREUM</v>
      </c>
      <c r="H1072" s="4" t="str">
        <f>IFERROR(__xludf.DUMMYFUNCTION("""COMPUTED_VALUE"""),"WHB")</f>
        <v>WHB</v>
      </c>
      <c r="I1072" s="4" t="str">
        <f>IFERROR(__xludf.DUMMYFUNCTION("""COMPUTED_VALUE"""),"KBLA - LBS EDY")</f>
        <v>KBLA - LBS EDY</v>
      </c>
      <c r="J1072" s="4" t="str">
        <f>IFERROR(__xludf.DUMMYFUNCTION("""COMPUTED_VALUE"""),"ZONA 2")</f>
        <v>ZONA 2</v>
      </c>
      <c r="K1072" s="4" t="str">
        <f>IFERROR(__xludf.DUMMYFUNCTION("""COMPUTED_VALUE"""),"018R16")</f>
        <v>018R16</v>
      </c>
      <c r="L1072" s="4" t="str">
        <f>IFERROR(__xludf.DUMMYFUNCTION("""COMPUTED_VALUE"""),"TM - 8B/H (Percabangan)")</f>
        <v>TM - 8B/H (Percabangan)</v>
      </c>
      <c r="M1072" s="4" t="str">
        <f>IFERROR(__xludf.DUMMYFUNCTION("""COMPUTED_VALUE"""),"Tidak Ada")</f>
        <v>Tidak Ada</v>
      </c>
      <c r="N1072" s="4"/>
      <c r="O1072" s="4" t="str">
        <f>IFERROR(__xludf.DUMMYFUNCTION("""COMPUTED_VALUE"""),"PEMBANDING SEJENIS")</f>
        <v>PEMBANDING SEJENIS</v>
      </c>
      <c r="P1072" s="4" t="str">
        <f>IFERROR(__xludf.DUMMYFUNCTION("""COMPUTED_VALUE"""),"KONEKTOR/JUMPER")</f>
        <v>KONEKTOR/JUMPER</v>
      </c>
      <c r="Q1072" s="4">
        <f>IFERROR(__xludf.DUMMYFUNCTION("""COMPUTED_VALUE"""),19.0)</f>
        <v>19</v>
      </c>
      <c r="R1072" s="4">
        <f>IFERROR(__xludf.DUMMYFUNCTION("""COMPUTED_VALUE"""),20.0)</f>
        <v>20</v>
      </c>
      <c r="S1072" s="4">
        <f>IFERROR(__xludf.DUMMYFUNCTION("""COMPUTED_VALUE"""),20.0)</f>
        <v>20</v>
      </c>
      <c r="T1072" s="4"/>
      <c r="U1072" s="4" t="str">
        <f>IFERROR(__xludf.DUMMYFUNCTION("""COMPUTED_VALUE"""),"BAIK")</f>
        <v>BAIK</v>
      </c>
      <c r="V1072" s="4" t="str">
        <f>IFERROR(__xludf.DUMMYFUNCTION("""COMPUTED_VALUE"""),"Tidak Ada")</f>
        <v>Tidak Ada</v>
      </c>
      <c r="W1072" s="4"/>
      <c r="X1072" s="4"/>
      <c r="Y1072" s="4"/>
      <c r="Z1072" s="4"/>
      <c r="AA1072" s="4"/>
      <c r="AB1072" s="4"/>
      <c r="AC1072" s="4" t="str">
        <f>IFERROR(__xludf.DUMMYFUNCTION("""COMPUTED_VALUE"""),"INSPEKSI SUTM - T2_Images/144f42a6.FOTO.184453.jpg")</f>
        <v>INSPEKSI SUTM - T2_Images/144f42a6.FOTO.184453.jpg</v>
      </c>
      <c r="AD1072" s="4"/>
      <c r="AE1072" s="4"/>
      <c r="AF1072" s="4" t="str">
        <f>IFERROR(__xludf.DUMMYFUNCTION("""COMPUTED_VALUE"""),"BELUM")</f>
        <v>BELUM</v>
      </c>
      <c r="AG1072" s="6">
        <f>IFERROR(__xludf.DUMMYFUNCTION("""COMPUTED_VALUE"""),46134.0)</f>
        <v>46134</v>
      </c>
      <c r="AH1072" s="4"/>
      <c r="AI1072" s="4"/>
    </row>
    <row r="1073" ht="15.75" customHeight="1">
      <c r="A1073" s="4" t="str">
        <f>IFERROR(__xludf.DUMMYFUNCTION("""COMPUTED_VALUE"""),"4e6aecbb")</f>
        <v>4e6aecbb</v>
      </c>
      <c r="B1073" s="5">
        <f>IFERROR(__xludf.DUMMYFUNCTION("""COMPUTED_VALUE"""),46134.07288194444)</f>
        <v>46134.07288</v>
      </c>
      <c r="C1073" s="4" t="str">
        <f>IFERROR(__xludf.DUMMYFUNCTION("""COMPUTED_VALUE"""),"-6.899331, 107.645244")</f>
        <v>-6.899331, 107.645244</v>
      </c>
      <c r="D1073" s="4" t="str">
        <f>IFERROR(__xludf.DUMMYFUNCTION("""COMPUTED_VALUE"""),"Nugi firman")</f>
        <v>Nugi firman</v>
      </c>
      <c r="E1073" s="4" t="str">
        <f>IFERROR(__xludf.DUMMYFUNCTION("""COMPUTED_VALUE"""),"BANDUNG")</f>
        <v>BANDUNG</v>
      </c>
      <c r="F1073" s="4" t="str">
        <f>IFERROR(__xludf.DUMMYFUNCTION("""COMPUTED_VALUE"""),"KOPO")</f>
        <v>KOPO</v>
      </c>
      <c r="G1073" s="4" t="str">
        <f>IFERROR(__xludf.DUMMYFUNCTION("""COMPUTED_VALUE"""),"NEW CIBEUREUM")</f>
        <v>NEW CIBEUREUM</v>
      </c>
      <c r="H1073" s="4" t="str">
        <f>IFERROR(__xludf.DUMMYFUNCTION("""COMPUTED_VALUE"""),"WHB")</f>
        <v>WHB</v>
      </c>
      <c r="I1073" s="4" t="str">
        <f>IFERROR(__xludf.DUMMYFUNCTION("""COMPUTED_VALUE"""),"KBLA - LBS EDY")</f>
        <v>KBLA - LBS EDY</v>
      </c>
      <c r="J1073" s="4" t="str">
        <f>IFERROR(__xludf.DUMMYFUNCTION("""COMPUTED_VALUE"""),"ZONA 2")</f>
        <v>ZONA 2</v>
      </c>
      <c r="K1073" s="4" t="str">
        <f>IFERROR(__xludf.DUMMYFUNCTION("""COMPUTED_VALUE"""),"018R17")</f>
        <v>018R17</v>
      </c>
      <c r="L1073" s="4" t="str">
        <f>IFERROR(__xludf.DUMMYFUNCTION("""COMPUTED_VALUE"""),"TM - 7B/H (Afspan 90 Derajat)")</f>
        <v>TM - 7B/H (Afspan 90 Derajat)</v>
      </c>
      <c r="M1073" s="4" t="str">
        <f>IFERROR(__xludf.DUMMYFUNCTION("""COMPUTED_VALUE"""),"Tidak Ada")</f>
        <v>Tidak Ada</v>
      </c>
      <c r="N1073" s="4"/>
      <c r="O1073" s="4" t="str">
        <f>IFERROR(__xludf.DUMMYFUNCTION("""COMPUTED_VALUE"""),"PEMBANDING SEJENIS")</f>
        <v>PEMBANDING SEJENIS</v>
      </c>
      <c r="P1073" s="4" t="str">
        <f>IFERROR(__xludf.DUMMYFUNCTION("""COMPUTED_VALUE"""),"KONEKTOR/JUMPER")</f>
        <v>KONEKTOR/JUMPER</v>
      </c>
      <c r="Q1073" s="4">
        <f>IFERROR(__xludf.DUMMYFUNCTION("""COMPUTED_VALUE"""),19.0)</f>
        <v>19</v>
      </c>
      <c r="R1073" s="4">
        <f>IFERROR(__xludf.DUMMYFUNCTION("""COMPUTED_VALUE"""),20.0)</f>
        <v>20</v>
      </c>
      <c r="S1073" s="4">
        <f>IFERROR(__xludf.DUMMYFUNCTION("""COMPUTED_VALUE"""),21.0)</f>
        <v>21</v>
      </c>
      <c r="T1073" s="4"/>
      <c r="U1073" s="4" t="str">
        <f>IFERROR(__xludf.DUMMYFUNCTION("""COMPUTED_VALUE"""),"BAIK")</f>
        <v>BAIK</v>
      </c>
      <c r="V1073" s="4" t="str">
        <f>IFERROR(__xludf.DUMMYFUNCTION("""COMPUTED_VALUE"""),"Tidak Ada")</f>
        <v>Tidak Ada</v>
      </c>
      <c r="W1073" s="4"/>
      <c r="X1073" s="4"/>
      <c r="Y1073" s="4"/>
      <c r="Z1073" s="4"/>
      <c r="AA1073" s="4"/>
      <c r="AB1073" s="4"/>
      <c r="AC1073" s="4" t="str">
        <f>IFERROR(__xludf.DUMMYFUNCTION("""COMPUTED_VALUE"""),"INSPEKSI SUTM - T2_Images/4e6aecbb.FOTO.184545.jpg")</f>
        <v>INSPEKSI SUTM - T2_Images/4e6aecbb.FOTO.184545.jpg</v>
      </c>
      <c r="AD1073" s="4"/>
      <c r="AE1073" s="4"/>
      <c r="AF1073" s="4" t="str">
        <f>IFERROR(__xludf.DUMMYFUNCTION("""COMPUTED_VALUE"""),"BELUM")</f>
        <v>BELUM</v>
      </c>
      <c r="AG1073" s="6">
        <f>IFERROR(__xludf.DUMMYFUNCTION("""COMPUTED_VALUE"""),46134.0)</f>
        <v>46134</v>
      </c>
      <c r="AH1073" s="4"/>
      <c r="AI1073" s="4"/>
    </row>
    <row r="1074" ht="15.75" customHeight="1">
      <c r="A1074" s="4" t="str">
        <f>IFERROR(__xludf.DUMMYFUNCTION("""COMPUTED_VALUE"""),"be082bf1")</f>
        <v>be082bf1</v>
      </c>
      <c r="B1074" s="5">
        <f>IFERROR(__xludf.DUMMYFUNCTION("""COMPUTED_VALUE"""),46134.073483796295)</f>
        <v>46134.07348</v>
      </c>
      <c r="C1074" s="4" t="str">
        <f>IFERROR(__xludf.DUMMYFUNCTION("""COMPUTED_VALUE"""),"-6.899259, 107.645351")</f>
        <v>-6.899259, 107.645351</v>
      </c>
      <c r="D1074" s="4" t="str">
        <f>IFERROR(__xludf.DUMMYFUNCTION("""COMPUTED_VALUE"""),"Nugi firman")</f>
        <v>Nugi firman</v>
      </c>
      <c r="E1074" s="4" t="str">
        <f>IFERROR(__xludf.DUMMYFUNCTION("""COMPUTED_VALUE"""),"BANDUNG")</f>
        <v>BANDUNG</v>
      </c>
      <c r="F1074" s="4" t="str">
        <f>IFERROR(__xludf.DUMMYFUNCTION("""COMPUTED_VALUE"""),"KOPO")</f>
        <v>KOPO</v>
      </c>
      <c r="G1074" s="4" t="str">
        <f>IFERROR(__xludf.DUMMYFUNCTION("""COMPUTED_VALUE"""),"NEW CIBEUREUM")</f>
        <v>NEW CIBEUREUM</v>
      </c>
      <c r="H1074" s="4" t="str">
        <f>IFERROR(__xludf.DUMMYFUNCTION("""COMPUTED_VALUE"""),"WHB")</f>
        <v>WHB</v>
      </c>
      <c r="I1074" s="4" t="str">
        <f>IFERROR(__xludf.DUMMYFUNCTION("""COMPUTED_VALUE"""),"KBLA - LBS EDY")</f>
        <v>KBLA - LBS EDY</v>
      </c>
      <c r="J1074" s="4" t="str">
        <f>IFERROR(__xludf.DUMMYFUNCTION("""COMPUTED_VALUE"""),"ZONA 2")</f>
        <v>ZONA 2</v>
      </c>
      <c r="K1074" s="4" t="str">
        <f>IFERROR(__xludf.DUMMYFUNCTION("""COMPUTED_VALUE"""),"018R19")</f>
        <v>018R19</v>
      </c>
      <c r="L1074" s="4" t="str">
        <f>IFERROR(__xludf.DUMMYFUNCTION("""COMPUTED_VALUE"""),"TM - 7B/H (Afspan 90 Derajat)")</f>
        <v>TM - 7B/H (Afspan 90 Derajat)</v>
      </c>
      <c r="M1074" s="4" t="str">
        <f>IFERROR(__xludf.DUMMYFUNCTION("""COMPUTED_VALUE"""),"Tidak Ada")</f>
        <v>Tidak Ada</v>
      </c>
      <c r="N1074" s="4"/>
      <c r="O1074" s="4" t="str">
        <f>IFERROR(__xludf.DUMMYFUNCTION("""COMPUTED_VALUE"""),"PEMBANDING SEJENIS")</f>
        <v>PEMBANDING SEJENIS</v>
      </c>
      <c r="P1074" s="4" t="str">
        <f>IFERROR(__xludf.DUMMYFUNCTION("""COMPUTED_VALUE"""),"KONEKTOR/JUMPER")</f>
        <v>KONEKTOR/JUMPER</v>
      </c>
      <c r="Q1074" s="4">
        <f>IFERROR(__xludf.DUMMYFUNCTION("""COMPUTED_VALUE"""),21.0)</f>
        <v>21</v>
      </c>
      <c r="R1074" s="4">
        <f>IFERROR(__xludf.DUMMYFUNCTION("""COMPUTED_VALUE"""),22.0)</f>
        <v>22</v>
      </c>
      <c r="S1074" s="4">
        <f>IFERROR(__xludf.DUMMYFUNCTION("""COMPUTED_VALUE"""),19.0)</f>
        <v>19</v>
      </c>
      <c r="T1074" s="4"/>
      <c r="U1074" s="4" t="str">
        <f>IFERROR(__xludf.DUMMYFUNCTION("""COMPUTED_VALUE"""),"CUKUP")</f>
        <v>CUKUP</v>
      </c>
      <c r="V1074" s="4" t="str">
        <f>IFERROR(__xludf.DUMMYFUNCTION("""COMPUTED_VALUE"""),"Tidak Ada")</f>
        <v>Tidak Ada</v>
      </c>
      <c r="W1074" s="4"/>
      <c r="X1074" s="4"/>
      <c r="Y1074" s="4"/>
      <c r="Z1074" s="4"/>
      <c r="AA1074" s="4"/>
      <c r="AB1074" s="4"/>
      <c r="AC1074" s="4" t="str">
        <f>IFERROR(__xludf.DUMMYFUNCTION("""COMPUTED_VALUE"""),"INSPEKSI SUTM - T2_Images/be082bf1.FOTO.184628.jpg")</f>
        <v>INSPEKSI SUTM - T2_Images/be082bf1.FOTO.184628.jpg</v>
      </c>
      <c r="AD1074" s="4"/>
      <c r="AE1074" s="4"/>
      <c r="AF1074" s="4" t="str">
        <f>IFERROR(__xludf.DUMMYFUNCTION("""COMPUTED_VALUE"""),"BELUM")</f>
        <v>BELUM</v>
      </c>
      <c r="AG1074" s="6">
        <f>IFERROR(__xludf.DUMMYFUNCTION("""COMPUTED_VALUE"""),46134.0)</f>
        <v>46134</v>
      </c>
      <c r="AH1074" s="4"/>
      <c r="AI1074" s="4"/>
    </row>
    <row r="1075" ht="15.75" customHeight="1">
      <c r="A1075" s="4" t="str">
        <f>IFERROR(__xludf.DUMMYFUNCTION("""COMPUTED_VALUE"""),"ea2ebf40")</f>
        <v>ea2ebf40</v>
      </c>
      <c r="B1075" s="5">
        <f>IFERROR(__xludf.DUMMYFUNCTION("""COMPUTED_VALUE"""),46134.07398148148)</f>
        <v>46134.07398</v>
      </c>
      <c r="C1075" s="4" t="str">
        <f>IFERROR(__xludf.DUMMYFUNCTION("""COMPUTED_VALUE"""),"-6.899178, 107.645342")</f>
        <v>-6.899178, 107.645342</v>
      </c>
      <c r="D1075" s="4" t="str">
        <f>IFERROR(__xludf.DUMMYFUNCTION("""COMPUTED_VALUE"""),"Nugi firman")</f>
        <v>Nugi firman</v>
      </c>
      <c r="E1075" s="4" t="str">
        <f>IFERROR(__xludf.DUMMYFUNCTION("""COMPUTED_VALUE"""),"BANDUNG")</f>
        <v>BANDUNG</v>
      </c>
      <c r="F1075" s="4" t="str">
        <f>IFERROR(__xludf.DUMMYFUNCTION("""COMPUTED_VALUE"""),"KOPO")</f>
        <v>KOPO</v>
      </c>
      <c r="G1075" s="4" t="str">
        <f>IFERROR(__xludf.DUMMYFUNCTION("""COMPUTED_VALUE"""),"NEW CIBEUREUM")</f>
        <v>NEW CIBEUREUM</v>
      </c>
      <c r="H1075" s="4" t="str">
        <f>IFERROR(__xludf.DUMMYFUNCTION("""COMPUTED_VALUE"""),"WHB")</f>
        <v>WHB</v>
      </c>
      <c r="I1075" s="4" t="str">
        <f>IFERROR(__xludf.DUMMYFUNCTION("""COMPUTED_VALUE"""),"KBLA - LBS EDY")</f>
        <v>KBLA - LBS EDY</v>
      </c>
      <c r="J1075" s="4" t="str">
        <f>IFERROR(__xludf.DUMMYFUNCTION("""COMPUTED_VALUE"""),"ZONA 2")</f>
        <v>ZONA 2</v>
      </c>
      <c r="K1075" s="4" t="str">
        <f>IFERROR(__xludf.DUMMYFUNCTION("""COMPUTED_VALUE"""),"018R20")</f>
        <v>018R20</v>
      </c>
      <c r="L1075" s="4" t="str">
        <f>IFERROR(__xludf.DUMMYFUNCTION("""COMPUTED_VALUE"""),"TM - 4B/H (Afspan)")</f>
        <v>TM - 4B/H (Afspan)</v>
      </c>
      <c r="M1075" s="4" t="str">
        <f>IFERROR(__xludf.DUMMYFUNCTION("""COMPUTED_VALUE"""),"Tidak Ada")</f>
        <v>Tidak Ada</v>
      </c>
      <c r="N1075" s="4"/>
      <c r="O1075" s="4" t="str">
        <f>IFERROR(__xludf.DUMMYFUNCTION("""COMPUTED_VALUE"""),"PEMBANDING SEJENIS")</f>
        <v>PEMBANDING SEJENIS</v>
      </c>
      <c r="P1075" s="4" t="str">
        <f>IFERROR(__xludf.DUMMYFUNCTION("""COMPUTED_VALUE"""),"KONEKTOR/JUMPER")</f>
        <v>KONEKTOR/JUMPER</v>
      </c>
      <c r="Q1075" s="4">
        <f>IFERROR(__xludf.DUMMYFUNCTION("""COMPUTED_VALUE"""),21.0)</f>
        <v>21</v>
      </c>
      <c r="R1075" s="4">
        <f>IFERROR(__xludf.DUMMYFUNCTION("""COMPUTED_VALUE"""),21.0)</f>
        <v>21</v>
      </c>
      <c r="S1075" s="4">
        <f>IFERROR(__xludf.DUMMYFUNCTION("""COMPUTED_VALUE"""),20.0)</f>
        <v>20</v>
      </c>
      <c r="T1075" s="4"/>
      <c r="U1075" s="4" t="str">
        <f>IFERROR(__xludf.DUMMYFUNCTION("""COMPUTED_VALUE"""),"BAIK")</f>
        <v>BAIK</v>
      </c>
      <c r="V1075" s="4" t="str">
        <f>IFERROR(__xludf.DUMMYFUNCTION("""COMPUTED_VALUE"""),"Tidak Ada")</f>
        <v>Tidak Ada</v>
      </c>
      <c r="W1075" s="4"/>
      <c r="X1075" s="4"/>
      <c r="Y1075" s="4"/>
      <c r="Z1075" s="4"/>
      <c r="AA1075" s="4"/>
      <c r="AB1075" s="4"/>
      <c r="AC1075" s="4" t="str">
        <f>IFERROR(__xludf.DUMMYFUNCTION("""COMPUTED_VALUE"""),"INSPEKSI SUTM - T2_Images/ea2ebf40.FOTO.184712.jpg")</f>
        <v>INSPEKSI SUTM - T2_Images/ea2ebf40.FOTO.184712.jpg</v>
      </c>
      <c r="AD1075" s="4"/>
      <c r="AE1075" s="4"/>
      <c r="AF1075" s="4" t="str">
        <f>IFERROR(__xludf.DUMMYFUNCTION("""COMPUTED_VALUE"""),"BELUM")</f>
        <v>BELUM</v>
      </c>
      <c r="AG1075" s="6">
        <f>IFERROR(__xludf.DUMMYFUNCTION("""COMPUTED_VALUE"""),46134.0)</f>
        <v>46134</v>
      </c>
      <c r="AH1075" s="4"/>
      <c r="AI1075" s="4"/>
    </row>
    <row r="1076" ht="15.75" customHeight="1">
      <c r="A1076" s="4" t="str">
        <f>IFERROR(__xludf.DUMMYFUNCTION("""COMPUTED_VALUE"""),"db607c7f")</f>
        <v>db607c7f</v>
      </c>
      <c r="B1076" s="5">
        <f>IFERROR(__xludf.DUMMYFUNCTION("""COMPUTED_VALUE"""),46134.074479166666)</f>
        <v>46134.07448</v>
      </c>
      <c r="C1076" s="4" t="str">
        <f>IFERROR(__xludf.DUMMYFUNCTION("""COMPUTED_VALUE"""),"-6.899241, 107.645292")</f>
        <v>-6.899241, 107.645292</v>
      </c>
      <c r="D1076" s="4" t="str">
        <f>IFERROR(__xludf.DUMMYFUNCTION("""COMPUTED_VALUE"""),"Nugi firman")</f>
        <v>Nugi firman</v>
      </c>
      <c r="E1076" s="4" t="str">
        <f>IFERROR(__xludf.DUMMYFUNCTION("""COMPUTED_VALUE"""),"BANDUNG")</f>
        <v>BANDUNG</v>
      </c>
      <c r="F1076" s="4" t="str">
        <f>IFERROR(__xludf.DUMMYFUNCTION("""COMPUTED_VALUE"""),"KOPO")</f>
        <v>KOPO</v>
      </c>
      <c r="G1076" s="4" t="str">
        <f>IFERROR(__xludf.DUMMYFUNCTION("""COMPUTED_VALUE"""),"NEW CIBEUREUM")</f>
        <v>NEW CIBEUREUM</v>
      </c>
      <c r="H1076" s="4" t="str">
        <f>IFERROR(__xludf.DUMMYFUNCTION("""COMPUTED_VALUE"""),"WHB")</f>
        <v>WHB</v>
      </c>
      <c r="I1076" s="4" t="str">
        <f>IFERROR(__xludf.DUMMYFUNCTION("""COMPUTED_VALUE"""),"KBLA - LBS EDY")</f>
        <v>KBLA - LBS EDY</v>
      </c>
      <c r="J1076" s="4" t="str">
        <f>IFERROR(__xludf.DUMMYFUNCTION("""COMPUTED_VALUE"""),"ZONA 2")</f>
        <v>ZONA 2</v>
      </c>
      <c r="K1076" s="4" t="str">
        <f>IFERROR(__xludf.DUMMYFUNCTION("""COMPUTED_VALUE"""),"018R22")</f>
        <v>018R22</v>
      </c>
      <c r="L1076" s="4" t="str">
        <f>IFERROR(__xludf.DUMMYFUNCTION("""COMPUTED_VALUE"""),"TM - 13B/H (Kabel Naik Pada Tiang Tumpu)")</f>
        <v>TM - 13B/H (Kabel Naik Pada Tiang Tumpu)</v>
      </c>
      <c r="M1076" s="4" t="str">
        <f>IFERROR(__xludf.DUMMYFUNCTION("""COMPUTED_VALUE"""),"Tidak Ada")</f>
        <v>Tidak Ada</v>
      </c>
      <c r="N1076" s="4"/>
      <c r="O1076" s="4" t="str">
        <f>IFERROR(__xludf.DUMMYFUNCTION("""COMPUTED_VALUE"""),"PEMBANDING SEJENIS")</f>
        <v>PEMBANDING SEJENIS</v>
      </c>
      <c r="P1076" s="4" t="str">
        <f>IFERROR(__xludf.DUMMYFUNCTION("""COMPUTED_VALUE"""),"TERMINASI")</f>
        <v>TERMINASI</v>
      </c>
      <c r="Q1076" s="4">
        <f>IFERROR(__xludf.DUMMYFUNCTION("""COMPUTED_VALUE"""),23.0)</f>
        <v>23</v>
      </c>
      <c r="R1076" s="4">
        <f>IFERROR(__xludf.DUMMYFUNCTION("""COMPUTED_VALUE"""),23.0)</f>
        <v>23</v>
      </c>
      <c r="S1076" s="4">
        <f>IFERROR(__xludf.DUMMYFUNCTION("""COMPUTED_VALUE"""),23.0)</f>
        <v>23</v>
      </c>
      <c r="T1076" s="4"/>
      <c r="U1076" s="4" t="str">
        <f>IFERROR(__xludf.DUMMYFUNCTION("""COMPUTED_VALUE"""),"BAIK")</f>
        <v>BAIK</v>
      </c>
      <c r="V1076" s="4" t="str">
        <f>IFERROR(__xludf.DUMMYFUNCTION("""COMPUTED_VALUE"""),"Tidak Ada")</f>
        <v>Tidak Ada</v>
      </c>
      <c r="W1076" s="4"/>
      <c r="X1076" s="4"/>
      <c r="Y1076" s="4"/>
      <c r="Z1076" s="4"/>
      <c r="AA1076" s="4"/>
      <c r="AB1076" s="4"/>
      <c r="AC1076" s="4" t="str">
        <f>IFERROR(__xludf.DUMMYFUNCTION("""COMPUTED_VALUE"""),"INSPEKSI SUTM - T2_Images/db607c7f.FOTO.184807.jpg")</f>
        <v>INSPEKSI SUTM - T2_Images/db607c7f.FOTO.184807.jpg</v>
      </c>
      <c r="AD1076" s="4"/>
      <c r="AE1076" s="4"/>
      <c r="AF1076" s="4" t="str">
        <f>IFERROR(__xludf.DUMMYFUNCTION("""COMPUTED_VALUE"""),"BELUM")</f>
        <v>BELUM</v>
      </c>
      <c r="AG1076" s="6">
        <f>IFERROR(__xludf.DUMMYFUNCTION("""COMPUTED_VALUE"""),46134.0)</f>
        <v>46134</v>
      </c>
      <c r="AH1076" s="4"/>
      <c r="AI1076" s="4"/>
    </row>
    <row r="1077" ht="15.75" customHeight="1">
      <c r="A1077" s="4" t="str">
        <f>IFERROR(__xludf.DUMMYFUNCTION("""COMPUTED_VALUE"""),"a018b1eb")</f>
        <v>a018b1eb</v>
      </c>
      <c r="B1077" s="5">
        <f>IFERROR(__xludf.DUMMYFUNCTION("""COMPUTED_VALUE"""),46134.075104166666)</f>
        <v>46134.0751</v>
      </c>
      <c r="C1077" s="4" t="str">
        <f>IFERROR(__xludf.DUMMYFUNCTION("""COMPUTED_VALUE"""),"-6.899182, 107.645333")</f>
        <v>-6.899182, 107.645333</v>
      </c>
      <c r="D1077" s="4" t="str">
        <f>IFERROR(__xludf.DUMMYFUNCTION("""COMPUTED_VALUE"""),"Nugi firman")</f>
        <v>Nugi firman</v>
      </c>
      <c r="E1077" s="4" t="str">
        <f>IFERROR(__xludf.DUMMYFUNCTION("""COMPUTED_VALUE"""),"BANDUNG")</f>
        <v>BANDUNG</v>
      </c>
      <c r="F1077" s="4" t="str">
        <f>IFERROR(__xludf.DUMMYFUNCTION("""COMPUTED_VALUE"""),"KOPO")</f>
        <v>KOPO</v>
      </c>
      <c r="G1077" s="4" t="str">
        <f>IFERROR(__xludf.DUMMYFUNCTION("""COMPUTED_VALUE"""),"NEW CIBEUREUM")</f>
        <v>NEW CIBEUREUM</v>
      </c>
      <c r="H1077" s="4" t="str">
        <f>IFERROR(__xludf.DUMMYFUNCTION("""COMPUTED_VALUE"""),"WHB")</f>
        <v>WHB</v>
      </c>
      <c r="I1077" s="4" t="str">
        <f>IFERROR(__xludf.DUMMYFUNCTION("""COMPUTED_VALUE"""),"KBLA - LBS EDY")</f>
        <v>KBLA - LBS EDY</v>
      </c>
      <c r="J1077" s="4" t="str">
        <f>IFERROR(__xludf.DUMMYFUNCTION("""COMPUTED_VALUE"""),"ZONA 2")</f>
        <v>ZONA 2</v>
      </c>
      <c r="K1077" s="4" t="str">
        <f>IFERROR(__xludf.DUMMYFUNCTION("""COMPUTED_VALUE"""),"018R23")</f>
        <v>018R23</v>
      </c>
      <c r="L1077" s="4" t="str">
        <f>IFERROR(__xludf.DUMMYFUNCTION("""COMPUTED_VALUE"""),"TM - 7B/H (Afspan 90 Derajat)")</f>
        <v>TM - 7B/H (Afspan 90 Derajat)</v>
      </c>
      <c r="M1077" s="4" t="str">
        <f>IFERROR(__xludf.DUMMYFUNCTION("""COMPUTED_VALUE"""),"Tidak Ada")</f>
        <v>Tidak Ada</v>
      </c>
      <c r="N1077" s="4"/>
      <c r="O1077" s="4" t="str">
        <f>IFERROR(__xludf.DUMMYFUNCTION("""COMPUTED_VALUE"""),"PEMBANDING SEJENIS")</f>
        <v>PEMBANDING SEJENIS</v>
      </c>
      <c r="P1077" s="4" t="str">
        <f>IFERROR(__xludf.DUMMYFUNCTION("""COMPUTED_VALUE"""),"KONEKTOR/JUMPER")</f>
        <v>KONEKTOR/JUMPER</v>
      </c>
      <c r="Q1077" s="4">
        <f>IFERROR(__xludf.DUMMYFUNCTION("""COMPUTED_VALUE"""),20.0)</f>
        <v>20</v>
      </c>
      <c r="R1077" s="4">
        <f>IFERROR(__xludf.DUMMYFUNCTION("""COMPUTED_VALUE"""),20.0)</f>
        <v>20</v>
      </c>
      <c r="S1077" s="4">
        <f>IFERROR(__xludf.DUMMYFUNCTION("""COMPUTED_VALUE"""),20.0)</f>
        <v>20</v>
      </c>
      <c r="T1077" s="4"/>
      <c r="U1077" s="4" t="str">
        <f>IFERROR(__xludf.DUMMYFUNCTION("""COMPUTED_VALUE"""),"BAIK")</f>
        <v>BAIK</v>
      </c>
      <c r="V1077" s="4" t="str">
        <f>IFERROR(__xludf.DUMMYFUNCTION("""COMPUTED_VALUE"""),"Tidak Ada")</f>
        <v>Tidak Ada</v>
      </c>
      <c r="W1077" s="4"/>
      <c r="X1077" s="4"/>
      <c r="Y1077" s="4"/>
      <c r="Z1077" s="4"/>
      <c r="AA1077" s="4"/>
      <c r="AB1077" s="4"/>
      <c r="AC1077" s="4" t="str">
        <f>IFERROR(__xludf.DUMMYFUNCTION("""COMPUTED_VALUE"""),"INSPEKSI SUTM - T2_Images/a018b1eb.FOTO.184849.jpg")</f>
        <v>INSPEKSI SUTM - T2_Images/a018b1eb.FOTO.184849.jpg</v>
      </c>
      <c r="AD1077" s="4"/>
      <c r="AE1077" s="4"/>
      <c r="AF1077" s="4" t="str">
        <f>IFERROR(__xludf.DUMMYFUNCTION("""COMPUTED_VALUE"""),"BELUM")</f>
        <v>BELUM</v>
      </c>
      <c r="AG1077" s="6">
        <f>IFERROR(__xludf.DUMMYFUNCTION("""COMPUTED_VALUE"""),46134.0)</f>
        <v>46134</v>
      </c>
      <c r="AH1077" s="4"/>
      <c r="AI1077" s="4"/>
    </row>
    <row r="1078" ht="15.75" customHeight="1">
      <c r="A1078" s="4" t="str">
        <f>IFERROR(__xludf.DUMMYFUNCTION("""COMPUTED_VALUE"""),"a223bf75")</f>
        <v>a223bf75</v>
      </c>
      <c r="B1078" s="5">
        <f>IFERROR(__xludf.DUMMYFUNCTION("""COMPUTED_VALUE"""),46134.07640046296)</f>
        <v>46134.0764</v>
      </c>
      <c r="C1078" s="4" t="str">
        <f>IFERROR(__xludf.DUMMYFUNCTION("""COMPUTED_VALUE"""),"-6.899234, 107.645361")</f>
        <v>-6.899234, 107.645361</v>
      </c>
      <c r="D1078" s="4" t="str">
        <f>IFERROR(__xludf.DUMMYFUNCTION("""COMPUTED_VALUE"""),"Nugi firman")</f>
        <v>Nugi firman</v>
      </c>
      <c r="E1078" s="4" t="str">
        <f>IFERROR(__xludf.DUMMYFUNCTION("""COMPUTED_VALUE"""),"BANDUNG")</f>
        <v>BANDUNG</v>
      </c>
      <c r="F1078" s="4" t="str">
        <f>IFERROR(__xludf.DUMMYFUNCTION("""COMPUTED_VALUE"""),"KOPO")</f>
        <v>KOPO</v>
      </c>
      <c r="G1078" s="4" t="str">
        <f>IFERROR(__xludf.DUMMYFUNCTION("""COMPUTED_VALUE"""),"CIGERELENG")</f>
        <v>CIGERELENG</v>
      </c>
      <c r="H1078" s="4" t="str">
        <f>IFERROR(__xludf.DUMMYFUNCTION("""COMPUTED_VALUE"""),"CKK")</f>
        <v>CKK</v>
      </c>
      <c r="I1078" s="4" t="str">
        <f>IFERROR(__xludf.DUMMYFUNCTION("""COMPUTED_VALUE"""),"CRRC - UJUNG")</f>
        <v>CRRC - UJUNG</v>
      </c>
      <c r="J1078" s="4" t="str">
        <f>IFERROR(__xludf.DUMMYFUNCTION("""COMPUTED_VALUE"""),"ZONA 2")</f>
        <v>ZONA 2</v>
      </c>
      <c r="K1078" s="4" t="str">
        <f>IFERROR(__xludf.DUMMYFUNCTION("""COMPUTED_VALUE"""),"001")</f>
        <v>001</v>
      </c>
      <c r="L1078" s="4" t="str">
        <f>IFERROR(__xludf.DUMMYFUNCTION("""COMPUTED_VALUE"""),"TM - 11B/H (Kabel Naik)")</f>
        <v>TM - 11B/H (Kabel Naik)</v>
      </c>
      <c r="M1078" s="4" t="str">
        <f>IFERROR(__xludf.DUMMYFUNCTION("""COMPUTED_VALUE"""),"Tidak Ada")</f>
        <v>Tidak Ada</v>
      </c>
      <c r="N1078" s="4"/>
      <c r="O1078" s="4" t="str">
        <f>IFERROR(__xludf.DUMMYFUNCTION("""COMPUTED_VALUE"""),"PEMBANDING SEJENIS")</f>
        <v>PEMBANDING SEJENIS</v>
      </c>
      <c r="P1078" s="4" t="str">
        <f>IFERROR(__xludf.DUMMYFUNCTION("""COMPUTED_VALUE"""),"TERMINASI")</f>
        <v>TERMINASI</v>
      </c>
      <c r="Q1078" s="4">
        <f>IFERROR(__xludf.DUMMYFUNCTION("""COMPUTED_VALUE"""),22.0)</f>
        <v>22</v>
      </c>
      <c r="R1078" s="4">
        <f>IFERROR(__xludf.DUMMYFUNCTION("""COMPUTED_VALUE"""),22.0)</f>
        <v>22</v>
      </c>
      <c r="S1078" s="4">
        <f>IFERROR(__xludf.DUMMYFUNCTION("""COMPUTED_VALUE"""),22.0)</f>
        <v>22</v>
      </c>
      <c r="T1078" s="4"/>
      <c r="U1078" s="4" t="str">
        <f>IFERROR(__xludf.DUMMYFUNCTION("""COMPUTED_VALUE"""),"BAIK")</f>
        <v>BAIK</v>
      </c>
      <c r="V1078" s="4" t="str">
        <f>IFERROR(__xludf.DUMMYFUNCTION("""COMPUTED_VALUE"""),"Tidak Ada")</f>
        <v>Tidak Ada</v>
      </c>
      <c r="W1078" s="4"/>
      <c r="X1078" s="4"/>
      <c r="Y1078" s="4"/>
      <c r="Z1078" s="4"/>
      <c r="AA1078" s="4"/>
      <c r="AB1078" s="4"/>
      <c r="AC1078" s="4" t="str">
        <f>IFERROR(__xludf.DUMMYFUNCTION("""COMPUTED_VALUE"""),"INSPEKSI SUTM - T2_Images/a223bf75.FOTO.185053.jpg")</f>
        <v>INSPEKSI SUTM - T2_Images/a223bf75.FOTO.185053.jpg</v>
      </c>
      <c r="AD1078" s="4"/>
      <c r="AE1078" s="4"/>
      <c r="AF1078" s="4" t="str">
        <f>IFERROR(__xludf.DUMMYFUNCTION("""COMPUTED_VALUE"""),"BELUM")</f>
        <v>BELUM</v>
      </c>
      <c r="AG1078" s="6">
        <f>IFERROR(__xludf.DUMMYFUNCTION("""COMPUTED_VALUE"""),46134.0)</f>
        <v>46134</v>
      </c>
      <c r="AH1078" s="4"/>
      <c r="AI1078" s="4"/>
    </row>
    <row r="1079" ht="15.75" customHeight="1">
      <c r="A1079" s="4" t="str">
        <f>IFERROR(__xludf.DUMMYFUNCTION("""COMPUTED_VALUE"""),"25de408f")</f>
        <v>25de408f</v>
      </c>
      <c r="B1079" s="5">
        <f>IFERROR(__xludf.DUMMYFUNCTION("""COMPUTED_VALUE"""),46134.07702546296)</f>
        <v>46134.07703</v>
      </c>
      <c r="C1079" s="4" t="str">
        <f>IFERROR(__xludf.DUMMYFUNCTION("""COMPUTED_VALUE"""),"-6.899277, 107.645320")</f>
        <v>-6.899277, 107.645320</v>
      </c>
      <c r="D1079" s="4" t="str">
        <f>IFERROR(__xludf.DUMMYFUNCTION("""COMPUTED_VALUE"""),"Nugi firman")</f>
        <v>Nugi firman</v>
      </c>
      <c r="E1079" s="4" t="str">
        <f>IFERROR(__xludf.DUMMYFUNCTION("""COMPUTED_VALUE"""),"BANDUNG")</f>
        <v>BANDUNG</v>
      </c>
      <c r="F1079" s="4" t="str">
        <f>IFERROR(__xludf.DUMMYFUNCTION("""COMPUTED_VALUE"""),"KOPO")</f>
        <v>KOPO</v>
      </c>
      <c r="G1079" s="4" t="str">
        <f>IFERROR(__xludf.DUMMYFUNCTION("""COMPUTED_VALUE"""),"CIGERELENG")</f>
        <v>CIGERELENG</v>
      </c>
      <c r="H1079" s="4" t="str">
        <f>IFERROR(__xludf.DUMMYFUNCTION("""COMPUTED_VALUE"""),"CKK")</f>
        <v>CKK</v>
      </c>
      <c r="I1079" s="4" t="str">
        <f>IFERROR(__xludf.DUMMYFUNCTION("""COMPUTED_VALUE"""),"CRRC - UJUNG")</f>
        <v>CRRC - UJUNG</v>
      </c>
      <c r="J1079" s="4" t="str">
        <f>IFERROR(__xludf.DUMMYFUNCTION("""COMPUTED_VALUE"""),"ZONA 2")</f>
        <v>ZONA 2</v>
      </c>
      <c r="K1079" s="4" t="str">
        <f>IFERROR(__xludf.DUMMYFUNCTION("""COMPUTED_VALUE"""),"004")</f>
        <v>004</v>
      </c>
      <c r="L1079" s="4" t="str">
        <f>IFERROR(__xludf.DUMMYFUNCTION("""COMPUTED_VALUE"""),"TM - 7B/H (Afspan 90 Derajat)")</f>
        <v>TM - 7B/H (Afspan 90 Derajat)</v>
      </c>
      <c r="M1079" s="4" t="str">
        <f>IFERROR(__xludf.DUMMYFUNCTION("""COMPUTED_VALUE"""),"Tidak Ada")</f>
        <v>Tidak Ada</v>
      </c>
      <c r="N1079" s="4"/>
      <c r="O1079" s="4" t="str">
        <f>IFERROR(__xludf.DUMMYFUNCTION("""COMPUTED_VALUE"""),"PEMBANDING SEJENIS")</f>
        <v>PEMBANDING SEJENIS</v>
      </c>
      <c r="P1079" s="4" t="str">
        <f>IFERROR(__xludf.DUMMYFUNCTION("""COMPUTED_VALUE"""),"KONEKTOR/JUMPER")</f>
        <v>KONEKTOR/JUMPER</v>
      </c>
      <c r="Q1079" s="4">
        <f>IFERROR(__xludf.DUMMYFUNCTION("""COMPUTED_VALUE"""),20.0)</f>
        <v>20</v>
      </c>
      <c r="R1079" s="4">
        <f>IFERROR(__xludf.DUMMYFUNCTION("""COMPUTED_VALUE"""),20.0)</f>
        <v>20</v>
      </c>
      <c r="S1079" s="4">
        <f>IFERROR(__xludf.DUMMYFUNCTION("""COMPUTED_VALUE"""),20.0)</f>
        <v>20</v>
      </c>
      <c r="T1079" s="4"/>
      <c r="U1079" s="4" t="str">
        <f>IFERROR(__xludf.DUMMYFUNCTION("""COMPUTED_VALUE"""),"BAIK")</f>
        <v>BAIK</v>
      </c>
      <c r="V1079" s="4" t="str">
        <f>IFERROR(__xludf.DUMMYFUNCTION("""COMPUTED_VALUE"""),"Tidak Ada")</f>
        <v>Tidak Ada</v>
      </c>
      <c r="W1079" s="4"/>
      <c r="X1079" s="4"/>
      <c r="Y1079" s="4"/>
      <c r="Z1079" s="4"/>
      <c r="AA1079" s="4"/>
      <c r="AB1079" s="4"/>
      <c r="AC1079" s="4" t="str">
        <f>IFERROR(__xludf.DUMMYFUNCTION("""COMPUTED_VALUE"""),"INSPEKSI SUTM - T2_Images/25de408f.FOTO.185145.jpg")</f>
        <v>INSPEKSI SUTM - T2_Images/25de408f.FOTO.185145.jpg</v>
      </c>
      <c r="AD1079" s="4"/>
      <c r="AE1079" s="4"/>
      <c r="AF1079" s="4" t="str">
        <f>IFERROR(__xludf.DUMMYFUNCTION("""COMPUTED_VALUE"""),"BELUM")</f>
        <v>BELUM</v>
      </c>
      <c r="AG1079" s="6">
        <f>IFERROR(__xludf.DUMMYFUNCTION("""COMPUTED_VALUE"""),46134.0)</f>
        <v>46134</v>
      </c>
      <c r="AH1079" s="4"/>
      <c r="AI1079" s="4"/>
    </row>
    <row r="1080" ht="15.75" customHeight="1">
      <c r="A1080" s="4" t="str">
        <f>IFERROR(__xludf.DUMMYFUNCTION("""COMPUTED_VALUE"""),"2e54f9af")</f>
        <v>2e54f9af</v>
      </c>
      <c r="B1080" s="5">
        <f>IFERROR(__xludf.DUMMYFUNCTION("""COMPUTED_VALUE"""),46134.077673611115)</f>
        <v>46134.07767</v>
      </c>
      <c r="C1080" s="4" t="str">
        <f>IFERROR(__xludf.DUMMYFUNCTION("""COMPUTED_VALUE"""),"-6.899141, 107.645398")</f>
        <v>-6.899141, 107.645398</v>
      </c>
      <c r="D1080" s="4" t="str">
        <f>IFERROR(__xludf.DUMMYFUNCTION("""COMPUTED_VALUE"""),"Nugi firman")</f>
        <v>Nugi firman</v>
      </c>
      <c r="E1080" s="4" t="str">
        <f>IFERROR(__xludf.DUMMYFUNCTION("""COMPUTED_VALUE"""),"BANDUNG")</f>
        <v>BANDUNG</v>
      </c>
      <c r="F1080" s="4" t="str">
        <f>IFERROR(__xludf.DUMMYFUNCTION("""COMPUTED_VALUE"""),"KOPO")</f>
        <v>KOPO</v>
      </c>
      <c r="G1080" s="4" t="str">
        <f>IFERROR(__xludf.DUMMYFUNCTION("""COMPUTED_VALUE"""),"CIGERELENG")</f>
        <v>CIGERELENG</v>
      </c>
      <c r="H1080" s="4" t="str">
        <f>IFERROR(__xludf.DUMMYFUNCTION("""COMPUTED_VALUE"""),"CKK")</f>
        <v>CKK</v>
      </c>
      <c r="I1080" s="4" t="str">
        <f>IFERROR(__xludf.DUMMYFUNCTION("""COMPUTED_VALUE"""),"CRRC - UJUNG")</f>
        <v>CRRC - UJUNG</v>
      </c>
      <c r="J1080" s="4" t="str">
        <f>IFERROR(__xludf.DUMMYFUNCTION("""COMPUTED_VALUE"""),"ZONA 2")</f>
        <v>ZONA 2</v>
      </c>
      <c r="K1080" s="4" t="str">
        <f>IFERROR(__xludf.DUMMYFUNCTION("""COMPUTED_VALUE"""),"006")</f>
        <v>006</v>
      </c>
      <c r="L1080" s="4" t="str">
        <f>IFERROR(__xludf.DUMMYFUNCTION("""COMPUTED_VALUE"""),"TM - 8B/H (Percabangan)")</f>
        <v>TM - 8B/H (Percabangan)</v>
      </c>
      <c r="M1080" s="4" t="str">
        <f>IFERROR(__xludf.DUMMYFUNCTION("""COMPUTED_VALUE"""),"Tidak Ada")</f>
        <v>Tidak Ada</v>
      </c>
      <c r="N1080" s="4"/>
      <c r="O1080" s="4" t="str">
        <f>IFERROR(__xludf.DUMMYFUNCTION("""COMPUTED_VALUE"""),"PEMBANDING SEJENIS")</f>
        <v>PEMBANDING SEJENIS</v>
      </c>
      <c r="P1080" s="4" t="str">
        <f>IFERROR(__xludf.DUMMYFUNCTION("""COMPUTED_VALUE"""),"KONEKTOR/JUMPER")</f>
        <v>KONEKTOR/JUMPER</v>
      </c>
      <c r="Q1080" s="4">
        <f>IFERROR(__xludf.DUMMYFUNCTION("""COMPUTED_VALUE"""),21.0)</f>
        <v>21</v>
      </c>
      <c r="R1080" s="4">
        <f>IFERROR(__xludf.DUMMYFUNCTION("""COMPUTED_VALUE"""),14.0)</f>
        <v>14</v>
      </c>
      <c r="S1080" s="4">
        <f>IFERROR(__xludf.DUMMYFUNCTION("""COMPUTED_VALUE"""),19.0)</f>
        <v>19</v>
      </c>
      <c r="T1080" s="4"/>
      <c r="U1080" s="4" t="str">
        <f>IFERROR(__xludf.DUMMYFUNCTION("""COMPUTED_VALUE"""),"CUKUP")</f>
        <v>CUKUP</v>
      </c>
      <c r="V1080" s="4" t="str">
        <f>IFERROR(__xludf.DUMMYFUNCTION("""COMPUTED_VALUE"""),"Tidak Ada")</f>
        <v>Tidak Ada</v>
      </c>
      <c r="W1080" s="4"/>
      <c r="X1080" s="4"/>
      <c r="Y1080" s="4"/>
      <c r="Z1080" s="4"/>
      <c r="AA1080" s="4"/>
      <c r="AB1080" s="4"/>
      <c r="AC1080" s="4" t="str">
        <f>IFERROR(__xludf.DUMMYFUNCTION("""COMPUTED_VALUE"""),"INSPEKSI SUTM - T2_Images/2e54f9af.FOTO.185234.jpg")</f>
        <v>INSPEKSI SUTM - T2_Images/2e54f9af.FOTO.185234.jpg</v>
      </c>
      <c r="AD1080" s="4"/>
      <c r="AE1080" s="4"/>
      <c r="AF1080" s="4" t="str">
        <f>IFERROR(__xludf.DUMMYFUNCTION("""COMPUTED_VALUE"""),"BELUM")</f>
        <v>BELUM</v>
      </c>
      <c r="AG1080" s="6">
        <f>IFERROR(__xludf.DUMMYFUNCTION("""COMPUTED_VALUE"""),46134.0)</f>
        <v>46134</v>
      </c>
      <c r="AH1080" s="4"/>
      <c r="AI1080" s="4"/>
    </row>
    <row r="1081" ht="15.75" customHeight="1">
      <c r="A1081" s="4" t="str">
        <f>IFERROR(__xludf.DUMMYFUNCTION("""COMPUTED_VALUE"""),"0ba36eda")</f>
        <v>0ba36eda</v>
      </c>
      <c r="B1081" s="5">
        <f>IFERROR(__xludf.DUMMYFUNCTION("""COMPUTED_VALUE"""),46134.0784375)</f>
        <v>46134.07844</v>
      </c>
      <c r="C1081" s="4" t="str">
        <f>IFERROR(__xludf.DUMMYFUNCTION("""COMPUTED_VALUE"""),"-6.899176, 107.645332")</f>
        <v>-6.899176, 107.645332</v>
      </c>
      <c r="D1081" s="4" t="str">
        <f>IFERROR(__xludf.DUMMYFUNCTION("""COMPUTED_VALUE"""),"Nugi firman")</f>
        <v>Nugi firman</v>
      </c>
      <c r="E1081" s="4" t="str">
        <f>IFERROR(__xludf.DUMMYFUNCTION("""COMPUTED_VALUE"""),"BANDUNG")</f>
        <v>BANDUNG</v>
      </c>
      <c r="F1081" s="4" t="str">
        <f>IFERROR(__xludf.DUMMYFUNCTION("""COMPUTED_VALUE"""),"KOPO")</f>
        <v>KOPO</v>
      </c>
      <c r="G1081" s="4" t="str">
        <f>IFERROR(__xludf.DUMMYFUNCTION("""COMPUTED_VALUE"""),"CIGERELENG")</f>
        <v>CIGERELENG</v>
      </c>
      <c r="H1081" s="4" t="str">
        <f>IFERROR(__xludf.DUMMYFUNCTION("""COMPUTED_VALUE"""),"CKK")</f>
        <v>CKK</v>
      </c>
      <c r="I1081" s="4" t="str">
        <f>IFERROR(__xludf.DUMMYFUNCTION("""COMPUTED_VALUE"""),"CRRC - UJUNG")</f>
        <v>CRRC - UJUNG</v>
      </c>
      <c r="J1081" s="4" t="str">
        <f>IFERROR(__xludf.DUMMYFUNCTION("""COMPUTED_VALUE"""),"ZONA 2")</f>
        <v>ZONA 2</v>
      </c>
      <c r="K1081" s="4" t="str">
        <f>IFERROR(__xludf.DUMMYFUNCTION("""COMPUTED_VALUE"""),"007")</f>
        <v>007</v>
      </c>
      <c r="L1081" s="4" t="str">
        <f>IFERROR(__xludf.DUMMYFUNCTION("""COMPUTED_VALUE"""),"TM - 4B/H (Afspan)")</f>
        <v>TM - 4B/H (Afspan)</v>
      </c>
      <c r="M1081" s="4" t="str">
        <f>IFERROR(__xludf.DUMMYFUNCTION("""COMPUTED_VALUE"""),"Tidak Ada")</f>
        <v>Tidak Ada</v>
      </c>
      <c r="N1081" s="4"/>
      <c r="O1081" s="4" t="str">
        <f>IFERROR(__xludf.DUMMYFUNCTION("""COMPUTED_VALUE"""),"PEMBANDING SEJENIS")</f>
        <v>PEMBANDING SEJENIS</v>
      </c>
      <c r="P1081" s="4" t="str">
        <f>IFERROR(__xludf.DUMMYFUNCTION("""COMPUTED_VALUE"""),"KONEKTOR/JUMPER")</f>
        <v>KONEKTOR/JUMPER</v>
      </c>
      <c r="Q1081" s="4">
        <f>IFERROR(__xludf.DUMMYFUNCTION("""COMPUTED_VALUE"""),21.0)</f>
        <v>21</v>
      </c>
      <c r="R1081" s="4">
        <f>IFERROR(__xludf.DUMMYFUNCTION("""COMPUTED_VALUE"""),21.0)</f>
        <v>21</v>
      </c>
      <c r="S1081" s="4">
        <f>IFERROR(__xludf.DUMMYFUNCTION("""COMPUTED_VALUE"""),21.0)</f>
        <v>21</v>
      </c>
      <c r="T1081" s="4"/>
      <c r="U1081" s="4" t="str">
        <f>IFERROR(__xludf.DUMMYFUNCTION("""COMPUTED_VALUE"""),"BAIK")</f>
        <v>BAIK</v>
      </c>
      <c r="V1081" s="4" t="str">
        <f>IFERROR(__xludf.DUMMYFUNCTION("""COMPUTED_VALUE"""),"Tidak Ada")</f>
        <v>Tidak Ada</v>
      </c>
      <c r="W1081" s="4"/>
      <c r="X1081" s="4"/>
      <c r="Y1081" s="4"/>
      <c r="Z1081" s="4"/>
      <c r="AA1081" s="4"/>
      <c r="AB1081" s="4"/>
      <c r="AC1081" s="4" t="str">
        <f>IFERROR(__xludf.DUMMYFUNCTION("""COMPUTED_VALUE"""),"INSPEKSI SUTM - T2_Images/0ba36eda.FOTO.185338.jpg")</f>
        <v>INSPEKSI SUTM - T2_Images/0ba36eda.FOTO.185338.jpg</v>
      </c>
      <c r="AD1081" s="4"/>
      <c r="AE1081" s="4"/>
      <c r="AF1081" s="4" t="str">
        <f>IFERROR(__xludf.DUMMYFUNCTION("""COMPUTED_VALUE"""),"BELUM")</f>
        <v>BELUM</v>
      </c>
      <c r="AG1081" s="6">
        <f>IFERROR(__xludf.DUMMYFUNCTION("""COMPUTED_VALUE"""),46134.0)</f>
        <v>46134</v>
      </c>
      <c r="AH1081" s="4"/>
      <c r="AI1081" s="4"/>
    </row>
    <row r="1082" ht="15.75" customHeight="1">
      <c r="A1082" s="4" t="str">
        <f>IFERROR(__xludf.DUMMYFUNCTION("""COMPUTED_VALUE"""),"75b9f1dd")</f>
        <v>75b9f1dd</v>
      </c>
      <c r="B1082" s="5">
        <f>IFERROR(__xludf.DUMMYFUNCTION("""COMPUTED_VALUE"""),46134.078935185185)</f>
        <v>46134.07894</v>
      </c>
      <c r="C1082" s="4" t="str">
        <f>IFERROR(__xludf.DUMMYFUNCTION("""COMPUTED_VALUE"""),"-6.899223, 107.645327")</f>
        <v>-6.899223, 107.645327</v>
      </c>
      <c r="D1082" s="4" t="str">
        <f>IFERROR(__xludf.DUMMYFUNCTION("""COMPUTED_VALUE"""),"Nugi firman")</f>
        <v>Nugi firman</v>
      </c>
      <c r="E1082" s="4" t="str">
        <f>IFERROR(__xludf.DUMMYFUNCTION("""COMPUTED_VALUE"""),"BANDUNG")</f>
        <v>BANDUNG</v>
      </c>
      <c r="F1082" s="4" t="str">
        <f>IFERROR(__xludf.DUMMYFUNCTION("""COMPUTED_VALUE"""),"KOPO")</f>
        <v>KOPO</v>
      </c>
      <c r="G1082" s="4" t="str">
        <f>IFERROR(__xludf.DUMMYFUNCTION("""COMPUTED_VALUE"""),"CIGERELENG")</f>
        <v>CIGERELENG</v>
      </c>
      <c r="H1082" s="4" t="str">
        <f>IFERROR(__xludf.DUMMYFUNCTION("""COMPUTED_VALUE"""),"CKK")</f>
        <v>CKK</v>
      </c>
      <c r="I1082" s="4" t="str">
        <f>IFERROR(__xludf.DUMMYFUNCTION("""COMPUTED_VALUE"""),"CRRC - UJUNG")</f>
        <v>CRRC - UJUNG</v>
      </c>
      <c r="J1082" s="4" t="str">
        <f>IFERROR(__xludf.DUMMYFUNCTION("""COMPUTED_VALUE"""),"ZONA 2")</f>
        <v>ZONA 2</v>
      </c>
      <c r="K1082" s="4" t="str">
        <f>IFERROR(__xludf.DUMMYFUNCTION("""COMPUTED_VALUE"""),"013")</f>
        <v>013</v>
      </c>
      <c r="L1082" s="4" t="str">
        <f>IFERROR(__xludf.DUMMYFUNCTION("""COMPUTED_VALUE"""),"TM - 7B/H (Afspan 90 Derajat)")</f>
        <v>TM - 7B/H (Afspan 90 Derajat)</v>
      </c>
      <c r="M1082" s="4" t="str">
        <f>IFERROR(__xludf.DUMMYFUNCTION("""COMPUTED_VALUE"""),"Tidak Ada")</f>
        <v>Tidak Ada</v>
      </c>
      <c r="N1082" s="4"/>
      <c r="O1082" s="4" t="str">
        <f>IFERROR(__xludf.DUMMYFUNCTION("""COMPUTED_VALUE"""),"PEMBANDING SEJENIS")</f>
        <v>PEMBANDING SEJENIS</v>
      </c>
      <c r="P1082" s="4" t="str">
        <f>IFERROR(__xludf.DUMMYFUNCTION("""COMPUTED_VALUE"""),"KONEKTOR/JUMPER")</f>
        <v>KONEKTOR/JUMPER</v>
      </c>
      <c r="Q1082" s="4">
        <f>IFERROR(__xludf.DUMMYFUNCTION("""COMPUTED_VALUE"""),21.0)</f>
        <v>21</v>
      </c>
      <c r="R1082" s="4">
        <f>IFERROR(__xludf.DUMMYFUNCTION("""COMPUTED_VALUE"""),21.0)</f>
        <v>21</v>
      </c>
      <c r="S1082" s="4">
        <f>IFERROR(__xludf.DUMMYFUNCTION("""COMPUTED_VALUE"""),20.0)</f>
        <v>20</v>
      </c>
      <c r="T1082" s="4"/>
      <c r="U1082" s="4" t="str">
        <f>IFERROR(__xludf.DUMMYFUNCTION("""COMPUTED_VALUE"""),"BAIK")</f>
        <v>BAIK</v>
      </c>
      <c r="V1082" s="4" t="str">
        <f>IFERROR(__xludf.DUMMYFUNCTION("""COMPUTED_VALUE"""),"Tidak Ada")</f>
        <v>Tidak Ada</v>
      </c>
      <c r="W1082" s="4"/>
      <c r="X1082" s="4"/>
      <c r="Y1082" s="4"/>
      <c r="Z1082" s="4"/>
      <c r="AA1082" s="4"/>
      <c r="AB1082" s="4"/>
      <c r="AC1082" s="4" t="str">
        <f>IFERROR(__xludf.DUMMYFUNCTION("""COMPUTED_VALUE"""),"INSPEKSI SUTM - T2_Images/75b9f1dd.FOTO.185424.jpg")</f>
        <v>INSPEKSI SUTM - T2_Images/75b9f1dd.FOTO.185424.jpg</v>
      </c>
      <c r="AD1082" s="4"/>
      <c r="AE1082" s="4"/>
      <c r="AF1082" s="4" t="str">
        <f>IFERROR(__xludf.DUMMYFUNCTION("""COMPUTED_VALUE"""),"BELUM")</f>
        <v>BELUM</v>
      </c>
      <c r="AG1082" s="6">
        <f>IFERROR(__xludf.DUMMYFUNCTION("""COMPUTED_VALUE"""),46134.0)</f>
        <v>46134</v>
      </c>
      <c r="AH1082" s="4"/>
      <c r="AI1082" s="4"/>
    </row>
    <row r="1083" ht="15.75" customHeight="1">
      <c r="A1083" s="4" t="str">
        <f>IFERROR(__xludf.DUMMYFUNCTION("""COMPUTED_VALUE"""),"df998f4a")</f>
        <v>df998f4a</v>
      </c>
      <c r="B1083" s="5">
        <f>IFERROR(__xludf.DUMMYFUNCTION("""COMPUTED_VALUE"""),46134.07946759259)</f>
        <v>46134.07947</v>
      </c>
      <c r="C1083" s="4" t="str">
        <f>IFERROR(__xludf.DUMMYFUNCTION("""COMPUTED_VALUE"""),"-6.899154, 107.645308")</f>
        <v>-6.899154, 107.645308</v>
      </c>
      <c r="D1083" s="4" t="str">
        <f>IFERROR(__xludf.DUMMYFUNCTION("""COMPUTED_VALUE"""),"Nugi firman")</f>
        <v>Nugi firman</v>
      </c>
      <c r="E1083" s="4" t="str">
        <f>IFERROR(__xludf.DUMMYFUNCTION("""COMPUTED_VALUE"""),"BANDUNG")</f>
        <v>BANDUNG</v>
      </c>
      <c r="F1083" s="4" t="str">
        <f>IFERROR(__xludf.DUMMYFUNCTION("""COMPUTED_VALUE"""),"KOPO")</f>
        <v>KOPO</v>
      </c>
      <c r="G1083" s="4" t="str">
        <f>IFERROR(__xludf.DUMMYFUNCTION("""COMPUTED_VALUE"""),"CIGERELENG")</f>
        <v>CIGERELENG</v>
      </c>
      <c r="H1083" s="4" t="str">
        <f>IFERROR(__xludf.DUMMYFUNCTION("""COMPUTED_VALUE"""),"CKK")</f>
        <v>CKK</v>
      </c>
      <c r="I1083" s="4" t="str">
        <f>IFERROR(__xludf.DUMMYFUNCTION("""COMPUTED_VALUE"""),"CRRC - UJUNG")</f>
        <v>CRRC - UJUNG</v>
      </c>
      <c r="J1083" s="4" t="str">
        <f>IFERROR(__xludf.DUMMYFUNCTION("""COMPUTED_VALUE"""),"ZONA 2")</f>
        <v>ZONA 2</v>
      </c>
      <c r="K1083" s="4" t="str">
        <f>IFERROR(__xludf.DUMMYFUNCTION("""COMPUTED_VALUE"""),"019")</f>
        <v>019</v>
      </c>
      <c r="L1083" s="4" t="str">
        <f>IFERROR(__xludf.DUMMYFUNCTION("""COMPUTED_VALUE"""),"TM - 4B/H (Afspan)")</f>
        <v>TM - 4B/H (Afspan)</v>
      </c>
      <c r="M1083" s="4" t="str">
        <f>IFERROR(__xludf.DUMMYFUNCTION("""COMPUTED_VALUE"""),"Tidak Ada")</f>
        <v>Tidak Ada</v>
      </c>
      <c r="N1083" s="4"/>
      <c r="O1083" s="4" t="str">
        <f>IFERROR(__xludf.DUMMYFUNCTION("""COMPUTED_VALUE"""),"PEMBANDING SEJENIS")</f>
        <v>PEMBANDING SEJENIS</v>
      </c>
      <c r="P1083" s="4" t="str">
        <f>IFERROR(__xludf.DUMMYFUNCTION("""COMPUTED_VALUE"""),"KONEKTOR/JUMPER")</f>
        <v>KONEKTOR/JUMPER</v>
      </c>
      <c r="Q1083" s="4">
        <f>IFERROR(__xludf.DUMMYFUNCTION("""COMPUTED_VALUE"""),20.0)</f>
        <v>20</v>
      </c>
      <c r="R1083" s="4">
        <f>IFERROR(__xludf.DUMMYFUNCTION("""COMPUTED_VALUE"""),20.0)</f>
        <v>20</v>
      </c>
      <c r="S1083" s="4">
        <f>IFERROR(__xludf.DUMMYFUNCTION("""COMPUTED_VALUE"""),20.0)</f>
        <v>20</v>
      </c>
      <c r="T1083" s="4"/>
      <c r="U1083" s="4" t="str">
        <f>IFERROR(__xludf.DUMMYFUNCTION("""COMPUTED_VALUE"""),"BAIK")</f>
        <v>BAIK</v>
      </c>
      <c r="V1083" s="4" t="str">
        <f>IFERROR(__xludf.DUMMYFUNCTION("""COMPUTED_VALUE"""),"Tidak Ada")</f>
        <v>Tidak Ada</v>
      </c>
      <c r="W1083" s="4"/>
      <c r="X1083" s="4"/>
      <c r="Y1083" s="4"/>
      <c r="Z1083" s="4"/>
      <c r="AA1083" s="4"/>
      <c r="AB1083" s="4"/>
      <c r="AC1083" s="4" t="str">
        <f>IFERROR(__xludf.DUMMYFUNCTION("""COMPUTED_VALUE"""),"INSPEKSI SUTM - T2_Images/df998f4a.FOTO.185510.jpg")</f>
        <v>INSPEKSI SUTM - T2_Images/df998f4a.FOTO.185510.jpg</v>
      </c>
      <c r="AD1083" s="4"/>
      <c r="AE1083" s="4"/>
      <c r="AF1083" s="4" t="str">
        <f>IFERROR(__xludf.DUMMYFUNCTION("""COMPUTED_VALUE"""),"BELUM")</f>
        <v>BELUM</v>
      </c>
      <c r="AG1083" s="6">
        <f>IFERROR(__xludf.DUMMYFUNCTION("""COMPUTED_VALUE"""),46134.0)</f>
        <v>46134</v>
      </c>
      <c r="AH1083" s="4"/>
      <c r="AI1083" s="4"/>
    </row>
    <row r="1084" ht="15.75" customHeight="1">
      <c r="A1084" s="4" t="str">
        <f>IFERROR(__xludf.DUMMYFUNCTION("""COMPUTED_VALUE"""),"1bc8bed3")</f>
        <v>1bc8bed3</v>
      </c>
      <c r="B1084" s="5">
        <f>IFERROR(__xludf.DUMMYFUNCTION("""COMPUTED_VALUE"""),46135.85115740741)</f>
        <v>46135.85116</v>
      </c>
      <c r="C1084" s="4" t="str">
        <f>IFERROR(__xludf.DUMMYFUNCTION("""COMPUTED_VALUE"""),"-6.899128, 107.641235")</f>
        <v>-6.899128, 107.641235</v>
      </c>
      <c r="D1084" s="4" t="str">
        <f>IFERROR(__xludf.DUMMYFUNCTION("""COMPUTED_VALUE"""),"Sandi angga")</f>
        <v>Sandi angga</v>
      </c>
      <c r="E1084" s="4" t="str">
        <f>IFERROR(__xludf.DUMMYFUNCTION("""COMPUTED_VALUE"""),"BANDUNG")</f>
        <v>BANDUNG</v>
      </c>
      <c r="F1084" s="4" t="str">
        <f>IFERROR(__xludf.DUMMYFUNCTION("""COMPUTED_VALUE"""),"BANDUNG TIMUR")</f>
        <v>BANDUNG TIMUR</v>
      </c>
      <c r="G1084" s="4" t="str">
        <f>IFERROR(__xludf.DUMMYFUNCTION("""COMPUTED_VALUE"""),"DAGO PAKAR")</f>
        <v>DAGO PAKAR</v>
      </c>
      <c r="H1084" s="4" t="str">
        <f>IFERROR(__xludf.DUMMYFUNCTION("""COMPUTED_VALUE"""),"DSNM")</f>
        <v>DSNM</v>
      </c>
      <c r="I1084" s="4" t="str">
        <f>IFERROR(__xludf.DUMMYFUNCTION("""COMPUTED_VALUE"""),"PGH-PGMP")</f>
        <v>PGH-PGMP</v>
      </c>
      <c r="J1084" s="4" t="str">
        <f>IFERROR(__xludf.DUMMYFUNCTION("""COMPUTED_VALUE"""),"ZONA 2")</f>
        <v>ZONA 2</v>
      </c>
      <c r="K1084" s="4" t="str">
        <f>IFERROR(__xludf.DUMMYFUNCTION("""COMPUTED_VALUE"""),"001")</f>
        <v>001</v>
      </c>
      <c r="L1084" s="4" t="str">
        <f>IFERROR(__xludf.DUMMYFUNCTION("""COMPUTED_VALUE"""),"TM - 11B/H (Kabel Naik)")</f>
        <v>TM - 11B/H (Kabel Naik)</v>
      </c>
      <c r="M1084" s="4" t="str">
        <f>IFERROR(__xludf.DUMMYFUNCTION("""COMPUTED_VALUE"""),"Tidak Ada")</f>
        <v>Tidak Ada</v>
      </c>
      <c r="N1084" s="4"/>
      <c r="O1084" s="4" t="str">
        <f>IFERROR(__xludf.DUMMYFUNCTION("""COMPUTED_VALUE"""),"PEMBANDING SEJENIS")</f>
        <v>PEMBANDING SEJENIS</v>
      </c>
      <c r="P1084" s="4" t="str">
        <f>IFERROR(__xludf.DUMMYFUNCTION("""COMPUTED_VALUE"""),"TERMINASI")</f>
        <v>TERMINASI</v>
      </c>
      <c r="Q1084" s="4">
        <f>IFERROR(__xludf.DUMMYFUNCTION("""COMPUTED_VALUE"""),20.0)</f>
        <v>20</v>
      </c>
      <c r="R1084" s="4">
        <f>IFERROR(__xludf.DUMMYFUNCTION("""COMPUTED_VALUE"""),22.0)</f>
        <v>22</v>
      </c>
      <c r="S1084" s="4">
        <f>IFERROR(__xludf.DUMMYFUNCTION("""COMPUTED_VALUE"""),21.0)</f>
        <v>21</v>
      </c>
      <c r="T1084" s="4"/>
      <c r="U1084" s="4" t="str">
        <f>IFERROR(__xludf.DUMMYFUNCTION("""COMPUTED_VALUE"""),"BAIK")</f>
        <v>BAIK</v>
      </c>
      <c r="V1084" s="4" t="str">
        <f>IFERROR(__xludf.DUMMYFUNCTION("""COMPUTED_VALUE"""),"Tidak Ada")</f>
        <v>Tidak Ada</v>
      </c>
      <c r="W1084" s="4"/>
      <c r="X1084" s="4"/>
      <c r="Y1084" s="4"/>
      <c r="Z1084" s="4"/>
      <c r="AA1084" s="4"/>
      <c r="AB1084" s="4"/>
      <c r="AC1084" s="4" t="str">
        <f>IFERROR(__xludf.DUMMYFUNCTION("""COMPUTED_VALUE"""),"INSPEKSI SUTM - T2_Images/1bc8bed3.FOTO.131705.jpg")</f>
        <v>INSPEKSI SUTM - T2_Images/1bc8bed3.FOTO.131705.jpg</v>
      </c>
      <c r="AD1084" s="4"/>
      <c r="AE1084" s="4"/>
      <c r="AF1084" s="4" t="str">
        <f>IFERROR(__xludf.DUMMYFUNCTION("""COMPUTED_VALUE"""),"BELUM")</f>
        <v>BELUM</v>
      </c>
      <c r="AG1084" s="6">
        <f>IFERROR(__xludf.DUMMYFUNCTION("""COMPUTED_VALUE"""),46135.0)</f>
        <v>46135</v>
      </c>
      <c r="AH1084" s="4"/>
      <c r="AI1084" s="4"/>
    </row>
    <row r="1085" ht="15.75" customHeight="1">
      <c r="A1085" s="4" t="str">
        <f>IFERROR(__xludf.DUMMYFUNCTION("""COMPUTED_VALUE"""),"ca1ce547")</f>
        <v>ca1ce547</v>
      </c>
      <c r="B1085" s="5">
        <f>IFERROR(__xludf.DUMMYFUNCTION("""COMPUTED_VALUE"""),46136.49888888889)</f>
        <v>46136.49889</v>
      </c>
      <c r="C1085" s="4" t="str">
        <f>IFERROR(__xludf.DUMMYFUNCTION("""COMPUTED_VALUE"""),"-6.857563, 107.639574")</f>
        <v>-6.857563, 107.639574</v>
      </c>
      <c r="D1085" s="4" t="str">
        <f>IFERROR(__xludf.DUMMYFUNCTION("""COMPUTED_VALUE"""),"Alam deril")</f>
        <v>Alam deril</v>
      </c>
      <c r="E1085" s="4" t="str">
        <f>IFERROR(__xludf.DUMMYFUNCTION("""COMPUTED_VALUE"""),"BANDUNG")</f>
        <v>BANDUNG</v>
      </c>
      <c r="F1085" s="4" t="str">
        <f>IFERROR(__xludf.DUMMYFUNCTION("""COMPUTED_VALUE"""),"BANDUNG UTARA")</f>
        <v>BANDUNG UTARA</v>
      </c>
      <c r="G1085" s="4" t="str">
        <f>IFERROR(__xludf.DUMMYFUNCTION("""COMPUTED_VALUE"""),"BENGKOK")</f>
        <v>BENGKOK</v>
      </c>
      <c r="H1085" s="4" t="str">
        <f>IFERROR(__xludf.DUMMYFUNCTION("""COMPUTED_VALUE"""),"PKW")</f>
        <v>PKW</v>
      </c>
      <c r="I1085" s="4" t="str">
        <f>IFERROR(__xludf.DUMMYFUNCTION("""COMPUTED_VALUE"""),"LBS PKW-DCLA")</f>
        <v>LBS PKW-DCLA</v>
      </c>
      <c r="J1085" s="4" t="str">
        <f>IFERROR(__xludf.DUMMYFUNCTION("""COMPUTED_VALUE"""),"ZONA 2")</f>
        <v>ZONA 2</v>
      </c>
      <c r="K1085" s="4" t="str">
        <f>IFERROR(__xludf.DUMMYFUNCTION("""COMPUTED_VALUE"""),"001R01")</f>
        <v>001R01</v>
      </c>
      <c r="L1085" s="4" t="str">
        <f>IFERROR(__xludf.DUMMYFUNCTION("""COMPUTED_VALUE"""),"TM - 13B/H (Kabel Naik Pada Tiang Tumpu)")</f>
        <v>TM - 13B/H (Kabel Naik Pada Tiang Tumpu)</v>
      </c>
      <c r="M1085" s="4" t="str">
        <f>IFERROR(__xludf.DUMMYFUNCTION("""COMPUTED_VALUE"""),"Gardu")</f>
        <v>Gardu</v>
      </c>
      <c r="N1085" s="4" t="str">
        <f>IFERROR(__xludf.DUMMYFUNCTION("""COMPUTED_VALUE"""),"-")</f>
        <v>-</v>
      </c>
      <c r="O1085" s="4" t="str">
        <f>IFERROR(__xludf.DUMMYFUNCTION("""COMPUTED_VALUE"""),"PEMBANDING SEJENIS")</f>
        <v>PEMBANDING SEJENIS</v>
      </c>
      <c r="P1085" s="4" t="str">
        <f>IFERROR(__xludf.DUMMYFUNCTION("""COMPUTED_VALUE"""),"TERMINASI")</f>
        <v>TERMINASI</v>
      </c>
      <c r="Q1085" s="4">
        <f>IFERROR(__xludf.DUMMYFUNCTION("""COMPUTED_VALUE"""),20.0)</f>
        <v>20</v>
      </c>
      <c r="R1085" s="4">
        <f>IFERROR(__xludf.DUMMYFUNCTION("""COMPUTED_VALUE"""),20.0)</f>
        <v>20</v>
      </c>
      <c r="S1085" s="4">
        <f>IFERROR(__xludf.DUMMYFUNCTION("""COMPUTED_VALUE"""),20.0)</f>
        <v>20</v>
      </c>
      <c r="T1085" s="4"/>
      <c r="U1085" s="4" t="str">
        <f>IFERROR(__xludf.DUMMYFUNCTION("""COMPUTED_VALUE"""),"BAIK")</f>
        <v>BAIK</v>
      </c>
      <c r="V1085" s="4" t="str">
        <f>IFERROR(__xludf.DUMMYFUNCTION("""COMPUTED_VALUE"""),"Tidak Ada")</f>
        <v>Tidak Ada</v>
      </c>
      <c r="W1085" s="4"/>
      <c r="X1085" s="4"/>
      <c r="Y1085" s="4"/>
      <c r="Z1085" s="4"/>
      <c r="AA1085" s="4"/>
      <c r="AB1085" s="4"/>
      <c r="AC1085" s="4" t="str">
        <f>IFERROR(__xludf.DUMMYFUNCTION("""COMPUTED_VALUE"""),"INSPEKSI SUTM - T2_Images/ca1ce547.FOTO.120454.jpg")</f>
        <v>INSPEKSI SUTM - T2_Images/ca1ce547.FOTO.120454.jpg</v>
      </c>
      <c r="AD1085" s="4"/>
      <c r="AE1085" s="4"/>
      <c r="AF1085" s="4" t="str">
        <f>IFERROR(__xludf.DUMMYFUNCTION("""COMPUTED_VALUE"""),"BELUM")</f>
        <v>BELUM</v>
      </c>
      <c r="AG1085" s="6">
        <f>IFERROR(__xludf.DUMMYFUNCTION("""COMPUTED_VALUE"""),46136.0)</f>
        <v>46136</v>
      </c>
      <c r="AH1085" s="4"/>
      <c r="AI1085" s="4"/>
    </row>
    <row r="1086" ht="15.75" customHeight="1">
      <c r="A1086" s="4" t="str">
        <f>IFERROR(__xludf.DUMMYFUNCTION("""COMPUTED_VALUE"""),"00dce629")</f>
        <v>00dce629</v>
      </c>
      <c r="B1086" s="5">
        <f>IFERROR(__xludf.DUMMYFUNCTION("""COMPUTED_VALUE"""),46136.499710648146)</f>
        <v>46136.49971</v>
      </c>
      <c r="C1086" s="4" t="str">
        <f>IFERROR(__xludf.DUMMYFUNCTION("""COMPUTED_VALUE"""),"-6.860357, 107.642614")</f>
        <v>-6.860357, 107.642614</v>
      </c>
      <c r="D1086" s="4" t="str">
        <f>IFERROR(__xludf.DUMMYFUNCTION("""COMPUTED_VALUE"""),"Alam deril")</f>
        <v>Alam deril</v>
      </c>
      <c r="E1086" s="4" t="str">
        <f>IFERROR(__xludf.DUMMYFUNCTION("""COMPUTED_VALUE"""),"BANDUNG")</f>
        <v>BANDUNG</v>
      </c>
      <c r="F1086" s="4" t="str">
        <f>IFERROR(__xludf.DUMMYFUNCTION("""COMPUTED_VALUE"""),"BANDUNG UTARA")</f>
        <v>BANDUNG UTARA</v>
      </c>
      <c r="G1086" s="4" t="str">
        <f>IFERROR(__xludf.DUMMYFUNCTION("""COMPUTED_VALUE"""),"BENGKOK")</f>
        <v>BENGKOK</v>
      </c>
      <c r="H1086" s="4" t="str">
        <f>IFERROR(__xludf.DUMMYFUNCTION("""COMPUTED_VALUE"""),"PKW")</f>
        <v>PKW</v>
      </c>
      <c r="I1086" s="4" t="str">
        <f>IFERROR(__xludf.DUMMYFUNCTION("""COMPUTED_VALUE"""),"LBS PKW-DCLA")</f>
        <v>LBS PKW-DCLA</v>
      </c>
      <c r="J1086" s="4" t="str">
        <f>IFERROR(__xludf.DUMMYFUNCTION("""COMPUTED_VALUE"""),"ZONA 2")</f>
        <v>ZONA 2</v>
      </c>
      <c r="K1086" s="4" t="str">
        <f>IFERROR(__xludf.DUMMYFUNCTION("""COMPUTED_VALUE"""),"001R02")</f>
        <v>001R02</v>
      </c>
      <c r="L1086" s="4" t="str">
        <f>IFERROR(__xludf.DUMMYFUNCTION("""COMPUTED_VALUE"""),"TM - 13B/H (Kabel Naik Pada Tiang Tumpu)")</f>
        <v>TM - 13B/H (Kabel Naik Pada Tiang Tumpu)</v>
      </c>
      <c r="M1086" s="4" t="str">
        <f>IFERROR(__xludf.DUMMYFUNCTION("""COMPUTED_VALUE"""),"Gardu")</f>
        <v>Gardu</v>
      </c>
      <c r="N1086" s="4" t="str">
        <f>IFERROR(__xludf.DUMMYFUNCTION("""COMPUTED_VALUE"""),"-")</f>
        <v>-</v>
      </c>
      <c r="O1086" s="4" t="str">
        <f>IFERROR(__xludf.DUMMYFUNCTION("""COMPUTED_VALUE"""),"PEMBANDING SEJENIS")</f>
        <v>PEMBANDING SEJENIS</v>
      </c>
      <c r="P1086" s="4" t="str">
        <f>IFERROR(__xludf.DUMMYFUNCTION("""COMPUTED_VALUE"""),"TERMINASI")</f>
        <v>TERMINASI</v>
      </c>
      <c r="Q1086" s="4">
        <f>IFERROR(__xludf.DUMMYFUNCTION("""COMPUTED_VALUE"""),20.0)</f>
        <v>20</v>
      </c>
      <c r="R1086" s="4">
        <f>IFERROR(__xludf.DUMMYFUNCTION("""COMPUTED_VALUE"""),20.0)</f>
        <v>20</v>
      </c>
      <c r="S1086" s="4">
        <f>IFERROR(__xludf.DUMMYFUNCTION("""COMPUTED_VALUE"""),20.0)</f>
        <v>20</v>
      </c>
      <c r="T1086" s="4"/>
      <c r="U1086" s="4" t="str">
        <f>IFERROR(__xludf.DUMMYFUNCTION("""COMPUTED_VALUE"""),"BAIK")</f>
        <v>BAIK</v>
      </c>
      <c r="V1086" s="4" t="str">
        <f>IFERROR(__xludf.DUMMYFUNCTION("""COMPUTED_VALUE"""),"Tidak Ada")</f>
        <v>Tidak Ada</v>
      </c>
      <c r="W1086" s="4"/>
      <c r="X1086" s="4"/>
      <c r="Y1086" s="4"/>
      <c r="Z1086" s="4"/>
      <c r="AA1086" s="4"/>
      <c r="AB1086" s="4"/>
      <c r="AC1086" s="4" t="str">
        <f>IFERROR(__xludf.DUMMYFUNCTION("""COMPUTED_VALUE"""),"INSPEKSI SUTM - T2_Images/00dce629.FOTO.120552.jpg")</f>
        <v>INSPEKSI SUTM - T2_Images/00dce629.FOTO.120552.jpg</v>
      </c>
      <c r="AD1086" s="4"/>
      <c r="AE1086" s="4"/>
      <c r="AF1086" s="4" t="str">
        <f>IFERROR(__xludf.DUMMYFUNCTION("""COMPUTED_VALUE"""),"BELUM")</f>
        <v>BELUM</v>
      </c>
      <c r="AG1086" s="6">
        <f>IFERROR(__xludf.DUMMYFUNCTION("""COMPUTED_VALUE"""),46136.0)</f>
        <v>46136</v>
      </c>
      <c r="AH1086" s="4"/>
      <c r="AI1086" s="4"/>
    </row>
    <row r="1087" ht="15.75" customHeight="1">
      <c r="A1087" s="4" t="str">
        <f>IFERROR(__xludf.DUMMYFUNCTION("""COMPUTED_VALUE"""),"dde53d3e")</f>
        <v>dde53d3e</v>
      </c>
      <c r="B1087" s="5">
        <f>IFERROR(__xludf.DUMMYFUNCTION("""COMPUTED_VALUE"""),46136.50142361111)</f>
        <v>46136.50142</v>
      </c>
      <c r="C1087" s="4" t="str">
        <f>IFERROR(__xludf.DUMMYFUNCTION("""COMPUTED_VALUE"""),"-6.857644, 107.639837")</f>
        <v>-6.857644, 107.639837</v>
      </c>
      <c r="D1087" s="4" t="str">
        <f>IFERROR(__xludf.DUMMYFUNCTION("""COMPUTED_VALUE"""),"Alam deril")</f>
        <v>Alam deril</v>
      </c>
      <c r="E1087" s="4" t="str">
        <f>IFERROR(__xludf.DUMMYFUNCTION("""COMPUTED_VALUE"""),"BANDUNG")</f>
        <v>BANDUNG</v>
      </c>
      <c r="F1087" s="4" t="str">
        <f>IFERROR(__xludf.DUMMYFUNCTION("""COMPUTED_VALUE"""),"BANDUNG UTARA")</f>
        <v>BANDUNG UTARA</v>
      </c>
      <c r="G1087" s="4" t="str">
        <f>IFERROR(__xludf.DUMMYFUNCTION("""COMPUTED_VALUE"""),"BENGKOK")</f>
        <v>BENGKOK</v>
      </c>
      <c r="H1087" s="4" t="str">
        <f>IFERROR(__xludf.DUMMYFUNCTION("""COMPUTED_VALUE"""),"PKW")</f>
        <v>PKW</v>
      </c>
      <c r="I1087" s="4" t="str">
        <f>IFERROR(__xludf.DUMMYFUNCTION("""COMPUTED_VALUE"""),"LBS PKW-DCLA")</f>
        <v>LBS PKW-DCLA</v>
      </c>
      <c r="J1087" s="4" t="str">
        <f>IFERROR(__xludf.DUMMYFUNCTION("""COMPUTED_VALUE"""),"ZONA 2")</f>
        <v>ZONA 2</v>
      </c>
      <c r="K1087" s="4" t="str">
        <f>IFERROR(__xludf.DUMMYFUNCTION("""COMPUTED_VALUE"""),"004R01")</f>
        <v>004R01</v>
      </c>
      <c r="L1087" s="4" t="str">
        <f>IFERROR(__xludf.DUMMYFUNCTION("""COMPUTED_VALUE"""),"TM - 7B/H (Afspan 90 Derajat)")</f>
        <v>TM - 7B/H (Afspan 90 Derajat)</v>
      </c>
      <c r="M1087" s="4" t="str">
        <f>IFERROR(__xludf.DUMMYFUNCTION("""COMPUTED_VALUE"""),"Tidak Ada")</f>
        <v>Tidak Ada</v>
      </c>
      <c r="N1087" s="4"/>
      <c r="O1087" s="4" t="str">
        <f>IFERROR(__xludf.DUMMYFUNCTION("""COMPUTED_VALUE"""),"PEMBANDING SEJENIS")</f>
        <v>PEMBANDING SEJENIS</v>
      </c>
      <c r="P1087" s="4" t="str">
        <f>IFERROR(__xludf.DUMMYFUNCTION("""COMPUTED_VALUE"""),"KONEKTOR/JUMPER")</f>
        <v>KONEKTOR/JUMPER</v>
      </c>
      <c r="Q1087" s="4">
        <f>IFERROR(__xludf.DUMMYFUNCTION("""COMPUTED_VALUE"""),16.0)</f>
        <v>16</v>
      </c>
      <c r="R1087" s="4">
        <f>IFERROR(__xludf.DUMMYFUNCTION("""COMPUTED_VALUE"""),16.0)</f>
        <v>16</v>
      </c>
      <c r="S1087" s="4">
        <f>IFERROR(__xludf.DUMMYFUNCTION("""COMPUTED_VALUE"""),17.0)</f>
        <v>17</v>
      </c>
      <c r="T1087" s="4"/>
      <c r="U1087" s="4" t="str">
        <f>IFERROR(__xludf.DUMMYFUNCTION("""COMPUTED_VALUE"""),"BAIK")</f>
        <v>BAIK</v>
      </c>
      <c r="V1087" s="4" t="str">
        <f>IFERROR(__xludf.DUMMYFUNCTION("""COMPUTED_VALUE"""),"Tidak Ada")</f>
        <v>Tidak Ada</v>
      </c>
      <c r="W1087" s="4"/>
      <c r="X1087" s="4"/>
      <c r="Y1087" s="4"/>
      <c r="Z1087" s="4"/>
      <c r="AA1087" s="4"/>
      <c r="AB1087" s="4"/>
      <c r="AC1087" s="4" t="str">
        <f>IFERROR(__xludf.DUMMYFUNCTION("""COMPUTED_VALUE"""),"INSPEKSI SUTM - T2_Images/dde53d3e.FOTO.120816.jpg")</f>
        <v>INSPEKSI SUTM - T2_Images/dde53d3e.FOTO.120816.jpg</v>
      </c>
      <c r="AD1087" s="4"/>
      <c r="AE1087" s="4"/>
      <c r="AF1087" s="4" t="str">
        <f>IFERROR(__xludf.DUMMYFUNCTION("""COMPUTED_VALUE"""),"BELUM")</f>
        <v>BELUM</v>
      </c>
      <c r="AG1087" s="6">
        <f>IFERROR(__xludf.DUMMYFUNCTION("""COMPUTED_VALUE"""),46136.0)</f>
        <v>46136</v>
      </c>
      <c r="AH1087" s="4"/>
      <c r="AI1087" s="4"/>
    </row>
    <row r="1088" ht="15.75" customHeight="1">
      <c r="A1088" s="4" t="str">
        <f>IFERROR(__xludf.DUMMYFUNCTION("""COMPUTED_VALUE"""),"332867cd")</f>
        <v>332867cd</v>
      </c>
      <c r="B1088" s="5">
        <f>IFERROR(__xludf.DUMMYFUNCTION("""COMPUTED_VALUE"""),46136.50208333333)</f>
        <v>46136.50208</v>
      </c>
      <c r="C1088" s="4" t="str">
        <f>IFERROR(__xludf.DUMMYFUNCTION("""COMPUTED_VALUE"""),"-6.857665, 107.643828")</f>
        <v>-6.857665, 107.643828</v>
      </c>
      <c r="D1088" s="4" t="str">
        <f>IFERROR(__xludf.DUMMYFUNCTION("""COMPUTED_VALUE"""),"Alam deril")</f>
        <v>Alam deril</v>
      </c>
      <c r="E1088" s="4" t="str">
        <f>IFERROR(__xludf.DUMMYFUNCTION("""COMPUTED_VALUE"""),"BANDUNG")</f>
        <v>BANDUNG</v>
      </c>
      <c r="F1088" s="4" t="str">
        <f>IFERROR(__xludf.DUMMYFUNCTION("""COMPUTED_VALUE"""),"BANDUNG UTARA")</f>
        <v>BANDUNG UTARA</v>
      </c>
      <c r="G1088" s="4" t="str">
        <f>IFERROR(__xludf.DUMMYFUNCTION("""COMPUTED_VALUE"""),"BENGKOK")</f>
        <v>BENGKOK</v>
      </c>
      <c r="H1088" s="4" t="str">
        <f>IFERROR(__xludf.DUMMYFUNCTION("""COMPUTED_VALUE"""),"PKW")</f>
        <v>PKW</v>
      </c>
      <c r="I1088" s="4" t="str">
        <f>IFERROR(__xludf.DUMMYFUNCTION("""COMPUTED_VALUE"""),"LBS PKW-DCLA")</f>
        <v>LBS PKW-DCLA</v>
      </c>
      <c r="J1088" s="4" t="str">
        <f>IFERROR(__xludf.DUMMYFUNCTION("""COMPUTED_VALUE"""),"ZONA 2")</f>
        <v>ZONA 2</v>
      </c>
      <c r="K1088" s="4" t="str">
        <f>IFERROR(__xludf.DUMMYFUNCTION("""COMPUTED_VALUE"""),"004R03")</f>
        <v>004R03</v>
      </c>
      <c r="L1088" s="4" t="str">
        <f>IFERROR(__xludf.DUMMYFUNCTION("""COMPUTED_VALUE"""),"TM - 7B/H (Afspan 90 Derajat)")</f>
        <v>TM - 7B/H (Afspan 90 Derajat)</v>
      </c>
      <c r="M1088" s="4" t="str">
        <f>IFERROR(__xludf.DUMMYFUNCTION("""COMPUTED_VALUE"""),"Tidak Ada")</f>
        <v>Tidak Ada</v>
      </c>
      <c r="N1088" s="4"/>
      <c r="O1088" s="4" t="str">
        <f>IFERROR(__xludf.DUMMYFUNCTION("""COMPUTED_VALUE"""),"PEMBANDING SEJENIS")</f>
        <v>PEMBANDING SEJENIS</v>
      </c>
      <c r="P1088" s="4" t="str">
        <f>IFERROR(__xludf.DUMMYFUNCTION("""COMPUTED_VALUE"""),"KONEKTOR/JUMPER")</f>
        <v>KONEKTOR/JUMPER</v>
      </c>
      <c r="Q1088" s="4">
        <f>IFERROR(__xludf.DUMMYFUNCTION("""COMPUTED_VALUE"""),18.0)</f>
        <v>18</v>
      </c>
      <c r="R1088" s="4">
        <f>IFERROR(__xludf.DUMMYFUNCTION("""COMPUTED_VALUE"""),18.0)</f>
        <v>18</v>
      </c>
      <c r="S1088" s="4">
        <f>IFERROR(__xludf.DUMMYFUNCTION("""COMPUTED_VALUE"""),18.0)</f>
        <v>18</v>
      </c>
      <c r="T1088" s="4"/>
      <c r="U1088" s="4" t="str">
        <f>IFERROR(__xludf.DUMMYFUNCTION("""COMPUTED_VALUE"""),"BAIK")</f>
        <v>BAIK</v>
      </c>
      <c r="V1088" s="4" t="str">
        <f>IFERROR(__xludf.DUMMYFUNCTION("""COMPUTED_VALUE"""),"Tidak Ada")</f>
        <v>Tidak Ada</v>
      </c>
      <c r="W1088" s="4"/>
      <c r="X1088" s="4"/>
      <c r="Y1088" s="4"/>
      <c r="Z1088" s="4"/>
      <c r="AA1088" s="4"/>
      <c r="AB1088" s="4"/>
      <c r="AC1088" s="4" t="str">
        <f>IFERROR(__xludf.DUMMYFUNCTION("""COMPUTED_VALUE"""),"INSPEKSI SUTM - T2_Images/332867cd.FOTO.120923.jpg")</f>
        <v>INSPEKSI SUTM - T2_Images/332867cd.FOTO.120923.jpg</v>
      </c>
      <c r="AD1088" s="4"/>
      <c r="AE1088" s="4"/>
      <c r="AF1088" s="4" t="str">
        <f>IFERROR(__xludf.DUMMYFUNCTION("""COMPUTED_VALUE"""),"BELUM")</f>
        <v>BELUM</v>
      </c>
      <c r="AG1088" s="6">
        <f>IFERROR(__xludf.DUMMYFUNCTION("""COMPUTED_VALUE"""),46136.0)</f>
        <v>46136</v>
      </c>
      <c r="AH1088" s="4"/>
      <c r="AI1088" s="4"/>
    </row>
    <row r="1089" ht="15.75" customHeight="1">
      <c r="A1089" s="4" t="str">
        <f>IFERROR(__xludf.DUMMYFUNCTION("""COMPUTED_VALUE"""),"a3f25460")</f>
        <v>a3f25460</v>
      </c>
      <c r="B1089" s="5">
        <f>IFERROR(__xludf.DUMMYFUNCTION("""COMPUTED_VALUE"""),46136.52605324074)</f>
        <v>46136.52605</v>
      </c>
      <c r="C1089" s="4" t="str">
        <f>IFERROR(__xludf.DUMMYFUNCTION("""COMPUTED_VALUE"""),"-6.856731, 107.640639")</f>
        <v>-6.856731, 107.640639</v>
      </c>
      <c r="D1089" s="4" t="str">
        <f>IFERROR(__xludf.DUMMYFUNCTION("""COMPUTED_VALUE"""),"Alam deril")</f>
        <v>Alam deril</v>
      </c>
      <c r="E1089" s="4" t="str">
        <f>IFERROR(__xludf.DUMMYFUNCTION("""COMPUTED_VALUE"""),"BANDUNG")</f>
        <v>BANDUNG</v>
      </c>
      <c r="F1089" s="4" t="str">
        <f>IFERROR(__xludf.DUMMYFUNCTION("""COMPUTED_VALUE"""),"BANDUNG UTARA")</f>
        <v>BANDUNG UTARA</v>
      </c>
      <c r="G1089" s="4" t="str">
        <f>IFERROR(__xludf.DUMMYFUNCTION("""COMPUTED_VALUE"""),"BENGKOK")</f>
        <v>BENGKOK</v>
      </c>
      <c r="H1089" s="4" t="str">
        <f>IFERROR(__xludf.DUMMYFUNCTION("""COMPUTED_VALUE"""),"PKW")</f>
        <v>PKW</v>
      </c>
      <c r="I1089" s="4" t="str">
        <f>IFERROR(__xludf.DUMMYFUNCTION("""COMPUTED_VALUE"""),"LBS PKW-DCLA")</f>
        <v>LBS PKW-DCLA</v>
      </c>
      <c r="J1089" s="4" t="str">
        <f>IFERROR(__xludf.DUMMYFUNCTION("""COMPUTED_VALUE"""),"ZONA 2")</f>
        <v>ZONA 2</v>
      </c>
      <c r="K1089" s="4" t="str">
        <f>IFERROR(__xludf.DUMMYFUNCTION("""COMPUTED_VALUE"""),"004R06")</f>
        <v>004R06</v>
      </c>
      <c r="L1089" s="4" t="str">
        <f>IFERROR(__xludf.DUMMYFUNCTION("""COMPUTED_VALUE"""),"TM - 7B/H (Afspan 90 Derajat)")</f>
        <v>TM - 7B/H (Afspan 90 Derajat)</v>
      </c>
      <c r="M1089" s="4" t="str">
        <f>IFERROR(__xludf.DUMMYFUNCTION("""COMPUTED_VALUE"""),"Tidak Ada")</f>
        <v>Tidak Ada</v>
      </c>
      <c r="N1089" s="4"/>
      <c r="O1089" s="4" t="str">
        <f>IFERROR(__xludf.DUMMYFUNCTION("""COMPUTED_VALUE"""),"PEMBANDING SEJENIS")</f>
        <v>PEMBANDING SEJENIS</v>
      </c>
      <c r="P1089" s="4" t="str">
        <f>IFERROR(__xludf.DUMMYFUNCTION("""COMPUTED_VALUE"""),"KONEKTOR/JUMPER")</f>
        <v>KONEKTOR/JUMPER</v>
      </c>
      <c r="Q1089" s="4">
        <f>IFERROR(__xludf.DUMMYFUNCTION("""COMPUTED_VALUE"""),18.0)</f>
        <v>18</v>
      </c>
      <c r="R1089" s="4">
        <f>IFERROR(__xludf.DUMMYFUNCTION("""COMPUTED_VALUE"""),20.0)</f>
        <v>20</v>
      </c>
      <c r="S1089" s="4">
        <f>IFERROR(__xludf.DUMMYFUNCTION("""COMPUTED_VALUE"""),19.0)</f>
        <v>19</v>
      </c>
      <c r="T1089" s="4"/>
      <c r="U1089" s="4" t="str">
        <f>IFERROR(__xludf.DUMMYFUNCTION("""COMPUTED_VALUE"""),"BAIK")</f>
        <v>BAIK</v>
      </c>
      <c r="V1089" s="4" t="str">
        <f>IFERROR(__xludf.DUMMYFUNCTION("""COMPUTED_VALUE"""),"Tidak Ada")</f>
        <v>Tidak Ada</v>
      </c>
      <c r="W1089" s="4"/>
      <c r="X1089" s="4"/>
      <c r="Y1089" s="4"/>
      <c r="Z1089" s="4"/>
      <c r="AA1089" s="4"/>
      <c r="AB1089" s="4"/>
      <c r="AC1089" s="4" t="str">
        <f>IFERROR(__xludf.DUMMYFUNCTION("""COMPUTED_VALUE"""),"INSPEKSI SUTM - T2_Images/a3f25460.FOTO.124338.jpg")</f>
        <v>INSPEKSI SUTM - T2_Images/a3f25460.FOTO.124338.jpg</v>
      </c>
      <c r="AD1089" s="4"/>
      <c r="AE1089" s="4"/>
      <c r="AF1089" s="4" t="str">
        <f>IFERROR(__xludf.DUMMYFUNCTION("""COMPUTED_VALUE"""),"BELUM")</f>
        <v>BELUM</v>
      </c>
      <c r="AG1089" s="6">
        <f>IFERROR(__xludf.DUMMYFUNCTION("""COMPUTED_VALUE"""),46136.0)</f>
        <v>46136</v>
      </c>
      <c r="AH1089" s="4"/>
      <c r="AI1089" s="4"/>
    </row>
    <row r="1090" ht="15.75" customHeight="1">
      <c r="A1090" s="4" t="str">
        <f>IFERROR(__xludf.DUMMYFUNCTION("""COMPUTED_VALUE"""),"1b13ab50")</f>
        <v>1b13ab50</v>
      </c>
      <c r="B1090" s="5">
        <f>IFERROR(__xludf.DUMMYFUNCTION("""COMPUTED_VALUE"""),46136.52662037037)</f>
        <v>46136.52662</v>
      </c>
      <c r="C1090" s="4" t="str">
        <f>IFERROR(__xludf.DUMMYFUNCTION("""COMPUTED_VALUE"""),"-6.857966, 107.639601")</f>
        <v>-6.857966, 107.639601</v>
      </c>
      <c r="D1090" s="4" t="str">
        <f>IFERROR(__xludf.DUMMYFUNCTION("""COMPUTED_VALUE"""),"Alam deril")</f>
        <v>Alam deril</v>
      </c>
      <c r="E1090" s="4" t="str">
        <f>IFERROR(__xludf.DUMMYFUNCTION("""COMPUTED_VALUE"""),"BANDUNG")</f>
        <v>BANDUNG</v>
      </c>
      <c r="F1090" s="4" t="str">
        <f>IFERROR(__xludf.DUMMYFUNCTION("""COMPUTED_VALUE"""),"BANDUNG UTARA")</f>
        <v>BANDUNG UTARA</v>
      </c>
      <c r="G1090" s="4" t="str">
        <f>IFERROR(__xludf.DUMMYFUNCTION("""COMPUTED_VALUE"""),"BENGKOK")</f>
        <v>BENGKOK</v>
      </c>
      <c r="H1090" s="4" t="str">
        <f>IFERROR(__xludf.DUMMYFUNCTION("""COMPUTED_VALUE"""),"PKW")</f>
        <v>PKW</v>
      </c>
      <c r="I1090" s="4" t="str">
        <f>IFERROR(__xludf.DUMMYFUNCTION("""COMPUTED_VALUE"""),"LBS PKW-DCLA")</f>
        <v>LBS PKW-DCLA</v>
      </c>
      <c r="J1090" s="4" t="str">
        <f>IFERROR(__xludf.DUMMYFUNCTION("""COMPUTED_VALUE"""),"ZONA 2")</f>
        <v>ZONA 2</v>
      </c>
      <c r="K1090" s="4" t="str">
        <f>IFERROR(__xludf.DUMMYFUNCTION("""COMPUTED_VALUE"""),"004R08")</f>
        <v>004R08</v>
      </c>
      <c r="L1090" s="4" t="str">
        <f>IFERROR(__xludf.DUMMYFUNCTION("""COMPUTED_VALUE"""),"TM - 7B/H (Afspan 90 Derajat)")</f>
        <v>TM - 7B/H (Afspan 90 Derajat)</v>
      </c>
      <c r="M1090" s="4" t="str">
        <f>IFERROR(__xludf.DUMMYFUNCTION("""COMPUTED_VALUE"""),"Tidak Ada")</f>
        <v>Tidak Ada</v>
      </c>
      <c r="N1090" s="4"/>
      <c r="O1090" s="4" t="str">
        <f>IFERROR(__xludf.DUMMYFUNCTION("""COMPUTED_VALUE"""),"PEMBANDING SEJENIS")</f>
        <v>PEMBANDING SEJENIS</v>
      </c>
      <c r="P1090" s="4" t="str">
        <f>IFERROR(__xludf.DUMMYFUNCTION("""COMPUTED_VALUE"""),"KONEKTOR/JUMPER")</f>
        <v>KONEKTOR/JUMPER</v>
      </c>
      <c r="Q1090" s="4">
        <f>IFERROR(__xludf.DUMMYFUNCTION("""COMPUTED_VALUE"""),18.0)</f>
        <v>18</v>
      </c>
      <c r="R1090" s="4">
        <f>IFERROR(__xludf.DUMMYFUNCTION("""COMPUTED_VALUE"""),18.0)</f>
        <v>18</v>
      </c>
      <c r="S1090" s="4">
        <f>IFERROR(__xludf.DUMMYFUNCTION("""COMPUTED_VALUE"""),18.0)</f>
        <v>18</v>
      </c>
      <c r="T1090" s="4"/>
      <c r="U1090" s="4" t="str">
        <f>IFERROR(__xludf.DUMMYFUNCTION("""COMPUTED_VALUE"""),"BAIK")</f>
        <v>BAIK</v>
      </c>
      <c r="V1090" s="4" t="str">
        <f>IFERROR(__xludf.DUMMYFUNCTION("""COMPUTED_VALUE"""),"Tidak Ada")</f>
        <v>Tidak Ada</v>
      </c>
      <c r="W1090" s="4"/>
      <c r="X1090" s="4"/>
      <c r="Y1090" s="4"/>
      <c r="Z1090" s="4"/>
      <c r="AA1090" s="4"/>
      <c r="AB1090" s="4"/>
      <c r="AC1090" s="4" t="str">
        <f>IFERROR(__xludf.DUMMYFUNCTION("""COMPUTED_VALUE"""),"INSPEKSI SUTM - T2_Images/1b13ab50.FOTO.124423.jpg")</f>
        <v>INSPEKSI SUTM - T2_Images/1b13ab50.FOTO.124423.jpg</v>
      </c>
      <c r="AD1090" s="4"/>
      <c r="AE1090" s="4"/>
      <c r="AF1090" s="4" t="str">
        <f>IFERROR(__xludf.DUMMYFUNCTION("""COMPUTED_VALUE"""),"BELUM")</f>
        <v>BELUM</v>
      </c>
      <c r="AG1090" s="6">
        <f>IFERROR(__xludf.DUMMYFUNCTION("""COMPUTED_VALUE"""),46136.0)</f>
        <v>46136</v>
      </c>
      <c r="AH1090" s="4"/>
      <c r="AI1090" s="4"/>
    </row>
    <row r="1091" ht="15.75" customHeight="1">
      <c r="A1091" s="4" t="str">
        <f>IFERROR(__xludf.DUMMYFUNCTION("""COMPUTED_VALUE"""),"ca973ee2")</f>
        <v>ca973ee2</v>
      </c>
      <c r="B1091" s="5">
        <f>IFERROR(__xludf.DUMMYFUNCTION("""COMPUTED_VALUE"""),46137.10711805556)</f>
        <v>46137.10712</v>
      </c>
      <c r="C1091" s="4" t="str">
        <f>IFERROR(__xludf.DUMMYFUNCTION("""COMPUTED_VALUE"""),"-6.963847, 107.646537")</f>
        <v>-6.963847, 107.646537</v>
      </c>
      <c r="D1091" s="4" t="str">
        <f>IFERROR(__xludf.DUMMYFUNCTION("""COMPUTED_VALUE"""),"Alam deril")</f>
        <v>Alam deril</v>
      </c>
      <c r="E1091" s="4" t="str">
        <f>IFERROR(__xludf.DUMMYFUNCTION("""COMPUTED_VALUE"""),"BANDUNG")</f>
        <v>BANDUNG</v>
      </c>
      <c r="F1091" s="4" t="str">
        <f>IFERROR(__xludf.DUMMYFUNCTION("""COMPUTED_VALUE"""),"BANDUNG UTARA")</f>
        <v>BANDUNG UTARA</v>
      </c>
      <c r="G1091" s="4" t="str">
        <f>IFERROR(__xludf.DUMMYFUNCTION("""COMPUTED_VALUE"""),"BENGKOK")</f>
        <v>BENGKOK</v>
      </c>
      <c r="H1091" s="4" t="str">
        <f>IFERROR(__xludf.DUMMYFUNCTION("""COMPUTED_VALUE"""),"PKW")</f>
        <v>PKW</v>
      </c>
      <c r="I1091" s="4" t="str">
        <f>IFERROR(__xludf.DUMMYFUNCTION("""COMPUTED_VALUE"""),"LBS PKW-DCLA")</f>
        <v>LBS PKW-DCLA</v>
      </c>
      <c r="J1091" s="4" t="str">
        <f>IFERROR(__xludf.DUMMYFUNCTION("""COMPUTED_VALUE"""),"ZONA 2")</f>
        <v>ZONA 2</v>
      </c>
      <c r="K1091" s="4" t="str">
        <f>IFERROR(__xludf.DUMMYFUNCTION("""COMPUTED_VALUE"""),"001")</f>
        <v>001</v>
      </c>
      <c r="L1091" s="4" t="str">
        <f>IFERROR(__xludf.DUMMYFUNCTION("""COMPUTED_VALUE"""),"TM - 11B/H (Kabel Naik)")</f>
        <v>TM - 11B/H (Kabel Naik)</v>
      </c>
      <c r="M1091" s="4" t="str">
        <f>IFERROR(__xludf.DUMMYFUNCTION("""COMPUTED_VALUE"""),"Tidak Ada")</f>
        <v>Tidak Ada</v>
      </c>
      <c r="N1091" s="4"/>
      <c r="O1091" s="4" t="str">
        <f>IFERROR(__xludf.DUMMYFUNCTION("""COMPUTED_VALUE"""),"PEMBANDING SEJENIS")</f>
        <v>PEMBANDING SEJENIS</v>
      </c>
      <c r="P1091" s="4" t="str">
        <f>IFERROR(__xludf.DUMMYFUNCTION("""COMPUTED_VALUE"""),"TERMINASI")</f>
        <v>TERMINASI</v>
      </c>
      <c r="Q1091" s="4">
        <f>IFERROR(__xludf.DUMMYFUNCTION("""COMPUTED_VALUE"""),18.0)</f>
        <v>18</v>
      </c>
      <c r="R1091" s="4">
        <f>IFERROR(__xludf.DUMMYFUNCTION("""COMPUTED_VALUE"""),18.0)</f>
        <v>18</v>
      </c>
      <c r="S1091" s="4">
        <f>IFERROR(__xludf.DUMMYFUNCTION("""COMPUTED_VALUE"""),21.0)</f>
        <v>21</v>
      </c>
      <c r="T1091" s="4"/>
      <c r="U1091" s="4" t="str">
        <f>IFERROR(__xludf.DUMMYFUNCTION("""COMPUTED_VALUE"""),"CUKUP")</f>
        <v>CUKUP</v>
      </c>
      <c r="V1091" s="4" t="str">
        <f>IFERROR(__xludf.DUMMYFUNCTION("""COMPUTED_VALUE"""),"Tidak Ada")</f>
        <v>Tidak Ada</v>
      </c>
      <c r="W1091" s="4"/>
      <c r="X1091" s="4"/>
      <c r="Y1091" s="4"/>
      <c r="Z1091" s="4"/>
      <c r="AA1091" s="4"/>
      <c r="AB1091" s="4"/>
      <c r="AC1091" s="4" t="str">
        <f>IFERROR(__xludf.DUMMYFUNCTION("""COMPUTED_VALUE"""),"INSPEKSI SUTM - T2_Images/ca973ee2.FOTO.024054.jpg")</f>
        <v>INSPEKSI SUTM - T2_Images/ca973ee2.FOTO.024054.jpg</v>
      </c>
      <c r="AD1091" s="4"/>
      <c r="AE1091" s="4"/>
      <c r="AF1091" s="4" t="str">
        <f>IFERROR(__xludf.DUMMYFUNCTION("""COMPUTED_VALUE"""),"BELUM")</f>
        <v>BELUM</v>
      </c>
      <c r="AG1091" s="6">
        <f>IFERROR(__xludf.DUMMYFUNCTION("""COMPUTED_VALUE"""),46137.0)</f>
        <v>46137</v>
      </c>
      <c r="AH1091" s="4"/>
      <c r="AI1091" s="4"/>
    </row>
    <row r="1092" ht="15.75" customHeight="1">
      <c r="A1092" s="4" t="str">
        <f>IFERROR(__xludf.DUMMYFUNCTION("""COMPUTED_VALUE"""),"f6fbd563")</f>
        <v>f6fbd563</v>
      </c>
      <c r="B1092" s="5">
        <f>IFERROR(__xludf.DUMMYFUNCTION("""COMPUTED_VALUE"""),46137.108819444446)</f>
        <v>46137.10882</v>
      </c>
      <c r="C1092" s="4" t="str">
        <f>IFERROR(__xludf.DUMMYFUNCTION("""COMPUTED_VALUE"""),"-6.963693, 107.646579")</f>
        <v>-6.963693, 107.646579</v>
      </c>
      <c r="D1092" s="4" t="str">
        <f>IFERROR(__xludf.DUMMYFUNCTION("""COMPUTED_VALUE"""),"Alam deril")</f>
        <v>Alam deril</v>
      </c>
      <c r="E1092" s="4" t="str">
        <f>IFERROR(__xludf.DUMMYFUNCTION("""COMPUTED_VALUE"""),"BANDUNG")</f>
        <v>BANDUNG</v>
      </c>
      <c r="F1092" s="4" t="str">
        <f>IFERROR(__xludf.DUMMYFUNCTION("""COMPUTED_VALUE"""),"BANDUNG UTARA")</f>
        <v>BANDUNG UTARA</v>
      </c>
      <c r="G1092" s="4" t="str">
        <f>IFERROR(__xludf.DUMMYFUNCTION("""COMPUTED_VALUE"""),"BENGKOK")</f>
        <v>BENGKOK</v>
      </c>
      <c r="H1092" s="4" t="str">
        <f>IFERROR(__xludf.DUMMYFUNCTION("""COMPUTED_VALUE"""),"PKW")</f>
        <v>PKW</v>
      </c>
      <c r="I1092" s="4" t="str">
        <f>IFERROR(__xludf.DUMMYFUNCTION("""COMPUTED_VALUE"""),"LBS PKW-DCLA")</f>
        <v>LBS PKW-DCLA</v>
      </c>
      <c r="J1092" s="4" t="str">
        <f>IFERROR(__xludf.DUMMYFUNCTION("""COMPUTED_VALUE"""),"ZONA 2")</f>
        <v>ZONA 2</v>
      </c>
      <c r="K1092" s="4" t="str">
        <f>IFERROR(__xludf.DUMMYFUNCTION("""COMPUTED_VALUE"""),"002")</f>
        <v>002</v>
      </c>
      <c r="L1092" s="4" t="str">
        <f>IFERROR(__xludf.DUMMYFUNCTION("""COMPUTED_VALUE"""),"TM - 11B/H (Kabel Naik)")</f>
        <v>TM - 11B/H (Kabel Naik)</v>
      </c>
      <c r="M1092" s="4" t="str">
        <f>IFERROR(__xludf.DUMMYFUNCTION("""COMPUTED_VALUE"""),"Tidak Ada")</f>
        <v>Tidak Ada</v>
      </c>
      <c r="N1092" s="4"/>
      <c r="O1092" s="4" t="str">
        <f>IFERROR(__xludf.DUMMYFUNCTION("""COMPUTED_VALUE"""),"PEMBANDING SEJENIS")</f>
        <v>PEMBANDING SEJENIS</v>
      </c>
      <c r="P1092" s="4" t="str">
        <f>IFERROR(__xludf.DUMMYFUNCTION("""COMPUTED_VALUE"""),"TERMINASI")</f>
        <v>TERMINASI</v>
      </c>
      <c r="Q1092" s="4">
        <f>IFERROR(__xludf.DUMMYFUNCTION("""COMPUTED_VALUE"""),18.0)</f>
        <v>18</v>
      </c>
      <c r="R1092" s="4">
        <f>IFERROR(__xludf.DUMMYFUNCTION("""COMPUTED_VALUE"""),18.0)</f>
        <v>18</v>
      </c>
      <c r="S1092" s="4">
        <f>IFERROR(__xludf.DUMMYFUNCTION("""COMPUTED_VALUE"""),19.0)</f>
        <v>19</v>
      </c>
      <c r="T1092" s="4"/>
      <c r="U1092" s="4" t="str">
        <f>IFERROR(__xludf.DUMMYFUNCTION("""COMPUTED_VALUE"""),"BAIK")</f>
        <v>BAIK</v>
      </c>
      <c r="V1092" s="4" t="str">
        <f>IFERROR(__xludf.DUMMYFUNCTION("""COMPUTED_VALUE"""),"Tidak Ada")</f>
        <v>Tidak Ada</v>
      </c>
      <c r="W1092" s="4"/>
      <c r="X1092" s="4"/>
      <c r="Y1092" s="4"/>
      <c r="Z1092" s="4"/>
      <c r="AA1092" s="4"/>
      <c r="AB1092" s="4"/>
      <c r="AC1092" s="4" t="str">
        <f>IFERROR(__xludf.DUMMYFUNCTION("""COMPUTED_VALUE"""),"INSPEKSI SUTM - T2_Images/f6fbd563.FOTO.024620.jpg")</f>
        <v>INSPEKSI SUTM - T2_Images/f6fbd563.FOTO.024620.jpg</v>
      </c>
      <c r="AD1092" s="4"/>
      <c r="AE1092" s="4"/>
      <c r="AF1092" s="4" t="str">
        <f>IFERROR(__xludf.DUMMYFUNCTION("""COMPUTED_VALUE"""),"BELUM")</f>
        <v>BELUM</v>
      </c>
      <c r="AG1092" s="6">
        <f>IFERROR(__xludf.DUMMYFUNCTION("""COMPUTED_VALUE"""),46137.0)</f>
        <v>46137</v>
      </c>
      <c r="AH1092" s="4"/>
      <c r="AI1092" s="4"/>
    </row>
    <row r="1093" ht="15.75" customHeight="1">
      <c r="A1093" s="4" t="str">
        <f>IFERROR(__xludf.DUMMYFUNCTION("""COMPUTED_VALUE"""),"5159a7e4")</f>
        <v>5159a7e4</v>
      </c>
      <c r="B1093" s="5">
        <f>IFERROR(__xludf.DUMMYFUNCTION("""COMPUTED_VALUE"""),46137.10949074074)</f>
        <v>46137.10949</v>
      </c>
      <c r="C1093" s="4" t="str">
        <f>IFERROR(__xludf.DUMMYFUNCTION("""COMPUTED_VALUE"""),"-6.963695, 107.646563")</f>
        <v>-6.963695, 107.646563</v>
      </c>
      <c r="D1093" s="4" t="str">
        <f>IFERROR(__xludf.DUMMYFUNCTION("""COMPUTED_VALUE"""),"Alam deril")</f>
        <v>Alam deril</v>
      </c>
      <c r="E1093" s="4" t="str">
        <f>IFERROR(__xludf.DUMMYFUNCTION("""COMPUTED_VALUE"""),"BANDUNG")</f>
        <v>BANDUNG</v>
      </c>
      <c r="F1093" s="4" t="str">
        <f>IFERROR(__xludf.DUMMYFUNCTION("""COMPUTED_VALUE"""),"BANDUNG UTARA")</f>
        <v>BANDUNG UTARA</v>
      </c>
      <c r="G1093" s="4" t="str">
        <f>IFERROR(__xludf.DUMMYFUNCTION("""COMPUTED_VALUE"""),"BENGKOK")</f>
        <v>BENGKOK</v>
      </c>
      <c r="H1093" s="4" t="str">
        <f>IFERROR(__xludf.DUMMYFUNCTION("""COMPUTED_VALUE"""),"PKW")</f>
        <v>PKW</v>
      </c>
      <c r="I1093" s="4" t="str">
        <f>IFERROR(__xludf.DUMMYFUNCTION("""COMPUTED_VALUE"""),"LBS PKW-DCLA")</f>
        <v>LBS PKW-DCLA</v>
      </c>
      <c r="J1093" s="4" t="str">
        <f>IFERROR(__xludf.DUMMYFUNCTION("""COMPUTED_VALUE"""),"ZONA 2")</f>
        <v>ZONA 2</v>
      </c>
      <c r="K1093" s="4" t="str">
        <f>IFERROR(__xludf.DUMMYFUNCTION("""COMPUTED_VALUE"""),"003")</f>
        <v>003</v>
      </c>
      <c r="L1093" s="4" t="str">
        <f>IFERROR(__xludf.DUMMYFUNCTION("""COMPUTED_VALUE"""),"TM - 11B/H (Kabel Naik)")</f>
        <v>TM - 11B/H (Kabel Naik)</v>
      </c>
      <c r="M1093" s="4" t="str">
        <f>IFERROR(__xludf.DUMMYFUNCTION("""COMPUTED_VALUE"""),"Tidak Ada")</f>
        <v>Tidak Ada</v>
      </c>
      <c r="N1093" s="4"/>
      <c r="O1093" s="4" t="str">
        <f>IFERROR(__xludf.DUMMYFUNCTION("""COMPUTED_VALUE"""),"PEMBANDING SEJENIS")</f>
        <v>PEMBANDING SEJENIS</v>
      </c>
      <c r="P1093" s="4" t="str">
        <f>IFERROR(__xludf.DUMMYFUNCTION("""COMPUTED_VALUE"""),"TERMINASI")</f>
        <v>TERMINASI</v>
      </c>
      <c r="Q1093" s="4">
        <f>IFERROR(__xludf.DUMMYFUNCTION("""COMPUTED_VALUE"""),19.0)</f>
        <v>19</v>
      </c>
      <c r="R1093" s="4">
        <f>IFERROR(__xludf.DUMMYFUNCTION("""COMPUTED_VALUE"""),19.0)</f>
        <v>19</v>
      </c>
      <c r="S1093" s="4">
        <f>IFERROR(__xludf.DUMMYFUNCTION("""COMPUTED_VALUE"""),18.0)</f>
        <v>18</v>
      </c>
      <c r="T1093" s="4"/>
      <c r="U1093" s="4" t="str">
        <f>IFERROR(__xludf.DUMMYFUNCTION("""COMPUTED_VALUE"""),"BAIK")</f>
        <v>BAIK</v>
      </c>
      <c r="V1093" s="4" t="str">
        <f>IFERROR(__xludf.DUMMYFUNCTION("""COMPUTED_VALUE"""),"Tidak Ada")</f>
        <v>Tidak Ada</v>
      </c>
      <c r="W1093" s="4"/>
      <c r="X1093" s="4"/>
      <c r="Y1093" s="4"/>
      <c r="Z1093" s="4"/>
      <c r="AA1093" s="4"/>
      <c r="AB1093" s="4"/>
      <c r="AC1093" s="4" t="str">
        <f>IFERROR(__xludf.DUMMYFUNCTION("""COMPUTED_VALUE"""),"INSPEKSI SUTM - T2_Images/5159a7e4.FOTO.024626.jpg")</f>
        <v>INSPEKSI SUTM - T2_Images/5159a7e4.FOTO.024626.jpg</v>
      </c>
      <c r="AD1093" s="4"/>
      <c r="AE1093" s="4"/>
      <c r="AF1093" s="4" t="str">
        <f>IFERROR(__xludf.DUMMYFUNCTION("""COMPUTED_VALUE"""),"BELUM")</f>
        <v>BELUM</v>
      </c>
      <c r="AG1093" s="6">
        <f>IFERROR(__xludf.DUMMYFUNCTION("""COMPUTED_VALUE"""),46137.0)</f>
        <v>46137</v>
      </c>
      <c r="AH1093" s="4"/>
      <c r="AI1093" s="4"/>
    </row>
    <row r="1094" ht="15.75" customHeight="1">
      <c r="A1094" s="4" t="str">
        <f>IFERROR(__xludf.DUMMYFUNCTION("""COMPUTED_VALUE"""),"c85d75e6")</f>
        <v>c85d75e6</v>
      </c>
      <c r="B1094" s="5">
        <f>IFERROR(__xludf.DUMMYFUNCTION("""COMPUTED_VALUE"""),46137.11015046296)</f>
        <v>46137.11015</v>
      </c>
      <c r="C1094" s="4" t="str">
        <f>IFERROR(__xludf.DUMMYFUNCTION("""COMPUTED_VALUE"""),"-6.963706, 107.646564")</f>
        <v>-6.963706, 107.646564</v>
      </c>
      <c r="D1094" s="4" t="str">
        <f>IFERROR(__xludf.DUMMYFUNCTION("""COMPUTED_VALUE"""),"Alam deril")</f>
        <v>Alam deril</v>
      </c>
      <c r="E1094" s="4" t="str">
        <f>IFERROR(__xludf.DUMMYFUNCTION("""COMPUTED_VALUE"""),"BANDUNG")</f>
        <v>BANDUNG</v>
      </c>
      <c r="F1094" s="4" t="str">
        <f>IFERROR(__xludf.DUMMYFUNCTION("""COMPUTED_VALUE"""),"BANDUNG UTARA")</f>
        <v>BANDUNG UTARA</v>
      </c>
      <c r="G1094" s="4" t="str">
        <f>IFERROR(__xludf.DUMMYFUNCTION("""COMPUTED_VALUE"""),"BENGKOK")</f>
        <v>BENGKOK</v>
      </c>
      <c r="H1094" s="4" t="str">
        <f>IFERROR(__xludf.DUMMYFUNCTION("""COMPUTED_VALUE"""),"PKW")</f>
        <v>PKW</v>
      </c>
      <c r="I1094" s="4" t="str">
        <f>IFERROR(__xludf.DUMMYFUNCTION("""COMPUTED_VALUE"""),"LBS PKW-DCLA")</f>
        <v>LBS PKW-DCLA</v>
      </c>
      <c r="J1094" s="4" t="str">
        <f>IFERROR(__xludf.DUMMYFUNCTION("""COMPUTED_VALUE"""),"ZONA 2")</f>
        <v>ZONA 2</v>
      </c>
      <c r="K1094" s="4" t="str">
        <f>IFERROR(__xludf.DUMMYFUNCTION("""COMPUTED_VALUE"""),"004")</f>
        <v>004</v>
      </c>
      <c r="L1094" s="4" t="str">
        <f>IFERROR(__xludf.DUMMYFUNCTION("""COMPUTED_VALUE"""),"TM - 8BC/HC (Percabangan dengan CO)")</f>
        <v>TM - 8BC/HC (Percabangan dengan CO)</v>
      </c>
      <c r="M1094" s="4" t="str">
        <f>IFERROR(__xludf.DUMMYFUNCTION("""COMPUTED_VALUE"""),"Tidak Ada")</f>
        <v>Tidak Ada</v>
      </c>
      <c r="N1094" s="4"/>
      <c r="O1094" s="4" t="str">
        <f>IFERROR(__xludf.DUMMYFUNCTION("""COMPUTED_VALUE"""),"PEMBANDING SEJENIS")</f>
        <v>PEMBANDING SEJENIS</v>
      </c>
      <c r="P1094" s="4" t="str">
        <f>IFERROR(__xludf.DUMMYFUNCTION("""COMPUTED_VALUE"""),"KONEKTOR/JUMPER")</f>
        <v>KONEKTOR/JUMPER</v>
      </c>
      <c r="Q1094" s="4">
        <f>IFERROR(__xludf.DUMMYFUNCTION("""COMPUTED_VALUE"""),18.0)</f>
        <v>18</v>
      </c>
      <c r="R1094" s="4">
        <f>IFERROR(__xludf.DUMMYFUNCTION("""COMPUTED_VALUE"""),18.0)</f>
        <v>18</v>
      </c>
      <c r="S1094" s="4">
        <f>IFERROR(__xludf.DUMMYFUNCTION("""COMPUTED_VALUE"""),18.0)</f>
        <v>18</v>
      </c>
      <c r="T1094" s="4"/>
      <c r="U1094" s="4" t="str">
        <f>IFERROR(__xludf.DUMMYFUNCTION("""COMPUTED_VALUE"""),"BAIK")</f>
        <v>BAIK</v>
      </c>
      <c r="V1094" s="4" t="str">
        <f>IFERROR(__xludf.DUMMYFUNCTION("""COMPUTED_VALUE"""),"Tidak Ada")</f>
        <v>Tidak Ada</v>
      </c>
      <c r="W1094" s="4"/>
      <c r="X1094" s="4"/>
      <c r="Y1094" s="4"/>
      <c r="Z1094" s="4"/>
      <c r="AA1094" s="4"/>
      <c r="AB1094" s="4"/>
      <c r="AC1094" s="4" t="str">
        <f>IFERROR(__xludf.DUMMYFUNCTION("""COMPUTED_VALUE"""),"INSPEKSI SUTM - T2_Images/c85d75e6.FOTO.024630.jpg")</f>
        <v>INSPEKSI SUTM - T2_Images/c85d75e6.FOTO.024630.jpg</v>
      </c>
      <c r="AD1094" s="4"/>
      <c r="AE1094" s="4"/>
      <c r="AF1094" s="4" t="str">
        <f>IFERROR(__xludf.DUMMYFUNCTION("""COMPUTED_VALUE"""),"BELUM")</f>
        <v>BELUM</v>
      </c>
      <c r="AG1094" s="6">
        <f>IFERROR(__xludf.DUMMYFUNCTION("""COMPUTED_VALUE"""),46137.0)</f>
        <v>46137</v>
      </c>
      <c r="AH1094" s="4"/>
      <c r="AI1094" s="4"/>
    </row>
    <row r="1095" ht="15.75" customHeight="1">
      <c r="A1095" s="4" t="str">
        <f>IFERROR(__xludf.DUMMYFUNCTION("""COMPUTED_VALUE"""),"45b91cc2")</f>
        <v>45b91cc2</v>
      </c>
      <c r="B1095" s="5">
        <f>IFERROR(__xludf.DUMMYFUNCTION("""COMPUTED_VALUE"""),46137.11137731482)</f>
        <v>46137.11138</v>
      </c>
      <c r="C1095" s="4" t="str">
        <f>IFERROR(__xludf.DUMMYFUNCTION("""COMPUTED_VALUE"""),"-6.963741, 107.646608")</f>
        <v>-6.963741, 107.646608</v>
      </c>
      <c r="D1095" s="4" t="str">
        <f>IFERROR(__xludf.DUMMYFUNCTION("""COMPUTED_VALUE"""),"Alam derl")</f>
        <v>Alam derl</v>
      </c>
      <c r="E1095" s="4" t="str">
        <f>IFERROR(__xludf.DUMMYFUNCTION("""COMPUTED_VALUE"""),"BANDUNG")</f>
        <v>BANDUNG</v>
      </c>
      <c r="F1095" s="4" t="str">
        <f>IFERROR(__xludf.DUMMYFUNCTION("""COMPUTED_VALUE"""),"BANDUNG UTARA")</f>
        <v>BANDUNG UTARA</v>
      </c>
      <c r="G1095" s="4" t="str">
        <f>IFERROR(__xludf.DUMMYFUNCTION("""COMPUTED_VALUE"""),"BENGKOK")</f>
        <v>BENGKOK</v>
      </c>
      <c r="H1095" s="4" t="str">
        <f>IFERROR(__xludf.DUMMYFUNCTION("""COMPUTED_VALUE"""),"PKW")</f>
        <v>PKW</v>
      </c>
      <c r="I1095" s="4" t="str">
        <f>IFERROR(__xludf.DUMMYFUNCTION("""COMPUTED_VALUE"""),"LBS PKW-DCLA")</f>
        <v>LBS PKW-DCLA</v>
      </c>
      <c r="J1095" s="4" t="str">
        <f>IFERROR(__xludf.DUMMYFUNCTION("""COMPUTED_VALUE"""),"ZONA 2")</f>
        <v>ZONA 2</v>
      </c>
      <c r="K1095" s="4" t="str">
        <f>IFERROR(__xludf.DUMMYFUNCTION("""COMPUTED_VALUE"""),"006")</f>
        <v>006</v>
      </c>
      <c r="L1095" s="4" t="str">
        <f>IFERROR(__xludf.DUMMYFUNCTION("""COMPUTED_VALUE"""),"TM - 8B/H (Percabangan)")</f>
        <v>TM - 8B/H (Percabangan)</v>
      </c>
      <c r="M1095" s="4" t="str">
        <f>IFERROR(__xludf.DUMMYFUNCTION("""COMPUTED_VALUE"""),"Tidak Ada")</f>
        <v>Tidak Ada</v>
      </c>
      <c r="N1095" s="4"/>
      <c r="O1095" s="4" t="str">
        <f>IFERROR(__xludf.DUMMYFUNCTION("""COMPUTED_VALUE"""),"PEMBANDING SEJENIS")</f>
        <v>PEMBANDING SEJENIS</v>
      </c>
      <c r="P1095" s="4" t="str">
        <f>IFERROR(__xludf.DUMMYFUNCTION("""COMPUTED_VALUE"""),"KONEKTOR/JUMPER")</f>
        <v>KONEKTOR/JUMPER</v>
      </c>
      <c r="Q1095" s="4">
        <f>IFERROR(__xludf.DUMMYFUNCTION("""COMPUTED_VALUE"""),18.0)</f>
        <v>18</v>
      </c>
      <c r="R1095" s="4">
        <f>IFERROR(__xludf.DUMMYFUNCTION("""COMPUTED_VALUE"""),17.0)</f>
        <v>17</v>
      </c>
      <c r="S1095" s="4">
        <f>IFERROR(__xludf.DUMMYFUNCTION("""COMPUTED_VALUE"""),17.0)</f>
        <v>17</v>
      </c>
      <c r="T1095" s="4"/>
      <c r="U1095" s="4" t="str">
        <f>IFERROR(__xludf.DUMMYFUNCTION("""COMPUTED_VALUE"""),"BAIK")</f>
        <v>BAIK</v>
      </c>
      <c r="V1095" s="4" t="str">
        <f>IFERROR(__xludf.DUMMYFUNCTION("""COMPUTED_VALUE"""),"Tidak Ada")</f>
        <v>Tidak Ada</v>
      </c>
      <c r="W1095" s="4"/>
      <c r="X1095" s="4"/>
      <c r="Y1095" s="4"/>
      <c r="Z1095" s="4"/>
      <c r="AA1095" s="4"/>
      <c r="AB1095" s="4"/>
      <c r="AC1095" s="4" t="str">
        <f>IFERROR(__xludf.DUMMYFUNCTION("""COMPUTED_VALUE"""),"INSPEKSI SUTM - T2_Images/45b91cc2.FOTO.024635.jpg")</f>
        <v>INSPEKSI SUTM - T2_Images/45b91cc2.FOTO.024635.jpg</v>
      </c>
      <c r="AD1095" s="4"/>
      <c r="AE1095" s="4"/>
      <c r="AF1095" s="4" t="str">
        <f>IFERROR(__xludf.DUMMYFUNCTION("""COMPUTED_VALUE"""),"BELUM")</f>
        <v>BELUM</v>
      </c>
      <c r="AG1095" s="6">
        <f>IFERROR(__xludf.DUMMYFUNCTION("""COMPUTED_VALUE"""),46137.0)</f>
        <v>46137</v>
      </c>
      <c r="AH1095" s="4"/>
      <c r="AI1095" s="4"/>
    </row>
    <row r="1096" ht="15.75" customHeight="1">
      <c r="A1096" s="4" t="str">
        <f>IFERROR(__xludf.DUMMYFUNCTION("""COMPUTED_VALUE"""),"c5df5c26")</f>
        <v>c5df5c26</v>
      </c>
      <c r="B1096" s="5">
        <f>IFERROR(__xludf.DUMMYFUNCTION("""COMPUTED_VALUE"""),46137.1121412037)</f>
        <v>46137.11214</v>
      </c>
      <c r="C1096" s="4" t="str">
        <f>IFERROR(__xludf.DUMMYFUNCTION("""COMPUTED_VALUE"""),"-6.963703, 107.646555")</f>
        <v>-6.963703, 107.646555</v>
      </c>
      <c r="D1096" s="4" t="str">
        <f>IFERROR(__xludf.DUMMYFUNCTION("""COMPUTED_VALUE"""),"Alam deril")</f>
        <v>Alam deril</v>
      </c>
      <c r="E1096" s="4" t="str">
        <f>IFERROR(__xludf.DUMMYFUNCTION("""COMPUTED_VALUE"""),"BANDUNG")</f>
        <v>BANDUNG</v>
      </c>
      <c r="F1096" s="4" t="str">
        <f>IFERROR(__xludf.DUMMYFUNCTION("""COMPUTED_VALUE"""),"BANDUNG UTARA")</f>
        <v>BANDUNG UTARA</v>
      </c>
      <c r="G1096" s="4" t="str">
        <f>IFERROR(__xludf.DUMMYFUNCTION("""COMPUTED_VALUE"""),"BENGKOK")</f>
        <v>BENGKOK</v>
      </c>
      <c r="H1096" s="4" t="str">
        <f>IFERROR(__xludf.DUMMYFUNCTION("""COMPUTED_VALUE"""),"PKW")</f>
        <v>PKW</v>
      </c>
      <c r="I1096" s="4" t="str">
        <f>IFERROR(__xludf.DUMMYFUNCTION("""COMPUTED_VALUE"""),"LBS PKW-DCLA")</f>
        <v>LBS PKW-DCLA</v>
      </c>
      <c r="J1096" s="4" t="str">
        <f>IFERROR(__xludf.DUMMYFUNCTION("""COMPUTED_VALUE"""),"ZONA 2")</f>
        <v>ZONA 2</v>
      </c>
      <c r="K1096" s="4" t="str">
        <f>IFERROR(__xludf.DUMMYFUNCTION("""COMPUTED_VALUE"""),"005")</f>
        <v>005</v>
      </c>
      <c r="L1096" s="4" t="str">
        <f>IFERROR(__xludf.DUMMYFUNCTION("""COMPUTED_VALUE"""),"TM - 1B/H (Tumpu)")</f>
        <v>TM - 1B/H (Tumpu)</v>
      </c>
      <c r="M1096" s="4" t="str">
        <f>IFERROR(__xludf.DUMMYFUNCTION("""COMPUTED_VALUE"""),"Tidak Ada")</f>
        <v>Tidak Ada</v>
      </c>
      <c r="N1096" s="4"/>
      <c r="O1096" s="4" t="str">
        <f>IFERROR(__xludf.DUMMYFUNCTION("""COMPUTED_VALUE"""),"PEMBANDING SEJENIS")</f>
        <v>PEMBANDING SEJENIS</v>
      </c>
      <c r="P1096" s="4" t="str">
        <f>IFERROR(__xludf.DUMMYFUNCTION("""COMPUTED_VALUE"""),"ARRESTER")</f>
        <v>ARRESTER</v>
      </c>
      <c r="Q1096" s="4">
        <f>IFERROR(__xludf.DUMMYFUNCTION("""COMPUTED_VALUE"""),18.0)</f>
        <v>18</v>
      </c>
      <c r="R1096" s="4">
        <f>IFERROR(__xludf.DUMMYFUNCTION("""COMPUTED_VALUE"""),18.0)</f>
        <v>18</v>
      </c>
      <c r="S1096" s="4">
        <f>IFERROR(__xludf.DUMMYFUNCTION("""COMPUTED_VALUE"""),19.0)</f>
        <v>19</v>
      </c>
      <c r="T1096" s="4"/>
      <c r="U1096" s="4" t="str">
        <f>IFERROR(__xludf.DUMMYFUNCTION("""COMPUTED_VALUE"""),"BAIK")</f>
        <v>BAIK</v>
      </c>
      <c r="V1096" s="4" t="str">
        <f>IFERROR(__xludf.DUMMYFUNCTION("""COMPUTED_VALUE"""),"Tidak Ada")</f>
        <v>Tidak Ada</v>
      </c>
      <c r="W1096" s="4"/>
      <c r="X1096" s="4"/>
      <c r="Y1096" s="4"/>
      <c r="Z1096" s="4"/>
      <c r="AA1096" s="4"/>
      <c r="AB1096" s="4"/>
      <c r="AC1096" s="4" t="str">
        <f>IFERROR(__xludf.DUMMYFUNCTION("""COMPUTED_VALUE"""),"INSPEKSI SUTM - T2_Images/c5df5c26.FOTO.024726.jpg")</f>
        <v>INSPEKSI SUTM - T2_Images/c5df5c26.FOTO.024726.jpg</v>
      </c>
      <c r="AD1096" s="4"/>
      <c r="AE1096" s="4"/>
      <c r="AF1096" s="4" t="str">
        <f>IFERROR(__xludf.DUMMYFUNCTION("""COMPUTED_VALUE"""),"BELUM")</f>
        <v>BELUM</v>
      </c>
      <c r="AG1096" s="6">
        <f>IFERROR(__xludf.DUMMYFUNCTION("""COMPUTED_VALUE"""),46137.0)</f>
        <v>46137</v>
      </c>
      <c r="AH1096" s="4"/>
      <c r="AI1096" s="4"/>
    </row>
    <row r="1097" ht="15.75" customHeight="1">
      <c r="A1097" s="4" t="str">
        <f>IFERROR(__xludf.DUMMYFUNCTION("""COMPUTED_VALUE"""),"a2d1d280")</f>
        <v>a2d1d280</v>
      </c>
      <c r="B1097" s="5">
        <f>IFERROR(__xludf.DUMMYFUNCTION("""COMPUTED_VALUE"""),46137.11386574074)</f>
        <v>46137.11387</v>
      </c>
      <c r="C1097" s="4" t="str">
        <f>IFERROR(__xludf.DUMMYFUNCTION("""COMPUTED_VALUE"""),"-6.963706, 107.646555")</f>
        <v>-6.963706, 107.646555</v>
      </c>
      <c r="D1097" s="4" t="str">
        <f>IFERROR(__xludf.DUMMYFUNCTION("""COMPUTED_VALUE"""),"Alam deril")</f>
        <v>Alam deril</v>
      </c>
      <c r="E1097" s="4" t="str">
        <f>IFERROR(__xludf.DUMMYFUNCTION("""COMPUTED_VALUE"""),"BANDUNG")</f>
        <v>BANDUNG</v>
      </c>
      <c r="F1097" s="4" t="str">
        <f>IFERROR(__xludf.DUMMYFUNCTION("""COMPUTED_VALUE"""),"BANDUNG UTARA")</f>
        <v>BANDUNG UTARA</v>
      </c>
      <c r="G1097" s="4" t="str">
        <f>IFERROR(__xludf.DUMMYFUNCTION("""COMPUTED_VALUE"""),"BENGKOK")</f>
        <v>BENGKOK</v>
      </c>
      <c r="H1097" s="4" t="str">
        <f>IFERROR(__xludf.DUMMYFUNCTION("""COMPUTED_VALUE"""),"PKW")</f>
        <v>PKW</v>
      </c>
      <c r="I1097" s="4" t="str">
        <f>IFERROR(__xludf.DUMMYFUNCTION("""COMPUTED_VALUE"""),"LBS PKW-DCLA")</f>
        <v>LBS PKW-DCLA</v>
      </c>
      <c r="J1097" s="4" t="str">
        <f>IFERROR(__xludf.DUMMYFUNCTION("""COMPUTED_VALUE"""),"ZONA 2")</f>
        <v>ZONA 2</v>
      </c>
      <c r="K1097" s="4" t="str">
        <f>IFERROR(__xludf.DUMMYFUNCTION("""COMPUTED_VALUE"""),"009")</f>
        <v>009</v>
      </c>
      <c r="L1097" s="4" t="str">
        <f>IFERROR(__xludf.DUMMYFUNCTION("""COMPUTED_VALUE"""),"TM - 4B/H (Afspan)")</f>
        <v>TM - 4B/H (Afspan)</v>
      </c>
      <c r="M1097" s="4" t="str">
        <f>IFERROR(__xludf.DUMMYFUNCTION("""COMPUTED_VALUE"""),"Tidak Ada")</f>
        <v>Tidak Ada</v>
      </c>
      <c r="N1097" s="4"/>
      <c r="O1097" s="4" t="str">
        <f>IFERROR(__xludf.DUMMYFUNCTION("""COMPUTED_VALUE"""),"PEMBANDING SEJENIS")</f>
        <v>PEMBANDING SEJENIS</v>
      </c>
      <c r="P1097" s="4" t="str">
        <f>IFERROR(__xludf.DUMMYFUNCTION("""COMPUTED_VALUE"""),"KONEKTOR/JUMPER")</f>
        <v>KONEKTOR/JUMPER</v>
      </c>
      <c r="Q1097" s="4">
        <f>IFERROR(__xludf.DUMMYFUNCTION("""COMPUTED_VALUE"""),18.0)</f>
        <v>18</v>
      </c>
      <c r="R1097" s="4">
        <f>IFERROR(__xludf.DUMMYFUNCTION("""COMPUTED_VALUE"""),18.0)</f>
        <v>18</v>
      </c>
      <c r="S1097" s="4">
        <f>IFERROR(__xludf.DUMMYFUNCTION("""COMPUTED_VALUE"""),18.0)</f>
        <v>18</v>
      </c>
      <c r="T1097" s="4"/>
      <c r="U1097" s="4" t="str">
        <f>IFERROR(__xludf.DUMMYFUNCTION("""COMPUTED_VALUE"""),"BAIK")</f>
        <v>BAIK</v>
      </c>
      <c r="V1097" s="4" t="str">
        <f>IFERROR(__xludf.DUMMYFUNCTION("""COMPUTED_VALUE"""),"Tidak Ada")</f>
        <v>Tidak Ada</v>
      </c>
      <c r="W1097" s="4"/>
      <c r="X1097" s="4"/>
      <c r="Y1097" s="4"/>
      <c r="Z1097" s="4"/>
      <c r="AA1097" s="4"/>
      <c r="AB1097" s="4"/>
      <c r="AC1097" s="4" t="str">
        <f>IFERROR(__xludf.DUMMYFUNCTION("""COMPUTED_VALUE"""),"INSPEKSI SUTM - T2_Images/a2d1d280.FOTO.025006.jpg")</f>
        <v>INSPEKSI SUTM - T2_Images/a2d1d280.FOTO.025006.jpg</v>
      </c>
      <c r="AD1097" s="4"/>
      <c r="AE1097" s="4"/>
      <c r="AF1097" s="4" t="str">
        <f>IFERROR(__xludf.DUMMYFUNCTION("""COMPUTED_VALUE"""),"BELUM")</f>
        <v>BELUM</v>
      </c>
      <c r="AG1097" s="6">
        <f>IFERROR(__xludf.DUMMYFUNCTION("""COMPUTED_VALUE"""),46137.0)</f>
        <v>46137</v>
      </c>
      <c r="AH1097" s="4"/>
      <c r="AI1097" s="4"/>
    </row>
    <row r="1098" ht="15.75" customHeight="1">
      <c r="A1098" s="4" t="str">
        <f>IFERROR(__xludf.DUMMYFUNCTION("""COMPUTED_VALUE"""),"7f97bc91")</f>
        <v>7f97bc91</v>
      </c>
      <c r="B1098" s="5">
        <f>IFERROR(__xludf.DUMMYFUNCTION("""COMPUTED_VALUE"""),46137.11451388889)</f>
        <v>46137.11451</v>
      </c>
      <c r="C1098" s="4" t="str">
        <f>IFERROR(__xludf.DUMMYFUNCTION("""COMPUTED_VALUE"""),"-6.963689, 107.646558")</f>
        <v>-6.963689, 107.646558</v>
      </c>
      <c r="D1098" s="4" t="str">
        <f>IFERROR(__xludf.DUMMYFUNCTION("""COMPUTED_VALUE"""),"Alam deril")</f>
        <v>Alam deril</v>
      </c>
      <c r="E1098" s="4" t="str">
        <f>IFERROR(__xludf.DUMMYFUNCTION("""COMPUTED_VALUE"""),"BANDUNG")</f>
        <v>BANDUNG</v>
      </c>
      <c r="F1098" s="4" t="str">
        <f>IFERROR(__xludf.DUMMYFUNCTION("""COMPUTED_VALUE"""),"BANDUNG UTARA")</f>
        <v>BANDUNG UTARA</v>
      </c>
      <c r="G1098" s="4" t="str">
        <f>IFERROR(__xludf.DUMMYFUNCTION("""COMPUTED_VALUE"""),"BENGKOK")</f>
        <v>BENGKOK</v>
      </c>
      <c r="H1098" s="4" t="str">
        <f>IFERROR(__xludf.DUMMYFUNCTION("""COMPUTED_VALUE"""),"PKW")</f>
        <v>PKW</v>
      </c>
      <c r="I1098" s="4" t="str">
        <f>IFERROR(__xludf.DUMMYFUNCTION("""COMPUTED_VALUE"""),"LBS PKW-DCLA")</f>
        <v>LBS PKW-DCLA</v>
      </c>
      <c r="J1098" s="4" t="str">
        <f>IFERROR(__xludf.DUMMYFUNCTION("""COMPUTED_VALUE"""),"ZONA 2")</f>
        <v>ZONA 2</v>
      </c>
      <c r="K1098" s="4" t="str">
        <f>IFERROR(__xludf.DUMMYFUNCTION("""COMPUTED_VALUE"""),"012")</f>
        <v>012</v>
      </c>
      <c r="L1098" s="4" t="str">
        <f>IFERROR(__xludf.DUMMYFUNCTION("""COMPUTED_VALUE"""),"TM - 4B/H (Afspan)")</f>
        <v>TM - 4B/H (Afspan)</v>
      </c>
      <c r="M1098" s="4" t="str">
        <f>IFERROR(__xludf.DUMMYFUNCTION("""COMPUTED_VALUE"""),"Tidak Ada")</f>
        <v>Tidak Ada</v>
      </c>
      <c r="N1098" s="4"/>
      <c r="O1098" s="4" t="str">
        <f>IFERROR(__xludf.DUMMYFUNCTION("""COMPUTED_VALUE"""),"PEMBANDING SEJENIS")</f>
        <v>PEMBANDING SEJENIS</v>
      </c>
      <c r="P1098" s="4" t="str">
        <f>IFERROR(__xludf.DUMMYFUNCTION("""COMPUTED_VALUE"""),"KONEKTOR/JUMPER")</f>
        <v>KONEKTOR/JUMPER</v>
      </c>
      <c r="Q1098" s="4">
        <f>IFERROR(__xludf.DUMMYFUNCTION("""COMPUTED_VALUE"""),18.0)</f>
        <v>18</v>
      </c>
      <c r="R1098" s="4">
        <f>IFERROR(__xludf.DUMMYFUNCTION("""COMPUTED_VALUE"""),17.0)</f>
        <v>17</v>
      </c>
      <c r="S1098" s="4">
        <f>IFERROR(__xludf.DUMMYFUNCTION("""COMPUTED_VALUE"""),18.0)</f>
        <v>18</v>
      </c>
      <c r="T1098" s="4"/>
      <c r="U1098" s="4" t="str">
        <f>IFERROR(__xludf.DUMMYFUNCTION("""COMPUTED_VALUE"""),"BAIK")</f>
        <v>BAIK</v>
      </c>
      <c r="V1098" s="4" t="str">
        <f>IFERROR(__xludf.DUMMYFUNCTION("""COMPUTED_VALUE"""),"Tidak Ada")</f>
        <v>Tidak Ada</v>
      </c>
      <c r="W1098" s="4"/>
      <c r="X1098" s="4"/>
      <c r="Y1098" s="4"/>
      <c r="Z1098" s="4"/>
      <c r="AA1098" s="4"/>
      <c r="AB1098" s="4"/>
      <c r="AC1098" s="4" t="str">
        <f>IFERROR(__xludf.DUMMYFUNCTION("""COMPUTED_VALUE"""),"INSPEKSI SUTM - T2_Images/7f97bc91.FOTO.025046.jpg")</f>
        <v>INSPEKSI SUTM - T2_Images/7f97bc91.FOTO.025046.jpg</v>
      </c>
      <c r="AD1098" s="4"/>
      <c r="AE1098" s="4"/>
      <c r="AF1098" s="4" t="str">
        <f>IFERROR(__xludf.DUMMYFUNCTION("""COMPUTED_VALUE"""),"BELUM")</f>
        <v>BELUM</v>
      </c>
      <c r="AG1098" s="6">
        <f>IFERROR(__xludf.DUMMYFUNCTION("""COMPUTED_VALUE"""),46137.0)</f>
        <v>46137</v>
      </c>
      <c r="AH1098" s="4"/>
      <c r="AI1098" s="4"/>
    </row>
    <row r="1099" ht="15.75" customHeight="1">
      <c r="A1099" s="4" t="str">
        <f>IFERROR(__xludf.DUMMYFUNCTION("""COMPUTED_VALUE"""),"49bed4b9")</f>
        <v>49bed4b9</v>
      </c>
      <c r="B1099" s="5">
        <f>IFERROR(__xludf.DUMMYFUNCTION("""COMPUTED_VALUE"""),46137.116435185184)</f>
        <v>46137.11644</v>
      </c>
      <c r="C1099" s="4" t="str">
        <f>IFERROR(__xludf.DUMMYFUNCTION("""COMPUTED_VALUE"""),"-6.963689, 107.646565")</f>
        <v>-6.963689, 107.646565</v>
      </c>
      <c r="D1099" s="4" t="str">
        <f>IFERROR(__xludf.DUMMYFUNCTION("""COMPUTED_VALUE"""),"Alam deril")</f>
        <v>Alam deril</v>
      </c>
      <c r="E1099" s="4" t="str">
        <f>IFERROR(__xludf.DUMMYFUNCTION("""COMPUTED_VALUE"""),"BANDUNG")</f>
        <v>BANDUNG</v>
      </c>
      <c r="F1099" s="4" t="str">
        <f>IFERROR(__xludf.DUMMYFUNCTION("""COMPUTED_VALUE"""),"BANDUNG UTARA")</f>
        <v>BANDUNG UTARA</v>
      </c>
      <c r="G1099" s="4" t="str">
        <f>IFERROR(__xludf.DUMMYFUNCTION("""COMPUTED_VALUE"""),"BENGKOK")</f>
        <v>BENGKOK</v>
      </c>
      <c r="H1099" s="4" t="str">
        <f>IFERROR(__xludf.DUMMYFUNCTION("""COMPUTED_VALUE"""),"PKW")</f>
        <v>PKW</v>
      </c>
      <c r="I1099" s="4" t="str">
        <f>IFERROR(__xludf.DUMMYFUNCTION("""COMPUTED_VALUE"""),"LBS PKW-DCLA")</f>
        <v>LBS PKW-DCLA</v>
      </c>
      <c r="J1099" s="4" t="str">
        <f>IFERROR(__xludf.DUMMYFUNCTION("""COMPUTED_VALUE"""),"ZONA 2")</f>
        <v>ZONA 2</v>
      </c>
      <c r="K1099" s="4" t="str">
        <f>IFERROR(__xludf.DUMMYFUNCTION("""COMPUTED_VALUE"""),"016")</f>
        <v>016</v>
      </c>
      <c r="L1099" s="4" t="str">
        <f>IFERROR(__xludf.DUMMYFUNCTION("""COMPUTED_VALUE"""),"TM - 8B/H (Percabangan)")</f>
        <v>TM - 8B/H (Percabangan)</v>
      </c>
      <c r="M1099" s="4" t="str">
        <f>IFERROR(__xludf.DUMMYFUNCTION("""COMPUTED_VALUE"""),"Tidak Ada")</f>
        <v>Tidak Ada</v>
      </c>
      <c r="N1099" s="4"/>
      <c r="O1099" s="4" t="str">
        <f>IFERROR(__xludf.DUMMYFUNCTION("""COMPUTED_VALUE"""),"PEMBANDING SEJENIS")</f>
        <v>PEMBANDING SEJENIS</v>
      </c>
      <c r="P1099" s="4" t="str">
        <f>IFERROR(__xludf.DUMMYFUNCTION("""COMPUTED_VALUE"""),"KONEKTOR/JUMPER")</f>
        <v>KONEKTOR/JUMPER</v>
      </c>
      <c r="Q1099" s="4">
        <f>IFERROR(__xludf.DUMMYFUNCTION("""COMPUTED_VALUE"""),17.0)</f>
        <v>17</v>
      </c>
      <c r="R1099" s="4">
        <f>IFERROR(__xludf.DUMMYFUNCTION("""COMPUTED_VALUE"""),17.0)</f>
        <v>17</v>
      </c>
      <c r="S1099" s="4">
        <f>IFERROR(__xludf.DUMMYFUNCTION("""COMPUTED_VALUE"""),17.0)</f>
        <v>17</v>
      </c>
      <c r="T1099" s="4"/>
      <c r="U1099" s="4" t="str">
        <f>IFERROR(__xludf.DUMMYFUNCTION("""COMPUTED_VALUE"""),"BAIK")</f>
        <v>BAIK</v>
      </c>
      <c r="V1099" s="4" t="str">
        <f>IFERROR(__xludf.DUMMYFUNCTION("""COMPUTED_VALUE"""),"Tidak Ada")</f>
        <v>Tidak Ada</v>
      </c>
      <c r="W1099" s="4"/>
      <c r="X1099" s="4"/>
      <c r="Y1099" s="4"/>
      <c r="Z1099" s="4"/>
      <c r="AA1099" s="4"/>
      <c r="AB1099" s="4"/>
      <c r="AC1099" s="4" t="str">
        <f>IFERROR(__xludf.DUMMYFUNCTION("""COMPUTED_VALUE"""),"INSPEKSI SUTM - T2_Images/49bed4b9.FOTO.025340.jpg")</f>
        <v>INSPEKSI SUTM - T2_Images/49bed4b9.FOTO.025340.jpg</v>
      </c>
      <c r="AD1099" s="4"/>
      <c r="AE1099" s="4"/>
      <c r="AF1099" s="4" t="str">
        <f>IFERROR(__xludf.DUMMYFUNCTION("""COMPUTED_VALUE"""),"BELUM")</f>
        <v>BELUM</v>
      </c>
      <c r="AG1099" s="6">
        <f>IFERROR(__xludf.DUMMYFUNCTION("""COMPUTED_VALUE"""),46137.0)</f>
        <v>46137</v>
      </c>
      <c r="AH1099" s="4"/>
      <c r="AI1099" s="4"/>
    </row>
    <row r="1100" ht="15.75" customHeight="1">
      <c r="A1100" s="4" t="str">
        <f>IFERROR(__xludf.DUMMYFUNCTION("""COMPUTED_VALUE"""),"7cf29715")</f>
        <v>7cf29715</v>
      </c>
      <c r="B1100" s="5">
        <f>IFERROR(__xludf.DUMMYFUNCTION("""COMPUTED_VALUE"""),46137.11734953704)</f>
        <v>46137.11735</v>
      </c>
      <c r="C1100" s="4" t="str">
        <f>IFERROR(__xludf.DUMMYFUNCTION("""COMPUTED_VALUE"""),"-6.963699, 107.646555")</f>
        <v>-6.963699, 107.646555</v>
      </c>
      <c r="D1100" s="4" t="str">
        <f>IFERROR(__xludf.DUMMYFUNCTION("""COMPUTED_VALUE"""),"Alam deril")</f>
        <v>Alam deril</v>
      </c>
      <c r="E1100" s="4" t="str">
        <f>IFERROR(__xludf.DUMMYFUNCTION("""COMPUTED_VALUE"""),"BANDUNG")</f>
        <v>BANDUNG</v>
      </c>
      <c r="F1100" s="4" t="str">
        <f>IFERROR(__xludf.DUMMYFUNCTION("""COMPUTED_VALUE"""),"BANDUNG UTARA")</f>
        <v>BANDUNG UTARA</v>
      </c>
      <c r="G1100" s="4" t="str">
        <f>IFERROR(__xludf.DUMMYFUNCTION("""COMPUTED_VALUE"""),"BENGKOK")</f>
        <v>BENGKOK</v>
      </c>
      <c r="H1100" s="4" t="str">
        <f>IFERROR(__xludf.DUMMYFUNCTION("""COMPUTED_VALUE"""),"PKW")</f>
        <v>PKW</v>
      </c>
      <c r="I1100" s="4" t="str">
        <f>IFERROR(__xludf.DUMMYFUNCTION("""COMPUTED_VALUE"""),"LBS PKW-DCLA")</f>
        <v>LBS PKW-DCLA</v>
      </c>
      <c r="J1100" s="4" t="str">
        <f>IFERROR(__xludf.DUMMYFUNCTION("""COMPUTED_VALUE"""),"ZONA 2")</f>
        <v>ZONA 2</v>
      </c>
      <c r="K1100" s="4" t="str">
        <f>IFERROR(__xludf.DUMMYFUNCTION("""COMPUTED_VALUE"""),"022")</f>
        <v>022</v>
      </c>
      <c r="L1100" s="4" t="str">
        <f>IFERROR(__xludf.DUMMYFUNCTION("""COMPUTED_VALUE"""),"TM - 4B/H (Afspan)")</f>
        <v>TM - 4B/H (Afspan)</v>
      </c>
      <c r="M1100" s="4" t="str">
        <f>IFERROR(__xludf.DUMMYFUNCTION("""COMPUTED_VALUE"""),"Tidak Ada")</f>
        <v>Tidak Ada</v>
      </c>
      <c r="N1100" s="4"/>
      <c r="O1100" s="4" t="str">
        <f>IFERROR(__xludf.DUMMYFUNCTION("""COMPUTED_VALUE"""),"PEMBANDING SEJENIS")</f>
        <v>PEMBANDING SEJENIS</v>
      </c>
      <c r="P1100" s="4" t="str">
        <f>IFERROR(__xludf.DUMMYFUNCTION("""COMPUTED_VALUE"""),"KONEKTOR/JUMPER")</f>
        <v>KONEKTOR/JUMPER</v>
      </c>
      <c r="Q1100" s="4">
        <f>IFERROR(__xludf.DUMMYFUNCTION("""COMPUTED_VALUE"""),17.0)</f>
        <v>17</v>
      </c>
      <c r="R1100" s="4">
        <f>IFERROR(__xludf.DUMMYFUNCTION("""COMPUTED_VALUE"""),17.0)</f>
        <v>17</v>
      </c>
      <c r="S1100" s="4">
        <f>IFERROR(__xludf.DUMMYFUNCTION("""COMPUTED_VALUE"""),16.0)</f>
        <v>16</v>
      </c>
      <c r="T1100" s="4"/>
      <c r="U1100" s="4" t="str">
        <f>IFERROR(__xludf.DUMMYFUNCTION("""COMPUTED_VALUE"""),"BAIK")</f>
        <v>BAIK</v>
      </c>
      <c r="V1100" s="4" t="str">
        <f>IFERROR(__xludf.DUMMYFUNCTION("""COMPUTED_VALUE"""),"Tidak Ada")</f>
        <v>Tidak Ada</v>
      </c>
      <c r="W1100" s="4"/>
      <c r="X1100" s="4"/>
      <c r="Y1100" s="4"/>
      <c r="Z1100" s="4"/>
      <c r="AA1100" s="4"/>
      <c r="AB1100" s="4"/>
      <c r="AC1100" s="4" t="str">
        <f>IFERROR(__xludf.DUMMYFUNCTION("""COMPUTED_VALUE"""),"INSPEKSI SUTM - T2_Images/7cf29715.FOTO.025456.jpg")</f>
        <v>INSPEKSI SUTM - T2_Images/7cf29715.FOTO.025456.jpg</v>
      </c>
      <c r="AD1100" s="4"/>
      <c r="AE1100" s="4"/>
      <c r="AF1100" s="4" t="str">
        <f>IFERROR(__xludf.DUMMYFUNCTION("""COMPUTED_VALUE"""),"BELUM")</f>
        <v>BELUM</v>
      </c>
      <c r="AG1100" s="6">
        <f>IFERROR(__xludf.DUMMYFUNCTION("""COMPUTED_VALUE"""),46137.0)</f>
        <v>46137</v>
      </c>
      <c r="AH1100" s="4"/>
      <c r="AI1100" s="4"/>
    </row>
    <row r="1101" ht="15.75" customHeight="1">
      <c r="A1101" s="4" t="str">
        <f>IFERROR(__xludf.DUMMYFUNCTION("""COMPUTED_VALUE"""),"35614170")</f>
        <v>35614170</v>
      </c>
      <c r="B1101" s="5">
        <f>IFERROR(__xludf.DUMMYFUNCTION("""COMPUTED_VALUE"""),46137.118055555555)</f>
        <v>46137.11806</v>
      </c>
      <c r="C1101" s="4" t="str">
        <f>IFERROR(__xludf.DUMMYFUNCTION("""COMPUTED_VALUE"""),"-6.963694, 107.646559")</f>
        <v>-6.963694, 107.646559</v>
      </c>
      <c r="D1101" s="4" t="str">
        <f>IFERROR(__xludf.DUMMYFUNCTION("""COMPUTED_VALUE"""),"Alam deril")</f>
        <v>Alam deril</v>
      </c>
      <c r="E1101" s="4" t="str">
        <f>IFERROR(__xludf.DUMMYFUNCTION("""COMPUTED_VALUE"""),"BANDUNG")</f>
        <v>BANDUNG</v>
      </c>
      <c r="F1101" s="4" t="str">
        <f>IFERROR(__xludf.DUMMYFUNCTION("""COMPUTED_VALUE"""),"BANDUNG UTARA")</f>
        <v>BANDUNG UTARA</v>
      </c>
      <c r="G1101" s="4" t="str">
        <f>IFERROR(__xludf.DUMMYFUNCTION("""COMPUTED_VALUE"""),"BENGKOK")</f>
        <v>BENGKOK</v>
      </c>
      <c r="H1101" s="4" t="str">
        <f>IFERROR(__xludf.DUMMYFUNCTION("""COMPUTED_VALUE"""),"PKW")</f>
        <v>PKW</v>
      </c>
      <c r="I1101" s="4" t="str">
        <f>IFERROR(__xludf.DUMMYFUNCTION("""COMPUTED_VALUE"""),"LBS PKW-DCLA")</f>
        <v>LBS PKW-DCLA</v>
      </c>
      <c r="J1101" s="4" t="str">
        <f>IFERROR(__xludf.DUMMYFUNCTION("""COMPUTED_VALUE"""),"ZONA 2")</f>
        <v>ZONA 2</v>
      </c>
      <c r="K1101" s="4" t="str">
        <f>IFERROR(__xludf.DUMMYFUNCTION("""COMPUTED_VALUE"""),"024")</f>
        <v>024</v>
      </c>
      <c r="L1101" s="4" t="str">
        <f>IFERROR(__xludf.DUMMYFUNCTION("""COMPUTED_VALUE"""),"TM - 8B/H (Percabangan)")</f>
        <v>TM - 8B/H (Percabangan)</v>
      </c>
      <c r="M1101" s="4" t="str">
        <f>IFERROR(__xludf.DUMMYFUNCTION("""COMPUTED_VALUE"""),"Tidak Ada")</f>
        <v>Tidak Ada</v>
      </c>
      <c r="N1101" s="4"/>
      <c r="O1101" s="4" t="str">
        <f>IFERROR(__xludf.DUMMYFUNCTION("""COMPUTED_VALUE"""),"PEMBANDING SEJENIS")</f>
        <v>PEMBANDING SEJENIS</v>
      </c>
      <c r="P1101" s="4" t="str">
        <f>IFERROR(__xludf.DUMMYFUNCTION("""COMPUTED_VALUE"""),"TERMINASI")</f>
        <v>TERMINASI</v>
      </c>
      <c r="Q1101" s="4">
        <f>IFERROR(__xludf.DUMMYFUNCTION("""COMPUTED_VALUE"""),17.0)</f>
        <v>17</v>
      </c>
      <c r="R1101" s="4">
        <f>IFERROR(__xludf.DUMMYFUNCTION("""COMPUTED_VALUE"""),17.0)</f>
        <v>17</v>
      </c>
      <c r="S1101" s="4">
        <f>IFERROR(__xludf.DUMMYFUNCTION("""COMPUTED_VALUE"""),18.0)</f>
        <v>18</v>
      </c>
      <c r="T1101" s="4"/>
      <c r="U1101" s="4" t="str">
        <f>IFERROR(__xludf.DUMMYFUNCTION("""COMPUTED_VALUE"""),"BAIK")</f>
        <v>BAIK</v>
      </c>
      <c r="V1101" s="4" t="str">
        <f>IFERROR(__xludf.DUMMYFUNCTION("""COMPUTED_VALUE"""),"Tidak Ada")</f>
        <v>Tidak Ada</v>
      </c>
      <c r="W1101" s="4"/>
      <c r="X1101" s="4"/>
      <c r="Y1101" s="4"/>
      <c r="Z1101" s="4"/>
      <c r="AA1101" s="4"/>
      <c r="AB1101" s="4"/>
      <c r="AC1101" s="4" t="str">
        <f>IFERROR(__xludf.DUMMYFUNCTION("""COMPUTED_VALUE"""),"INSPEKSI SUTM - T2_Images/35614170.FOTO.025622.jpg")</f>
        <v>INSPEKSI SUTM - T2_Images/35614170.FOTO.025622.jpg</v>
      </c>
      <c r="AD1101" s="4"/>
      <c r="AE1101" s="4"/>
      <c r="AF1101" s="4" t="str">
        <f>IFERROR(__xludf.DUMMYFUNCTION("""COMPUTED_VALUE"""),"BELUM")</f>
        <v>BELUM</v>
      </c>
      <c r="AG1101" s="6">
        <f>IFERROR(__xludf.DUMMYFUNCTION("""COMPUTED_VALUE"""),46137.0)</f>
        <v>46137</v>
      </c>
      <c r="AH1101" s="4"/>
      <c r="AI1101" s="4"/>
    </row>
    <row r="1102" ht="15.75" customHeight="1">
      <c r="A1102" s="4" t="str">
        <f>IFERROR(__xludf.DUMMYFUNCTION("""COMPUTED_VALUE"""),"d55e473c")</f>
        <v>d55e473c</v>
      </c>
      <c r="B1102" s="5">
        <f>IFERROR(__xludf.DUMMYFUNCTION("""COMPUTED_VALUE"""),46137.11922453704)</f>
        <v>46137.11922</v>
      </c>
      <c r="C1102" s="4" t="str">
        <f>IFERROR(__xludf.DUMMYFUNCTION("""COMPUTED_VALUE"""),"-6.963674, 107.646550")</f>
        <v>-6.963674, 107.646550</v>
      </c>
      <c r="D1102" s="4" t="str">
        <f>IFERROR(__xludf.DUMMYFUNCTION("""COMPUTED_VALUE"""),"Alam deril")</f>
        <v>Alam deril</v>
      </c>
      <c r="E1102" s="4" t="str">
        <f>IFERROR(__xludf.DUMMYFUNCTION("""COMPUTED_VALUE"""),"BANDUNG")</f>
        <v>BANDUNG</v>
      </c>
      <c r="F1102" s="4" t="str">
        <f>IFERROR(__xludf.DUMMYFUNCTION("""COMPUTED_VALUE"""),"BANDUNG UTARA")</f>
        <v>BANDUNG UTARA</v>
      </c>
      <c r="G1102" s="4" t="str">
        <f>IFERROR(__xludf.DUMMYFUNCTION("""COMPUTED_VALUE"""),"BENGKOK")</f>
        <v>BENGKOK</v>
      </c>
      <c r="H1102" s="4" t="str">
        <f>IFERROR(__xludf.DUMMYFUNCTION("""COMPUTED_VALUE"""),"PKW")</f>
        <v>PKW</v>
      </c>
      <c r="I1102" s="4" t="str">
        <f>IFERROR(__xludf.DUMMYFUNCTION("""COMPUTED_VALUE"""),"LBS PKW-DCLA")</f>
        <v>LBS PKW-DCLA</v>
      </c>
      <c r="J1102" s="4" t="str">
        <f>IFERROR(__xludf.DUMMYFUNCTION("""COMPUTED_VALUE"""),"ZONA 2")</f>
        <v>ZONA 2</v>
      </c>
      <c r="K1102" s="4" t="str">
        <f>IFERROR(__xludf.DUMMYFUNCTION("""COMPUTED_VALUE"""),"025")</f>
        <v>025</v>
      </c>
      <c r="L1102" s="4" t="str">
        <f>IFERROR(__xludf.DUMMYFUNCTION("""COMPUTED_VALUE"""),"TM - 16B/H (REC/SSO/LBS)")</f>
        <v>TM - 16B/H (REC/SSO/LBS)</v>
      </c>
      <c r="M1102" s="4" t="str">
        <f>IFERROR(__xludf.DUMMYFUNCTION("""COMPUTED_VALUE"""),"LBS")</f>
        <v>LBS</v>
      </c>
      <c r="N1102" s="4" t="str">
        <f>IFERROR(__xludf.DUMMYFUNCTION("""COMPUTED_VALUE"""),"PKWC")</f>
        <v>PKWC</v>
      </c>
      <c r="O1102" s="4" t="str">
        <f>IFERROR(__xludf.DUMMYFUNCTION("""COMPUTED_VALUE"""),"PEMBANDING SEJENIS")</f>
        <v>PEMBANDING SEJENIS</v>
      </c>
      <c r="P1102" s="4" t="str">
        <f>IFERROR(__xludf.DUMMYFUNCTION("""COMPUTED_VALUE"""),"ARRESTER")</f>
        <v>ARRESTER</v>
      </c>
      <c r="Q1102" s="4">
        <f>IFERROR(__xludf.DUMMYFUNCTION("""COMPUTED_VALUE"""),18.0)</f>
        <v>18</v>
      </c>
      <c r="R1102" s="4">
        <f>IFERROR(__xludf.DUMMYFUNCTION("""COMPUTED_VALUE"""),18.0)</f>
        <v>18</v>
      </c>
      <c r="S1102" s="4">
        <f>IFERROR(__xludf.DUMMYFUNCTION("""COMPUTED_VALUE"""),18.0)</f>
        <v>18</v>
      </c>
      <c r="T1102" s="4"/>
      <c r="U1102" s="4" t="str">
        <f>IFERROR(__xludf.DUMMYFUNCTION("""COMPUTED_VALUE"""),"BAIK")</f>
        <v>BAIK</v>
      </c>
      <c r="V1102" s="4" t="str">
        <f>IFERROR(__xludf.DUMMYFUNCTION("""COMPUTED_VALUE"""),"Tidak Ada")</f>
        <v>Tidak Ada</v>
      </c>
      <c r="W1102" s="4"/>
      <c r="X1102" s="4"/>
      <c r="Y1102" s="4"/>
      <c r="Z1102" s="4"/>
      <c r="AA1102" s="4"/>
      <c r="AB1102" s="4"/>
      <c r="AC1102" s="4" t="str">
        <f>IFERROR(__xludf.DUMMYFUNCTION("""COMPUTED_VALUE"""),"INSPEKSI SUTM - T2_Images/d55e473c.FOTO.025816.jpg")</f>
        <v>INSPEKSI SUTM - T2_Images/d55e473c.FOTO.025816.jpg</v>
      </c>
      <c r="AD1102" s="4"/>
      <c r="AE1102" s="4"/>
      <c r="AF1102" s="4" t="str">
        <f>IFERROR(__xludf.DUMMYFUNCTION("""COMPUTED_VALUE"""),"BELUM")</f>
        <v>BELUM</v>
      </c>
      <c r="AG1102" s="6">
        <f>IFERROR(__xludf.DUMMYFUNCTION("""COMPUTED_VALUE"""),46137.0)</f>
        <v>46137</v>
      </c>
      <c r="AH1102" s="4"/>
      <c r="AI1102" s="4"/>
    </row>
    <row r="1103" ht="15.75" customHeight="1">
      <c r="A1103" s="4" t="str">
        <f>IFERROR(__xludf.DUMMYFUNCTION("""COMPUTED_VALUE"""),"86014904")</f>
        <v>86014904</v>
      </c>
      <c r="B1103" s="5">
        <f>IFERROR(__xludf.DUMMYFUNCTION("""COMPUTED_VALUE"""),46137.12275462963)</f>
        <v>46137.12275</v>
      </c>
      <c r="C1103" s="4" t="str">
        <f>IFERROR(__xludf.DUMMYFUNCTION("""COMPUTED_VALUE"""),"-6.963701, 107.646565")</f>
        <v>-6.963701, 107.646565</v>
      </c>
      <c r="D1103" s="4" t="str">
        <f>IFERROR(__xludf.DUMMYFUNCTION("""COMPUTED_VALUE"""),"Alam deril")</f>
        <v>Alam deril</v>
      </c>
      <c r="E1103" s="4" t="str">
        <f>IFERROR(__xludf.DUMMYFUNCTION("""COMPUTED_VALUE"""),"BANDUNG")</f>
        <v>BANDUNG</v>
      </c>
      <c r="F1103" s="4" t="str">
        <f>IFERROR(__xludf.DUMMYFUNCTION("""COMPUTED_VALUE"""),"BANDUNG UTARA")</f>
        <v>BANDUNG UTARA</v>
      </c>
      <c r="G1103" s="4" t="str">
        <f>IFERROR(__xludf.DUMMYFUNCTION("""COMPUTED_VALUE"""),"BENGKOK")</f>
        <v>BENGKOK</v>
      </c>
      <c r="H1103" s="4" t="str">
        <f>IFERROR(__xludf.DUMMYFUNCTION("""COMPUTED_VALUE"""),"PKW")</f>
        <v>PKW</v>
      </c>
      <c r="I1103" s="4" t="str">
        <f>IFERROR(__xludf.DUMMYFUNCTION("""COMPUTED_VALUE"""),"LBS PKW-DCLA")</f>
        <v>LBS PKW-DCLA</v>
      </c>
      <c r="J1103" s="4" t="str">
        <f>IFERROR(__xludf.DUMMYFUNCTION("""COMPUTED_VALUE"""),"ZONA 2")</f>
        <v>ZONA 2</v>
      </c>
      <c r="K1103" s="4" t="str">
        <f>IFERROR(__xludf.DUMMYFUNCTION("""COMPUTED_VALUE"""),"026")</f>
        <v>026</v>
      </c>
      <c r="L1103" s="4" t="str">
        <f>IFERROR(__xludf.DUMMYFUNCTION("""COMPUTED_VALUE"""),"TM - 13B/H (Kabel Naik Pada Tiang Tumpu)")</f>
        <v>TM - 13B/H (Kabel Naik Pada Tiang Tumpu)</v>
      </c>
      <c r="M1103" s="4" t="str">
        <f>IFERROR(__xludf.DUMMYFUNCTION("""COMPUTED_VALUE"""),"Tidak Ada")</f>
        <v>Tidak Ada</v>
      </c>
      <c r="N1103" s="4"/>
      <c r="O1103" s="4" t="str">
        <f>IFERROR(__xludf.DUMMYFUNCTION("""COMPUTED_VALUE"""),"PEMBANDING SEJENIS")</f>
        <v>PEMBANDING SEJENIS</v>
      </c>
      <c r="P1103" s="4" t="str">
        <f>IFERROR(__xludf.DUMMYFUNCTION("""COMPUTED_VALUE"""),"KONEKTOR/JUMPER")</f>
        <v>KONEKTOR/JUMPER</v>
      </c>
      <c r="Q1103" s="4">
        <f>IFERROR(__xludf.DUMMYFUNCTION("""COMPUTED_VALUE"""),19.0)</f>
        <v>19</v>
      </c>
      <c r="R1103" s="4">
        <f>IFERROR(__xludf.DUMMYFUNCTION("""COMPUTED_VALUE"""),18.0)</f>
        <v>18</v>
      </c>
      <c r="S1103" s="4">
        <f>IFERROR(__xludf.DUMMYFUNCTION("""COMPUTED_VALUE"""),18.0)</f>
        <v>18</v>
      </c>
      <c r="T1103" s="4"/>
      <c r="U1103" s="4" t="str">
        <f>IFERROR(__xludf.DUMMYFUNCTION("""COMPUTED_VALUE"""),"BAIK")</f>
        <v>BAIK</v>
      </c>
      <c r="V1103" s="4" t="str">
        <f>IFERROR(__xludf.DUMMYFUNCTION("""COMPUTED_VALUE"""),"Tidak Ada")</f>
        <v>Tidak Ada</v>
      </c>
      <c r="W1103" s="4"/>
      <c r="X1103" s="4"/>
      <c r="Y1103" s="4"/>
      <c r="Z1103" s="4"/>
      <c r="AA1103" s="4"/>
      <c r="AB1103" s="4"/>
      <c r="AC1103" s="4" t="str">
        <f>IFERROR(__xludf.DUMMYFUNCTION("""COMPUTED_VALUE"""),"INSPEKSI SUTM - T2_Images/86014904.FOTO.030254.jpg")</f>
        <v>INSPEKSI SUTM - T2_Images/86014904.FOTO.030254.jpg</v>
      </c>
      <c r="AD1103" s="4"/>
      <c r="AE1103" s="4"/>
      <c r="AF1103" s="4" t="str">
        <f>IFERROR(__xludf.DUMMYFUNCTION("""COMPUTED_VALUE"""),"BELUM")</f>
        <v>BELUM</v>
      </c>
      <c r="AG1103" s="6">
        <f>IFERROR(__xludf.DUMMYFUNCTION("""COMPUTED_VALUE"""),46137.0)</f>
        <v>46137</v>
      </c>
      <c r="AH1103" s="4"/>
      <c r="AI1103" s="4"/>
    </row>
    <row r="1104" ht="15.75" customHeight="1">
      <c r="A1104" s="4" t="str">
        <f>IFERROR(__xludf.DUMMYFUNCTION("""COMPUTED_VALUE"""),"ade1be00")</f>
        <v>ade1be00</v>
      </c>
      <c r="B1104" s="5">
        <f>IFERROR(__xludf.DUMMYFUNCTION("""COMPUTED_VALUE"""),46137.12359953704)</f>
        <v>46137.1236</v>
      </c>
      <c r="C1104" s="4" t="str">
        <f>IFERROR(__xludf.DUMMYFUNCTION("""COMPUTED_VALUE"""),"-6.963711, 107.646562")</f>
        <v>-6.963711, 107.646562</v>
      </c>
      <c r="D1104" s="4" t="str">
        <f>IFERROR(__xludf.DUMMYFUNCTION("""COMPUTED_VALUE"""),"Alam deril")</f>
        <v>Alam deril</v>
      </c>
      <c r="E1104" s="4" t="str">
        <f>IFERROR(__xludf.DUMMYFUNCTION("""COMPUTED_VALUE"""),"BANDUNG")</f>
        <v>BANDUNG</v>
      </c>
      <c r="F1104" s="4" t="str">
        <f>IFERROR(__xludf.DUMMYFUNCTION("""COMPUTED_VALUE"""),"BANDUNG UTARA")</f>
        <v>BANDUNG UTARA</v>
      </c>
      <c r="G1104" s="4" t="str">
        <f>IFERROR(__xludf.DUMMYFUNCTION("""COMPUTED_VALUE"""),"BENGKOK")</f>
        <v>BENGKOK</v>
      </c>
      <c r="H1104" s="4" t="str">
        <f>IFERROR(__xludf.DUMMYFUNCTION("""COMPUTED_VALUE"""),"PKW")</f>
        <v>PKW</v>
      </c>
      <c r="I1104" s="4" t="str">
        <f>IFERROR(__xludf.DUMMYFUNCTION("""COMPUTED_VALUE"""),"LBS PKW-DCLA")</f>
        <v>LBS PKW-DCLA</v>
      </c>
      <c r="J1104" s="4" t="str">
        <f>IFERROR(__xludf.DUMMYFUNCTION("""COMPUTED_VALUE"""),"ZONA 2")</f>
        <v>ZONA 2</v>
      </c>
      <c r="K1104" s="4" t="str">
        <f>IFERROR(__xludf.DUMMYFUNCTION("""COMPUTED_VALUE"""),"028")</f>
        <v>028</v>
      </c>
      <c r="L1104" s="4" t="str">
        <f>IFERROR(__xludf.DUMMYFUNCTION("""COMPUTED_VALUE"""),"TM - 11B/H (Kabel Naik)")</f>
        <v>TM - 11B/H (Kabel Naik)</v>
      </c>
      <c r="M1104" s="4" t="str">
        <f>IFERROR(__xludf.DUMMYFUNCTION("""COMPUTED_VALUE"""),"Tidak Ada")</f>
        <v>Tidak Ada</v>
      </c>
      <c r="N1104" s="4"/>
      <c r="O1104" s="4" t="str">
        <f>IFERROR(__xludf.DUMMYFUNCTION("""COMPUTED_VALUE"""),"PEMBANDING SEJENIS")</f>
        <v>PEMBANDING SEJENIS</v>
      </c>
      <c r="P1104" s="4" t="str">
        <f>IFERROR(__xludf.DUMMYFUNCTION("""COMPUTED_VALUE"""),"TERMINASI")</f>
        <v>TERMINASI</v>
      </c>
      <c r="Q1104" s="4">
        <f>IFERROR(__xludf.DUMMYFUNCTION("""COMPUTED_VALUE"""),19.0)</f>
        <v>19</v>
      </c>
      <c r="R1104" s="4">
        <f>IFERROR(__xludf.DUMMYFUNCTION("""COMPUTED_VALUE"""),19.0)</f>
        <v>19</v>
      </c>
      <c r="S1104" s="4">
        <f>IFERROR(__xludf.DUMMYFUNCTION("""COMPUTED_VALUE"""),19.0)</f>
        <v>19</v>
      </c>
      <c r="T1104" s="4"/>
      <c r="U1104" s="4" t="str">
        <f>IFERROR(__xludf.DUMMYFUNCTION("""COMPUTED_VALUE"""),"BAIK")</f>
        <v>BAIK</v>
      </c>
      <c r="V1104" s="4" t="str">
        <f>IFERROR(__xludf.DUMMYFUNCTION("""COMPUTED_VALUE"""),"Tidak Ada")</f>
        <v>Tidak Ada</v>
      </c>
      <c r="W1104" s="4"/>
      <c r="X1104" s="4"/>
      <c r="Y1104" s="4"/>
      <c r="Z1104" s="4"/>
      <c r="AA1104" s="4"/>
      <c r="AB1104" s="4"/>
      <c r="AC1104" s="4" t="str">
        <f>IFERROR(__xludf.DUMMYFUNCTION("""COMPUTED_VALUE"""),"INSPEKSI SUTM - T2_Images/ade1be00.FOTO.030414.jpg")</f>
        <v>INSPEKSI SUTM - T2_Images/ade1be00.FOTO.030414.jpg</v>
      </c>
      <c r="AD1104" s="4"/>
      <c r="AE1104" s="4"/>
      <c r="AF1104" s="4" t="str">
        <f>IFERROR(__xludf.DUMMYFUNCTION("""COMPUTED_VALUE"""),"BELUM")</f>
        <v>BELUM</v>
      </c>
      <c r="AG1104" s="6">
        <f>IFERROR(__xludf.DUMMYFUNCTION("""COMPUTED_VALUE"""),46137.0)</f>
        <v>46137</v>
      </c>
      <c r="AH1104" s="4"/>
      <c r="AI1104" s="4"/>
    </row>
    <row r="1105" ht="15.75" customHeight="1">
      <c r="A1105" s="4" t="str">
        <f>IFERROR(__xludf.DUMMYFUNCTION("""COMPUTED_VALUE"""),"cfda66a0")</f>
        <v>cfda66a0</v>
      </c>
      <c r="B1105" s="5">
        <f>IFERROR(__xludf.DUMMYFUNCTION("""COMPUTED_VALUE"""),46137.12428240741)</f>
        <v>46137.12428</v>
      </c>
      <c r="C1105" s="4" t="str">
        <f>IFERROR(__xludf.DUMMYFUNCTION("""COMPUTED_VALUE"""),"-6.963697, 107.646566")</f>
        <v>-6.963697, 107.646566</v>
      </c>
      <c r="D1105" s="4" t="str">
        <f>IFERROR(__xludf.DUMMYFUNCTION("""COMPUTED_VALUE"""),"033")</f>
        <v>033</v>
      </c>
      <c r="E1105" s="4" t="str">
        <f>IFERROR(__xludf.DUMMYFUNCTION("""COMPUTED_VALUE"""),"BANDUNG")</f>
        <v>BANDUNG</v>
      </c>
      <c r="F1105" s="4" t="str">
        <f>IFERROR(__xludf.DUMMYFUNCTION("""COMPUTED_VALUE"""),"BANDUNG UTARA")</f>
        <v>BANDUNG UTARA</v>
      </c>
      <c r="G1105" s="4" t="str">
        <f>IFERROR(__xludf.DUMMYFUNCTION("""COMPUTED_VALUE"""),"BENGKOK")</f>
        <v>BENGKOK</v>
      </c>
      <c r="H1105" s="4" t="str">
        <f>IFERROR(__xludf.DUMMYFUNCTION("""COMPUTED_VALUE"""),"PKW")</f>
        <v>PKW</v>
      </c>
      <c r="I1105" s="4" t="str">
        <f>IFERROR(__xludf.DUMMYFUNCTION("""COMPUTED_VALUE"""),"LBS PKW-DCLA")</f>
        <v>LBS PKW-DCLA</v>
      </c>
      <c r="J1105" s="4" t="str">
        <f>IFERROR(__xludf.DUMMYFUNCTION("""COMPUTED_VALUE"""),"ZONA 2")</f>
        <v>ZONA 2</v>
      </c>
      <c r="K1105" s="4" t="str">
        <f>IFERROR(__xludf.DUMMYFUNCTION("""COMPUTED_VALUE"""),"033")</f>
        <v>033</v>
      </c>
      <c r="L1105" s="4" t="str">
        <f>IFERROR(__xludf.DUMMYFUNCTION("""COMPUTED_VALUE"""),"TM - 4B/H (Afspan)")</f>
        <v>TM - 4B/H (Afspan)</v>
      </c>
      <c r="M1105" s="4" t="str">
        <f>IFERROR(__xludf.DUMMYFUNCTION("""COMPUTED_VALUE"""),"Tidak Ada")</f>
        <v>Tidak Ada</v>
      </c>
      <c r="N1105" s="4"/>
      <c r="O1105" s="4" t="str">
        <f>IFERROR(__xludf.DUMMYFUNCTION("""COMPUTED_VALUE"""),"PEMBANDING SEJENIS")</f>
        <v>PEMBANDING SEJENIS</v>
      </c>
      <c r="P1105" s="4" t="str">
        <f>IFERROR(__xludf.DUMMYFUNCTION("""COMPUTED_VALUE"""),"KONEKTOR/JUMPER")</f>
        <v>KONEKTOR/JUMPER</v>
      </c>
      <c r="Q1105" s="4">
        <f>IFERROR(__xludf.DUMMYFUNCTION("""COMPUTED_VALUE"""),18.0)</f>
        <v>18</v>
      </c>
      <c r="R1105" s="4">
        <f>IFERROR(__xludf.DUMMYFUNCTION("""COMPUTED_VALUE"""),18.0)</f>
        <v>18</v>
      </c>
      <c r="S1105" s="4">
        <f>IFERROR(__xludf.DUMMYFUNCTION("""COMPUTED_VALUE"""),17.0)</f>
        <v>17</v>
      </c>
      <c r="T1105" s="4"/>
      <c r="U1105" s="4" t="str">
        <f>IFERROR(__xludf.DUMMYFUNCTION("""COMPUTED_VALUE"""),"BAIK")</f>
        <v>BAIK</v>
      </c>
      <c r="V1105" s="4" t="str">
        <f>IFERROR(__xludf.DUMMYFUNCTION("""COMPUTED_VALUE"""),"Tidak Ada")</f>
        <v>Tidak Ada</v>
      </c>
      <c r="W1105" s="4"/>
      <c r="X1105" s="4"/>
      <c r="Y1105" s="4"/>
      <c r="Z1105" s="4"/>
      <c r="AA1105" s="4"/>
      <c r="AB1105" s="4"/>
      <c r="AC1105" s="4" t="str">
        <f>IFERROR(__xludf.DUMMYFUNCTION("""COMPUTED_VALUE"""),"INSPEKSI SUTM - T2_Images/cfda66a0.FOTO.030502.jpg")</f>
        <v>INSPEKSI SUTM - T2_Images/cfda66a0.FOTO.030502.jpg</v>
      </c>
      <c r="AD1105" s="4"/>
      <c r="AE1105" s="4"/>
      <c r="AF1105" s="4" t="str">
        <f>IFERROR(__xludf.DUMMYFUNCTION("""COMPUTED_VALUE"""),"BELUM")</f>
        <v>BELUM</v>
      </c>
      <c r="AG1105" s="6">
        <f>IFERROR(__xludf.DUMMYFUNCTION("""COMPUTED_VALUE"""),46137.0)</f>
        <v>46137</v>
      </c>
      <c r="AH1105" s="4"/>
      <c r="AI1105" s="4"/>
    </row>
    <row r="1106" ht="15.75" customHeight="1">
      <c r="A1106" s="4" t="str">
        <f>IFERROR(__xludf.DUMMYFUNCTION("""COMPUTED_VALUE"""),"ece4347e")</f>
        <v>ece4347e</v>
      </c>
      <c r="B1106" s="5">
        <f>IFERROR(__xludf.DUMMYFUNCTION("""COMPUTED_VALUE"""),46137.12533564815)</f>
        <v>46137.12534</v>
      </c>
      <c r="C1106" s="4" t="str">
        <f>IFERROR(__xludf.DUMMYFUNCTION("""COMPUTED_VALUE"""),"-6.963701, 107.646568")</f>
        <v>-6.963701, 107.646568</v>
      </c>
      <c r="D1106" s="4" t="str">
        <f>IFERROR(__xludf.DUMMYFUNCTION("""COMPUTED_VALUE"""),"Alam deril")</f>
        <v>Alam deril</v>
      </c>
      <c r="E1106" s="4" t="str">
        <f>IFERROR(__xludf.DUMMYFUNCTION("""COMPUTED_VALUE"""),"BANDUNG")</f>
        <v>BANDUNG</v>
      </c>
      <c r="F1106" s="4" t="str">
        <f>IFERROR(__xludf.DUMMYFUNCTION("""COMPUTED_VALUE"""),"BANDUNG UTARA")</f>
        <v>BANDUNG UTARA</v>
      </c>
      <c r="G1106" s="4" t="str">
        <f>IFERROR(__xludf.DUMMYFUNCTION("""COMPUTED_VALUE"""),"BENGKOK")</f>
        <v>BENGKOK</v>
      </c>
      <c r="H1106" s="4" t="str">
        <f>IFERROR(__xludf.DUMMYFUNCTION("""COMPUTED_VALUE"""),"PKW")</f>
        <v>PKW</v>
      </c>
      <c r="I1106" s="4" t="str">
        <f>IFERROR(__xludf.DUMMYFUNCTION("""COMPUTED_VALUE"""),"LBS PKW-DCLA")</f>
        <v>LBS PKW-DCLA</v>
      </c>
      <c r="J1106" s="4" t="str">
        <f>IFERROR(__xludf.DUMMYFUNCTION("""COMPUTED_VALUE"""),"ZONA 2")</f>
        <v>ZONA 2</v>
      </c>
      <c r="K1106" s="4" t="str">
        <f>IFERROR(__xludf.DUMMYFUNCTION("""COMPUTED_VALUE"""),"034")</f>
        <v>034</v>
      </c>
      <c r="L1106" s="4" t="str">
        <f>IFERROR(__xludf.DUMMYFUNCTION("""COMPUTED_VALUE"""),"TM - 13B/H (Kabel Naik Pada Tiang Tumpu)")</f>
        <v>TM - 13B/H (Kabel Naik Pada Tiang Tumpu)</v>
      </c>
      <c r="M1106" s="4" t="str">
        <f>IFERROR(__xludf.DUMMYFUNCTION("""COMPUTED_VALUE"""),"Gardu")</f>
        <v>Gardu</v>
      </c>
      <c r="N1106" s="4" t="str">
        <f>IFERROR(__xludf.DUMMYFUNCTION("""COMPUTED_VALUE"""),"-")</f>
        <v>-</v>
      </c>
      <c r="O1106" s="4" t="str">
        <f>IFERROR(__xludf.DUMMYFUNCTION("""COMPUTED_VALUE"""),"PEMBANDING SEJENIS")</f>
        <v>PEMBANDING SEJENIS</v>
      </c>
      <c r="P1106" s="4" t="str">
        <f>IFERROR(__xludf.DUMMYFUNCTION("""COMPUTED_VALUE"""),"TERMINASI")</f>
        <v>TERMINASI</v>
      </c>
      <c r="Q1106" s="4">
        <f>IFERROR(__xludf.DUMMYFUNCTION("""COMPUTED_VALUE"""),18.0)</f>
        <v>18</v>
      </c>
      <c r="R1106" s="4">
        <f>IFERROR(__xludf.DUMMYFUNCTION("""COMPUTED_VALUE"""),18.0)</f>
        <v>18</v>
      </c>
      <c r="S1106" s="4">
        <f>IFERROR(__xludf.DUMMYFUNCTION("""COMPUTED_VALUE"""),18.0)</f>
        <v>18</v>
      </c>
      <c r="T1106" s="4"/>
      <c r="U1106" s="4" t="str">
        <f>IFERROR(__xludf.DUMMYFUNCTION("""COMPUTED_VALUE"""),"BAIK")</f>
        <v>BAIK</v>
      </c>
      <c r="V1106" s="4" t="str">
        <f>IFERROR(__xludf.DUMMYFUNCTION("""COMPUTED_VALUE"""),"Tidak Ada")</f>
        <v>Tidak Ada</v>
      </c>
      <c r="W1106" s="4"/>
      <c r="X1106" s="4"/>
      <c r="Y1106" s="4"/>
      <c r="Z1106" s="4"/>
      <c r="AA1106" s="4"/>
      <c r="AB1106" s="4"/>
      <c r="AC1106" s="4" t="str">
        <f>IFERROR(__xludf.DUMMYFUNCTION("""COMPUTED_VALUE"""),"INSPEKSI SUTM - T2_Images/ece4347e.FOTO.030654.jpg")</f>
        <v>INSPEKSI SUTM - T2_Images/ece4347e.FOTO.030654.jpg</v>
      </c>
      <c r="AD1106" s="4"/>
      <c r="AE1106" s="4"/>
      <c r="AF1106" s="4" t="str">
        <f>IFERROR(__xludf.DUMMYFUNCTION("""COMPUTED_VALUE"""),"BELUM")</f>
        <v>BELUM</v>
      </c>
      <c r="AG1106" s="6">
        <f>IFERROR(__xludf.DUMMYFUNCTION("""COMPUTED_VALUE"""),46137.0)</f>
        <v>46137</v>
      </c>
      <c r="AH1106" s="4"/>
      <c r="AI1106" s="4"/>
    </row>
    <row r="1107" ht="15.75" customHeight="1">
      <c r="A1107" s="4" t="str">
        <f>IFERROR(__xludf.DUMMYFUNCTION("""COMPUTED_VALUE"""),"885b2bb6")</f>
        <v>885b2bb6</v>
      </c>
      <c r="B1107" s="5">
        <f>IFERROR(__xludf.DUMMYFUNCTION("""COMPUTED_VALUE"""),46137.128645833334)</f>
        <v>46137.12865</v>
      </c>
      <c r="C1107" s="4" t="str">
        <f>IFERROR(__xludf.DUMMYFUNCTION("""COMPUTED_VALUE"""),"-6.963699, 107.646562")</f>
        <v>-6.963699, 107.646562</v>
      </c>
      <c r="D1107" s="4" t="str">
        <f>IFERROR(__xludf.DUMMYFUNCTION("""COMPUTED_VALUE"""),"Alam deril")</f>
        <v>Alam deril</v>
      </c>
      <c r="E1107" s="4" t="str">
        <f>IFERROR(__xludf.DUMMYFUNCTION("""COMPUTED_VALUE"""),"BANDUNG")</f>
        <v>BANDUNG</v>
      </c>
      <c r="F1107" s="4" t="str">
        <f>IFERROR(__xludf.DUMMYFUNCTION("""COMPUTED_VALUE"""),"BANDUNG UTARA")</f>
        <v>BANDUNG UTARA</v>
      </c>
      <c r="G1107" s="4" t="str">
        <f>IFERROR(__xludf.DUMMYFUNCTION("""COMPUTED_VALUE"""),"BENGKOK")</f>
        <v>BENGKOK</v>
      </c>
      <c r="H1107" s="4" t="str">
        <f>IFERROR(__xludf.DUMMYFUNCTION("""COMPUTED_VALUE"""),"PKW")</f>
        <v>PKW</v>
      </c>
      <c r="I1107" s="4" t="str">
        <f>IFERROR(__xludf.DUMMYFUNCTION("""COMPUTED_VALUE"""),"LBS PKW-DCLA")</f>
        <v>LBS PKW-DCLA</v>
      </c>
      <c r="J1107" s="4" t="str">
        <f>IFERROR(__xludf.DUMMYFUNCTION("""COMPUTED_VALUE"""),"ZONA 2")</f>
        <v>ZONA 2</v>
      </c>
      <c r="K1107" s="4" t="str">
        <f>IFERROR(__xludf.DUMMYFUNCTION("""COMPUTED_VALUE"""),"037")</f>
        <v>037</v>
      </c>
      <c r="L1107" s="4" t="str">
        <f>IFERROR(__xludf.DUMMYFUNCTION("""COMPUTED_VALUE"""),"TM - 7B/H (Afspan 90 Derajat)")</f>
        <v>TM - 7B/H (Afspan 90 Derajat)</v>
      </c>
      <c r="M1107" s="4" t="str">
        <f>IFERROR(__xludf.DUMMYFUNCTION("""COMPUTED_VALUE"""),"Tidak Ada")</f>
        <v>Tidak Ada</v>
      </c>
      <c r="N1107" s="4"/>
      <c r="O1107" s="4" t="str">
        <f>IFERROR(__xludf.DUMMYFUNCTION("""COMPUTED_VALUE"""),"PEMBANDING SEJENIS")</f>
        <v>PEMBANDING SEJENIS</v>
      </c>
      <c r="P1107" s="4" t="str">
        <f>IFERROR(__xludf.DUMMYFUNCTION("""COMPUTED_VALUE"""),"KONEKTOR/JUMPER")</f>
        <v>KONEKTOR/JUMPER</v>
      </c>
      <c r="Q1107" s="4">
        <f>IFERROR(__xludf.DUMMYFUNCTION("""COMPUTED_VALUE"""),18.0)</f>
        <v>18</v>
      </c>
      <c r="R1107" s="4">
        <f>IFERROR(__xludf.DUMMYFUNCTION("""COMPUTED_VALUE"""),18.0)</f>
        <v>18</v>
      </c>
      <c r="S1107" s="4">
        <f>IFERROR(__xludf.DUMMYFUNCTION("""COMPUTED_VALUE"""),18.0)</f>
        <v>18</v>
      </c>
      <c r="T1107" s="4"/>
      <c r="U1107" s="4" t="str">
        <f>IFERROR(__xludf.DUMMYFUNCTION("""COMPUTED_VALUE"""),"BAIK")</f>
        <v>BAIK</v>
      </c>
      <c r="V1107" s="4" t="str">
        <f>IFERROR(__xludf.DUMMYFUNCTION("""COMPUTED_VALUE"""),"Tidak Ada")</f>
        <v>Tidak Ada</v>
      </c>
      <c r="W1107" s="4"/>
      <c r="X1107" s="4"/>
      <c r="Y1107" s="4"/>
      <c r="Z1107" s="4"/>
      <c r="AA1107" s="4"/>
      <c r="AB1107" s="4"/>
      <c r="AC1107" s="4" t="str">
        <f>IFERROR(__xludf.DUMMYFUNCTION("""COMPUTED_VALUE"""),"INSPEKSI SUTM - T2_Images/885b2bb6.FOTO.031114.jpg")</f>
        <v>INSPEKSI SUTM - T2_Images/885b2bb6.FOTO.031114.jpg</v>
      </c>
      <c r="AD1107" s="4"/>
      <c r="AE1107" s="4"/>
      <c r="AF1107" s="4" t="str">
        <f>IFERROR(__xludf.DUMMYFUNCTION("""COMPUTED_VALUE"""),"BELUM")</f>
        <v>BELUM</v>
      </c>
      <c r="AG1107" s="6">
        <f>IFERROR(__xludf.DUMMYFUNCTION("""COMPUTED_VALUE"""),46137.0)</f>
        <v>46137</v>
      </c>
      <c r="AH1107" s="4"/>
      <c r="AI1107" s="4"/>
    </row>
    <row r="1108" ht="15.75" customHeight="1">
      <c r="A1108" s="4" t="str">
        <f>IFERROR(__xludf.DUMMYFUNCTION("""COMPUTED_VALUE"""),"dc4d4bc0")</f>
        <v>dc4d4bc0</v>
      </c>
      <c r="B1108" s="5">
        <f>IFERROR(__xludf.DUMMYFUNCTION("""COMPUTED_VALUE"""),46137.12909722222)</f>
        <v>46137.1291</v>
      </c>
      <c r="C1108" s="4" t="str">
        <f>IFERROR(__xludf.DUMMYFUNCTION("""COMPUTED_VALUE"""),"-6.963696, 107.646556")</f>
        <v>-6.963696, 107.646556</v>
      </c>
      <c r="D1108" s="4" t="str">
        <f>IFERROR(__xludf.DUMMYFUNCTION("""COMPUTED_VALUE"""),"Alam deril")</f>
        <v>Alam deril</v>
      </c>
      <c r="E1108" s="4" t="str">
        <f>IFERROR(__xludf.DUMMYFUNCTION("""COMPUTED_VALUE"""),"BANDUNG")</f>
        <v>BANDUNG</v>
      </c>
      <c r="F1108" s="4" t="str">
        <f>IFERROR(__xludf.DUMMYFUNCTION("""COMPUTED_VALUE"""),"BANDUNG UTARA")</f>
        <v>BANDUNG UTARA</v>
      </c>
      <c r="G1108" s="4" t="str">
        <f>IFERROR(__xludf.DUMMYFUNCTION("""COMPUTED_VALUE"""),"BENGKOK")</f>
        <v>BENGKOK</v>
      </c>
      <c r="H1108" s="4" t="str">
        <f>IFERROR(__xludf.DUMMYFUNCTION("""COMPUTED_VALUE"""),"PKW")</f>
        <v>PKW</v>
      </c>
      <c r="I1108" s="4" t="str">
        <f>IFERROR(__xludf.DUMMYFUNCTION("""COMPUTED_VALUE"""),"LBS PKW-DCLA")</f>
        <v>LBS PKW-DCLA</v>
      </c>
      <c r="J1108" s="4" t="str">
        <f>IFERROR(__xludf.DUMMYFUNCTION("""COMPUTED_VALUE"""),"ZONA 2")</f>
        <v>ZONA 2</v>
      </c>
      <c r="K1108" s="4" t="str">
        <f>IFERROR(__xludf.DUMMYFUNCTION("""COMPUTED_VALUE"""),"038")</f>
        <v>038</v>
      </c>
      <c r="L1108" s="4" t="str">
        <f>IFERROR(__xludf.DUMMYFUNCTION("""COMPUTED_VALUE"""),"TM - 11B/H (Kabel Naik)")</f>
        <v>TM - 11B/H (Kabel Naik)</v>
      </c>
      <c r="M1108" s="4" t="str">
        <f>IFERROR(__xludf.DUMMYFUNCTION("""COMPUTED_VALUE"""),"Tidak Ada")</f>
        <v>Tidak Ada</v>
      </c>
      <c r="N1108" s="4"/>
      <c r="O1108" s="4" t="str">
        <f>IFERROR(__xludf.DUMMYFUNCTION("""COMPUTED_VALUE"""),"PEMBANDING SEJENIS")</f>
        <v>PEMBANDING SEJENIS</v>
      </c>
      <c r="P1108" s="4" t="str">
        <f>IFERROR(__xludf.DUMMYFUNCTION("""COMPUTED_VALUE"""),"TERMINASI")</f>
        <v>TERMINASI</v>
      </c>
      <c r="Q1108" s="4">
        <f>IFERROR(__xludf.DUMMYFUNCTION("""COMPUTED_VALUE"""),18.0)</f>
        <v>18</v>
      </c>
      <c r="R1108" s="4">
        <f>IFERROR(__xludf.DUMMYFUNCTION("""COMPUTED_VALUE"""),18.0)</f>
        <v>18</v>
      </c>
      <c r="S1108" s="4">
        <f>IFERROR(__xludf.DUMMYFUNCTION("""COMPUTED_VALUE"""),18.0)</f>
        <v>18</v>
      </c>
      <c r="T1108" s="4"/>
      <c r="U1108" s="4" t="str">
        <f>IFERROR(__xludf.DUMMYFUNCTION("""COMPUTED_VALUE"""),"BAIK")</f>
        <v>BAIK</v>
      </c>
      <c r="V1108" s="4" t="str">
        <f>IFERROR(__xludf.DUMMYFUNCTION("""COMPUTED_VALUE"""),"Tidak Ada")</f>
        <v>Tidak Ada</v>
      </c>
      <c r="W1108" s="4"/>
      <c r="X1108" s="4"/>
      <c r="Y1108" s="4"/>
      <c r="Z1108" s="4"/>
      <c r="AA1108" s="4"/>
      <c r="AB1108" s="4"/>
      <c r="AC1108" s="4" t="str">
        <f>IFERROR(__xludf.DUMMYFUNCTION("""COMPUTED_VALUE"""),"INSPEKSI SUTM - T2_Images/dc4d4bc0.FOTO.031207.jpg")</f>
        <v>INSPEKSI SUTM - T2_Images/dc4d4bc0.FOTO.031207.jpg</v>
      </c>
      <c r="AD1108" s="4"/>
      <c r="AE1108" s="4"/>
      <c r="AF1108" s="4" t="str">
        <f>IFERROR(__xludf.DUMMYFUNCTION("""COMPUTED_VALUE"""),"BELUM")</f>
        <v>BELUM</v>
      </c>
      <c r="AG1108" s="6">
        <f>IFERROR(__xludf.DUMMYFUNCTION("""COMPUTED_VALUE"""),46137.0)</f>
        <v>46137</v>
      </c>
      <c r="AH1108" s="4"/>
      <c r="AI1108" s="4"/>
    </row>
    <row r="1109" ht="15.75" customHeight="1">
      <c r="A1109" s="4" t="str">
        <f>IFERROR(__xludf.DUMMYFUNCTION("""COMPUTED_VALUE"""),"54642bbd")</f>
        <v>54642bbd</v>
      </c>
      <c r="B1109" s="5">
        <f>IFERROR(__xludf.DUMMYFUNCTION("""COMPUTED_VALUE"""),46137.13)</f>
        <v>46137.13</v>
      </c>
      <c r="C1109" s="4" t="str">
        <f>IFERROR(__xludf.DUMMYFUNCTION("""COMPUTED_VALUE"""),"-6.963703, 107.646575")</f>
        <v>-6.963703, 107.646575</v>
      </c>
      <c r="D1109" s="4" t="str">
        <f>IFERROR(__xludf.DUMMYFUNCTION("""COMPUTED_VALUE"""),"Alam deril")</f>
        <v>Alam deril</v>
      </c>
      <c r="E1109" s="4" t="str">
        <f>IFERROR(__xludf.DUMMYFUNCTION("""COMPUTED_VALUE"""),"BANDUNG")</f>
        <v>BANDUNG</v>
      </c>
      <c r="F1109" s="4" t="str">
        <f>IFERROR(__xludf.DUMMYFUNCTION("""COMPUTED_VALUE"""),"BANDUNG UTARA")</f>
        <v>BANDUNG UTARA</v>
      </c>
      <c r="G1109" s="4" t="str">
        <f>IFERROR(__xludf.DUMMYFUNCTION("""COMPUTED_VALUE"""),"BENGKOK")</f>
        <v>BENGKOK</v>
      </c>
      <c r="H1109" s="4" t="str">
        <f>IFERROR(__xludf.DUMMYFUNCTION("""COMPUTED_VALUE"""),"PKW")</f>
        <v>PKW</v>
      </c>
      <c r="I1109" s="4" t="str">
        <f>IFERROR(__xludf.DUMMYFUNCTION("""COMPUTED_VALUE"""),"LBS PKW-DCLA")</f>
        <v>LBS PKW-DCLA</v>
      </c>
      <c r="J1109" s="4" t="str">
        <f>IFERROR(__xludf.DUMMYFUNCTION("""COMPUTED_VALUE"""),"ZONA 2")</f>
        <v>ZONA 2</v>
      </c>
      <c r="K1109" s="4" t="str">
        <f>IFERROR(__xludf.DUMMYFUNCTION("""COMPUTED_VALUE"""),"040")</f>
        <v>040</v>
      </c>
      <c r="L1109" s="4" t="str">
        <f>IFERROR(__xludf.DUMMYFUNCTION("""COMPUTED_VALUE"""),"TM - 11B/H (Kabel Naik)")</f>
        <v>TM - 11B/H (Kabel Naik)</v>
      </c>
      <c r="M1109" s="4" t="str">
        <f>IFERROR(__xludf.DUMMYFUNCTION("""COMPUTED_VALUE"""),"Tidak Ada")</f>
        <v>Tidak Ada</v>
      </c>
      <c r="N1109" s="4"/>
      <c r="O1109" s="4" t="str">
        <f>IFERROR(__xludf.DUMMYFUNCTION("""COMPUTED_VALUE"""),"PEMBANDING SEJENIS")</f>
        <v>PEMBANDING SEJENIS</v>
      </c>
      <c r="P1109" s="4" t="str">
        <f>IFERROR(__xludf.DUMMYFUNCTION("""COMPUTED_VALUE"""),"TERMINASI")</f>
        <v>TERMINASI</v>
      </c>
      <c r="Q1109" s="4">
        <f>IFERROR(__xludf.DUMMYFUNCTION("""COMPUTED_VALUE"""),18.0)</f>
        <v>18</v>
      </c>
      <c r="R1109" s="4">
        <f>IFERROR(__xludf.DUMMYFUNCTION("""COMPUTED_VALUE"""),18.0)</f>
        <v>18</v>
      </c>
      <c r="S1109" s="4">
        <f>IFERROR(__xludf.DUMMYFUNCTION("""COMPUTED_VALUE"""),18.0)</f>
        <v>18</v>
      </c>
      <c r="T1109" s="4"/>
      <c r="U1109" s="4" t="str">
        <f>IFERROR(__xludf.DUMMYFUNCTION("""COMPUTED_VALUE"""),"BAIK")</f>
        <v>BAIK</v>
      </c>
      <c r="V1109" s="4" t="str">
        <f>IFERROR(__xludf.DUMMYFUNCTION("""COMPUTED_VALUE"""),"Tidak Ada")</f>
        <v>Tidak Ada</v>
      </c>
      <c r="W1109" s="4"/>
      <c r="X1109" s="4"/>
      <c r="Y1109" s="4"/>
      <c r="Z1109" s="4"/>
      <c r="AA1109" s="4"/>
      <c r="AB1109" s="4"/>
      <c r="AC1109" s="4" t="str">
        <f>IFERROR(__xludf.DUMMYFUNCTION("""COMPUTED_VALUE"""),"INSPEKSI SUTM - T2_Images/54642bbd.FOTO.031312.jpg")</f>
        <v>INSPEKSI SUTM - T2_Images/54642bbd.FOTO.031312.jpg</v>
      </c>
      <c r="AD1109" s="4"/>
      <c r="AE1109" s="4"/>
      <c r="AF1109" s="4" t="str">
        <f>IFERROR(__xludf.DUMMYFUNCTION("""COMPUTED_VALUE"""),"BELUM")</f>
        <v>BELUM</v>
      </c>
      <c r="AG1109" s="6">
        <f>IFERROR(__xludf.DUMMYFUNCTION("""COMPUTED_VALUE"""),46137.0)</f>
        <v>46137</v>
      </c>
      <c r="AH1109" s="4"/>
      <c r="AI1109" s="4"/>
    </row>
    <row r="1110" ht="15.75" customHeight="1">
      <c r="A1110" s="4" t="str">
        <f>IFERROR(__xludf.DUMMYFUNCTION("""COMPUTED_VALUE"""),"e2ca0c9e")</f>
        <v>e2ca0c9e</v>
      </c>
      <c r="B1110" s="5">
        <f>IFERROR(__xludf.DUMMYFUNCTION("""COMPUTED_VALUE"""),46137.13298611111)</f>
        <v>46137.13299</v>
      </c>
      <c r="C1110" s="4" t="str">
        <f>IFERROR(__xludf.DUMMYFUNCTION("""COMPUTED_VALUE"""),"-6.963698, 107.646536")</f>
        <v>-6.963698, 107.646536</v>
      </c>
      <c r="D1110" s="4" t="str">
        <f>IFERROR(__xludf.DUMMYFUNCTION("""COMPUTED_VALUE"""),"Alam deril")</f>
        <v>Alam deril</v>
      </c>
      <c r="E1110" s="4" t="str">
        <f>IFERROR(__xludf.DUMMYFUNCTION("""COMPUTED_VALUE"""),"BANDUNG")</f>
        <v>BANDUNG</v>
      </c>
      <c r="F1110" s="4" t="str">
        <f>IFERROR(__xludf.DUMMYFUNCTION("""COMPUTED_VALUE"""),"BANDUNG UTARA")</f>
        <v>BANDUNG UTARA</v>
      </c>
      <c r="G1110" s="4" t="str">
        <f>IFERROR(__xludf.DUMMYFUNCTION("""COMPUTED_VALUE"""),"BENGKOK")</f>
        <v>BENGKOK</v>
      </c>
      <c r="H1110" s="4" t="str">
        <f>IFERROR(__xludf.DUMMYFUNCTION("""COMPUTED_VALUE"""),"PKW")</f>
        <v>PKW</v>
      </c>
      <c r="I1110" s="4" t="str">
        <f>IFERROR(__xludf.DUMMYFUNCTION("""COMPUTED_VALUE"""),"LBS PKW-DCLA")</f>
        <v>LBS PKW-DCLA</v>
      </c>
      <c r="J1110" s="4" t="str">
        <f>IFERROR(__xludf.DUMMYFUNCTION("""COMPUTED_VALUE"""),"ZONA 2")</f>
        <v>ZONA 2</v>
      </c>
      <c r="K1110" s="4" t="str">
        <f>IFERROR(__xludf.DUMMYFUNCTION("""COMPUTED_VALUE"""),"041")</f>
        <v>041</v>
      </c>
      <c r="L1110" s="4" t="str">
        <f>IFERROR(__xludf.DUMMYFUNCTION("""COMPUTED_VALUE"""),"TM - 11B/H (Kabel Naik)")</f>
        <v>TM - 11B/H (Kabel Naik)</v>
      </c>
      <c r="M1110" s="4" t="str">
        <f>IFERROR(__xludf.DUMMYFUNCTION("""COMPUTED_VALUE"""),"Tidak Ada")</f>
        <v>Tidak Ada</v>
      </c>
      <c r="N1110" s="4"/>
      <c r="O1110" s="4" t="str">
        <f>IFERROR(__xludf.DUMMYFUNCTION("""COMPUTED_VALUE"""),"PEMBANDING SEJENIS")</f>
        <v>PEMBANDING SEJENIS</v>
      </c>
      <c r="P1110" s="4" t="str">
        <f>IFERROR(__xludf.DUMMYFUNCTION("""COMPUTED_VALUE"""),"TERMINASI")</f>
        <v>TERMINASI</v>
      </c>
      <c r="Q1110" s="4">
        <f>IFERROR(__xludf.DUMMYFUNCTION("""COMPUTED_VALUE"""),18.0)</f>
        <v>18</v>
      </c>
      <c r="R1110" s="4">
        <f>IFERROR(__xludf.DUMMYFUNCTION("""COMPUTED_VALUE"""),18.0)</f>
        <v>18</v>
      </c>
      <c r="S1110" s="4">
        <f>IFERROR(__xludf.DUMMYFUNCTION("""COMPUTED_VALUE"""),18.0)</f>
        <v>18</v>
      </c>
      <c r="T1110" s="4"/>
      <c r="U1110" s="4" t="str">
        <f>IFERROR(__xludf.DUMMYFUNCTION("""COMPUTED_VALUE"""),"BAIK")</f>
        <v>BAIK</v>
      </c>
      <c r="V1110" s="4" t="str">
        <f>IFERROR(__xludf.DUMMYFUNCTION("""COMPUTED_VALUE"""),"Tidak Ada")</f>
        <v>Tidak Ada</v>
      </c>
      <c r="W1110" s="4"/>
      <c r="X1110" s="4"/>
      <c r="Y1110" s="4"/>
      <c r="Z1110" s="4"/>
      <c r="AA1110" s="4"/>
      <c r="AB1110" s="4"/>
      <c r="AC1110" s="4" t="str">
        <f>IFERROR(__xludf.DUMMYFUNCTION("""COMPUTED_VALUE"""),"INSPEKSI SUTM - T2_Images/e2ca0c9e.FOTO.031742.jpg")</f>
        <v>INSPEKSI SUTM - T2_Images/e2ca0c9e.FOTO.031742.jpg</v>
      </c>
      <c r="AD1110" s="4"/>
      <c r="AE1110" s="4"/>
      <c r="AF1110" s="4" t="str">
        <f>IFERROR(__xludf.DUMMYFUNCTION("""COMPUTED_VALUE"""),"BELUM")</f>
        <v>BELUM</v>
      </c>
      <c r="AG1110" s="6">
        <f>IFERROR(__xludf.DUMMYFUNCTION("""COMPUTED_VALUE"""),46137.0)</f>
        <v>46137</v>
      </c>
      <c r="AH1110" s="4"/>
      <c r="AI1110" s="4"/>
    </row>
    <row r="1111" ht="15.75" customHeight="1">
      <c r="A1111" s="4" t="str">
        <f>IFERROR(__xludf.DUMMYFUNCTION("""COMPUTED_VALUE"""),"c134cf9e")</f>
        <v>c134cf9e</v>
      </c>
      <c r="B1111" s="5">
        <f>IFERROR(__xludf.DUMMYFUNCTION("""COMPUTED_VALUE"""),46137.133726851855)</f>
        <v>46137.13373</v>
      </c>
      <c r="C1111" s="4" t="str">
        <f>IFERROR(__xludf.DUMMYFUNCTION("""COMPUTED_VALUE"""),"-6.963700, 107.646564")</f>
        <v>-6.963700, 107.646564</v>
      </c>
      <c r="D1111" s="4" t="str">
        <f>IFERROR(__xludf.DUMMYFUNCTION("""COMPUTED_VALUE"""),"Alam deril")</f>
        <v>Alam deril</v>
      </c>
      <c r="E1111" s="4" t="str">
        <f>IFERROR(__xludf.DUMMYFUNCTION("""COMPUTED_VALUE"""),"BANDUNG")</f>
        <v>BANDUNG</v>
      </c>
      <c r="F1111" s="4" t="str">
        <f>IFERROR(__xludf.DUMMYFUNCTION("""COMPUTED_VALUE"""),"BANDUNG UTARA")</f>
        <v>BANDUNG UTARA</v>
      </c>
      <c r="G1111" s="4" t="str">
        <f>IFERROR(__xludf.DUMMYFUNCTION("""COMPUTED_VALUE"""),"BENGKOK")</f>
        <v>BENGKOK</v>
      </c>
      <c r="H1111" s="4" t="str">
        <f>IFERROR(__xludf.DUMMYFUNCTION("""COMPUTED_VALUE"""),"PKW")</f>
        <v>PKW</v>
      </c>
      <c r="I1111" s="4" t="str">
        <f>IFERROR(__xludf.DUMMYFUNCTION("""COMPUTED_VALUE"""),"LBS PKW-DCLA")</f>
        <v>LBS PKW-DCLA</v>
      </c>
      <c r="J1111" s="4" t="str">
        <f>IFERROR(__xludf.DUMMYFUNCTION("""COMPUTED_VALUE"""),"ZONA 2")</f>
        <v>ZONA 2</v>
      </c>
      <c r="K1111" s="4" t="str">
        <f>IFERROR(__xludf.DUMMYFUNCTION("""COMPUTED_VALUE"""),"051")</f>
        <v>051</v>
      </c>
      <c r="L1111" s="4" t="str">
        <f>IFERROR(__xludf.DUMMYFUNCTION("""COMPUTED_VALUE"""),"TM - 4B/H (Afspan)")</f>
        <v>TM - 4B/H (Afspan)</v>
      </c>
      <c r="M1111" s="4" t="str">
        <f>IFERROR(__xludf.DUMMYFUNCTION("""COMPUTED_VALUE"""),"Tidak Ada")</f>
        <v>Tidak Ada</v>
      </c>
      <c r="N1111" s="4"/>
      <c r="O1111" s="4" t="str">
        <f>IFERROR(__xludf.DUMMYFUNCTION("""COMPUTED_VALUE"""),"PEMBANDING SEJENIS")</f>
        <v>PEMBANDING SEJENIS</v>
      </c>
      <c r="P1111" s="4" t="str">
        <f>IFERROR(__xludf.DUMMYFUNCTION("""COMPUTED_VALUE"""),"KONEKTOR/JUMPER")</f>
        <v>KONEKTOR/JUMPER</v>
      </c>
      <c r="Q1111" s="4">
        <f>IFERROR(__xludf.DUMMYFUNCTION("""COMPUTED_VALUE"""),18.0)</f>
        <v>18</v>
      </c>
      <c r="R1111" s="4">
        <f>IFERROR(__xludf.DUMMYFUNCTION("""COMPUTED_VALUE"""),18.0)</f>
        <v>18</v>
      </c>
      <c r="S1111" s="4">
        <f>IFERROR(__xludf.DUMMYFUNCTION("""COMPUTED_VALUE"""),18.0)</f>
        <v>18</v>
      </c>
      <c r="T1111" s="4"/>
      <c r="U1111" s="4" t="str">
        <f>IFERROR(__xludf.DUMMYFUNCTION("""COMPUTED_VALUE"""),"BAIK")</f>
        <v>BAIK</v>
      </c>
      <c r="V1111" s="4" t="str">
        <f>IFERROR(__xludf.DUMMYFUNCTION("""COMPUTED_VALUE"""),"Tidak Ada")</f>
        <v>Tidak Ada</v>
      </c>
      <c r="W1111" s="4"/>
      <c r="X1111" s="4"/>
      <c r="Y1111" s="4"/>
      <c r="Z1111" s="4"/>
      <c r="AA1111" s="4"/>
      <c r="AB1111" s="4"/>
      <c r="AC1111" s="4" t="str">
        <f>IFERROR(__xludf.DUMMYFUNCTION("""COMPUTED_VALUE"""),"INSPEKSI SUTM - T2_Images/c134cf9e.FOTO.031855.jpg")</f>
        <v>INSPEKSI SUTM - T2_Images/c134cf9e.FOTO.031855.jpg</v>
      </c>
      <c r="AD1111" s="4"/>
      <c r="AE1111" s="4"/>
      <c r="AF1111" s="4" t="str">
        <f>IFERROR(__xludf.DUMMYFUNCTION("""COMPUTED_VALUE"""),"BELUM")</f>
        <v>BELUM</v>
      </c>
      <c r="AG1111" s="6">
        <f>IFERROR(__xludf.DUMMYFUNCTION("""COMPUTED_VALUE"""),46137.0)</f>
        <v>46137</v>
      </c>
      <c r="AH1111" s="4"/>
      <c r="AI1111" s="4"/>
    </row>
    <row r="1112" ht="15.75" customHeight="1">
      <c r="A1112" s="4" t="str">
        <f>IFERROR(__xludf.DUMMYFUNCTION("""COMPUTED_VALUE"""),"d3da2402")</f>
        <v>d3da2402</v>
      </c>
      <c r="B1112" s="5">
        <f>IFERROR(__xludf.DUMMYFUNCTION("""COMPUTED_VALUE"""),46137.134780092594)</f>
        <v>46137.13478</v>
      </c>
      <c r="C1112" s="4" t="str">
        <f>IFERROR(__xludf.DUMMYFUNCTION("""COMPUTED_VALUE"""),"-6.963701, 107.646565")</f>
        <v>-6.963701, 107.646565</v>
      </c>
      <c r="D1112" s="4" t="str">
        <f>IFERROR(__xludf.DUMMYFUNCTION("""COMPUTED_VALUE"""),"Alam deril")</f>
        <v>Alam deril</v>
      </c>
      <c r="E1112" s="4" t="str">
        <f>IFERROR(__xludf.DUMMYFUNCTION("""COMPUTED_VALUE"""),"BANDUNG")</f>
        <v>BANDUNG</v>
      </c>
      <c r="F1112" s="4" t="str">
        <f>IFERROR(__xludf.DUMMYFUNCTION("""COMPUTED_VALUE"""),"BANDUNG UTARA")</f>
        <v>BANDUNG UTARA</v>
      </c>
      <c r="G1112" s="4" t="str">
        <f>IFERROR(__xludf.DUMMYFUNCTION("""COMPUTED_VALUE"""),"BENGKOK")</f>
        <v>BENGKOK</v>
      </c>
      <c r="H1112" s="4" t="str">
        <f>IFERROR(__xludf.DUMMYFUNCTION("""COMPUTED_VALUE"""),"PKW")</f>
        <v>PKW</v>
      </c>
      <c r="I1112" s="4" t="str">
        <f>IFERROR(__xludf.DUMMYFUNCTION("""COMPUTED_VALUE"""),"LBS PKW-DCLA")</f>
        <v>LBS PKW-DCLA</v>
      </c>
      <c r="J1112" s="4" t="str">
        <f>IFERROR(__xludf.DUMMYFUNCTION("""COMPUTED_VALUE"""),"ZONA 2")</f>
        <v>ZONA 2</v>
      </c>
      <c r="K1112" s="4" t="str">
        <f>IFERROR(__xludf.DUMMYFUNCTION("""COMPUTED_VALUE"""),"055")</f>
        <v>055</v>
      </c>
      <c r="L1112" s="4" t="str">
        <f>IFERROR(__xludf.DUMMYFUNCTION("""COMPUTED_VALUE"""),"TM - 16B/H (REC/SSO/LBS)")</f>
        <v>TM - 16B/H (REC/SSO/LBS)</v>
      </c>
      <c r="M1112" s="4" t="str">
        <f>IFERROR(__xludf.DUMMYFUNCTION("""COMPUTED_VALUE"""),"Tidak Ada")</f>
        <v>Tidak Ada</v>
      </c>
      <c r="N1112" s="4"/>
      <c r="O1112" s="4" t="str">
        <f>IFERROR(__xludf.DUMMYFUNCTION("""COMPUTED_VALUE"""),"PEMBANDING SEJENIS")</f>
        <v>PEMBANDING SEJENIS</v>
      </c>
      <c r="P1112" s="4" t="str">
        <f>IFERROR(__xludf.DUMMYFUNCTION("""COMPUTED_VALUE"""),"KONEKTOR/JUMPER")</f>
        <v>KONEKTOR/JUMPER</v>
      </c>
      <c r="Q1112" s="4">
        <f>IFERROR(__xludf.DUMMYFUNCTION("""COMPUTED_VALUE"""),19.0)</f>
        <v>19</v>
      </c>
      <c r="R1112" s="4">
        <f>IFERROR(__xludf.DUMMYFUNCTION("""COMPUTED_VALUE"""),18.0)</f>
        <v>18</v>
      </c>
      <c r="S1112" s="4">
        <f>IFERROR(__xludf.DUMMYFUNCTION("""COMPUTED_VALUE"""),19.0)</f>
        <v>19</v>
      </c>
      <c r="T1112" s="4"/>
      <c r="U1112" s="4" t="str">
        <f>IFERROR(__xludf.DUMMYFUNCTION("""COMPUTED_VALUE"""),"BAIK")</f>
        <v>BAIK</v>
      </c>
      <c r="V1112" s="4" t="str">
        <f>IFERROR(__xludf.DUMMYFUNCTION("""COMPUTED_VALUE"""),"Tidak Ada")</f>
        <v>Tidak Ada</v>
      </c>
      <c r="W1112" s="4"/>
      <c r="X1112" s="4"/>
      <c r="Y1112" s="4"/>
      <c r="Z1112" s="4"/>
      <c r="AA1112" s="4"/>
      <c r="AB1112" s="4"/>
      <c r="AC1112" s="4" t="str">
        <f>IFERROR(__xludf.DUMMYFUNCTION("""COMPUTED_VALUE"""),"INSPEKSI SUTM - T2_Images/d3da2402.FOTO.032028.jpg")</f>
        <v>INSPEKSI SUTM - T2_Images/d3da2402.FOTO.032028.jpg</v>
      </c>
      <c r="AD1112" s="4"/>
      <c r="AE1112" s="4"/>
      <c r="AF1112" s="4" t="str">
        <f>IFERROR(__xludf.DUMMYFUNCTION("""COMPUTED_VALUE"""),"BELUM")</f>
        <v>BELUM</v>
      </c>
      <c r="AG1112" s="6">
        <f>IFERROR(__xludf.DUMMYFUNCTION("""COMPUTED_VALUE"""),46137.0)</f>
        <v>46137</v>
      </c>
      <c r="AH1112" s="4"/>
      <c r="AI1112" s="4"/>
    </row>
    <row r="1113" ht="15.75" customHeight="1">
      <c r="A1113" s="4" t="str">
        <f>IFERROR(__xludf.DUMMYFUNCTION("""COMPUTED_VALUE"""),"55593330")</f>
        <v>55593330</v>
      </c>
      <c r="B1113" s="5">
        <f>IFERROR(__xludf.DUMMYFUNCTION("""COMPUTED_VALUE"""),46137.1355787037)</f>
        <v>46137.13558</v>
      </c>
      <c r="C1113" s="4" t="str">
        <f>IFERROR(__xludf.DUMMYFUNCTION("""COMPUTED_VALUE"""),"-6.963705, 107.646557")</f>
        <v>-6.963705, 107.646557</v>
      </c>
      <c r="D1113" s="4" t="str">
        <f>IFERROR(__xludf.DUMMYFUNCTION("""COMPUTED_VALUE"""),"Alam deril")</f>
        <v>Alam deril</v>
      </c>
      <c r="E1113" s="4" t="str">
        <f>IFERROR(__xludf.DUMMYFUNCTION("""COMPUTED_VALUE"""),"BANDUNG")</f>
        <v>BANDUNG</v>
      </c>
      <c r="F1113" s="4" t="str">
        <f>IFERROR(__xludf.DUMMYFUNCTION("""COMPUTED_VALUE"""),"BANDUNG UTARA")</f>
        <v>BANDUNG UTARA</v>
      </c>
      <c r="G1113" s="4" t="str">
        <f>IFERROR(__xludf.DUMMYFUNCTION("""COMPUTED_VALUE"""),"BENGKOK")</f>
        <v>BENGKOK</v>
      </c>
      <c r="H1113" s="4" t="str">
        <f>IFERROR(__xludf.DUMMYFUNCTION("""COMPUTED_VALUE"""),"PKW")</f>
        <v>PKW</v>
      </c>
      <c r="I1113" s="4" t="str">
        <f>IFERROR(__xludf.DUMMYFUNCTION("""COMPUTED_VALUE"""),"LBS PKW-DCLA")</f>
        <v>LBS PKW-DCLA</v>
      </c>
      <c r="J1113" s="4" t="str">
        <f>IFERROR(__xludf.DUMMYFUNCTION("""COMPUTED_VALUE"""),"ZONA 2")</f>
        <v>ZONA 2</v>
      </c>
      <c r="K1113" s="4" t="str">
        <f>IFERROR(__xludf.DUMMYFUNCTION("""COMPUTED_VALUE"""),"055R02")</f>
        <v>055R02</v>
      </c>
      <c r="L1113" s="4" t="str">
        <f>IFERROR(__xludf.DUMMYFUNCTION("""COMPUTED_VALUE"""),"TM - 11B/H (Kabel Naik)")</f>
        <v>TM - 11B/H (Kabel Naik)</v>
      </c>
      <c r="M1113" s="4" t="str">
        <f>IFERROR(__xludf.DUMMYFUNCTION("""COMPUTED_VALUE"""),"Tidak Ada")</f>
        <v>Tidak Ada</v>
      </c>
      <c r="N1113" s="4"/>
      <c r="O1113" s="4" t="str">
        <f>IFERROR(__xludf.DUMMYFUNCTION("""COMPUTED_VALUE"""),"PEMBANDING SEJENIS")</f>
        <v>PEMBANDING SEJENIS</v>
      </c>
      <c r="P1113" s="4" t="str">
        <f>IFERROR(__xludf.DUMMYFUNCTION("""COMPUTED_VALUE"""),"TERMINASI")</f>
        <v>TERMINASI</v>
      </c>
      <c r="Q1113" s="4">
        <f>IFERROR(__xludf.DUMMYFUNCTION("""COMPUTED_VALUE"""),18.0)</f>
        <v>18</v>
      </c>
      <c r="R1113" s="4">
        <f>IFERROR(__xludf.DUMMYFUNCTION("""COMPUTED_VALUE"""),18.0)</f>
        <v>18</v>
      </c>
      <c r="S1113" s="4">
        <f>IFERROR(__xludf.DUMMYFUNCTION("""COMPUTED_VALUE"""),18.0)</f>
        <v>18</v>
      </c>
      <c r="T1113" s="4"/>
      <c r="U1113" s="4" t="str">
        <f>IFERROR(__xludf.DUMMYFUNCTION("""COMPUTED_VALUE"""),"BAIK")</f>
        <v>BAIK</v>
      </c>
      <c r="V1113" s="4" t="str">
        <f>IFERROR(__xludf.DUMMYFUNCTION("""COMPUTED_VALUE"""),"Tidak Ada")</f>
        <v>Tidak Ada</v>
      </c>
      <c r="W1113" s="4"/>
      <c r="X1113" s="4"/>
      <c r="Y1113" s="4"/>
      <c r="Z1113" s="4"/>
      <c r="AA1113" s="4"/>
      <c r="AB1113" s="4"/>
      <c r="AC1113" s="4" t="str">
        <f>IFERROR(__xludf.DUMMYFUNCTION("""COMPUTED_VALUE"""),"INSPEKSI SUTM - T2_Images/55593330.FOTO.032129.jpg")</f>
        <v>INSPEKSI SUTM - T2_Images/55593330.FOTO.032129.jpg</v>
      </c>
      <c r="AD1113" s="4"/>
      <c r="AE1113" s="4"/>
      <c r="AF1113" s="4" t="str">
        <f>IFERROR(__xludf.DUMMYFUNCTION("""COMPUTED_VALUE"""),"BELUM")</f>
        <v>BELUM</v>
      </c>
      <c r="AG1113" s="6">
        <f>IFERROR(__xludf.DUMMYFUNCTION("""COMPUTED_VALUE"""),46137.0)</f>
        <v>46137</v>
      </c>
      <c r="AH1113" s="4"/>
      <c r="AI1113" s="4"/>
    </row>
    <row r="1114" ht="15.75" customHeight="1">
      <c r="A1114" s="4" t="str">
        <f>IFERROR(__xludf.DUMMYFUNCTION("""COMPUTED_VALUE"""),"b2c08a85")</f>
        <v>b2c08a85</v>
      </c>
      <c r="B1114" s="5">
        <f>IFERROR(__xludf.DUMMYFUNCTION("""COMPUTED_VALUE"""),46137.136400462965)</f>
        <v>46137.1364</v>
      </c>
      <c r="C1114" s="4" t="str">
        <f>IFERROR(__xludf.DUMMYFUNCTION("""COMPUTED_VALUE"""),"-6.963700, 107.646562")</f>
        <v>-6.963700, 107.646562</v>
      </c>
      <c r="D1114" s="4" t="str">
        <f>IFERROR(__xludf.DUMMYFUNCTION("""COMPUTED_VALUE"""),"Alam deril")</f>
        <v>Alam deril</v>
      </c>
      <c r="E1114" s="4" t="str">
        <f>IFERROR(__xludf.DUMMYFUNCTION("""COMPUTED_VALUE"""),"BANDUNG")</f>
        <v>BANDUNG</v>
      </c>
      <c r="F1114" s="4" t="str">
        <f>IFERROR(__xludf.DUMMYFUNCTION("""COMPUTED_VALUE"""),"BANDUNG UTARA")</f>
        <v>BANDUNG UTARA</v>
      </c>
      <c r="G1114" s="4" t="str">
        <f>IFERROR(__xludf.DUMMYFUNCTION("""COMPUTED_VALUE"""),"BENGKOK")</f>
        <v>BENGKOK</v>
      </c>
      <c r="H1114" s="4" t="str">
        <f>IFERROR(__xludf.DUMMYFUNCTION("""COMPUTED_VALUE"""),"PKW")</f>
        <v>PKW</v>
      </c>
      <c r="I1114" s="4" t="str">
        <f>IFERROR(__xludf.DUMMYFUNCTION("""COMPUTED_VALUE"""),"LBS PKW-DCLA")</f>
        <v>LBS PKW-DCLA</v>
      </c>
      <c r="J1114" s="4" t="str">
        <f>IFERROR(__xludf.DUMMYFUNCTION("""COMPUTED_VALUE"""),"ZONA 2")</f>
        <v>ZONA 2</v>
      </c>
      <c r="K1114" s="4" t="str">
        <f>IFERROR(__xludf.DUMMYFUNCTION("""COMPUTED_VALUE"""),"058")</f>
        <v>058</v>
      </c>
      <c r="L1114" s="4" t="str">
        <f>IFERROR(__xludf.DUMMYFUNCTION("""COMPUTED_VALUE"""),"TM - 4B/H (Afspan)")</f>
        <v>TM - 4B/H (Afspan)</v>
      </c>
      <c r="M1114" s="4" t="str">
        <f>IFERROR(__xludf.DUMMYFUNCTION("""COMPUTED_VALUE"""),"Tidak Ada")</f>
        <v>Tidak Ada</v>
      </c>
      <c r="N1114" s="4"/>
      <c r="O1114" s="4" t="str">
        <f>IFERROR(__xludf.DUMMYFUNCTION("""COMPUTED_VALUE"""),"PEMBANDING SEJENIS")</f>
        <v>PEMBANDING SEJENIS</v>
      </c>
      <c r="P1114" s="4" t="str">
        <f>IFERROR(__xludf.DUMMYFUNCTION("""COMPUTED_VALUE"""),"KONEKTOR/JUMPER")</f>
        <v>KONEKTOR/JUMPER</v>
      </c>
      <c r="Q1114" s="4">
        <f>IFERROR(__xludf.DUMMYFUNCTION("""COMPUTED_VALUE"""),18.0)</f>
        <v>18</v>
      </c>
      <c r="R1114" s="4">
        <f>IFERROR(__xludf.DUMMYFUNCTION("""COMPUTED_VALUE"""),18.0)</f>
        <v>18</v>
      </c>
      <c r="S1114" s="4">
        <f>IFERROR(__xludf.DUMMYFUNCTION("""COMPUTED_VALUE"""),18.0)</f>
        <v>18</v>
      </c>
      <c r="T1114" s="4"/>
      <c r="U1114" s="4" t="str">
        <f>IFERROR(__xludf.DUMMYFUNCTION("""COMPUTED_VALUE"""),"BAIK")</f>
        <v>BAIK</v>
      </c>
      <c r="V1114" s="4" t="str">
        <f>IFERROR(__xludf.DUMMYFUNCTION("""COMPUTED_VALUE"""),"Tidak Ada")</f>
        <v>Tidak Ada</v>
      </c>
      <c r="W1114" s="4"/>
      <c r="X1114" s="4"/>
      <c r="Y1114" s="4"/>
      <c r="Z1114" s="4"/>
      <c r="AA1114" s="4"/>
      <c r="AB1114" s="4"/>
      <c r="AC1114" s="4" t="str">
        <f>IFERROR(__xludf.DUMMYFUNCTION("""COMPUTED_VALUE"""),"INSPEKSI SUTM - T2_Images/b2c08a85.FOTO.032228.jpg")</f>
        <v>INSPEKSI SUTM - T2_Images/b2c08a85.FOTO.032228.jpg</v>
      </c>
      <c r="AD1114" s="4"/>
      <c r="AE1114" s="4"/>
      <c r="AF1114" s="4" t="str">
        <f>IFERROR(__xludf.DUMMYFUNCTION("""COMPUTED_VALUE"""),"BELUM")</f>
        <v>BELUM</v>
      </c>
      <c r="AG1114" s="6">
        <f>IFERROR(__xludf.DUMMYFUNCTION("""COMPUTED_VALUE"""),46137.0)</f>
        <v>46137</v>
      </c>
      <c r="AH1114" s="4"/>
      <c r="AI1114" s="4"/>
    </row>
    <row r="1115" ht="15.75" customHeight="1">
      <c r="A1115" s="4" t="str">
        <f>IFERROR(__xludf.DUMMYFUNCTION("""COMPUTED_VALUE"""),"e6da9be2")</f>
        <v>e6da9be2</v>
      </c>
      <c r="B1115" s="5">
        <f>IFERROR(__xludf.DUMMYFUNCTION("""COMPUTED_VALUE"""),46137.13699074074)</f>
        <v>46137.13699</v>
      </c>
      <c r="C1115" s="4" t="str">
        <f>IFERROR(__xludf.DUMMYFUNCTION("""COMPUTED_VALUE"""),"-6.963698, 107.646569")</f>
        <v>-6.963698, 107.646569</v>
      </c>
      <c r="D1115" s="4" t="str">
        <f>IFERROR(__xludf.DUMMYFUNCTION("""COMPUTED_VALUE"""),"Alam deril")</f>
        <v>Alam deril</v>
      </c>
      <c r="E1115" s="4" t="str">
        <f>IFERROR(__xludf.DUMMYFUNCTION("""COMPUTED_VALUE"""),"BANDUNG")</f>
        <v>BANDUNG</v>
      </c>
      <c r="F1115" s="4" t="str">
        <f>IFERROR(__xludf.DUMMYFUNCTION("""COMPUTED_VALUE"""),"BANDUNG UTARA")</f>
        <v>BANDUNG UTARA</v>
      </c>
      <c r="G1115" s="4" t="str">
        <f>IFERROR(__xludf.DUMMYFUNCTION("""COMPUTED_VALUE"""),"BENGKOK")</f>
        <v>BENGKOK</v>
      </c>
      <c r="H1115" s="4" t="str">
        <f>IFERROR(__xludf.DUMMYFUNCTION("""COMPUTED_VALUE"""),"PKW")</f>
        <v>PKW</v>
      </c>
      <c r="I1115" s="4" t="str">
        <f>IFERROR(__xludf.DUMMYFUNCTION("""COMPUTED_VALUE"""),"LBS PKW-DCLA")</f>
        <v>LBS PKW-DCLA</v>
      </c>
      <c r="J1115" s="4" t="str">
        <f>IFERROR(__xludf.DUMMYFUNCTION("""COMPUTED_VALUE"""),"ZONA 2")</f>
        <v>ZONA 2</v>
      </c>
      <c r="K1115" s="4" t="str">
        <f>IFERROR(__xludf.DUMMYFUNCTION("""COMPUTED_VALUE"""),"064")</f>
        <v>064</v>
      </c>
      <c r="L1115" s="4" t="str">
        <f>IFERROR(__xludf.DUMMYFUNCTION("""COMPUTED_VALUE"""),"TM - 7B/H (Afspan 90 Derajat)")</f>
        <v>TM - 7B/H (Afspan 90 Derajat)</v>
      </c>
      <c r="M1115" s="4" t="str">
        <f>IFERROR(__xludf.DUMMYFUNCTION("""COMPUTED_VALUE"""),"Tidak Ada")</f>
        <v>Tidak Ada</v>
      </c>
      <c r="N1115" s="4"/>
      <c r="O1115" s="4" t="str">
        <f>IFERROR(__xludf.DUMMYFUNCTION("""COMPUTED_VALUE"""),"PEMBANDING SEJENIS")</f>
        <v>PEMBANDING SEJENIS</v>
      </c>
      <c r="P1115" s="4" t="str">
        <f>IFERROR(__xludf.DUMMYFUNCTION("""COMPUTED_VALUE"""),"KONEKTOR/JUMPER")</f>
        <v>KONEKTOR/JUMPER</v>
      </c>
      <c r="Q1115" s="4">
        <f>IFERROR(__xludf.DUMMYFUNCTION("""COMPUTED_VALUE"""),18.0)</f>
        <v>18</v>
      </c>
      <c r="R1115" s="4">
        <f>IFERROR(__xludf.DUMMYFUNCTION("""COMPUTED_VALUE"""),19.0)</f>
        <v>19</v>
      </c>
      <c r="S1115" s="4">
        <f>IFERROR(__xludf.DUMMYFUNCTION("""COMPUTED_VALUE"""),18.0)</f>
        <v>18</v>
      </c>
      <c r="T1115" s="4"/>
      <c r="U1115" s="4" t="str">
        <f>IFERROR(__xludf.DUMMYFUNCTION("""COMPUTED_VALUE"""),"BAIK")</f>
        <v>BAIK</v>
      </c>
      <c r="V1115" s="4" t="str">
        <f>IFERROR(__xludf.DUMMYFUNCTION("""COMPUTED_VALUE"""),"Tidak Ada")</f>
        <v>Tidak Ada</v>
      </c>
      <c r="W1115" s="4"/>
      <c r="X1115" s="4"/>
      <c r="Y1115" s="4"/>
      <c r="Z1115" s="4"/>
      <c r="AA1115" s="4"/>
      <c r="AB1115" s="4"/>
      <c r="AC1115" s="4" t="str">
        <f>IFERROR(__xludf.DUMMYFUNCTION("""COMPUTED_VALUE"""),"INSPEKSI SUTM - T2_Images/e6da9be2.FOTO.032342.jpg")</f>
        <v>INSPEKSI SUTM - T2_Images/e6da9be2.FOTO.032342.jpg</v>
      </c>
      <c r="AD1115" s="4"/>
      <c r="AE1115" s="4"/>
      <c r="AF1115" s="4" t="str">
        <f>IFERROR(__xludf.DUMMYFUNCTION("""COMPUTED_VALUE"""),"BELUM")</f>
        <v>BELUM</v>
      </c>
      <c r="AG1115" s="6">
        <f>IFERROR(__xludf.DUMMYFUNCTION("""COMPUTED_VALUE"""),46137.0)</f>
        <v>46137</v>
      </c>
      <c r="AH1115" s="4"/>
      <c r="AI1115" s="4"/>
    </row>
    <row r="1116" ht="15.75" customHeight="1">
      <c r="A1116" s="4" t="str">
        <f>IFERROR(__xludf.DUMMYFUNCTION("""COMPUTED_VALUE"""),"f3ad0c9f")</f>
        <v>f3ad0c9f</v>
      </c>
      <c r="B1116" s="5">
        <f>IFERROR(__xludf.DUMMYFUNCTION("""COMPUTED_VALUE"""),46137.13826388889)</f>
        <v>46137.13826</v>
      </c>
      <c r="C1116" s="4" t="str">
        <f>IFERROR(__xludf.DUMMYFUNCTION("""COMPUTED_VALUE"""),"-6.963705, 107.646567")</f>
        <v>-6.963705, 107.646567</v>
      </c>
      <c r="D1116" s="4" t="str">
        <f>IFERROR(__xludf.DUMMYFUNCTION("""COMPUTED_VALUE"""),"Alam deril")</f>
        <v>Alam deril</v>
      </c>
      <c r="E1116" s="4" t="str">
        <f>IFERROR(__xludf.DUMMYFUNCTION("""COMPUTED_VALUE"""),"BANDUNG")</f>
        <v>BANDUNG</v>
      </c>
      <c r="F1116" s="4" t="str">
        <f>IFERROR(__xludf.DUMMYFUNCTION("""COMPUTED_VALUE"""),"BANDUNG UTARA")</f>
        <v>BANDUNG UTARA</v>
      </c>
      <c r="G1116" s="4" t="str">
        <f>IFERROR(__xludf.DUMMYFUNCTION("""COMPUTED_VALUE"""),"BENGKOK")</f>
        <v>BENGKOK</v>
      </c>
      <c r="H1116" s="4" t="str">
        <f>IFERROR(__xludf.DUMMYFUNCTION("""COMPUTED_VALUE"""),"PKW")</f>
        <v>PKW</v>
      </c>
      <c r="I1116" s="4" t="str">
        <f>IFERROR(__xludf.DUMMYFUNCTION("""COMPUTED_VALUE"""),"LBS PKW-DCLA")</f>
        <v>LBS PKW-DCLA</v>
      </c>
      <c r="J1116" s="4" t="str">
        <f>IFERROR(__xludf.DUMMYFUNCTION("""COMPUTED_VALUE"""),"ZONA 2")</f>
        <v>ZONA 2</v>
      </c>
      <c r="K1116" s="4" t="str">
        <f>IFERROR(__xludf.DUMMYFUNCTION("""COMPUTED_VALUE"""),"060")</f>
        <v>060</v>
      </c>
      <c r="L1116" s="4" t="str">
        <f>IFERROR(__xludf.DUMMYFUNCTION("""COMPUTED_VALUE"""),"TM - 4B/H (Afspan)")</f>
        <v>TM - 4B/H (Afspan)</v>
      </c>
      <c r="M1116" s="4" t="str">
        <f>IFERROR(__xludf.DUMMYFUNCTION("""COMPUTED_VALUE"""),"Tidak Ada")</f>
        <v>Tidak Ada</v>
      </c>
      <c r="N1116" s="4"/>
      <c r="O1116" s="4" t="str">
        <f>IFERROR(__xludf.DUMMYFUNCTION("""COMPUTED_VALUE"""),"PEMBANDING SEJENIS")</f>
        <v>PEMBANDING SEJENIS</v>
      </c>
      <c r="P1116" s="4" t="str">
        <f>IFERROR(__xludf.DUMMYFUNCTION("""COMPUTED_VALUE"""),"KONEKTOR/JUMPER")</f>
        <v>KONEKTOR/JUMPER</v>
      </c>
      <c r="Q1116" s="4">
        <f>IFERROR(__xludf.DUMMYFUNCTION("""COMPUTED_VALUE"""),18.0)</f>
        <v>18</v>
      </c>
      <c r="R1116" s="4">
        <f>IFERROR(__xludf.DUMMYFUNCTION("""COMPUTED_VALUE"""),18.0)</f>
        <v>18</v>
      </c>
      <c r="S1116" s="4">
        <f>IFERROR(__xludf.DUMMYFUNCTION("""COMPUTED_VALUE"""),18.0)</f>
        <v>18</v>
      </c>
      <c r="T1116" s="4"/>
      <c r="U1116" s="4" t="str">
        <f>IFERROR(__xludf.DUMMYFUNCTION("""COMPUTED_VALUE"""),"BAIK")</f>
        <v>BAIK</v>
      </c>
      <c r="V1116" s="4" t="str">
        <f>IFERROR(__xludf.DUMMYFUNCTION("""COMPUTED_VALUE"""),"Tidak Ada")</f>
        <v>Tidak Ada</v>
      </c>
      <c r="W1116" s="4"/>
      <c r="X1116" s="4"/>
      <c r="Y1116" s="4"/>
      <c r="Z1116" s="4"/>
      <c r="AA1116" s="4"/>
      <c r="AB1116" s="4"/>
      <c r="AC1116" s="4" t="str">
        <f>IFERROR(__xludf.DUMMYFUNCTION("""COMPUTED_VALUE"""),"INSPEKSI SUTM - T2_Images/f3ad0c9f.FOTO.032511.jpg")</f>
        <v>INSPEKSI SUTM - T2_Images/f3ad0c9f.FOTO.032511.jpg</v>
      </c>
      <c r="AD1116" s="4"/>
      <c r="AE1116" s="4"/>
      <c r="AF1116" s="4" t="str">
        <f>IFERROR(__xludf.DUMMYFUNCTION("""COMPUTED_VALUE"""),"BELUM")</f>
        <v>BELUM</v>
      </c>
      <c r="AG1116" s="6">
        <f>IFERROR(__xludf.DUMMYFUNCTION("""COMPUTED_VALUE"""),46137.0)</f>
        <v>46137</v>
      </c>
      <c r="AH1116" s="4"/>
      <c r="AI1116" s="4"/>
    </row>
    <row r="1117" ht="15.75" customHeight="1">
      <c r="A1117" s="4" t="str">
        <f>IFERROR(__xludf.DUMMYFUNCTION("""COMPUTED_VALUE"""),"525ac1a7")</f>
        <v>525ac1a7</v>
      </c>
      <c r="B1117" s="5">
        <f>IFERROR(__xludf.DUMMYFUNCTION("""COMPUTED_VALUE"""),46137.13883101852)</f>
        <v>46137.13883</v>
      </c>
      <c r="C1117" s="4" t="str">
        <f>IFERROR(__xludf.DUMMYFUNCTION("""COMPUTED_VALUE"""),"-6.963703, 107.646548")</f>
        <v>-6.963703, 107.646548</v>
      </c>
      <c r="D1117" s="4" t="str">
        <f>IFERROR(__xludf.DUMMYFUNCTION("""COMPUTED_VALUE"""),"Alam deril")</f>
        <v>Alam deril</v>
      </c>
      <c r="E1117" s="4" t="str">
        <f>IFERROR(__xludf.DUMMYFUNCTION("""COMPUTED_VALUE"""),"BANDUNG")</f>
        <v>BANDUNG</v>
      </c>
      <c r="F1117" s="4" t="str">
        <f>IFERROR(__xludf.DUMMYFUNCTION("""COMPUTED_VALUE"""),"BANDUNG UTARA")</f>
        <v>BANDUNG UTARA</v>
      </c>
      <c r="G1117" s="4" t="str">
        <f>IFERROR(__xludf.DUMMYFUNCTION("""COMPUTED_VALUE"""),"BENGKOK")</f>
        <v>BENGKOK</v>
      </c>
      <c r="H1117" s="4" t="str">
        <f>IFERROR(__xludf.DUMMYFUNCTION("""COMPUTED_VALUE"""),"PKW")</f>
        <v>PKW</v>
      </c>
      <c r="I1117" s="4" t="str">
        <f>IFERROR(__xludf.DUMMYFUNCTION("""COMPUTED_VALUE"""),"LBS PKW-DCLA")</f>
        <v>LBS PKW-DCLA</v>
      </c>
      <c r="J1117" s="4" t="str">
        <f>IFERROR(__xludf.DUMMYFUNCTION("""COMPUTED_VALUE"""),"ZONA 2")</f>
        <v>ZONA 2</v>
      </c>
      <c r="K1117" s="4" t="str">
        <f>IFERROR(__xludf.DUMMYFUNCTION("""COMPUTED_VALUE"""),"069")</f>
        <v>069</v>
      </c>
      <c r="L1117" s="4" t="str">
        <f>IFERROR(__xludf.DUMMYFUNCTION("""COMPUTED_VALUE"""),"TM - 4B/H (Afspan)")</f>
        <v>TM - 4B/H (Afspan)</v>
      </c>
      <c r="M1117" s="4" t="str">
        <f>IFERROR(__xludf.DUMMYFUNCTION("""COMPUTED_VALUE"""),"Tidak Ada")</f>
        <v>Tidak Ada</v>
      </c>
      <c r="N1117" s="4"/>
      <c r="O1117" s="4" t="str">
        <f>IFERROR(__xludf.DUMMYFUNCTION("""COMPUTED_VALUE"""),"PEMBANDING SEJENIS")</f>
        <v>PEMBANDING SEJENIS</v>
      </c>
      <c r="P1117" s="4" t="str">
        <f>IFERROR(__xludf.DUMMYFUNCTION("""COMPUTED_VALUE"""),"KONEKTOR/JUMPER")</f>
        <v>KONEKTOR/JUMPER</v>
      </c>
      <c r="Q1117" s="4">
        <f>IFERROR(__xludf.DUMMYFUNCTION("""COMPUTED_VALUE"""),17.0)</f>
        <v>17</v>
      </c>
      <c r="R1117" s="4">
        <f>IFERROR(__xludf.DUMMYFUNCTION("""COMPUTED_VALUE"""),17.0)</f>
        <v>17</v>
      </c>
      <c r="S1117" s="4">
        <f>IFERROR(__xludf.DUMMYFUNCTION("""COMPUTED_VALUE"""),17.0)</f>
        <v>17</v>
      </c>
      <c r="T1117" s="4"/>
      <c r="U1117" s="4" t="str">
        <f>IFERROR(__xludf.DUMMYFUNCTION("""COMPUTED_VALUE"""),"BAIK")</f>
        <v>BAIK</v>
      </c>
      <c r="V1117" s="4" t="str">
        <f>IFERROR(__xludf.DUMMYFUNCTION("""COMPUTED_VALUE"""),"Tidak Ada")</f>
        <v>Tidak Ada</v>
      </c>
      <c r="W1117" s="4"/>
      <c r="X1117" s="4"/>
      <c r="Y1117" s="4"/>
      <c r="Z1117" s="4"/>
      <c r="AA1117" s="4"/>
      <c r="AB1117" s="4"/>
      <c r="AC1117" s="4" t="str">
        <f>IFERROR(__xludf.DUMMYFUNCTION("""COMPUTED_VALUE"""),"INSPEKSI SUTM - T2_Images/525ac1a7.FOTO.032619.jpg")</f>
        <v>INSPEKSI SUTM - T2_Images/525ac1a7.FOTO.032619.jpg</v>
      </c>
      <c r="AD1117" s="4"/>
      <c r="AE1117" s="4"/>
      <c r="AF1117" s="4" t="str">
        <f>IFERROR(__xludf.DUMMYFUNCTION("""COMPUTED_VALUE"""),"BELUM")</f>
        <v>BELUM</v>
      </c>
      <c r="AG1117" s="6">
        <f>IFERROR(__xludf.DUMMYFUNCTION("""COMPUTED_VALUE"""),46137.0)</f>
        <v>46137</v>
      </c>
      <c r="AH1117" s="4"/>
      <c r="AI1117" s="4"/>
    </row>
    <row r="1118" ht="15.75" customHeight="1">
      <c r="A1118" s="4" t="str">
        <f>IFERROR(__xludf.DUMMYFUNCTION("""COMPUTED_VALUE"""),"b2810595")</f>
        <v>b2810595</v>
      </c>
      <c r="B1118" s="5">
        <f>IFERROR(__xludf.DUMMYFUNCTION("""COMPUTED_VALUE"""),46137.14581018518)</f>
        <v>46137.14581</v>
      </c>
      <c r="C1118" s="4" t="str">
        <f>IFERROR(__xludf.DUMMYFUNCTION("""COMPUTED_VALUE"""),"-6.963708, 107.646571")</f>
        <v>-6.963708, 107.646571</v>
      </c>
      <c r="D1118" s="4" t="str">
        <f>IFERROR(__xludf.DUMMYFUNCTION("""COMPUTED_VALUE"""),"Alam deril")</f>
        <v>Alam deril</v>
      </c>
      <c r="E1118" s="4" t="str">
        <f>IFERROR(__xludf.DUMMYFUNCTION("""COMPUTED_VALUE"""),"BANDUNG")</f>
        <v>BANDUNG</v>
      </c>
      <c r="F1118" s="4" t="str">
        <f>IFERROR(__xludf.DUMMYFUNCTION("""COMPUTED_VALUE"""),"BANDUNG UTARA")</f>
        <v>BANDUNG UTARA</v>
      </c>
      <c r="G1118" s="4" t="str">
        <f>IFERROR(__xludf.DUMMYFUNCTION("""COMPUTED_VALUE"""),"BENGKOK")</f>
        <v>BENGKOK</v>
      </c>
      <c r="H1118" s="4" t="str">
        <f>IFERROR(__xludf.DUMMYFUNCTION("""COMPUTED_VALUE"""),"PKW")</f>
        <v>PKW</v>
      </c>
      <c r="I1118" s="4" t="str">
        <f>IFERROR(__xludf.DUMMYFUNCTION("""COMPUTED_VALUE"""),"LBS PKW-DCLA")</f>
        <v>LBS PKW-DCLA</v>
      </c>
      <c r="J1118" s="4" t="str">
        <f>IFERROR(__xludf.DUMMYFUNCTION("""COMPUTED_VALUE"""),"ZONA 2")</f>
        <v>ZONA 2</v>
      </c>
      <c r="K1118" s="4" t="str">
        <f>IFERROR(__xludf.DUMMYFUNCTION("""COMPUTED_VALUE"""),"073")</f>
        <v>073</v>
      </c>
      <c r="L1118" s="4" t="str">
        <f>IFERROR(__xludf.DUMMYFUNCTION("""COMPUTED_VALUE"""),"TM - 1B/H (Tumpu)")</f>
        <v>TM - 1B/H (Tumpu)</v>
      </c>
      <c r="M1118" s="4" t="str">
        <f>IFERROR(__xludf.DUMMYFUNCTION("""COMPUTED_VALUE"""),"Tidak Ada")</f>
        <v>Tidak Ada</v>
      </c>
      <c r="N1118" s="4"/>
      <c r="O1118" s="4" t="str">
        <f>IFERROR(__xludf.DUMMYFUNCTION("""COMPUTED_VALUE"""),"PEMBANDING SEJENIS")</f>
        <v>PEMBANDING SEJENIS</v>
      </c>
      <c r="P1118" s="4" t="str">
        <f>IFERROR(__xludf.DUMMYFUNCTION("""COMPUTED_VALUE"""),"ARRESTER")</f>
        <v>ARRESTER</v>
      </c>
      <c r="Q1118" s="4">
        <f>IFERROR(__xludf.DUMMYFUNCTION("""COMPUTED_VALUE"""),17.0)</f>
        <v>17</v>
      </c>
      <c r="R1118" s="4">
        <f>IFERROR(__xludf.DUMMYFUNCTION("""COMPUTED_VALUE"""),16.0)</f>
        <v>16</v>
      </c>
      <c r="S1118" s="4">
        <f>IFERROR(__xludf.DUMMYFUNCTION("""COMPUTED_VALUE"""),17.0)</f>
        <v>17</v>
      </c>
      <c r="T1118" s="4"/>
      <c r="U1118" s="4" t="str">
        <f>IFERROR(__xludf.DUMMYFUNCTION("""COMPUTED_VALUE"""),"BAIK")</f>
        <v>BAIK</v>
      </c>
      <c r="V1118" s="4" t="str">
        <f>IFERROR(__xludf.DUMMYFUNCTION("""COMPUTED_VALUE"""),"Tidak Ada")</f>
        <v>Tidak Ada</v>
      </c>
      <c r="W1118" s="4"/>
      <c r="X1118" s="4"/>
      <c r="Y1118" s="4"/>
      <c r="Z1118" s="4"/>
      <c r="AA1118" s="4"/>
      <c r="AB1118" s="4"/>
      <c r="AC1118" s="4" t="str">
        <f>IFERROR(__xludf.DUMMYFUNCTION("""COMPUTED_VALUE"""),"INSPEKSI SUTM - T2_Images/b2810595.FOTO.033621.jpg")</f>
        <v>INSPEKSI SUTM - T2_Images/b2810595.FOTO.033621.jpg</v>
      </c>
      <c r="AD1118" s="4"/>
      <c r="AE1118" s="4"/>
      <c r="AF1118" s="4" t="str">
        <f>IFERROR(__xludf.DUMMYFUNCTION("""COMPUTED_VALUE"""),"BELUM")</f>
        <v>BELUM</v>
      </c>
      <c r="AG1118" s="6">
        <f>IFERROR(__xludf.DUMMYFUNCTION("""COMPUTED_VALUE"""),46137.0)</f>
        <v>46137</v>
      </c>
      <c r="AH1118" s="4"/>
      <c r="AI1118" s="4"/>
    </row>
    <row r="1119" ht="15.75" customHeight="1">
      <c r="A1119" s="4" t="str">
        <f>IFERROR(__xludf.DUMMYFUNCTION("""COMPUTED_VALUE"""),"9d73538f")</f>
        <v>9d73538f</v>
      </c>
      <c r="B1119" s="5">
        <f>IFERROR(__xludf.DUMMYFUNCTION("""COMPUTED_VALUE"""),46137.14655092593)</f>
        <v>46137.14655</v>
      </c>
      <c r="C1119" s="4" t="str">
        <f>IFERROR(__xludf.DUMMYFUNCTION("""COMPUTED_VALUE"""),"-6.963704, 107.646564")</f>
        <v>-6.963704, 107.646564</v>
      </c>
      <c r="D1119" s="4" t="str">
        <f>IFERROR(__xludf.DUMMYFUNCTION("""COMPUTED_VALUE"""),"Alam deril")</f>
        <v>Alam deril</v>
      </c>
      <c r="E1119" s="4" t="str">
        <f>IFERROR(__xludf.DUMMYFUNCTION("""COMPUTED_VALUE"""),"BANDUNG")</f>
        <v>BANDUNG</v>
      </c>
      <c r="F1119" s="4" t="str">
        <f>IFERROR(__xludf.DUMMYFUNCTION("""COMPUTED_VALUE"""),"BANDUNG UTARA")</f>
        <v>BANDUNG UTARA</v>
      </c>
      <c r="G1119" s="4" t="str">
        <f>IFERROR(__xludf.DUMMYFUNCTION("""COMPUTED_VALUE"""),"BENGKOK")</f>
        <v>BENGKOK</v>
      </c>
      <c r="H1119" s="4" t="str">
        <f>IFERROR(__xludf.DUMMYFUNCTION("""COMPUTED_VALUE"""),"PKW")</f>
        <v>PKW</v>
      </c>
      <c r="I1119" s="4" t="str">
        <f>IFERROR(__xludf.DUMMYFUNCTION("""COMPUTED_VALUE"""),"LBS PKW-DCLA")</f>
        <v>LBS PKW-DCLA</v>
      </c>
      <c r="J1119" s="4" t="str">
        <f>IFERROR(__xludf.DUMMYFUNCTION("""COMPUTED_VALUE"""),"ZONA 2")</f>
        <v>ZONA 2</v>
      </c>
      <c r="K1119" s="4" t="str">
        <f>IFERROR(__xludf.DUMMYFUNCTION("""COMPUTED_VALUE"""),"081")</f>
        <v>081</v>
      </c>
      <c r="L1119" s="4" t="str">
        <f>IFERROR(__xludf.DUMMYFUNCTION("""COMPUTED_VALUE"""),"TM - 11B/H (Kabel Naik)")</f>
        <v>TM - 11B/H (Kabel Naik)</v>
      </c>
      <c r="M1119" s="4" t="str">
        <f>IFERROR(__xludf.DUMMYFUNCTION("""COMPUTED_VALUE"""),"Tidak Ada")</f>
        <v>Tidak Ada</v>
      </c>
      <c r="N1119" s="4"/>
      <c r="O1119" s="4" t="str">
        <f>IFERROR(__xludf.DUMMYFUNCTION("""COMPUTED_VALUE"""),"PEMBANDING SEJENIS")</f>
        <v>PEMBANDING SEJENIS</v>
      </c>
      <c r="P1119" s="4" t="str">
        <f>IFERROR(__xludf.DUMMYFUNCTION("""COMPUTED_VALUE"""),"ARRESTER")</f>
        <v>ARRESTER</v>
      </c>
      <c r="Q1119" s="4">
        <f>IFERROR(__xludf.DUMMYFUNCTION("""COMPUTED_VALUE"""),16.0)</f>
        <v>16</v>
      </c>
      <c r="R1119" s="4">
        <f>IFERROR(__xludf.DUMMYFUNCTION("""COMPUTED_VALUE"""),16.0)</f>
        <v>16</v>
      </c>
      <c r="S1119" s="4">
        <f>IFERROR(__xludf.DUMMYFUNCTION("""COMPUTED_VALUE"""),16.0)</f>
        <v>16</v>
      </c>
      <c r="T1119" s="4"/>
      <c r="U1119" s="4" t="str">
        <f>IFERROR(__xludf.DUMMYFUNCTION("""COMPUTED_VALUE"""),"BAIK")</f>
        <v>BAIK</v>
      </c>
      <c r="V1119" s="4" t="str">
        <f>IFERROR(__xludf.DUMMYFUNCTION("""COMPUTED_VALUE"""),"Tidak Ada")</f>
        <v>Tidak Ada</v>
      </c>
      <c r="W1119" s="4"/>
      <c r="X1119" s="4"/>
      <c r="Y1119" s="4"/>
      <c r="Z1119" s="4"/>
      <c r="AA1119" s="4"/>
      <c r="AB1119" s="4"/>
      <c r="AC1119" s="4" t="str">
        <f>IFERROR(__xludf.DUMMYFUNCTION("""COMPUTED_VALUE"""),"INSPEKSI SUTM - T2_Images/9d73538f.FOTO.033732.jpg")</f>
        <v>INSPEKSI SUTM - T2_Images/9d73538f.FOTO.033732.jpg</v>
      </c>
      <c r="AD1119" s="4"/>
      <c r="AE1119" s="4"/>
      <c r="AF1119" s="4" t="str">
        <f>IFERROR(__xludf.DUMMYFUNCTION("""COMPUTED_VALUE"""),"BELUM")</f>
        <v>BELUM</v>
      </c>
      <c r="AG1119" s="6">
        <f>IFERROR(__xludf.DUMMYFUNCTION("""COMPUTED_VALUE"""),46137.0)</f>
        <v>46137</v>
      </c>
      <c r="AH1119" s="4"/>
      <c r="AI1119" s="4"/>
    </row>
    <row r="1120" ht="15.75" customHeight="1">
      <c r="A1120" s="4" t="str">
        <f>IFERROR(__xludf.DUMMYFUNCTION("""COMPUTED_VALUE"""),"66944a14")</f>
        <v>66944a14</v>
      </c>
      <c r="B1120" s="5">
        <f>IFERROR(__xludf.DUMMYFUNCTION("""COMPUTED_VALUE"""),46138.75797453704)</f>
        <v>46138.75797</v>
      </c>
      <c r="C1120" s="4" t="str">
        <f>IFERROR(__xludf.DUMMYFUNCTION("""COMPUTED_VALUE"""),"-6.963705, 107.646565")</f>
        <v>-6.963705, 107.646565</v>
      </c>
      <c r="D1120" s="4" t="str">
        <f>IFERROR(__xludf.DUMMYFUNCTION("""COMPUTED_VALUE"""),"Alam deril")</f>
        <v>Alam deril</v>
      </c>
      <c r="E1120" s="4" t="str">
        <f>IFERROR(__xludf.DUMMYFUNCTION("""COMPUTED_VALUE"""),"BANDUNG")</f>
        <v>BANDUNG</v>
      </c>
      <c r="F1120" s="4" t="str">
        <f>IFERROR(__xludf.DUMMYFUNCTION("""COMPUTED_VALUE"""),"BANDUNG UTARA")</f>
        <v>BANDUNG UTARA</v>
      </c>
      <c r="G1120" s="4" t="str">
        <f>IFERROR(__xludf.DUMMYFUNCTION("""COMPUTED_VALUE"""),"BENGKOK")</f>
        <v>BENGKOK</v>
      </c>
      <c r="H1120" s="4" t="str">
        <f>IFERROR(__xludf.DUMMYFUNCTION("""COMPUTED_VALUE"""),"PKW")</f>
        <v>PKW</v>
      </c>
      <c r="I1120" s="4" t="str">
        <f>IFERROR(__xludf.DUMMYFUNCTION("""COMPUTED_VALUE"""),"LBS PKW-DCLA")</f>
        <v>LBS PKW-DCLA</v>
      </c>
      <c r="J1120" s="4" t="str">
        <f>IFERROR(__xludf.DUMMYFUNCTION("""COMPUTED_VALUE"""),"ZONA 2")</f>
        <v>ZONA 2</v>
      </c>
      <c r="K1120" s="4" t="str">
        <f>IFERROR(__xludf.DUMMYFUNCTION("""COMPUTED_VALUE"""),"013")</f>
        <v>013</v>
      </c>
      <c r="L1120" s="4" t="str">
        <f>IFERROR(__xludf.DUMMYFUNCTION("""COMPUTED_VALUE"""),"TM - 1B/H (Tumpu)")</f>
        <v>TM - 1B/H (Tumpu)</v>
      </c>
      <c r="M1120" s="4" t="str">
        <f>IFERROR(__xludf.DUMMYFUNCTION("""COMPUTED_VALUE"""),"Tidak Ada")</f>
        <v>Tidak Ada</v>
      </c>
      <c r="N1120" s="4"/>
      <c r="O1120" s="4" t="str">
        <f>IFERROR(__xludf.DUMMYFUNCTION("""COMPUTED_VALUE"""),"PEMBANDING SEJENIS")</f>
        <v>PEMBANDING SEJENIS</v>
      </c>
      <c r="P1120" s="4" t="str">
        <f>IFERROR(__xludf.DUMMYFUNCTION("""COMPUTED_VALUE"""),"ARRESTER")</f>
        <v>ARRESTER</v>
      </c>
      <c r="Q1120" s="4">
        <f>IFERROR(__xludf.DUMMYFUNCTION("""COMPUTED_VALUE"""),19.0)</f>
        <v>19</v>
      </c>
      <c r="R1120" s="4">
        <f>IFERROR(__xludf.DUMMYFUNCTION("""COMPUTED_VALUE"""),19.0)</f>
        <v>19</v>
      </c>
      <c r="S1120" s="4">
        <f>IFERROR(__xludf.DUMMYFUNCTION("""COMPUTED_VALUE"""),19.0)</f>
        <v>19</v>
      </c>
      <c r="T1120" s="4"/>
      <c r="U1120" s="4" t="str">
        <f>IFERROR(__xludf.DUMMYFUNCTION("""COMPUTED_VALUE"""),"BAIK")</f>
        <v>BAIK</v>
      </c>
      <c r="V1120" s="4" t="str">
        <f>IFERROR(__xludf.DUMMYFUNCTION("""COMPUTED_VALUE"""),"Tidak Ada")</f>
        <v>Tidak Ada</v>
      </c>
      <c r="W1120" s="4"/>
      <c r="X1120" s="4"/>
      <c r="Y1120" s="4"/>
      <c r="Z1120" s="4"/>
      <c r="AA1120" s="4"/>
      <c r="AB1120" s="4"/>
      <c r="AC1120" s="4" t="str">
        <f>IFERROR(__xludf.DUMMYFUNCTION("""COMPUTED_VALUE"""),"INSPEKSI SUTM - T2_Images/66944a14.FOTO.111215.jpg")</f>
        <v>INSPEKSI SUTM - T2_Images/66944a14.FOTO.111215.jpg</v>
      </c>
      <c r="AD1120" s="4"/>
      <c r="AE1120" s="4"/>
      <c r="AF1120" s="4" t="str">
        <f>IFERROR(__xludf.DUMMYFUNCTION("""COMPUTED_VALUE"""),"BELUM")</f>
        <v>BELUM</v>
      </c>
      <c r="AG1120" s="6">
        <f>IFERROR(__xludf.DUMMYFUNCTION("""COMPUTED_VALUE"""),46138.0)</f>
        <v>46138</v>
      </c>
      <c r="AH1120" s="4"/>
      <c r="AI1120" s="4"/>
    </row>
    <row r="1121" ht="15.75" customHeight="1">
      <c r="A1121" s="4" t="str">
        <f>IFERROR(__xludf.DUMMYFUNCTION("""COMPUTED_VALUE"""),"4344488b")</f>
        <v>4344488b</v>
      </c>
      <c r="B1121" s="5">
        <f>IFERROR(__xludf.DUMMYFUNCTION("""COMPUTED_VALUE"""),46139.412453703706)</f>
        <v>46139.41245</v>
      </c>
      <c r="C1121" s="4" t="str">
        <f>IFERROR(__xludf.DUMMYFUNCTION("""COMPUTED_VALUE"""),"-6.880001, 107.580786")</f>
        <v>-6.880001, 107.580786</v>
      </c>
      <c r="D1121" s="4" t="str">
        <f>IFERROR(__xludf.DUMMYFUNCTION("""COMPUTED_VALUE"""),"Alam deril")</f>
        <v>Alam deril</v>
      </c>
      <c r="E1121" s="4" t="str">
        <f>IFERROR(__xludf.DUMMYFUNCTION("""COMPUTED_VALUE"""),"BANDUNG")</f>
        <v>BANDUNG</v>
      </c>
      <c r="F1121" s="4" t="str">
        <f>IFERROR(__xludf.DUMMYFUNCTION("""COMPUTED_VALUE"""),"BANDUNG UTARA")</f>
        <v>BANDUNG UTARA</v>
      </c>
      <c r="G1121" s="4" t="str">
        <f>IFERROR(__xludf.DUMMYFUNCTION("""COMPUTED_VALUE"""),"BENGKOK")</f>
        <v>BENGKOK</v>
      </c>
      <c r="H1121" s="4" t="str">
        <f>IFERROR(__xludf.DUMMYFUNCTION("""COMPUTED_VALUE"""),"PKW")</f>
        <v>PKW</v>
      </c>
      <c r="I1121" s="4" t="str">
        <f>IFERROR(__xludf.DUMMYFUNCTION("""COMPUTED_VALUE"""),"LBS PKW-DCLA")</f>
        <v>LBS PKW-DCLA</v>
      </c>
      <c r="J1121" s="4" t="str">
        <f>IFERROR(__xludf.DUMMYFUNCTION("""COMPUTED_VALUE"""),"ZONA 2")</f>
        <v>ZONA 2</v>
      </c>
      <c r="K1121" s="4" t="str">
        <f>IFERROR(__xludf.DUMMYFUNCTION("""COMPUTED_VALUE"""),"020")</f>
        <v>020</v>
      </c>
      <c r="L1121" s="4" t="str">
        <f>IFERROR(__xludf.DUMMYFUNCTION("""COMPUTED_VALUE"""),"TM - 1B/H (Tumpu)")</f>
        <v>TM - 1B/H (Tumpu)</v>
      </c>
      <c r="M1121" s="4" t="str">
        <f>IFERROR(__xludf.DUMMYFUNCTION("""COMPUTED_VALUE"""),"Tidak Ada")</f>
        <v>Tidak Ada</v>
      </c>
      <c r="N1121" s="4"/>
      <c r="O1121" s="4" t="str">
        <f>IFERROR(__xludf.DUMMYFUNCTION("""COMPUTED_VALUE"""),"PEMBANDING SEJENIS")</f>
        <v>PEMBANDING SEJENIS</v>
      </c>
      <c r="P1121" s="4" t="str">
        <f>IFERROR(__xludf.DUMMYFUNCTION("""COMPUTED_VALUE"""),"ARRESTER")</f>
        <v>ARRESTER</v>
      </c>
      <c r="Q1121" s="4">
        <f>IFERROR(__xludf.DUMMYFUNCTION("""COMPUTED_VALUE"""),18.0)</f>
        <v>18</v>
      </c>
      <c r="R1121" s="4">
        <f>IFERROR(__xludf.DUMMYFUNCTION("""COMPUTED_VALUE"""),18.0)</f>
        <v>18</v>
      </c>
      <c r="S1121" s="4">
        <f>IFERROR(__xludf.DUMMYFUNCTION("""COMPUTED_VALUE"""),19.0)</f>
        <v>19</v>
      </c>
      <c r="T1121" s="4"/>
      <c r="U1121" s="4" t="str">
        <f>IFERROR(__xludf.DUMMYFUNCTION("""COMPUTED_VALUE"""),"BAIK")</f>
        <v>BAIK</v>
      </c>
      <c r="V1121" s="4" t="str">
        <f>IFERROR(__xludf.DUMMYFUNCTION("""COMPUTED_VALUE"""),"Tidak Ada")</f>
        <v>Tidak Ada</v>
      </c>
      <c r="W1121" s="4"/>
      <c r="X1121" s="4"/>
      <c r="Y1121" s="4"/>
      <c r="Z1121" s="4"/>
      <c r="AA1121" s="4"/>
      <c r="AB1121" s="4"/>
      <c r="AC1121" s="4" t="str">
        <f>IFERROR(__xludf.DUMMYFUNCTION("""COMPUTED_VALUE"""),"INSPEKSI SUTM - T2_Images/4344488b.FOTO.025454.jpg")</f>
        <v>INSPEKSI SUTM - T2_Images/4344488b.FOTO.025454.jpg</v>
      </c>
      <c r="AD1121" s="4"/>
      <c r="AE1121" s="4"/>
      <c r="AF1121" s="4" t="str">
        <f>IFERROR(__xludf.DUMMYFUNCTION("""COMPUTED_VALUE"""),"BELUM")</f>
        <v>BELUM</v>
      </c>
      <c r="AG1121" s="6">
        <f>IFERROR(__xludf.DUMMYFUNCTION("""COMPUTED_VALUE"""),46139.0)</f>
        <v>46139</v>
      </c>
      <c r="AH1121" s="4"/>
      <c r="AI1121" s="4"/>
    </row>
    <row r="1122" ht="15.75" customHeight="1">
      <c r="A1122" s="4" t="str">
        <f>IFERROR(__xludf.DUMMYFUNCTION("""COMPUTED_VALUE"""),"f730e5a5")</f>
        <v>f730e5a5</v>
      </c>
      <c r="B1122" s="5">
        <f>IFERROR(__xludf.DUMMYFUNCTION("""COMPUTED_VALUE"""),46139.41799768519)</f>
        <v>46139.418</v>
      </c>
      <c r="C1122" s="4" t="str">
        <f>IFERROR(__xludf.DUMMYFUNCTION("""COMPUTED_VALUE"""),"-6.879918, 107.580877")</f>
        <v>-6.879918, 107.580877</v>
      </c>
      <c r="D1122" s="4" t="str">
        <f>IFERROR(__xludf.DUMMYFUNCTION("""COMPUTED_VALUE"""),"Alam deril")</f>
        <v>Alam deril</v>
      </c>
      <c r="E1122" s="4" t="str">
        <f>IFERROR(__xludf.DUMMYFUNCTION("""COMPUTED_VALUE"""),"BANDUNG")</f>
        <v>BANDUNG</v>
      </c>
      <c r="F1122" s="4" t="str">
        <f>IFERROR(__xludf.DUMMYFUNCTION("""COMPUTED_VALUE"""),"BANDUNG UTARA")</f>
        <v>BANDUNG UTARA</v>
      </c>
      <c r="G1122" s="4" t="str">
        <f>IFERROR(__xludf.DUMMYFUNCTION("""COMPUTED_VALUE"""),"BENGKOK")</f>
        <v>BENGKOK</v>
      </c>
      <c r="H1122" s="4" t="str">
        <f>IFERROR(__xludf.DUMMYFUNCTION("""COMPUTED_VALUE"""),"PKW")</f>
        <v>PKW</v>
      </c>
      <c r="I1122" s="4" t="str">
        <f>IFERROR(__xludf.DUMMYFUNCTION("""COMPUTED_VALUE"""),"LBS PKW-DCLA")</f>
        <v>LBS PKW-DCLA</v>
      </c>
      <c r="J1122" s="4" t="str">
        <f>IFERROR(__xludf.DUMMYFUNCTION("""COMPUTED_VALUE"""),"ZONA 2")</f>
        <v>ZONA 2</v>
      </c>
      <c r="K1122" s="4" t="str">
        <f>IFERROR(__xludf.DUMMYFUNCTION("""COMPUTED_VALUE"""),"032")</f>
        <v>032</v>
      </c>
      <c r="L1122" s="4" t="str">
        <f>IFERROR(__xludf.DUMMYFUNCTION("""COMPUTED_VALUE"""),"TM - 2B/H (Double Tumpu)")</f>
        <v>TM - 2B/H (Double Tumpu)</v>
      </c>
      <c r="M1122" s="4" t="str">
        <f>IFERROR(__xludf.DUMMYFUNCTION("""COMPUTED_VALUE"""),"Tidak Ada")</f>
        <v>Tidak Ada</v>
      </c>
      <c r="N1122" s="4"/>
      <c r="O1122" s="4" t="str">
        <f>IFERROR(__xludf.DUMMYFUNCTION("""COMPUTED_VALUE"""),"PEMBANDING SEJENIS")</f>
        <v>PEMBANDING SEJENIS</v>
      </c>
      <c r="P1122" s="4" t="str">
        <f>IFERROR(__xludf.DUMMYFUNCTION("""COMPUTED_VALUE"""),"ARRESTER")</f>
        <v>ARRESTER</v>
      </c>
      <c r="Q1122" s="4">
        <f>IFERROR(__xludf.DUMMYFUNCTION("""COMPUTED_VALUE"""),19.0)</f>
        <v>19</v>
      </c>
      <c r="R1122" s="4">
        <f>IFERROR(__xludf.DUMMYFUNCTION("""COMPUTED_VALUE"""),19.0)</f>
        <v>19</v>
      </c>
      <c r="S1122" s="4">
        <f>IFERROR(__xludf.DUMMYFUNCTION("""COMPUTED_VALUE"""),19.0)</f>
        <v>19</v>
      </c>
      <c r="T1122" s="4"/>
      <c r="U1122" s="4" t="str">
        <f>IFERROR(__xludf.DUMMYFUNCTION("""COMPUTED_VALUE"""),"BAIK")</f>
        <v>BAIK</v>
      </c>
      <c r="V1122" s="4" t="str">
        <f>IFERROR(__xludf.DUMMYFUNCTION("""COMPUTED_VALUE"""),"Tidak Ada")</f>
        <v>Tidak Ada</v>
      </c>
      <c r="W1122" s="4"/>
      <c r="X1122" s="4"/>
      <c r="Y1122" s="4"/>
      <c r="Z1122" s="4"/>
      <c r="AA1122" s="4"/>
      <c r="AB1122" s="4"/>
      <c r="AC1122" s="4" t="str">
        <f>IFERROR(__xludf.DUMMYFUNCTION("""COMPUTED_VALUE"""),"INSPEKSI SUTM - T2_Images/f730e5a5.FOTO.030241.jpg")</f>
        <v>INSPEKSI SUTM - T2_Images/f730e5a5.FOTO.030241.jpg</v>
      </c>
      <c r="AD1122" s="4"/>
      <c r="AE1122" s="4"/>
      <c r="AF1122" s="4" t="str">
        <f>IFERROR(__xludf.DUMMYFUNCTION("""COMPUTED_VALUE"""),"BELUM")</f>
        <v>BELUM</v>
      </c>
      <c r="AG1122" s="6">
        <f>IFERROR(__xludf.DUMMYFUNCTION("""COMPUTED_VALUE"""),46139.0)</f>
        <v>46139</v>
      </c>
      <c r="AH1122" s="4"/>
      <c r="AI1122" s="4"/>
    </row>
    <row r="1123" ht="15.75" customHeight="1">
      <c r="A1123" s="4" t="str">
        <f>IFERROR(__xludf.DUMMYFUNCTION("""COMPUTED_VALUE"""),"df11c318")</f>
        <v>df11c318</v>
      </c>
      <c r="B1123" s="5">
        <f>IFERROR(__xludf.DUMMYFUNCTION("""COMPUTED_VALUE"""),46139.419282407405)</f>
        <v>46139.41928</v>
      </c>
      <c r="C1123" s="4" t="str">
        <f>IFERROR(__xludf.DUMMYFUNCTION("""COMPUTED_VALUE"""),"-6.879890, 107.580739")</f>
        <v>-6.879890, 107.580739</v>
      </c>
      <c r="D1123" s="4" t="str">
        <f>IFERROR(__xludf.DUMMYFUNCTION("""COMPUTED_VALUE"""),"Alam deril")</f>
        <v>Alam deril</v>
      </c>
      <c r="E1123" s="4" t="str">
        <f>IFERROR(__xludf.DUMMYFUNCTION("""COMPUTED_VALUE"""),"BANDUNG")</f>
        <v>BANDUNG</v>
      </c>
      <c r="F1123" s="4" t="str">
        <f>IFERROR(__xludf.DUMMYFUNCTION("""COMPUTED_VALUE"""),"BANDUNG UTARA")</f>
        <v>BANDUNG UTARA</v>
      </c>
      <c r="G1123" s="4" t="str">
        <f>IFERROR(__xludf.DUMMYFUNCTION("""COMPUTED_VALUE"""),"BENGKOK")</f>
        <v>BENGKOK</v>
      </c>
      <c r="H1123" s="4" t="str">
        <f>IFERROR(__xludf.DUMMYFUNCTION("""COMPUTED_VALUE"""),"PKW")</f>
        <v>PKW</v>
      </c>
      <c r="I1123" s="4" t="str">
        <f>IFERROR(__xludf.DUMMYFUNCTION("""COMPUTED_VALUE"""),"LBS PKW-DCLA")</f>
        <v>LBS PKW-DCLA</v>
      </c>
      <c r="J1123" s="4" t="str">
        <f>IFERROR(__xludf.DUMMYFUNCTION("""COMPUTED_VALUE"""),"ZONA 2")</f>
        <v>ZONA 2</v>
      </c>
      <c r="K1123" s="4" t="str">
        <f>IFERROR(__xludf.DUMMYFUNCTION("""COMPUTED_VALUE"""),"046")</f>
        <v>046</v>
      </c>
      <c r="L1123" s="4" t="str">
        <f>IFERROR(__xludf.DUMMYFUNCTION("""COMPUTED_VALUE"""),"TM - 1B/H (Tumpu)")</f>
        <v>TM - 1B/H (Tumpu)</v>
      </c>
      <c r="M1123" s="4" t="str">
        <f>IFERROR(__xludf.DUMMYFUNCTION("""COMPUTED_VALUE"""),"Tidak Ada")</f>
        <v>Tidak Ada</v>
      </c>
      <c r="N1123" s="4"/>
      <c r="O1123" s="4" t="str">
        <f>IFERROR(__xludf.DUMMYFUNCTION("""COMPUTED_VALUE"""),"PEMBANDING SEJENIS")</f>
        <v>PEMBANDING SEJENIS</v>
      </c>
      <c r="P1123" s="4" t="str">
        <f>IFERROR(__xludf.DUMMYFUNCTION("""COMPUTED_VALUE"""),"ARRESTER")</f>
        <v>ARRESTER</v>
      </c>
      <c r="Q1123" s="4">
        <f>IFERROR(__xludf.DUMMYFUNCTION("""COMPUTED_VALUE"""),20.0)</f>
        <v>20</v>
      </c>
      <c r="R1123" s="4">
        <f>IFERROR(__xludf.DUMMYFUNCTION("""COMPUTED_VALUE"""),20.0)</f>
        <v>20</v>
      </c>
      <c r="S1123" s="4">
        <f>IFERROR(__xludf.DUMMYFUNCTION("""COMPUTED_VALUE"""),20.0)</f>
        <v>20</v>
      </c>
      <c r="T1123" s="4"/>
      <c r="U1123" s="4" t="str">
        <f>IFERROR(__xludf.DUMMYFUNCTION("""COMPUTED_VALUE"""),"BAIK")</f>
        <v>BAIK</v>
      </c>
      <c r="V1123" s="4" t="str">
        <f>IFERROR(__xludf.DUMMYFUNCTION("""COMPUTED_VALUE"""),"Tidak Ada")</f>
        <v>Tidak Ada</v>
      </c>
      <c r="W1123" s="4"/>
      <c r="X1123" s="4"/>
      <c r="Y1123" s="4"/>
      <c r="Z1123" s="4"/>
      <c r="AA1123" s="4"/>
      <c r="AB1123" s="4"/>
      <c r="AC1123" s="4" t="str">
        <f>IFERROR(__xludf.DUMMYFUNCTION("""COMPUTED_VALUE"""),"INSPEKSI SUTM - T2_Images/df11c318.FOTO.030447.jpg")</f>
        <v>INSPEKSI SUTM - T2_Images/df11c318.FOTO.030447.jpg</v>
      </c>
      <c r="AD1123" s="4"/>
      <c r="AE1123" s="4"/>
      <c r="AF1123" s="4" t="str">
        <f>IFERROR(__xludf.DUMMYFUNCTION("""COMPUTED_VALUE"""),"BELUM")</f>
        <v>BELUM</v>
      </c>
      <c r="AG1123" s="6">
        <f>IFERROR(__xludf.DUMMYFUNCTION("""COMPUTED_VALUE"""),46139.0)</f>
        <v>46139</v>
      </c>
      <c r="AH1123" s="4"/>
      <c r="AI1123" s="4"/>
    </row>
    <row r="1124" ht="15.75" customHeight="1">
      <c r="A1124" s="4" t="str">
        <f>IFERROR(__xludf.DUMMYFUNCTION("""COMPUTED_VALUE"""),"ffb07086")</f>
        <v>ffb07086</v>
      </c>
      <c r="B1124" s="5">
        <f>IFERROR(__xludf.DUMMYFUNCTION("""COMPUTED_VALUE"""),46139.42056712963)</f>
        <v>46139.42057</v>
      </c>
      <c r="C1124" s="4" t="str">
        <f>IFERROR(__xludf.DUMMYFUNCTION("""COMPUTED_VALUE"""),"-6.880030, 107.580435")</f>
        <v>-6.880030, 107.580435</v>
      </c>
      <c r="D1124" s="4" t="str">
        <f>IFERROR(__xludf.DUMMYFUNCTION("""COMPUTED_VALUE"""),"Alam deril")</f>
        <v>Alam deril</v>
      </c>
      <c r="E1124" s="4" t="str">
        <f>IFERROR(__xludf.DUMMYFUNCTION("""COMPUTED_VALUE"""),"BANDUNG")</f>
        <v>BANDUNG</v>
      </c>
      <c r="F1124" s="4" t="str">
        <f>IFERROR(__xludf.DUMMYFUNCTION("""COMPUTED_VALUE"""),"BANDUNG UTARA")</f>
        <v>BANDUNG UTARA</v>
      </c>
      <c r="G1124" s="4" t="str">
        <f>IFERROR(__xludf.DUMMYFUNCTION("""COMPUTED_VALUE"""),"BENGKOK")</f>
        <v>BENGKOK</v>
      </c>
      <c r="H1124" s="4" t="str">
        <f>IFERROR(__xludf.DUMMYFUNCTION("""COMPUTED_VALUE"""),"PKW")</f>
        <v>PKW</v>
      </c>
      <c r="I1124" s="4" t="str">
        <f>IFERROR(__xludf.DUMMYFUNCTION("""COMPUTED_VALUE"""),"LBS PKW-DCLA")</f>
        <v>LBS PKW-DCLA</v>
      </c>
      <c r="J1124" s="4" t="str">
        <f>IFERROR(__xludf.DUMMYFUNCTION("""COMPUTED_VALUE"""),"ZONA 2")</f>
        <v>ZONA 2</v>
      </c>
      <c r="K1124" s="4" t="str">
        <f>IFERROR(__xludf.DUMMYFUNCTION("""COMPUTED_VALUE"""),"052")</f>
        <v>052</v>
      </c>
      <c r="L1124" s="4" t="str">
        <f>IFERROR(__xludf.DUMMYFUNCTION("""COMPUTED_VALUE"""),"TM - 1B/H (Tumpu)")</f>
        <v>TM - 1B/H (Tumpu)</v>
      </c>
      <c r="M1124" s="4" t="str">
        <f>IFERROR(__xludf.DUMMYFUNCTION("""COMPUTED_VALUE"""),"Tidak Ada")</f>
        <v>Tidak Ada</v>
      </c>
      <c r="N1124" s="4"/>
      <c r="O1124" s="4" t="str">
        <f>IFERROR(__xludf.DUMMYFUNCTION("""COMPUTED_VALUE"""),"PEMBANDING SEJENIS")</f>
        <v>PEMBANDING SEJENIS</v>
      </c>
      <c r="P1124" s="4" t="str">
        <f>IFERROR(__xludf.DUMMYFUNCTION("""COMPUTED_VALUE"""),"ARRESTER")</f>
        <v>ARRESTER</v>
      </c>
      <c r="Q1124" s="4">
        <f>IFERROR(__xludf.DUMMYFUNCTION("""COMPUTED_VALUE"""),20.0)</f>
        <v>20</v>
      </c>
      <c r="R1124" s="4">
        <f>IFERROR(__xludf.DUMMYFUNCTION("""COMPUTED_VALUE"""),20.0)</f>
        <v>20</v>
      </c>
      <c r="S1124" s="4">
        <f>IFERROR(__xludf.DUMMYFUNCTION("""COMPUTED_VALUE"""),20.0)</f>
        <v>20</v>
      </c>
      <c r="T1124" s="4"/>
      <c r="U1124" s="4" t="str">
        <f>IFERROR(__xludf.DUMMYFUNCTION("""COMPUTED_VALUE"""),"BAIK")</f>
        <v>BAIK</v>
      </c>
      <c r="V1124" s="4" t="str">
        <f>IFERROR(__xludf.DUMMYFUNCTION("""COMPUTED_VALUE"""),"Tidak Ada")</f>
        <v>Tidak Ada</v>
      </c>
      <c r="W1124" s="4"/>
      <c r="X1124" s="4"/>
      <c r="Y1124" s="4"/>
      <c r="Z1124" s="4"/>
      <c r="AA1124" s="4"/>
      <c r="AB1124" s="4"/>
      <c r="AC1124" s="4" t="str">
        <f>IFERROR(__xludf.DUMMYFUNCTION("""COMPUTED_VALUE"""),"INSPEKSI SUTM - T2_Images/ffb07086.FOTO.030635.jpg")</f>
        <v>INSPEKSI SUTM - T2_Images/ffb07086.FOTO.030635.jpg</v>
      </c>
      <c r="AD1124" s="4"/>
      <c r="AE1124" s="4"/>
      <c r="AF1124" s="4" t="str">
        <f>IFERROR(__xludf.DUMMYFUNCTION("""COMPUTED_VALUE"""),"BELUM")</f>
        <v>BELUM</v>
      </c>
      <c r="AG1124" s="6">
        <f>IFERROR(__xludf.DUMMYFUNCTION("""COMPUTED_VALUE"""),46139.0)</f>
        <v>46139</v>
      </c>
      <c r="AH1124" s="4"/>
      <c r="AI1124" s="4"/>
    </row>
    <row r="1125" ht="15.75" customHeight="1">
      <c r="A1125" s="4" t="str">
        <f>IFERROR(__xludf.DUMMYFUNCTION("""COMPUTED_VALUE"""),"3de21272")</f>
        <v>3de21272</v>
      </c>
      <c r="B1125" s="5">
        <f>IFERROR(__xludf.DUMMYFUNCTION("""COMPUTED_VALUE"""),46139.42217592592)</f>
        <v>46139.42218</v>
      </c>
      <c r="C1125" s="4" t="str">
        <f>IFERROR(__xludf.DUMMYFUNCTION("""COMPUTED_VALUE"""),"-6.880040, 107.580822")</f>
        <v>-6.880040, 107.580822</v>
      </c>
      <c r="D1125" s="4" t="str">
        <f>IFERROR(__xludf.DUMMYFUNCTION("""COMPUTED_VALUE"""),"Alam deril")</f>
        <v>Alam deril</v>
      </c>
      <c r="E1125" s="4" t="str">
        <f>IFERROR(__xludf.DUMMYFUNCTION("""COMPUTED_VALUE"""),"BANDUNG")</f>
        <v>BANDUNG</v>
      </c>
      <c r="F1125" s="4" t="str">
        <f>IFERROR(__xludf.DUMMYFUNCTION("""COMPUTED_VALUE"""),"BANDUNG UTARA")</f>
        <v>BANDUNG UTARA</v>
      </c>
      <c r="G1125" s="4" t="str">
        <f>IFERROR(__xludf.DUMMYFUNCTION("""COMPUTED_VALUE"""),"BENGKOK")</f>
        <v>BENGKOK</v>
      </c>
      <c r="H1125" s="4" t="str">
        <f>IFERROR(__xludf.DUMMYFUNCTION("""COMPUTED_VALUE"""),"PKW")</f>
        <v>PKW</v>
      </c>
      <c r="I1125" s="4" t="str">
        <f>IFERROR(__xludf.DUMMYFUNCTION("""COMPUTED_VALUE"""),"LBS PKW-DCLA")</f>
        <v>LBS PKW-DCLA</v>
      </c>
      <c r="J1125" s="4" t="str">
        <f>IFERROR(__xludf.DUMMYFUNCTION("""COMPUTED_VALUE"""),"ZONA 2")</f>
        <v>ZONA 2</v>
      </c>
      <c r="K1125" s="4" t="str">
        <f>IFERROR(__xludf.DUMMYFUNCTION("""COMPUTED_VALUE"""),"040R01")</f>
        <v>040R01</v>
      </c>
      <c r="L1125" s="4" t="str">
        <f>IFERROR(__xludf.DUMMYFUNCTION("""COMPUTED_VALUE"""),"TM - 13B/H (Kabel Naik Pada Tiang Tumpu)")</f>
        <v>TM - 13B/H (Kabel Naik Pada Tiang Tumpu)</v>
      </c>
      <c r="M1125" s="4" t="str">
        <f>IFERROR(__xludf.DUMMYFUNCTION("""COMPUTED_VALUE"""),"Gardu")</f>
        <v>Gardu</v>
      </c>
      <c r="N1125" s="4" t="str">
        <f>IFERROR(__xludf.DUMMYFUNCTION("""COMPUTED_VALUE"""),"-")</f>
        <v>-</v>
      </c>
      <c r="O1125" s="4" t="str">
        <f>IFERROR(__xludf.DUMMYFUNCTION("""COMPUTED_VALUE"""),"PEMBANDING SEJENIS")</f>
        <v>PEMBANDING SEJENIS</v>
      </c>
      <c r="P1125" s="4" t="str">
        <f>IFERROR(__xludf.DUMMYFUNCTION("""COMPUTED_VALUE"""),"TERMINASI")</f>
        <v>TERMINASI</v>
      </c>
      <c r="Q1125" s="4">
        <f>IFERROR(__xludf.DUMMYFUNCTION("""COMPUTED_VALUE"""),18.0)</f>
        <v>18</v>
      </c>
      <c r="R1125" s="4">
        <f>IFERROR(__xludf.DUMMYFUNCTION("""COMPUTED_VALUE"""),18.0)</f>
        <v>18</v>
      </c>
      <c r="S1125" s="4">
        <f>IFERROR(__xludf.DUMMYFUNCTION("""COMPUTED_VALUE"""),18.0)</f>
        <v>18</v>
      </c>
      <c r="T1125" s="4"/>
      <c r="U1125" s="4" t="str">
        <f>IFERROR(__xludf.DUMMYFUNCTION("""COMPUTED_VALUE"""),"BAIK")</f>
        <v>BAIK</v>
      </c>
      <c r="V1125" s="4" t="str">
        <f>IFERROR(__xludf.DUMMYFUNCTION("""COMPUTED_VALUE"""),"Tidak Ada")</f>
        <v>Tidak Ada</v>
      </c>
      <c r="W1125" s="4"/>
      <c r="X1125" s="4"/>
      <c r="Y1125" s="4"/>
      <c r="Z1125" s="4"/>
      <c r="AA1125" s="4"/>
      <c r="AB1125" s="4"/>
      <c r="AC1125" s="4" t="str">
        <f>IFERROR(__xludf.DUMMYFUNCTION("""COMPUTED_VALUE"""),"INSPEKSI SUTM - T2_Images/3de21272.FOTO.030849.jpg")</f>
        <v>INSPEKSI SUTM - T2_Images/3de21272.FOTO.030849.jpg</v>
      </c>
      <c r="AD1125" s="4"/>
      <c r="AE1125" s="4"/>
      <c r="AF1125" s="4" t="str">
        <f>IFERROR(__xludf.DUMMYFUNCTION("""COMPUTED_VALUE"""),"BELUM")</f>
        <v>BELUM</v>
      </c>
      <c r="AG1125" s="6">
        <f>IFERROR(__xludf.DUMMYFUNCTION("""COMPUTED_VALUE"""),46139.0)</f>
        <v>46139</v>
      </c>
      <c r="AH1125" s="4"/>
      <c r="AI1125" s="4"/>
    </row>
    <row r="1126" ht="15.75" customHeight="1">
      <c r="A1126" s="4" t="str">
        <f>IFERROR(__xludf.DUMMYFUNCTION("""COMPUTED_VALUE"""),"ba64b01d")</f>
        <v>ba64b01d</v>
      </c>
      <c r="B1126" s="5">
        <f>IFERROR(__xludf.DUMMYFUNCTION("""COMPUTED_VALUE"""),46139.42375)</f>
        <v>46139.42375</v>
      </c>
      <c r="C1126" s="4" t="str">
        <f>IFERROR(__xludf.DUMMYFUNCTION("""COMPUTED_VALUE"""),"-6.879916, 107.580716")</f>
        <v>-6.879916, 107.580716</v>
      </c>
      <c r="D1126" s="4" t="str">
        <f>IFERROR(__xludf.DUMMYFUNCTION("""COMPUTED_VALUE"""),"Alam deril")</f>
        <v>Alam deril</v>
      </c>
      <c r="E1126" s="4" t="str">
        <f>IFERROR(__xludf.DUMMYFUNCTION("""COMPUTED_VALUE"""),"BANDUNG")</f>
        <v>BANDUNG</v>
      </c>
      <c r="F1126" s="4" t="str">
        <f>IFERROR(__xludf.DUMMYFUNCTION("""COMPUTED_VALUE"""),"BANDUNG UTARA")</f>
        <v>BANDUNG UTARA</v>
      </c>
      <c r="G1126" s="4" t="str">
        <f>IFERROR(__xludf.DUMMYFUNCTION("""COMPUTED_VALUE"""),"BENGKOK")</f>
        <v>BENGKOK</v>
      </c>
      <c r="H1126" s="4" t="str">
        <f>IFERROR(__xludf.DUMMYFUNCTION("""COMPUTED_VALUE"""),"PKW")</f>
        <v>PKW</v>
      </c>
      <c r="I1126" s="4" t="str">
        <f>IFERROR(__xludf.DUMMYFUNCTION("""COMPUTED_VALUE"""),"LBS PKW-DCLA")</f>
        <v>LBS PKW-DCLA</v>
      </c>
      <c r="J1126" s="4" t="str">
        <f>IFERROR(__xludf.DUMMYFUNCTION("""COMPUTED_VALUE"""),"ZONA 2")</f>
        <v>ZONA 2</v>
      </c>
      <c r="K1126" s="4" t="str">
        <f>IFERROR(__xludf.DUMMYFUNCTION("""COMPUTED_VALUE"""),"016R014")</f>
        <v>016R014</v>
      </c>
      <c r="L1126" s="4" t="str">
        <f>IFERROR(__xludf.DUMMYFUNCTION("""COMPUTED_VALUE"""),"TM - 8B/H (Percabangan)")</f>
        <v>TM - 8B/H (Percabangan)</v>
      </c>
      <c r="M1126" s="4" t="str">
        <f>IFERROR(__xludf.DUMMYFUNCTION("""COMPUTED_VALUE"""),"Tidak Ada")</f>
        <v>Tidak Ada</v>
      </c>
      <c r="N1126" s="4"/>
      <c r="O1126" s="4" t="str">
        <f>IFERROR(__xludf.DUMMYFUNCTION("""COMPUTED_VALUE"""),"PEMBANDING SEJENIS")</f>
        <v>PEMBANDING SEJENIS</v>
      </c>
      <c r="P1126" s="4" t="str">
        <f>IFERROR(__xludf.DUMMYFUNCTION("""COMPUTED_VALUE"""),"KONEKTOR/JUMPER")</f>
        <v>KONEKTOR/JUMPER</v>
      </c>
      <c r="Q1126" s="4">
        <f>IFERROR(__xludf.DUMMYFUNCTION("""COMPUTED_VALUE"""),20.0)</f>
        <v>20</v>
      </c>
      <c r="R1126" s="4">
        <f>IFERROR(__xludf.DUMMYFUNCTION("""COMPUTED_VALUE"""),20.0)</f>
        <v>20</v>
      </c>
      <c r="S1126" s="4">
        <f>IFERROR(__xludf.DUMMYFUNCTION("""COMPUTED_VALUE"""),21.0)</f>
        <v>21</v>
      </c>
      <c r="T1126" s="4"/>
      <c r="U1126" s="4" t="str">
        <f>IFERROR(__xludf.DUMMYFUNCTION("""COMPUTED_VALUE"""),"BAIK")</f>
        <v>BAIK</v>
      </c>
      <c r="V1126" s="4" t="str">
        <f>IFERROR(__xludf.DUMMYFUNCTION("""COMPUTED_VALUE"""),"Tidak Ada")</f>
        <v>Tidak Ada</v>
      </c>
      <c r="W1126" s="4"/>
      <c r="X1126" s="4"/>
      <c r="Y1126" s="4"/>
      <c r="Z1126" s="4"/>
      <c r="AA1126" s="4"/>
      <c r="AB1126" s="4"/>
      <c r="AC1126" s="4" t="str">
        <f>IFERROR(__xludf.DUMMYFUNCTION("""COMPUTED_VALUE"""),"INSPEKSI SUTM - T2_Images/ba64b01d.FOTO.031316.jpg")</f>
        <v>INSPEKSI SUTM - T2_Images/ba64b01d.FOTO.031316.jpg</v>
      </c>
      <c r="AD1126" s="4"/>
      <c r="AE1126" s="4"/>
      <c r="AF1126" s="4" t="str">
        <f>IFERROR(__xludf.DUMMYFUNCTION("""COMPUTED_VALUE"""),"BELUM")</f>
        <v>BELUM</v>
      </c>
      <c r="AG1126" s="6">
        <f>IFERROR(__xludf.DUMMYFUNCTION("""COMPUTED_VALUE"""),46139.0)</f>
        <v>46139</v>
      </c>
      <c r="AH1126" s="4"/>
      <c r="AI1126" s="4"/>
    </row>
    <row r="1127" ht="15.75" customHeight="1">
      <c r="A1127" s="4" t="str">
        <f>IFERROR(__xludf.DUMMYFUNCTION("""COMPUTED_VALUE"""),"67e6c643")</f>
        <v>67e6c643</v>
      </c>
      <c r="B1127" s="5">
        <f>IFERROR(__xludf.DUMMYFUNCTION("""COMPUTED_VALUE"""),46139.845983796295)</f>
        <v>46139.84598</v>
      </c>
      <c r="C1127" s="4" t="str">
        <f>IFERROR(__xludf.DUMMYFUNCTION("""COMPUTED_VALUE"""),"-6.899222, 107.641255")</f>
        <v>-6.899222, 107.641255</v>
      </c>
      <c r="D1127" s="4" t="str">
        <f>IFERROR(__xludf.DUMMYFUNCTION("""COMPUTED_VALUE"""),"Sandi angga")</f>
        <v>Sandi angga</v>
      </c>
      <c r="E1127" s="4" t="str">
        <f>IFERROR(__xludf.DUMMYFUNCTION("""COMPUTED_VALUE"""),"BANDUNG")</f>
        <v>BANDUNG</v>
      </c>
      <c r="F1127" s="4" t="str">
        <f>IFERROR(__xludf.DUMMYFUNCTION("""COMPUTED_VALUE"""),"BANDUNG TIMUR")</f>
        <v>BANDUNG TIMUR</v>
      </c>
      <c r="G1127" s="4" t="str">
        <f>IFERROR(__xludf.DUMMYFUNCTION("""COMPUTED_VALUE"""),"DAGO PAKAR")</f>
        <v>DAGO PAKAR</v>
      </c>
      <c r="H1127" s="4" t="str">
        <f>IFERROR(__xludf.DUMMYFUNCTION("""COMPUTED_VALUE"""),"DSNM")</f>
        <v>DSNM</v>
      </c>
      <c r="I1127" s="4" t="str">
        <f>IFERROR(__xludf.DUMMYFUNCTION("""COMPUTED_VALUE"""),"FCO GVYA-GVY")</f>
        <v>FCO GVYA-GVY</v>
      </c>
      <c r="J1127" s="4" t="str">
        <f>IFERROR(__xludf.DUMMYFUNCTION("""COMPUTED_VALUE"""),"ZONA 2")</f>
        <v>ZONA 2</v>
      </c>
      <c r="K1127" s="4" t="str">
        <f>IFERROR(__xludf.DUMMYFUNCTION("""COMPUTED_VALUE"""),"001L01")</f>
        <v>001L01</v>
      </c>
      <c r="L1127" s="4" t="str">
        <f>IFERROR(__xludf.DUMMYFUNCTION("""COMPUTED_VALUE"""),"TM - 4BC/HC (Afspan dengan CO)")</f>
        <v>TM - 4BC/HC (Afspan dengan CO)</v>
      </c>
      <c r="M1127" s="4" t="str">
        <f>IFERROR(__xludf.DUMMYFUNCTION("""COMPUTED_VALUE"""),"FCO")</f>
        <v>FCO</v>
      </c>
      <c r="N1127" s="4" t="str">
        <f>IFERROR(__xludf.DUMMYFUNCTION("""COMPUTED_VALUE"""),"AFTAK GARDU GVY")</f>
        <v>AFTAK GARDU GVY</v>
      </c>
      <c r="O1127" s="4" t="str">
        <f>IFERROR(__xludf.DUMMYFUNCTION("""COMPUTED_VALUE"""),"PEMBANDING SEJENIS")</f>
        <v>PEMBANDING SEJENIS</v>
      </c>
      <c r="P1127" s="4" t="str">
        <f>IFERROR(__xludf.DUMMYFUNCTION("""COMPUTED_VALUE"""),"FCO")</f>
        <v>FCO</v>
      </c>
      <c r="Q1127" s="4">
        <f>IFERROR(__xludf.DUMMYFUNCTION("""COMPUTED_VALUE"""),21.0)</f>
        <v>21</v>
      </c>
      <c r="R1127" s="4">
        <f>IFERROR(__xludf.DUMMYFUNCTION("""COMPUTED_VALUE"""),21.0)</f>
        <v>21</v>
      </c>
      <c r="S1127" s="4">
        <f>IFERROR(__xludf.DUMMYFUNCTION("""COMPUTED_VALUE"""),22.0)</f>
        <v>22</v>
      </c>
      <c r="T1127" s="4"/>
      <c r="U1127" s="4" t="str">
        <f>IFERROR(__xludf.DUMMYFUNCTION("""COMPUTED_VALUE"""),"BAIK")</f>
        <v>BAIK</v>
      </c>
      <c r="V1127" s="4" t="str">
        <f>IFERROR(__xludf.DUMMYFUNCTION("""COMPUTED_VALUE"""),"Tidak Ada")</f>
        <v>Tidak Ada</v>
      </c>
      <c r="W1127" s="4"/>
      <c r="X1127" s="4"/>
      <c r="Y1127" s="4"/>
      <c r="Z1127" s="4"/>
      <c r="AA1127" s="4"/>
      <c r="AB1127" s="4"/>
      <c r="AC1127" s="4" t="str">
        <f>IFERROR(__xludf.DUMMYFUNCTION("""COMPUTED_VALUE"""),"INSPEKSI SUTM - T2_Images/67e6c643.FOTO.131940.jpg")</f>
        <v>INSPEKSI SUTM - T2_Images/67e6c643.FOTO.131940.jpg</v>
      </c>
      <c r="AD1127" s="4"/>
      <c r="AE1127" s="4"/>
      <c r="AF1127" s="4" t="str">
        <f>IFERROR(__xludf.DUMMYFUNCTION("""COMPUTED_VALUE"""),"BELUM")</f>
        <v>BELUM</v>
      </c>
      <c r="AG1127" s="6">
        <f>IFERROR(__xludf.DUMMYFUNCTION("""COMPUTED_VALUE"""),46139.0)</f>
        <v>46139</v>
      </c>
      <c r="AH1127" s="4"/>
      <c r="AI1127" s="4"/>
    </row>
    <row r="1128" ht="15.75" customHeight="1">
      <c r="A1128" s="4" t="str">
        <f>IFERROR(__xludf.DUMMYFUNCTION("""COMPUTED_VALUE"""),"efb4b1b6")</f>
        <v>efb4b1b6</v>
      </c>
      <c r="B1128" s="5">
        <f>IFERROR(__xludf.DUMMYFUNCTION("""COMPUTED_VALUE"""),46139.847083333334)</f>
        <v>46139.84708</v>
      </c>
      <c r="C1128" s="4" t="str">
        <f>IFERROR(__xludf.DUMMYFUNCTION("""COMPUTED_VALUE"""),"-6.899225, 107.641255")</f>
        <v>-6.899225, 107.641255</v>
      </c>
      <c r="D1128" s="4" t="str">
        <f>IFERROR(__xludf.DUMMYFUNCTION("""COMPUTED_VALUE"""),"Sandi angga")</f>
        <v>Sandi angga</v>
      </c>
      <c r="E1128" s="4" t="str">
        <f>IFERROR(__xludf.DUMMYFUNCTION("""COMPUTED_VALUE"""),"BANDUNG")</f>
        <v>BANDUNG</v>
      </c>
      <c r="F1128" s="4" t="str">
        <f>IFERROR(__xludf.DUMMYFUNCTION("""COMPUTED_VALUE"""),"BANDUNG TIMUR")</f>
        <v>BANDUNG TIMUR</v>
      </c>
      <c r="G1128" s="4" t="str">
        <f>IFERROR(__xludf.DUMMYFUNCTION("""COMPUTED_VALUE"""),"DAGO PAKAR")</f>
        <v>DAGO PAKAR</v>
      </c>
      <c r="H1128" s="4" t="str">
        <f>IFERROR(__xludf.DUMMYFUNCTION("""COMPUTED_VALUE"""),"DSNM")</f>
        <v>DSNM</v>
      </c>
      <c r="I1128" s="4" t="str">
        <f>IFERROR(__xludf.DUMMYFUNCTION("""COMPUTED_VALUE"""),"FCO GVYA-GVY")</f>
        <v>FCO GVYA-GVY</v>
      </c>
      <c r="J1128" s="4" t="str">
        <f>IFERROR(__xludf.DUMMYFUNCTION("""COMPUTED_VALUE"""),"ZONA 2")</f>
        <v>ZONA 2</v>
      </c>
      <c r="K1128" s="4" t="str">
        <f>IFERROR(__xludf.DUMMYFUNCTION("""COMPUTED_VALUE"""),"001L09")</f>
        <v>001L09</v>
      </c>
      <c r="L1128" s="4" t="str">
        <f>IFERROR(__xludf.DUMMYFUNCTION("""COMPUTED_VALUE"""),"TM - 7B/H (Afspan 90 Derajat)")</f>
        <v>TM - 7B/H (Afspan 90 Derajat)</v>
      </c>
      <c r="M1128" s="4" t="str">
        <f>IFERROR(__xludf.DUMMYFUNCTION("""COMPUTED_VALUE"""),"Tidak Ada")</f>
        <v>Tidak Ada</v>
      </c>
      <c r="N1128" s="4"/>
      <c r="O1128" s="4" t="str">
        <f>IFERROR(__xludf.DUMMYFUNCTION("""COMPUTED_VALUE"""),"PEMBANDING SEJENIS")</f>
        <v>PEMBANDING SEJENIS</v>
      </c>
      <c r="P1128" s="4" t="str">
        <f>IFERROR(__xludf.DUMMYFUNCTION("""COMPUTED_VALUE"""),"KONEKTOR/JUMPER")</f>
        <v>KONEKTOR/JUMPER</v>
      </c>
      <c r="Q1128" s="4">
        <f>IFERROR(__xludf.DUMMYFUNCTION("""COMPUTED_VALUE"""),22.0)</f>
        <v>22</v>
      </c>
      <c r="R1128" s="4">
        <f>IFERROR(__xludf.DUMMYFUNCTION("""COMPUTED_VALUE"""),22.0)</f>
        <v>22</v>
      </c>
      <c r="S1128" s="4">
        <f>IFERROR(__xludf.DUMMYFUNCTION("""COMPUTED_VALUE"""),21.0)</f>
        <v>21</v>
      </c>
      <c r="T1128" s="4"/>
      <c r="U1128" s="4" t="str">
        <f>IFERROR(__xludf.DUMMYFUNCTION("""COMPUTED_VALUE"""),"BAIK")</f>
        <v>BAIK</v>
      </c>
      <c r="V1128" s="4" t="str">
        <f>IFERROR(__xludf.DUMMYFUNCTION("""COMPUTED_VALUE"""),"Tidak Ada")</f>
        <v>Tidak Ada</v>
      </c>
      <c r="W1128" s="4"/>
      <c r="X1128" s="4"/>
      <c r="Y1128" s="4"/>
      <c r="Z1128" s="4"/>
      <c r="AA1128" s="4"/>
      <c r="AB1128" s="4"/>
      <c r="AC1128" s="4" t="str">
        <f>IFERROR(__xludf.DUMMYFUNCTION("""COMPUTED_VALUE"""),"INSPEKSI SUTM - T2_Images/efb4b1b6.FOTO.132040.jpg")</f>
        <v>INSPEKSI SUTM - T2_Images/efb4b1b6.FOTO.132040.jpg</v>
      </c>
      <c r="AD1128" s="4"/>
      <c r="AE1128" s="4"/>
      <c r="AF1128" s="4" t="str">
        <f>IFERROR(__xludf.DUMMYFUNCTION("""COMPUTED_VALUE"""),"BELUM")</f>
        <v>BELUM</v>
      </c>
      <c r="AG1128" s="6">
        <f>IFERROR(__xludf.DUMMYFUNCTION("""COMPUTED_VALUE"""),46139.0)</f>
        <v>46139</v>
      </c>
      <c r="AH1128" s="4"/>
      <c r="AI1128" s="4"/>
    </row>
    <row r="1129" ht="15.75" customHeight="1">
      <c r="A1129" s="4" t="str">
        <f>IFERROR(__xludf.DUMMYFUNCTION("""COMPUTED_VALUE"""),"fe7ccb73")</f>
        <v>fe7ccb73</v>
      </c>
      <c r="B1129" s="5">
        <f>IFERROR(__xludf.DUMMYFUNCTION("""COMPUTED_VALUE"""),46139.84773148148)</f>
        <v>46139.84773</v>
      </c>
      <c r="C1129" s="4" t="str">
        <f>IFERROR(__xludf.DUMMYFUNCTION("""COMPUTED_VALUE"""),"-6.899215, 107.641247")</f>
        <v>-6.899215, 107.641247</v>
      </c>
      <c r="D1129" s="4" t="str">
        <f>IFERROR(__xludf.DUMMYFUNCTION("""COMPUTED_VALUE"""),"Sandi angga")</f>
        <v>Sandi angga</v>
      </c>
      <c r="E1129" s="4" t="str">
        <f>IFERROR(__xludf.DUMMYFUNCTION("""COMPUTED_VALUE"""),"BANDUNG")</f>
        <v>BANDUNG</v>
      </c>
      <c r="F1129" s="4" t="str">
        <f>IFERROR(__xludf.DUMMYFUNCTION("""COMPUTED_VALUE"""),"BANDUNG TIMUR")</f>
        <v>BANDUNG TIMUR</v>
      </c>
      <c r="G1129" s="4" t="str">
        <f>IFERROR(__xludf.DUMMYFUNCTION("""COMPUTED_VALUE"""),"DAGO PAKAR")</f>
        <v>DAGO PAKAR</v>
      </c>
      <c r="H1129" s="4" t="str">
        <f>IFERROR(__xludf.DUMMYFUNCTION("""COMPUTED_VALUE"""),"DSNM")</f>
        <v>DSNM</v>
      </c>
      <c r="I1129" s="4" t="str">
        <f>IFERROR(__xludf.DUMMYFUNCTION("""COMPUTED_VALUE"""),"FCO GVYA-GVY")</f>
        <v>FCO GVYA-GVY</v>
      </c>
      <c r="J1129" s="4" t="str">
        <f>IFERROR(__xludf.DUMMYFUNCTION("""COMPUTED_VALUE"""),"ZONA 2")</f>
        <v>ZONA 2</v>
      </c>
      <c r="K1129" s="4" t="str">
        <f>IFERROR(__xludf.DUMMYFUNCTION("""COMPUTED_VALUE"""),"001L10")</f>
        <v>001L10</v>
      </c>
      <c r="L1129" s="4" t="str">
        <f>IFERROR(__xludf.DUMMYFUNCTION("""COMPUTED_VALUE"""),"TM - 7B/H (Afspan 90 Derajat)")</f>
        <v>TM - 7B/H (Afspan 90 Derajat)</v>
      </c>
      <c r="M1129" s="4" t="str">
        <f>IFERROR(__xludf.DUMMYFUNCTION("""COMPUTED_VALUE"""),"Tidak Ada")</f>
        <v>Tidak Ada</v>
      </c>
      <c r="N1129" s="4"/>
      <c r="O1129" s="4" t="str">
        <f>IFERROR(__xludf.DUMMYFUNCTION("""COMPUTED_VALUE"""),"PEMBANDING SEJENIS")</f>
        <v>PEMBANDING SEJENIS</v>
      </c>
      <c r="P1129" s="4" t="str">
        <f>IFERROR(__xludf.DUMMYFUNCTION("""COMPUTED_VALUE"""),"KONEKTOR/JUMPER")</f>
        <v>KONEKTOR/JUMPER</v>
      </c>
      <c r="Q1129" s="4">
        <f>IFERROR(__xludf.DUMMYFUNCTION("""COMPUTED_VALUE"""),22.0)</f>
        <v>22</v>
      </c>
      <c r="R1129" s="4">
        <f>IFERROR(__xludf.DUMMYFUNCTION("""COMPUTED_VALUE"""),23.0)</f>
        <v>23</v>
      </c>
      <c r="S1129" s="4">
        <f>IFERROR(__xludf.DUMMYFUNCTION("""COMPUTED_VALUE"""),22.0)</f>
        <v>22</v>
      </c>
      <c r="T1129" s="4"/>
      <c r="U1129" s="4" t="str">
        <f>IFERROR(__xludf.DUMMYFUNCTION("""COMPUTED_VALUE"""),"BAIK")</f>
        <v>BAIK</v>
      </c>
      <c r="V1129" s="4" t="str">
        <f>IFERROR(__xludf.DUMMYFUNCTION("""COMPUTED_VALUE"""),"Tidak Ada")</f>
        <v>Tidak Ada</v>
      </c>
      <c r="W1129" s="4"/>
      <c r="X1129" s="4"/>
      <c r="Y1129" s="4"/>
      <c r="Z1129" s="4"/>
      <c r="AA1129" s="4"/>
      <c r="AB1129" s="4"/>
      <c r="AC1129" s="4" t="str">
        <f>IFERROR(__xludf.DUMMYFUNCTION("""COMPUTED_VALUE"""),"INSPEKSI SUTM - T2_Images/fe7ccb73.FOTO.132142.jpg")</f>
        <v>INSPEKSI SUTM - T2_Images/fe7ccb73.FOTO.132142.jpg</v>
      </c>
      <c r="AD1129" s="4"/>
      <c r="AE1129" s="4"/>
      <c r="AF1129" s="4" t="str">
        <f>IFERROR(__xludf.DUMMYFUNCTION("""COMPUTED_VALUE"""),"BELUM")</f>
        <v>BELUM</v>
      </c>
      <c r="AG1129" s="6">
        <f>IFERROR(__xludf.DUMMYFUNCTION("""COMPUTED_VALUE"""),46139.0)</f>
        <v>46139</v>
      </c>
      <c r="AH1129" s="4"/>
      <c r="AI1129" s="4"/>
    </row>
    <row r="1130" ht="15.75" customHeight="1">
      <c r="A1130" s="4" t="str">
        <f>IFERROR(__xludf.DUMMYFUNCTION("""COMPUTED_VALUE"""),"5c1bf850")</f>
        <v>5c1bf850</v>
      </c>
      <c r="B1130" s="5">
        <f>IFERROR(__xludf.DUMMYFUNCTION("""COMPUTED_VALUE"""),46139.84847222222)</f>
        <v>46139.84847</v>
      </c>
      <c r="C1130" s="4" t="str">
        <f>IFERROR(__xludf.DUMMYFUNCTION("""COMPUTED_VALUE"""),"-6.899217, 107.641256")</f>
        <v>-6.899217, 107.641256</v>
      </c>
      <c r="D1130" s="4" t="str">
        <f>IFERROR(__xludf.DUMMYFUNCTION("""COMPUTED_VALUE"""),"Sandi angga")</f>
        <v>Sandi angga</v>
      </c>
      <c r="E1130" s="4" t="str">
        <f>IFERROR(__xludf.DUMMYFUNCTION("""COMPUTED_VALUE"""),"BANDUNG")</f>
        <v>BANDUNG</v>
      </c>
      <c r="F1130" s="4" t="str">
        <f>IFERROR(__xludf.DUMMYFUNCTION("""COMPUTED_VALUE"""),"BANDUNG TIMUR")</f>
        <v>BANDUNG TIMUR</v>
      </c>
      <c r="G1130" s="4" t="str">
        <f>IFERROR(__xludf.DUMMYFUNCTION("""COMPUTED_VALUE"""),"DAGO PAKAR")</f>
        <v>DAGO PAKAR</v>
      </c>
      <c r="H1130" s="4" t="str">
        <f>IFERROR(__xludf.DUMMYFUNCTION("""COMPUTED_VALUE"""),"DSNM")</f>
        <v>DSNM</v>
      </c>
      <c r="I1130" s="4" t="str">
        <f>IFERROR(__xludf.DUMMYFUNCTION("""COMPUTED_VALUE"""),"FCO GVYA-GVY")</f>
        <v>FCO GVYA-GVY</v>
      </c>
      <c r="J1130" s="4" t="str">
        <f>IFERROR(__xludf.DUMMYFUNCTION("""COMPUTED_VALUE"""),"ZONA 2")</f>
        <v>ZONA 2</v>
      </c>
      <c r="K1130" s="4" t="str">
        <f>IFERROR(__xludf.DUMMYFUNCTION("""COMPUTED_VALUE"""),"001L12")</f>
        <v>001L12</v>
      </c>
      <c r="L1130" s="4" t="str">
        <f>IFERROR(__xludf.DUMMYFUNCTION("""COMPUTED_VALUE"""),"TM - 7B/H (Afspan 90 Derajat)")</f>
        <v>TM - 7B/H (Afspan 90 Derajat)</v>
      </c>
      <c r="M1130" s="4" t="str">
        <f>IFERROR(__xludf.DUMMYFUNCTION("""COMPUTED_VALUE"""),"Tidak Ada")</f>
        <v>Tidak Ada</v>
      </c>
      <c r="N1130" s="4"/>
      <c r="O1130" s="4" t="str">
        <f>IFERROR(__xludf.DUMMYFUNCTION("""COMPUTED_VALUE"""),"PEMBANDING SEJENIS")</f>
        <v>PEMBANDING SEJENIS</v>
      </c>
      <c r="P1130" s="4" t="str">
        <f>IFERROR(__xludf.DUMMYFUNCTION("""COMPUTED_VALUE"""),"KONEKTOR/JUMPER")</f>
        <v>KONEKTOR/JUMPER</v>
      </c>
      <c r="Q1130" s="4">
        <f>IFERROR(__xludf.DUMMYFUNCTION("""COMPUTED_VALUE"""),22.0)</f>
        <v>22</v>
      </c>
      <c r="R1130" s="4">
        <f>IFERROR(__xludf.DUMMYFUNCTION("""COMPUTED_VALUE"""),22.0)</f>
        <v>22</v>
      </c>
      <c r="S1130" s="4">
        <f>IFERROR(__xludf.DUMMYFUNCTION("""COMPUTED_VALUE"""),22.0)</f>
        <v>22</v>
      </c>
      <c r="T1130" s="4"/>
      <c r="U1130" s="4" t="str">
        <f>IFERROR(__xludf.DUMMYFUNCTION("""COMPUTED_VALUE"""),"BAIK")</f>
        <v>BAIK</v>
      </c>
      <c r="V1130" s="4" t="str">
        <f>IFERROR(__xludf.DUMMYFUNCTION("""COMPUTED_VALUE"""),"Tidak Ada")</f>
        <v>Tidak Ada</v>
      </c>
      <c r="W1130" s="4"/>
      <c r="X1130" s="4"/>
      <c r="Y1130" s="4"/>
      <c r="Z1130" s="4"/>
      <c r="AA1130" s="4"/>
      <c r="AB1130" s="4"/>
      <c r="AC1130" s="4" t="str">
        <f>IFERROR(__xludf.DUMMYFUNCTION("""COMPUTED_VALUE"""),"INSPEKSI SUTM - T2_Images/5c1bf850.FOTO.132235.jpg")</f>
        <v>INSPEKSI SUTM - T2_Images/5c1bf850.FOTO.132235.jpg</v>
      </c>
      <c r="AD1130" s="4"/>
      <c r="AE1130" s="4"/>
      <c r="AF1130" s="4" t="str">
        <f>IFERROR(__xludf.DUMMYFUNCTION("""COMPUTED_VALUE"""),"BELUM")</f>
        <v>BELUM</v>
      </c>
      <c r="AG1130" s="6">
        <f>IFERROR(__xludf.DUMMYFUNCTION("""COMPUTED_VALUE"""),46139.0)</f>
        <v>46139</v>
      </c>
      <c r="AH1130" s="4"/>
      <c r="AI1130" s="4"/>
    </row>
    <row r="1131" ht="15.75" customHeight="1">
      <c r="A1131" s="4" t="str">
        <f>IFERROR(__xludf.DUMMYFUNCTION("""COMPUTED_VALUE"""),"47894804")</f>
        <v>47894804</v>
      </c>
      <c r="B1131" s="5">
        <f>IFERROR(__xludf.DUMMYFUNCTION("""COMPUTED_VALUE"""),46139.84909722222)</f>
        <v>46139.8491</v>
      </c>
      <c r="C1131" s="4" t="str">
        <f>IFERROR(__xludf.DUMMYFUNCTION("""COMPUTED_VALUE"""),"-6.899226, 107.641247")</f>
        <v>-6.899226, 107.641247</v>
      </c>
      <c r="D1131" s="4" t="str">
        <f>IFERROR(__xludf.DUMMYFUNCTION("""COMPUTED_VALUE"""),"Sandi qngga")</f>
        <v>Sandi qngga</v>
      </c>
      <c r="E1131" s="4" t="str">
        <f>IFERROR(__xludf.DUMMYFUNCTION("""COMPUTED_VALUE"""),"BANDUNG")</f>
        <v>BANDUNG</v>
      </c>
      <c r="F1131" s="4" t="str">
        <f>IFERROR(__xludf.DUMMYFUNCTION("""COMPUTED_VALUE"""),"BANDUNG TIMUR")</f>
        <v>BANDUNG TIMUR</v>
      </c>
      <c r="G1131" s="4" t="str">
        <f>IFERROR(__xludf.DUMMYFUNCTION("""COMPUTED_VALUE"""),"DAGO PAKAR")</f>
        <v>DAGO PAKAR</v>
      </c>
      <c r="H1131" s="4" t="str">
        <f>IFERROR(__xludf.DUMMYFUNCTION("""COMPUTED_VALUE"""),"DSNM")</f>
        <v>DSNM</v>
      </c>
      <c r="I1131" s="4" t="str">
        <f>IFERROR(__xludf.DUMMYFUNCTION("""COMPUTED_VALUE"""),"FCO GVYA-GVY")</f>
        <v>FCO GVYA-GVY</v>
      </c>
      <c r="J1131" s="4" t="str">
        <f>IFERROR(__xludf.DUMMYFUNCTION("""COMPUTED_VALUE"""),"ZONA 2")</f>
        <v>ZONA 2</v>
      </c>
      <c r="K1131" s="4" t="str">
        <f>IFERROR(__xludf.DUMMYFUNCTION("""COMPUTED_VALUE"""),"001L13")</f>
        <v>001L13</v>
      </c>
      <c r="L1131" s="4" t="str">
        <f>IFERROR(__xludf.DUMMYFUNCTION("""COMPUTED_VALUE"""),"TM - 7B/H (Afspan 90 Derajat)")</f>
        <v>TM - 7B/H (Afspan 90 Derajat)</v>
      </c>
      <c r="M1131" s="4" t="str">
        <f>IFERROR(__xludf.DUMMYFUNCTION("""COMPUTED_VALUE"""),"Tidak Ada")</f>
        <v>Tidak Ada</v>
      </c>
      <c r="N1131" s="4"/>
      <c r="O1131" s="4" t="str">
        <f>IFERROR(__xludf.DUMMYFUNCTION("""COMPUTED_VALUE"""),"PEMBANDING SEJENIS")</f>
        <v>PEMBANDING SEJENIS</v>
      </c>
      <c r="P1131" s="4" t="str">
        <f>IFERROR(__xludf.DUMMYFUNCTION("""COMPUTED_VALUE"""),"KONEKTOR/JUMPER")</f>
        <v>KONEKTOR/JUMPER</v>
      </c>
      <c r="Q1131" s="4">
        <f>IFERROR(__xludf.DUMMYFUNCTION("""COMPUTED_VALUE"""),23.0)</f>
        <v>23</v>
      </c>
      <c r="R1131" s="4">
        <f>IFERROR(__xludf.DUMMYFUNCTION("""COMPUTED_VALUE"""),23.0)</f>
        <v>23</v>
      </c>
      <c r="S1131" s="4">
        <f>IFERROR(__xludf.DUMMYFUNCTION("""COMPUTED_VALUE"""),23.0)</f>
        <v>23</v>
      </c>
      <c r="T1131" s="4"/>
      <c r="U1131" s="4" t="str">
        <f>IFERROR(__xludf.DUMMYFUNCTION("""COMPUTED_VALUE"""),"BAIK")</f>
        <v>BAIK</v>
      </c>
      <c r="V1131" s="4" t="str">
        <f>IFERROR(__xludf.DUMMYFUNCTION("""COMPUTED_VALUE"""),"Tidak Ada")</f>
        <v>Tidak Ada</v>
      </c>
      <c r="W1131" s="4"/>
      <c r="X1131" s="4"/>
      <c r="Y1131" s="4"/>
      <c r="Z1131" s="4"/>
      <c r="AA1131" s="4"/>
      <c r="AB1131" s="4"/>
      <c r="AC1131" s="4" t="str">
        <f>IFERROR(__xludf.DUMMYFUNCTION("""COMPUTED_VALUE"""),"INSPEKSI SUTM - T2_Images/47894804.FOTO.132433.jpg")</f>
        <v>INSPEKSI SUTM - T2_Images/47894804.FOTO.132433.jpg</v>
      </c>
      <c r="AD1131" s="4"/>
      <c r="AE1131" s="4"/>
      <c r="AF1131" s="4" t="str">
        <f>IFERROR(__xludf.DUMMYFUNCTION("""COMPUTED_VALUE"""),"BELUM")</f>
        <v>BELUM</v>
      </c>
      <c r="AG1131" s="6">
        <f>IFERROR(__xludf.DUMMYFUNCTION("""COMPUTED_VALUE"""),46139.0)</f>
        <v>46139</v>
      </c>
      <c r="AH1131" s="4"/>
      <c r="AI1131" s="4"/>
    </row>
    <row r="1132" ht="15.75" customHeight="1">
      <c r="A1132" s="4" t="str">
        <f>IFERROR(__xludf.DUMMYFUNCTION("""COMPUTED_VALUE"""),"0678a593")</f>
        <v>0678a593</v>
      </c>
      <c r="B1132" s="5">
        <f>IFERROR(__xludf.DUMMYFUNCTION("""COMPUTED_VALUE"""),46139.85053240741)</f>
        <v>46139.85053</v>
      </c>
      <c r="C1132" s="4" t="str">
        <f>IFERROR(__xludf.DUMMYFUNCTION("""COMPUTED_VALUE"""),"-6.899210, 107.641245")</f>
        <v>-6.899210, 107.641245</v>
      </c>
      <c r="D1132" s="4" t="str">
        <f>IFERROR(__xludf.DUMMYFUNCTION("""COMPUTED_VALUE"""),"Sandi angga")</f>
        <v>Sandi angga</v>
      </c>
      <c r="E1132" s="4" t="str">
        <f>IFERROR(__xludf.DUMMYFUNCTION("""COMPUTED_VALUE"""),"BANDUNG")</f>
        <v>BANDUNG</v>
      </c>
      <c r="F1132" s="4" t="str">
        <f>IFERROR(__xludf.DUMMYFUNCTION("""COMPUTED_VALUE"""),"BANDUNG TIMUR")</f>
        <v>BANDUNG TIMUR</v>
      </c>
      <c r="G1132" s="4" t="str">
        <f>IFERROR(__xludf.DUMMYFUNCTION("""COMPUTED_VALUE"""),"DAGO PAKAR")</f>
        <v>DAGO PAKAR</v>
      </c>
      <c r="H1132" s="4" t="str">
        <f>IFERROR(__xludf.DUMMYFUNCTION("""COMPUTED_VALUE"""),"DSNM")</f>
        <v>DSNM</v>
      </c>
      <c r="I1132" s="4" t="str">
        <f>IFERROR(__xludf.DUMMYFUNCTION("""COMPUTED_VALUE"""),"FCO GVYA-GVY")</f>
        <v>FCO GVYA-GVY</v>
      </c>
      <c r="J1132" s="4" t="str">
        <f>IFERROR(__xludf.DUMMYFUNCTION("""COMPUTED_VALUE"""),"ZONA 2")</f>
        <v>ZONA 2</v>
      </c>
      <c r="K1132" s="4" t="str">
        <f>IFERROR(__xludf.DUMMYFUNCTION("""COMPUTED_VALUE"""),"001L14")</f>
        <v>001L14</v>
      </c>
      <c r="L1132" s="4" t="str">
        <f>IFERROR(__xludf.DUMMYFUNCTION("""COMPUTED_VALUE"""),"TM - 7B/H (Afspan 90 Derajat)")</f>
        <v>TM - 7B/H (Afspan 90 Derajat)</v>
      </c>
      <c r="M1132" s="4" t="str">
        <f>IFERROR(__xludf.DUMMYFUNCTION("""COMPUTED_VALUE"""),"Tidak Ada")</f>
        <v>Tidak Ada</v>
      </c>
      <c r="N1132" s="4"/>
      <c r="O1132" s="4" t="str">
        <f>IFERROR(__xludf.DUMMYFUNCTION("""COMPUTED_VALUE"""),"PEMBANDING SEJENIS")</f>
        <v>PEMBANDING SEJENIS</v>
      </c>
      <c r="P1132" s="4" t="str">
        <f>IFERROR(__xludf.DUMMYFUNCTION("""COMPUTED_VALUE"""),"KONEKTOR/JUMPER")</f>
        <v>KONEKTOR/JUMPER</v>
      </c>
      <c r="Q1132" s="4">
        <f>IFERROR(__xludf.DUMMYFUNCTION("""COMPUTED_VALUE"""),21.0)</f>
        <v>21</v>
      </c>
      <c r="R1132" s="4">
        <f>IFERROR(__xludf.DUMMYFUNCTION("""COMPUTED_VALUE"""),21.0)</f>
        <v>21</v>
      </c>
      <c r="S1132" s="4">
        <f>IFERROR(__xludf.DUMMYFUNCTION("""COMPUTED_VALUE"""),20.0)</f>
        <v>20</v>
      </c>
      <c r="T1132" s="4"/>
      <c r="U1132" s="4" t="str">
        <f>IFERROR(__xludf.DUMMYFUNCTION("""COMPUTED_VALUE"""),"BAIK")</f>
        <v>BAIK</v>
      </c>
      <c r="V1132" s="4" t="str">
        <f>IFERROR(__xludf.DUMMYFUNCTION("""COMPUTED_VALUE"""),"Tidak Ada")</f>
        <v>Tidak Ada</v>
      </c>
      <c r="W1132" s="4"/>
      <c r="X1132" s="4"/>
      <c r="Y1132" s="4"/>
      <c r="Z1132" s="4"/>
      <c r="AA1132" s="4"/>
      <c r="AB1132" s="4"/>
      <c r="AC1132" s="4" t="str">
        <f>IFERROR(__xludf.DUMMYFUNCTION("""COMPUTED_VALUE"""),"INSPEKSI SUTM - T2_Images/0678a593.FOTO.132556.jpg")</f>
        <v>INSPEKSI SUTM - T2_Images/0678a593.FOTO.132556.jpg</v>
      </c>
      <c r="AD1132" s="4"/>
      <c r="AE1132" s="4"/>
      <c r="AF1132" s="4" t="str">
        <f>IFERROR(__xludf.DUMMYFUNCTION("""COMPUTED_VALUE"""),"BELUM")</f>
        <v>BELUM</v>
      </c>
      <c r="AG1132" s="6">
        <f>IFERROR(__xludf.DUMMYFUNCTION("""COMPUTED_VALUE"""),46139.0)</f>
        <v>46139</v>
      </c>
      <c r="AH1132" s="4"/>
      <c r="AI1132" s="4"/>
    </row>
    <row r="1133" ht="15.75" customHeight="1">
      <c r="A1133" s="4" t="str">
        <f>IFERROR(__xludf.DUMMYFUNCTION("""COMPUTED_VALUE"""),"8beb049c")</f>
        <v>8beb049c</v>
      </c>
      <c r="B1133" s="5">
        <f>IFERROR(__xludf.DUMMYFUNCTION("""COMPUTED_VALUE"""),46139.85146990741)</f>
        <v>46139.85147</v>
      </c>
      <c r="C1133" s="4" t="str">
        <f>IFERROR(__xludf.DUMMYFUNCTION("""COMPUTED_VALUE"""),"-6.899215, 107.641227")</f>
        <v>-6.899215, 107.641227</v>
      </c>
      <c r="D1133" s="4" t="str">
        <f>IFERROR(__xludf.DUMMYFUNCTION("""COMPUTED_VALUE"""),"Sandi angga")</f>
        <v>Sandi angga</v>
      </c>
      <c r="E1133" s="4" t="str">
        <f>IFERROR(__xludf.DUMMYFUNCTION("""COMPUTED_VALUE"""),"BANDUNG")</f>
        <v>BANDUNG</v>
      </c>
      <c r="F1133" s="4" t="str">
        <f>IFERROR(__xludf.DUMMYFUNCTION("""COMPUTED_VALUE"""),"BANDUNG TIMUR")</f>
        <v>BANDUNG TIMUR</v>
      </c>
      <c r="G1133" s="4" t="str">
        <f>IFERROR(__xludf.DUMMYFUNCTION("""COMPUTED_VALUE"""),"DAGO PAKAR")</f>
        <v>DAGO PAKAR</v>
      </c>
      <c r="H1133" s="4" t="str">
        <f>IFERROR(__xludf.DUMMYFUNCTION("""COMPUTED_VALUE"""),"DSNM")</f>
        <v>DSNM</v>
      </c>
      <c r="I1133" s="4" t="str">
        <f>IFERROR(__xludf.DUMMYFUNCTION("""COMPUTED_VALUE"""),"FCO GVYA-GVY")</f>
        <v>FCO GVYA-GVY</v>
      </c>
      <c r="J1133" s="4" t="str">
        <f>IFERROR(__xludf.DUMMYFUNCTION("""COMPUTED_VALUE"""),"ZONA 2")</f>
        <v>ZONA 2</v>
      </c>
      <c r="K1133" s="4" t="str">
        <f>IFERROR(__xludf.DUMMYFUNCTION("""COMPUTED_VALUE"""),"001L15")</f>
        <v>001L15</v>
      </c>
      <c r="L1133" s="4" t="str">
        <f>IFERROR(__xludf.DUMMYFUNCTION("""COMPUTED_VALUE"""),"TM - 8B/H (Percabangan)")</f>
        <v>TM - 8B/H (Percabangan)</v>
      </c>
      <c r="M1133" s="4" t="str">
        <f>IFERROR(__xludf.DUMMYFUNCTION("""COMPUTED_VALUE"""),"Tidak Ada")</f>
        <v>Tidak Ada</v>
      </c>
      <c r="N1133" s="4"/>
      <c r="O1133" s="4" t="str">
        <f>IFERROR(__xludf.DUMMYFUNCTION("""COMPUTED_VALUE"""),"PEMBANDING SEJENIS")</f>
        <v>PEMBANDING SEJENIS</v>
      </c>
      <c r="P1133" s="4" t="str">
        <f>IFERROR(__xludf.DUMMYFUNCTION("""COMPUTED_VALUE"""),"KONEKTOR/JUMPER")</f>
        <v>KONEKTOR/JUMPER</v>
      </c>
      <c r="Q1133" s="4">
        <f>IFERROR(__xludf.DUMMYFUNCTION("""COMPUTED_VALUE"""),21.0)</f>
        <v>21</v>
      </c>
      <c r="R1133" s="4">
        <f>IFERROR(__xludf.DUMMYFUNCTION("""COMPUTED_VALUE"""),20.0)</f>
        <v>20</v>
      </c>
      <c r="S1133" s="4">
        <f>IFERROR(__xludf.DUMMYFUNCTION("""COMPUTED_VALUE"""),20.0)</f>
        <v>20</v>
      </c>
      <c r="T1133" s="4"/>
      <c r="U1133" s="4" t="str">
        <f>IFERROR(__xludf.DUMMYFUNCTION("""COMPUTED_VALUE"""),"BAIK")</f>
        <v>BAIK</v>
      </c>
      <c r="V1133" s="4" t="str">
        <f>IFERROR(__xludf.DUMMYFUNCTION("""COMPUTED_VALUE"""),"Tidak Ada")</f>
        <v>Tidak Ada</v>
      </c>
      <c r="W1133" s="4"/>
      <c r="X1133" s="4"/>
      <c r="Y1133" s="4"/>
      <c r="Z1133" s="4"/>
      <c r="AA1133" s="4"/>
      <c r="AB1133" s="4"/>
      <c r="AC1133" s="4" t="str">
        <f>IFERROR(__xludf.DUMMYFUNCTION("""COMPUTED_VALUE"""),"INSPEKSI SUTM - T2_Images/8beb049c.FOTO.132656.jpg")</f>
        <v>INSPEKSI SUTM - T2_Images/8beb049c.FOTO.132656.jpg</v>
      </c>
      <c r="AD1133" s="4"/>
      <c r="AE1133" s="4"/>
      <c r="AF1133" s="4" t="str">
        <f>IFERROR(__xludf.DUMMYFUNCTION("""COMPUTED_VALUE"""),"BELUM")</f>
        <v>BELUM</v>
      </c>
      <c r="AG1133" s="6">
        <f>IFERROR(__xludf.DUMMYFUNCTION("""COMPUTED_VALUE"""),46139.0)</f>
        <v>46139</v>
      </c>
      <c r="AH1133" s="4"/>
      <c r="AI1133" s="4"/>
    </row>
    <row r="1134" ht="15.75" customHeight="1">
      <c r="A1134" s="4" t="str">
        <f>IFERROR(__xludf.DUMMYFUNCTION("""COMPUTED_VALUE"""),"12a2aa02")</f>
        <v>12a2aa02</v>
      </c>
      <c r="B1134" s="5">
        <f>IFERROR(__xludf.DUMMYFUNCTION("""COMPUTED_VALUE"""),46139.85325231482)</f>
        <v>46139.85325</v>
      </c>
      <c r="C1134" s="4" t="str">
        <f>IFERROR(__xludf.DUMMYFUNCTION("""COMPUTED_VALUE"""),"-6.899215, 107.641257")</f>
        <v>-6.899215, 107.641257</v>
      </c>
      <c r="D1134" s="4" t="str">
        <f>IFERROR(__xludf.DUMMYFUNCTION("""COMPUTED_VALUE"""),"Sandi angga")</f>
        <v>Sandi angga</v>
      </c>
      <c r="E1134" s="4" t="str">
        <f>IFERROR(__xludf.DUMMYFUNCTION("""COMPUTED_VALUE"""),"BANDUNG")</f>
        <v>BANDUNG</v>
      </c>
      <c r="F1134" s="4" t="str">
        <f>IFERROR(__xludf.DUMMYFUNCTION("""COMPUTED_VALUE"""),"BANDUNG TIMUR")</f>
        <v>BANDUNG TIMUR</v>
      </c>
      <c r="G1134" s="4" t="str">
        <f>IFERROR(__xludf.DUMMYFUNCTION("""COMPUTED_VALUE"""),"DAGO PAKAR")</f>
        <v>DAGO PAKAR</v>
      </c>
      <c r="H1134" s="4" t="str">
        <f>IFERROR(__xludf.DUMMYFUNCTION("""COMPUTED_VALUE"""),"DSNM")</f>
        <v>DSNM</v>
      </c>
      <c r="I1134" s="4" t="str">
        <f>IFERROR(__xludf.DUMMYFUNCTION("""COMPUTED_VALUE"""),"FCO GVYA-GVY")</f>
        <v>FCO GVYA-GVY</v>
      </c>
      <c r="J1134" s="4" t="str">
        <f>IFERROR(__xludf.DUMMYFUNCTION("""COMPUTED_VALUE"""),"ZONA 2")</f>
        <v>ZONA 2</v>
      </c>
      <c r="K1134" s="4" t="str">
        <f>IFERROR(__xludf.DUMMYFUNCTION("""COMPUTED_VALUE"""),"001L15L01")</f>
        <v>001L15L01</v>
      </c>
      <c r="L1134" s="4" t="str">
        <f>IFERROR(__xludf.DUMMYFUNCTION("""COMPUTED_VALUE"""),"TM - 4B/H (Afspan)")</f>
        <v>TM - 4B/H (Afspan)</v>
      </c>
      <c r="M1134" s="4" t="str">
        <f>IFERROR(__xludf.DUMMYFUNCTION("""COMPUTED_VALUE"""),"Gardu")</f>
        <v>Gardu</v>
      </c>
      <c r="N1134" s="4" t="str">
        <f>IFERROR(__xludf.DUMMYFUNCTION("""COMPUTED_VALUE"""),"GVYB")</f>
        <v>GVYB</v>
      </c>
      <c r="O1134" s="4" t="str">
        <f>IFERROR(__xludf.DUMMYFUNCTION("""COMPUTED_VALUE"""),"PEMBANDING SEJENIS")</f>
        <v>PEMBANDING SEJENIS</v>
      </c>
      <c r="P1134" s="4" t="str">
        <f>IFERROR(__xludf.DUMMYFUNCTION("""COMPUTED_VALUE"""),"KONEKTOR/JUMPER")</f>
        <v>KONEKTOR/JUMPER</v>
      </c>
      <c r="Q1134" s="4">
        <f>IFERROR(__xludf.DUMMYFUNCTION("""COMPUTED_VALUE"""),22.0)</f>
        <v>22</v>
      </c>
      <c r="R1134" s="4">
        <f>IFERROR(__xludf.DUMMYFUNCTION("""COMPUTED_VALUE"""),22.0)</f>
        <v>22</v>
      </c>
      <c r="S1134" s="4">
        <f>IFERROR(__xludf.DUMMYFUNCTION("""COMPUTED_VALUE"""),20.0)</f>
        <v>20</v>
      </c>
      <c r="T1134" s="4"/>
      <c r="U1134" s="4" t="str">
        <f>IFERROR(__xludf.DUMMYFUNCTION("""COMPUTED_VALUE"""),"BAIK")</f>
        <v>BAIK</v>
      </c>
      <c r="V1134" s="4" t="str">
        <f>IFERROR(__xludf.DUMMYFUNCTION("""COMPUTED_VALUE"""),"Tidak Ada")</f>
        <v>Tidak Ada</v>
      </c>
      <c r="W1134" s="4"/>
      <c r="X1134" s="4"/>
      <c r="Y1134" s="4"/>
      <c r="Z1134" s="4"/>
      <c r="AA1134" s="4"/>
      <c r="AB1134" s="4"/>
      <c r="AC1134" s="4" t="str">
        <f>IFERROR(__xludf.DUMMYFUNCTION("""COMPUTED_VALUE"""),"INSPEKSI SUTM - T2_Images/12a2aa02.FOTO.132946.jpg")</f>
        <v>INSPEKSI SUTM - T2_Images/12a2aa02.FOTO.132946.jpg</v>
      </c>
      <c r="AD1134" s="4"/>
      <c r="AE1134" s="4"/>
      <c r="AF1134" s="4" t="str">
        <f>IFERROR(__xludf.DUMMYFUNCTION("""COMPUTED_VALUE"""),"BELUM")</f>
        <v>BELUM</v>
      </c>
      <c r="AG1134" s="6">
        <f>IFERROR(__xludf.DUMMYFUNCTION("""COMPUTED_VALUE"""),46139.0)</f>
        <v>46139</v>
      </c>
      <c r="AH1134" s="4"/>
      <c r="AI1134" s="4"/>
    </row>
    <row r="1135" ht="15.75" customHeight="1">
      <c r="A1135" s="4" t="str">
        <f>IFERROR(__xludf.DUMMYFUNCTION("""COMPUTED_VALUE"""),"4fd76b2a")</f>
        <v>4fd76b2a</v>
      </c>
      <c r="B1135" s="5">
        <f>IFERROR(__xludf.DUMMYFUNCTION("""COMPUTED_VALUE"""),46139.85402777778)</f>
        <v>46139.85403</v>
      </c>
      <c r="C1135" s="4" t="str">
        <f>IFERROR(__xludf.DUMMYFUNCTION("""COMPUTED_VALUE"""),"-6.899215, 107.641266")</f>
        <v>-6.899215, 107.641266</v>
      </c>
      <c r="D1135" s="4" t="str">
        <f>IFERROR(__xludf.DUMMYFUNCTION("""COMPUTED_VALUE"""),"Sandi angga")</f>
        <v>Sandi angga</v>
      </c>
      <c r="E1135" s="4" t="str">
        <f>IFERROR(__xludf.DUMMYFUNCTION("""COMPUTED_VALUE"""),"BANDUNG")</f>
        <v>BANDUNG</v>
      </c>
      <c r="F1135" s="4" t="str">
        <f>IFERROR(__xludf.DUMMYFUNCTION("""COMPUTED_VALUE"""),"BANDUNG TIMUR")</f>
        <v>BANDUNG TIMUR</v>
      </c>
      <c r="G1135" s="4" t="str">
        <f>IFERROR(__xludf.DUMMYFUNCTION("""COMPUTED_VALUE"""),"DAGO PAKAR")</f>
        <v>DAGO PAKAR</v>
      </c>
      <c r="H1135" s="4" t="str">
        <f>IFERROR(__xludf.DUMMYFUNCTION("""COMPUTED_VALUE"""),"DSNM")</f>
        <v>DSNM</v>
      </c>
      <c r="I1135" s="4" t="str">
        <f>IFERROR(__xludf.DUMMYFUNCTION("""COMPUTED_VALUE"""),"FCO GVYA-GVY")</f>
        <v>FCO GVYA-GVY</v>
      </c>
      <c r="J1135" s="4" t="str">
        <f>IFERROR(__xludf.DUMMYFUNCTION("""COMPUTED_VALUE"""),"ZONA 2")</f>
        <v>ZONA 2</v>
      </c>
      <c r="K1135" s="4" t="str">
        <f>IFERROR(__xludf.DUMMYFUNCTION("""COMPUTED_VALUE"""),"001L15L02")</f>
        <v>001L15L02</v>
      </c>
      <c r="L1135" s="4" t="str">
        <f>IFERROR(__xludf.DUMMYFUNCTION("""COMPUTED_VALUE"""),"TM - 4B/H (Afspan)")</f>
        <v>TM - 4B/H (Afspan)</v>
      </c>
      <c r="M1135" s="4" t="str">
        <f>IFERROR(__xludf.DUMMYFUNCTION("""COMPUTED_VALUE"""),"Gardu")</f>
        <v>Gardu</v>
      </c>
      <c r="N1135" s="4" t="str">
        <f>IFERROR(__xludf.DUMMYFUNCTION("""COMPUTED_VALUE"""),"GVYB")</f>
        <v>GVYB</v>
      </c>
      <c r="O1135" s="4" t="str">
        <f>IFERROR(__xludf.DUMMYFUNCTION("""COMPUTED_VALUE"""),"PEMBANDING SEJENIS")</f>
        <v>PEMBANDING SEJENIS</v>
      </c>
      <c r="P1135" s="4" t="str">
        <f>IFERROR(__xludf.DUMMYFUNCTION("""COMPUTED_VALUE"""),"KONEKTOR/JUMPER")</f>
        <v>KONEKTOR/JUMPER</v>
      </c>
      <c r="Q1135" s="4">
        <f>IFERROR(__xludf.DUMMYFUNCTION("""COMPUTED_VALUE"""),22.0)</f>
        <v>22</v>
      </c>
      <c r="R1135" s="4">
        <f>IFERROR(__xludf.DUMMYFUNCTION("""COMPUTED_VALUE"""),22.0)</f>
        <v>22</v>
      </c>
      <c r="S1135" s="4">
        <f>IFERROR(__xludf.DUMMYFUNCTION("""COMPUTED_VALUE"""),20.0)</f>
        <v>20</v>
      </c>
      <c r="T1135" s="4"/>
      <c r="U1135" s="4" t="str">
        <f>IFERROR(__xludf.DUMMYFUNCTION("""COMPUTED_VALUE"""),"BAIK")</f>
        <v>BAIK</v>
      </c>
      <c r="V1135" s="4" t="str">
        <f>IFERROR(__xludf.DUMMYFUNCTION("""COMPUTED_VALUE"""),"Tidak Ada")</f>
        <v>Tidak Ada</v>
      </c>
      <c r="W1135" s="4"/>
      <c r="X1135" s="4"/>
      <c r="Y1135" s="4"/>
      <c r="Z1135" s="4"/>
      <c r="AA1135" s="4"/>
      <c r="AB1135" s="4"/>
      <c r="AC1135" s="4" t="str">
        <f>IFERROR(__xludf.DUMMYFUNCTION("""COMPUTED_VALUE"""),"INSPEKSI SUTM - T2_Images/4fd76b2a.FOTO.133109.jpg")</f>
        <v>INSPEKSI SUTM - T2_Images/4fd76b2a.FOTO.133109.jpg</v>
      </c>
      <c r="AD1135" s="4"/>
      <c r="AE1135" s="4"/>
      <c r="AF1135" s="4" t="str">
        <f>IFERROR(__xludf.DUMMYFUNCTION("""COMPUTED_VALUE"""),"BELUM")</f>
        <v>BELUM</v>
      </c>
      <c r="AG1135" s="6">
        <f>IFERROR(__xludf.DUMMYFUNCTION("""COMPUTED_VALUE"""),46139.0)</f>
        <v>46139</v>
      </c>
      <c r="AH1135" s="4"/>
      <c r="AI1135" s="4"/>
    </row>
    <row r="1136" ht="15.75" customHeight="1">
      <c r="A1136" s="4" t="str">
        <f>IFERROR(__xludf.DUMMYFUNCTION("""COMPUTED_VALUE"""),"30e6a0b4")</f>
        <v>30e6a0b4</v>
      </c>
      <c r="B1136" s="5">
        <f>IFERROR(__xludf.DUMMYFUNCTION("""COMPUTED_VALUE"""),46139.855416666665)</f>
        <v>46139.85542</v>
      </c>
      <c r="C1136" s="4" t="str">
        <f>IFERROR(__xludf.DUMMYFUNCTION("""COMPUTED_VALUE"""),"-6.899221, 107.641277")</f>
        <v>-6.899221, 107.641277</v>
      </c>
      <c r="D1136" s="4" t="str">
        <f>IFERROR(__xludf.DUMMYFUNCTION("""COMPUTED_VALUE"""),"Sandi angga")</f>
        <v>Sandi angga</v>
      </c>
      <c r="E1136" s="4" t="str">
        <f>IFERROR(__xludf.DUMMYFUNCTION("""COMPUTED_VALUE"""),"BANDUNG")</f>
        <v>BANDUNG</v>
      </c>
      <c r="F1136" s="4" t="str">
        <f>IFERROR(__xludf.DUMMYFUNCTION("""COMPUTED_VALUE"""),"BANDUNG TIMUR")</f>
        <v>BANDUNG TIMUR</v>
      </c>
      <c r="G1136" s="4" t="str">
        <f>IFERROR(__xludf.DUMMYFUNCTION("""COMPUTED_VALUE"""),"DAGO PAKAR")</f>
        <v>DAGO PAKAR</v>
      </c>
      <c r="H1136" s="4" t="str">
        <f>IFERROR(__xludf.DUMMYFUNCTION("""COMPUTED_VALUE"""),"DSNM")</f>
        <v>DSNM</v>
      </c>
      <c r="I1136" s="4" t="str">
        <f>IFERROR(__xludf.DUMMYFUNCTION("""COMPUTED_VALUE"""),"PGH-PGMP")</f>
        <v>PGH-PGMP</v>
      </c>
      <c r="J1136" s="4" t="str">
        <f>IFERROR(__xludf.DUMMYFUNCTION("""COMPUTED_VALUE"""),"ZONA 2")</f>
        <v>ZONA 2</v>
      </c>
      <c r="K1136" s="4" t="str">
        <f>IFERROR(__xludf.DUMMYFUNCTION("""COMPUTED_VALUE"""),"001R02")</f>
        <v>001R02</v>
      </c>
      <c r="L1136" s="4" t="str">
        <f>IFERROR(__xludf.DUMMYFUNCTION("""COMPUTED_VALUE"""),"TM - 16B/H (REC/SSO/LBS)")</f>
        <v>TM - 16B/H (REC/SSO/LBS)</v>
      </c>
      <c r="M1136" s="4" t="str">
        <f>IFERROR(__xludf.DUMMYFUNCTION("""COMPUTED_VALUE"""),"LBS")</f>
        <v>LBS</v>
      </c>
      <c r="N1136" s="4" t="str">
        <f>IFERROR(__xludf.DUMMYFUNCTION("""COMPUTED_VALUE"""),"GCV")</f>
        <v>GCV</v>
      </c>
      <c r="O1136" s="4" t="str">
        <f>IFERROR(__xludf.DUMMYFUNCTION("""COMPUTED_VALUE"""),"PEMBANDING SEJENIS")</f>
        <v>PEMBANDING SEJENIS</v>
      </c>
      <c r="P1136" s="4" t="str">
        <f>IFERROR(__xludf.DUMMYFUNCTION("""COMPUTED_VALUE"""),"KONEKTOR/JUMPER")</f>
        <v>KONEKTOR/JUMPER</v>
      </c>
      <c r="Q1136" s="4">
        <f>IFERROR(__xludf.DUMMYFUNCTION("""COMPUTED_VALUE"""),21.0)</f>
        <v>21</v>
      </c>
      <c r="R1136" s="4">
        <f>IFERROR(__xludf.DUMMYFUNCTION("""COMPUTED_VALUE"""),21.0)</f>
        <v>21</v>
      </c>
      <c r="S1136" s="4">
        <f>IFERROR(__xludf.DUMMYFUNCTION("""COMPUTED_VALUE"""),20.0)</f>
        <v>20</v>
      </c>
      <c r="T1136" s="4"/>
      <c r="U1136" s="4" t="str">
        <f>IFERROR(__xludf.DUMMYFUNCTION("""COMPUTED_VALUE"""),"BAIK")</f>
        <v>BAIK</v>
      </c>
      <c r="V1136" s="4" t="str">
        <f>IFERROR(__xludf.DUMMYFUNCTION("""COMPUTED_VALUE"""),"Tidak Ada")</f>
        <v>Tidak Ada</v>
      </c>
      <c r="W1136" s="4"/>
      <c r="X1136" s="4"/>
      <c r="Y1136" s="4"/>
      <c r="Z1136" s="4"/>
      <c r="AA1136" s="4"/>
      <c r="AB1136" s="4"/>
      <c r="AC1136" s="4" t="str">
        <f>IFERROR(__xludf.DUMMYFUNCTION("""COMPUTED_VALUE"""),"INSPEKSI SUTM - T2_Images/30e6a0b4.FOTO.133300.jpg")</f>
        <v>INSPEKSI SUTM - T2_Images/30e6a0b4.FOTO.133300.jpg</v>
      </c>
      <c r="AD1136" s="4"/>
      <c r="AE1136" s="4"/>
      <c r="AF1136" s="4" t="str">
        <f>IFERROR(__xludf.DUMMYFUNCTION("""COMPUTED_VALUE"""),"BELUM")</f>
        <v>BELUM</v>
      </c>
      <c r="AG1136" s="6">
        <f>IFERROR(__xludf.DUMMYFUNCTION("""COMPUTED_VALUE"""),46139.0)</f>
        <v>46139</v>
      </c>
      <c r="AH1136" s="4"/>
      <c r="AI1136" s="4"/>
    </row>
    <row r="1137" ht="15.75" customHeight="1">
      <c r="A1137" s="4" t="str">
        <f>IFERROR(__xludf.DUMMYFUNCTION("""COMPUTED_VALUE"""),"59f14e6a")</f>
        <v>59f14e6a</v>
      </c>
      <c r="B1137" s="5">
        <f>IFERROR(__xludf.DUMMYFUNCTION("""COMPUTED_VALUE"""),46139.85636574074)</f>
        <v>46139.85637</v>
      </c>
      <c r="C1137" s="4" t="str">
        <f>IFERROR(__xludf.DUMMYFUNCTION("""COMPUTED_VALUE"""),"-6.899224, 107.641261")</f>
        <v>-6.899224, 107.641261</v>
      </c>
      <c r="D1137" s="4" t="str">
        <f>IFERROR(__xludf.DUMMYFUNCTION("""COMPUTED_VALUE"""),"Sandi angga")</f>
        <v>Sandi angga</v>
      </c>
      <c r="E1137" s="4" t="str">
        <f>IFERROR(__xludf.DUMMYFUNCTION("""COMPUTED_VALUE"""),"BANDUNG")</f>
        <v>BANDUNG</v>
      </c>
      <c r="F1137" s="4" t="str">
        <f>IFERROR(__xludf.DUMMYFUNCTION("""COMPUTED_VALUE"""),"BANDUNG TIMUR")</f>
        <v>BANDUNG TIMUR</v>
      </c>
      <c r="G1137" s="4" t="str">
        <f>IFERROR(__xludf.DUMMYFUNCTION("""COMPUTED_VALUE"""),"DAGO PAKAR")</f>
        <v>DAGO PAKAR</v>
      </c>
      <c r="H1137" s="4" t="str">
        <f>IFERROR(__xludf.DUMMYFUNCTION("""COMPUTED_VALUE"""),"DSNM")</f>
        <v>DSNM</v>
      </c>
      <c r="I1137" s="4" t="str">
        <f>IFERROR(__xludf.DUMMYFUNCTION("""COMPUTED_VALUE"""),"PGH-PGMP")</f>
        <v>PGH-PGMP</v>
      </c>
      <c r="J1137" s="4" t="str">
        <f>IFERROR(__xludf.DUMMYFUNCTION("""COMPUTED_VALUE"""),"ZONA 2")</f>
        <v>ZONA 2</v>
      </c>
      <c r="K1137" s="4" t="str">
        <f>IFERROR(__xludf.DUMMYFUNCTION("""COMPUTED_VALUE"""),"001R03")</f>
        <v>001R03</v>
      </c>
      <c r="L1137" s="4" t="str">
        <f>IFERROR(__xludf.DUMMYFUNCTION("""COMPUTED_VALUE"""),"TM - 7B/H (Afspan 90 Derajat)")</f>
        <v>TM - 7B/H (Afspan 90 Derajat)</v>
      </c>
      <c r="M1137" s="4" t="str">
        <f>IFERROR(__xludf.DUMMYFUNCTION("""COMPUTED_VALUE"""),"Tidak Ada")</f>
        <v>Tidak Ada</v>
      </c>
      <c r="N1137" s="4"/>
      <c r="O1137" s="4" t="str">
        <f>IFERROR(__xludf.DUMMYFUNCTION("""COMPUTED_VALUE"""),"PEMBANDING SEJENIS")</f>
        <v>PEMBANDING SEJENIS</v>
      </c>
      <c r="P1137" s="4" t="str">
        <f>IFERROR(__xludf.DUMMYFUNCTION("""COMPUTED_VALUE"""),"KONEKTOR/JUMPER")</f>
        <v>KONEKTOR/JUMPER</v>
      </c>
      <c r="Q1137" s="4">
        <f>IFERROR(__xludf.DUMMYFUNCTION("""COMPUTED_VALUE"""),23.0)</f>
        <v>23</v>
      </c>
      <c r="R1137" s="4">
        <f>IFERROR(__xludf.DUMMYFUNCTION("""COMPUTED_VALUE"""),23.0)</f>
        <v>23</v>
      </c>
      <c r="S1137" s="4">
        <f>IFERROR(__xludf.DUMMYFUNCTION("""COMPUTED_VALUE"""),23.0)</f>
        <v>23</v>
      </c>
      <c r="T1137" s="4"/>
      <c r="U1137" s="4" t="str">
        <f>IFERROR(__xludf.DUMMYFUNCTION("""COMPUTED_VALUE"""),"BAIK")</f>
        <v>BAIK</v>
      </c>
      <c r="V1137" s="4" t="str">
        <f>IFERROR(__xludf.DUMMYFUNCTION("""COMPUTED_VALUE"""),"Tidak Ada")</f>
        <v>Tidak Ada</v>
      </c>
      <c r="W1137" s="4"/>
      <c r="X1137" s="4"/>
      <c r="Y1137" s="4"/>
      <c r="Z1137" s="4"/>
      <c r="AA1137" s="4"/>
      <c r="AB1137" s="4"/>
      <c r="AC1137" s="4" t="str">
        <f>IFERROR(__xludf.DUMMYFUNCTION("""COMPUTED_VALUE"""),"INSPEKSI SUTM - T2_Images/59f14e6a.FOTO.133413.jpg")</f>
        <v>INSPEKSI SUTM - T2_Images/59f14e6a.FOTO.133413.jpg</v>
      </c>
      <c r="AD1137" s="4"/>
      <c r="AE1137" s="4"/>
      <c r="AF1137" s="4" t="str">
        <f>IFERROR(__xludf.DUMMYFUNCTION("""COMPUTED_VALUE"""),"BELUM")</f>
        <v>BELUM</v>
      </c>
      <c r="AG1137" s="6">
        <f>IFERROR(__xludf.DUMMYFUNCTION("""COMPUTED_VALUE"""),46139.0)</f>
        <v>46139</v>
      </c>
      <c r="AH1137" s="4"/>
      <c r="AI1137" s="4"/>
    </row>
    <row r="1138" ht="15.75" customHeight="1">
      <c r="A1138" s="4" t="str">
        <f>IFERROR(__xludf.DUMMYFUNCTION("""COMPUTED_VALUE"""),"5d16c00a")</f>
        <v>5d16c00a</v>
      </c>
      <c r="B1138" s="5">
        <f>IFERROR(__xludf.DUMMYFUNCTION("""COMPUTED_VALUE"""),46139.85765046296)</f>
        <v>46139.85765</v>
      </c>
      <c r="C1138" s="4" t="str">
        <f>IFERROR(__xludf.DUMMYFUNCTION("""COMPUTED_VALUE"""),"-6.899221, 107.641254")</f>
        <v>-6.899221, 107.641254</v>
      </c>
      <c r="D1138" s="4" t="str">
        <f>IFERROR(__xludf.DUMMYFUNCTION("""COMPUTED_VALUE"""),"Sandi angga")</f>
        <v>Sandi angga</v>
      </c>
      <c r="E1138" s="4" t="str">
        <f>IFERROR(__xludf.DUMMYFUNCTION("""COMPUTED_VALUE"""),"BANDUNG")</f>
        <v>BANDUNG</v>
      </c>
      <c r="F1138" s="4" t="str">
        <f>IFERROR(__xludf.DUMMYFUNCTION("""COMPUTED_VALUE"""),"BANDUNG TIMUR")</f>
        <v>BANDUNG TIMUR</v>
      </c>
      <c r="G1138" s="4" t="str">
        <f>IFERROR(__xludf.DUMMYFUNCTION("""COMPUTED_VALUE"""),"DAGO PAKAR")</f>
        <v>DAGO PAKAR</v>
      </c>
      <c r="H1138" s="4" t="str">
        <f>IFERROR(__xludf.DUMMYFUNCTION("""COMPUTED_VALUE"""),"DSNM")</f>
        <v>DSNM</v>
      </c>
      <c r="I1138" s="4" t="str">
        <f>IFERROR(__xludf.DUMMYFUNCTION("""COMPUTED_VALUE"""),"PGH-PGMP")</f>
        <v>PGH-PGMP</v>
      </c>
      <c r="J1138" s="4" t="str">
        <f>IFERROR(__xludf.DUMMYFUNCTION("""COMPUTED_VALUE"""),"ZONA 2")</f>
        <v>ZONA 2</v>
      </c>
      <c r="K1138" s="4" t="str">
        <f>IFERROR(__xludf.DUMMYFUNCTION("""COMPUTED_VALUE"""),"001R10")</f>
        <v>001R10</v>
      </c>
      <c r="L1138" s="4" t="str">
        <f>IFERROR(__xludf.DUMMYFUNCTION("""COMPUTED_VALUE"""),"TM - 8BC/HC (Percabangan dengan CO)")</f>
        <v>TM - 8BC/HC (Percabangan dengan CO)</v>
      </c>
      <c r="M1138" s="4" t="str">
        <f>IFERROR(__xludf.DUMMYFUNCTION("""COMPUTED_VALUE"""),"FCO")</f>
        <v>FCO</v>
      </c>
      <c r="N1138" s="4" t="str">
        <f>IFERROR(__xludf.DUMMYFUNCTION("""COMPUTED_VALUE"""),"AFTAK GCV")</f>
        <v>AFTAK GCV</v>
      </c>
      <c r="O1138" s="4" t="str">
        <f>IFERROR(__xludf.DUMMYFUNCTION("""COMPUTED_VALUE"""),"PEMBANDING SEJENIS")</f>
        <v>PEMBANDING SEJENIS</v>
      </c>
      <c r="P1138" s="4" t="str">
        <f>IFERROR(__xludf.DUMMYFUNCTION("""COMPUTED_VALUE"""),"FCO")</f>
        <v>FCO</v>
      </c>
      <c r="Q1138" s="4">
        <f>IFERROR(__xludf.DUMMYFUNCTION("""COMPUTED_VALUE"""),21.0)</f>
        <v>21</v>
      </c>
      <c r="R1138" s="4">
        <f>IFERROR(__xludf.DUMMYFUNCTION("""COMPUTED_VALUE"""),21.0)</f>
        <v>21</v>
      </c>
      <c r="S1138" s="4">
        <f>IFERROR(__xludf.DUMMYFUNCTION("""COMPUTED_VALUE"""),22.0)</f>
        <v>22</v>
      </c>
      <c r="T1138" s="4"/>
      <c r="U1138" s="4" t="str">
        <f>IFERROR(__xludf.DUMMYFUNCTION("""COMPUTED_VALUE"""),"BAIK")</f>
        <v>BAIK</v>
      </c>
      <c r="V1138" s="4" t="str">
        <f>IFERROR(__xludf.DUMMYFUNCTION("""COMPUTED_VALUE"""),"Tidak Ada")</f>
        <v>Tidak Ada</v>
      </c>
      <c r="W1138" s="4"/>
      <c r="X1138" s="4"/>
      <c r="Y1138" s="4"/>
      <c r="Z1138" s="4"/>
      <c r="AA1138" s="4"/>
      <c r="AB1138" s="4"/>
      <c r="AC1138" s="4" t="str">
        <f>IFERROR(__xludf.DUMMYFUNCTION("""COMPUTED_VALUE"""),"INSPEKSI SUTM - T2_Images/5d16c00a.FOTO.133555.jpg")</f>
        <v>INSPEKSI SUTM - T2_Images/5d16c00a.FOTO.133555.jpg</v>
      </c>
      <c r="AD1138" s="4"/>
      <c r="AE1138" s="4"/>
      <c r="AF1138" s="4" t="str">
        <f>IFERROR(__xludf.DUMMYFUNCTION("""COMPUTED_VALUE"""),"BELUM")</f>
        <v>BELUM</v>
      </c>
      <c r="AG1138" s="6">
        <f>IFERROR(__xludf.DUMMYFUNCTION("""COMPUTED_VALUE"""),46139.0)</f>
        <v>46139</v>
      </c>
      <c r="AH1138" s="4"/>
      <c r="AI1138" s="4"/>
    </row>
    <row r="1139" ht="15.75" customHeight="1">
      <c r="A1139" s="4" t="str">
        <f>IFERROR(__xludf.DUMMYFUNCTION("""COMPUTED_VALUE"""),"4192b1bb")</f>
        <v>4192b1bb</v>
      </c>
      <c r="B1139" s="5">
        <f>IFERROR(__xludf.DUMMYFUNCTION("""COMPUTED_VALUE"""),46139.85836805555)</f>
        <v>46139.85837</v>
      </c>
      <c r="C1139" s="4" t="str">
        <f>IFERROR(__xludf.DUMMYFUNCTION("""COMPUTED_VALUE"""),"-6.899213, 107.641249")</f>
        <v>-6.899213, 107.641249</v>
      </c>
      <c r="D1139" s="4" t="str">
        <f>IFERROR(__xludf.DUMMYFUNCTION("""COMPUTED_VALUE"""),"Sandi angga")</f>
        <v>Sandi angga</v>
      </c>
      <c r="E1139" s="4" t="str">
        <f>IFERROR(__xludf.DUMMYFUNCTION("""COMPUTED_VALUE"""),"BANDUNG")</f>
        <v>BANDUNG</v>
      </c>
      <c r="F1139" s="4" t="str">
        <f>IFERROR(__xludf.DUMMYFUNCTION("""COMPUTED_VALUE"""),"BANDUNG TIMUR")</f>
        <v>BANDUNG TIMUR</v>
      </c>
      <c r="G1139" s="4" t="str">
        <f>IFERROR(__xludf.DUMMYFUNCTION("""COMPUTED_VALUE"""),"DAGO PAKAR")</f>
        <v>DAGO PAKAR</v>
      </c>
      <c r="H1139" s="4" t="str">
        <f>IFERROR(__xludf.DUMMYFUNCTION("""COMPUTED_VALUE"""),"DSNM")</f>
        <v>DSNM</v>
      </c>
      <c r="I1139" s="4" t="str">
        <f>IFERROR(__xludf.DUMMYFUNCTION("""COMPUTED_VALUE"""),"PGH-PGMP")</f>
        <v>PGH-PGMP</v>
      </c>
      <c r="J1139" s="4" t="str">
        <f>IFERROR(__xludf.DUMMYFUNCTION("""COMPUTED_VALUE"""),"ZONA 2")</f>
        <v>ZONA 2</v>
      </c>
      <c r="K1139" s="4" t="str">
        <f>IFERROR(__xludf.DUMMYFUNCTION("""COMPUTED_VALUE"""),"001R10R03")</f>
        <v>001R10R03</v>
      </c>
      <c r="L1139" s="4" t="str">
        <f>IFERROR(__xludf.DUMMYFUNCTION("""COMPUTED_VALUE"""),"TM - 7B/H (Afspan 90 Derajat)")</f>
        <v>TM - 7B/H (Afspan 90 Derajat)</v>
      </c>
      <c r="M1139" s="4" t="str">
        <f>IFERROR(__xludf.DUMMYFUNCTION("""COMPUTED_VALUE"""),"Tidak Ada")</f>
        <v>Tidak Ada</v>
      </c>
      <c r="N1139" s="4"/>
      <c r="O1139" s="4" t="str">
        <f>IFERROR(__xludf.DUMMYFUNCTION("""COMPUTED_VALUE"""),"PEMBANDING SEJENIS")</f>
        <v>PEMBANDING SEJENIS</v>
      </c>
      <c r="P1139" s="4" t="str">
        <f>IFERROR(__xludf.DUMMYFUNCTION("""COMPUTED_VALUE"""),"KONEKTOR/JUMPER")</f>
        <v>KONEKTOR/JUMPER</v>
      </c>
      <c r="Q1139" s="4">
        <f>IFERROR(__xludf.DUMMYFUNCTION("""COMPUTED_VALUE"""),20.0)</f>
        <v>20</v>
      </c>
      <c r="R1139" s="4">
        <f>IFERROR(__xludf.DUMMYFUNCTION("""COMPUTED_VALUE"""),21.0)</f>
        <v>21</v>
      </c>
      <c r="S1139" s="4">
        <f>IFERROR(__xludf.DUMMYFUNCTION("""COMPUTED_VALUE"""),20.0)</f>
        <v>20</v>
      </c>
      <c r="T1139" s="4"/>
      <c r="U1139" s="4" t="str">
        <f>IFERROR(__xludf.DUMMYFUNCTION("""COMPUTED_VALUE"""),"BAIK")</f>
        <v>BAIK</v>
      </c>
      <c r="V1139" s="4" t="str">
        <f>IFERROR(__xludf.DUMMYFUNCTION("""COMPUTED_VALUE"""),"Tidak Ada")</f>
        <v>Tidak Ada</v>
      </c>
      <c r="W1139" s="4"/>
      <c r="X1139" s="4"/>
      <c r="Y1139" s="4"/>
      <c r="Z1139" s="4"/>
      <c r="AA1139" s="4"/>
      <c r="AB1139" s="4"/>
      <c r="AC1139" s="4" t="str">
        <f>IFERROR(__xludf.DUMMYFUNCTION("""COMPUTED_VALUE"""),"INSPEKSI SUTM - T2_Images/4192b1bb.FOTO.133702.jpg")</f>
        <v>INSPEKSI SUTM - T2_Images/4192b1bb.FOTO.133702.jpg</v>
      </c>
      <c r="AD1139" s="4"/>
      <c r="AE1139" s="4"/>
      <c r="AF1139" s="4" t="str">
        <f>IFERROR(__xludf.DUMMYFUNCTION("""COMPUTED_VALUE"""),"BELUM")</f>
        <v>BELUM</v>
      </c>
      <c r="AG1139" s="6">
        <f>IFERROR(__xludf.DUMMYFUNCTION("""COMPUTED_VALUE"""),46139.0)</f>
        <v>46139</v>
      </c>
      <c r="AH1139" s="4"/>
      <c r="AI1139" s="4"/>
    </row>
    <row r="1140" ht="15.75" customHeight="1">
      <c r="A1140" s="4" t="str">
        <f>IFERROR(__xludf.DUMMYFUNCTION("""COMPUTED_VALUE"""),"1c821edb")</f>
        <v>1c821edb</v>
      </c>
      <c r="B1140" s="5">
        <f>IFERROR(__xludf.DUMMYFUNCTION("""COMPUTED_VALUE"""),46139.859444444446)</f>
        <v>46139.85944</v>
      </c>
      <c r="C1140" s="4" t="str">
        <f>IFERROR(__xludf.DUMMYFUNCTION("""COMPUTED_VALUE"""),"-6.899213, 107.641260")</f>
        <v>-6.899213, 107.641260</v>
      </c>
      <c r="D1140" s="4" t="str">
        <f>IFERROR(__xludf.DUMMYFUNCTION("""COMPUTED_VALUE"""),"Sandi angga")</f>
        <v>Sandi angga</v>
      </c>
      <c r="E1140" s="4" t="str">
        <f>IFERROR(__xludf.DUMMYFUNCTION("""COMPUTED_VALUE"""),"BANDUNG")</f>
        <v>BANDUNG</v>
      </c>
      <c r="F1140" s="4" t="str">
        <f>IFERROR(__xludf.DUMMYFUNCTION("""COMPUTED_VALUE"""),"BANDUNG TIMUR")</f>
        <v>BANDUNG TIMUR</v>
      </c>
      <c r="G1140" s="4" t="str">
        <f>IFERROR(__xludf.DUMMYFUNCTION("""COMPUTED_VALUE"""),"DAGO PAKAR")</f>
        <v>DAGO PAKAR</v>
      </c>
      <c r="H1140" s="4" t="str">
        <f>IFERROR(__xludf.DUMMYFUNCTION("""COMPUTED_VALUE"""),"DSNM")</f>
        <v>DSNM</v>
      </c>
      <c r="I1140" s="4" t="str">
        <f>IFERROR(__xludf.DUMMYFUNCTION("""COMPUTED_VALUE"""),"PGH-PGMP")</f>
        <v>PGH-PGMP</v>
      </c>
      <c r="J1140" s="4" t="str">
        <f>IFERROR(__xludf.DUMMYFUNCTION("""COMPUTED_VALUE"""),"ZONA 2")</f>
        <v>ZONA 2</v>
      </c>
      <c r="K1140" s="4" t="str">
        <f>IFERROR(__xludf.DUMMYFUNCTION("""COMPUTED_VALUE"""),"001R13")</f>
        <v>001R13</v>
      </c>
      <c r="L1140" s="4" t="str">
        <f>IFERROR(__xludf.DUMMYFUNCTION("""COMPUTED_VALUE"""),"TM - 4B/H (Afspan)")</f>
        <v>TM - 4B/H (Afspan)</v>
      </c>
      <c r="M1140" s="4" t="str">
        <f>IFERROR(__xludf.DUMMYFUNCTION("""COMPUTED_VALUE"""),"Tidak Ada")</f>
        <v>Tidak Ada</v>
      </c>
      <c r="N1140" s="4"/>
      <c r="O1140" s="4" t="str">
        <f>IFERROR(__xludf.DUMMYFUNCTION("""COMPUTED_VALUE"""),"PEMBANDING SEJENIS")</f>
        <v>PEMBANDING SEJENIS</v>
      </c>
      <c r="P1140" s="4" t="str">
        <f>IFERROR(__xludf.DUMMYFUNCTION("""COMPUTED_VALUE"""),"KONEKTOR/JUMPER")</f>
        <v>KONEKTOR/JUMPER</v>
      </c>
      <c r="Q1140" s="4">
        <f>IFERROR(__xludf.DUMMYFUNCTION("""COMPUTED_VALUE"""),20.0)</f>
        <v>20</v>
      </c>
      <c r="R1140" s="4">
        <f>IFERROR(__xludf.DUMMYFUNCTION("""COMPUTED_VALUE"""),20.0)</f>
        <v>20</v>
      </c>
      <c r="S1140" s="4">
        <f>IFERROR(__xludf.DUMMYFUNCTION("""COMPUTED_VALUE"""),20.0)</f>
        <v>20</v>
      </c>
      <c r="T1140" s="4"/>
      <c r="U1140" s="4" t="str">
        <f>IFERROR(__xludf.DUMMYFUNCTION("""COMPUTED_VALUE"""),"BAIK")</f>
        <v>BAIK</v>
      </c>
      <c r="V1140" s="4" t="str">
        <f>IFERROR(__xludf.DUMMYFUNCTION("""COMPUTED_VALUE"""),"Tidak Ada")</f>
        <v>Tidak Ada</v>
      </c>
      <c r="W1140" s="4"/>
      <c r="X1140" s="4"/>
      <c r="Y1140" s="4"/>
      <c r="Z1140" s="4"/>
      <c r="AA1140" s="4"/>
      <c r="AB1140" s="4"/>
      <c r="AC1140" s="4" t="str">
        <f>IFERROR(__xludf.DUMMYFUNCTION("""COMPUTED_VALUE"""),"INSPEKSI SUTM - T2_Images/1c821edb.FOTO.133832.jpg")</f>
        <v>INSPEKSI SUTM - T2_Images/1c821edb.FOTO.133832.jpg</v>
      </c>
      <c r="AD1140" s="4"/>
      <c r="AE1140" s="4"/>
      <c r="AF1140" s="4" t="str">
        <f>IFERROR(__xludf.DUMMYFUNCTION("""COMPUTED_VALUE"""),"BELUM")</f>
        <v>BELUM</v>
      </c>
      <c r="AG1140" s="6">
        <f>IFERROR(__xludf.DUMMYFUNCTION("""COMPUTED_VALUE"""),46139.0)</f>
        <v>46139</v>
      </c>
      <c r="AH1140" s="4"/>
      <c r="AI1140" s="4"/>
    </row>
    <row r="1141" ht="15.75" customHeight="1">
      <c r="A1141" s="4" t="str">
        <f>IFERROR(__xludf.DUMMYFUNCTION("""COMPUTED_VALUE"""),"673e3d06")</f>
        <v>673e3d06</v>
      </c>
      <c r="B1141" s="5">
        <f>IFERROR(__xludf.DUMMYFUNCTION("""COMPUTED_VALUE"""),46139.861863425926)</f>
        <v>46139.86186</v>
      </c>
      <c r="C1141" s="4" t="str">
        <f>IFERROR(__xludf.DUMMYFUNCTION("""COMPUTED_VALUE"""),"-6.899213, 107.641259")</f>
        <v>-6.899213, 107.641259</v>
      </c>
      <c r="D1141" s="4" t="str">
        <f>IFERROR(__xludf.DUMMYFUNCTION("""COMPUTED_VALUE"""),"Sandi angga")</f>
        <v>Sandi angga</v>
      </c>
      <c r="E1141" s="4" t="str">
        <f>IFERROR(__xludf.DUMMYFUNCTION("""COMPUTED_VALUE"""),"BANDUNG")</f>
        <v>BANDUNG</v>
      </c>
      <c r="F1141" s="4" t="str">
        <f>IFERROR(__xludf.DUMMYFUNCTION("""COMPUTED_VALUE"""),"BANDUNG TIMUR")</f>
        <v>BANDUNG TIMUR</v>
      </c>
      <c r="G1141" s="4" t="str">
        <f>IFERROR(__xludf.DUMMYFUNCTION("""COMPUTED_VALUE"""),"DAGO PAKAR")</f>
        <v>DAGO PAKAR</v>
      </c>
      <c r="H1141" s="4" t="str">
        <f>IFERROR(__xludf.DUMMYFUNCTION("""COMPUTED_VALUE"""),"DSNM")</f>
        <v>DSNM</v>
      </c>
      <c r="I1141" s="4" t="str">
        <f>IFERROR(__xludf.DUMMYFUNCTION("""COMPUTED_VALUE"""),"PGH-PGMP")</f>
        <v>PGH-PGMP</v>
      </c>
      <c r="J1141" s="4" t="str">
        <f>IFERROR(__xludf.DUMMYFUNCTION("""COMPUTED_VALUE"""),"ZONA 2")</f>
        <v>ZONA 2</v>
      </c>
      <c r="K1141" s="4" t="str">
        <f>IFERROR(__xludf.DUMMYFUNCTION("""COMPUTED_VALUE"""),"001R17")</f>
        <v>001R17</v>
      </c>
      <c r="L1141" s="4" t="str">
        <f>IFERROR(__xludf.DUMMYFUNCTION("""COMPUTED_VALUE"""),"TM - 4B/H (Afspan)")</f>
        <v>TM - 4B/H (Afspan)</v>
      </c>
      <c r="M1141" s="4" t="str">
        <f>IFERROR(__xludf.DUMMYFUNCTION("""COMPUTED_VALUE"""),"Tidak Ada")</f>
        <v>Tidak Ada</v>
      </c>
      <c r="N1141" s="4"/>
      <c r="O1141" s="4" t="str">
        <f>IFERROR(__xludf.DUMMYFUNCTION("""COMPUTED_VALUE"""),"PEMBANDING SEJENIS")</f>
        <v>PEMBANDING SEJENIS</v>
      </c>
      <c r="P1141" s="4" t="str">
        <f>IFERROR(__xludf.DUMMYFUNCTION("""COMPUTED_VALUE"""),"KONEKTOR/JUMPER")</f>
        <v>KONEKTOR/JUMPER</v>
      </c>
      <c r="Q1141" s="4">
        <f>IFERROR(__xludf.DUMMYFUNCTION("""COMPUTED_VALUE"""),20.0)</f>
        <v>20</v>
      </c>
      <c r="R1141" s="4">
        <f>IFERROR(__xludf.DUMMYFUNCTION("""COMPUTED_VALUE"""),21.0)</f>
        <v>21</v>
      </c>
      <c r="S1141" s="4">
        <f>IFERROR(__xludf.DUMMYFUNCTION("""COMPUTED_VALUE"""),21.0)</f>
        <v>21</v>
      </c>
      <c r="T1141" s="4"/>
      <c r="U1141" s="4" t="str">
        <f>IFERROR(__xludf.DUMMYFUNCTION("""COMPUTED_VALUE"""),"BAIK")</f>
        <v>BAIK</v>
      </c>
      <c r="V1141" s="4" t="str">
        <f>IFERROR(__xludf.DUMMYFUNCTION("""COMPUTED_VALUE"""),"Tidak Ada")</f>
        <v>Tidak Ada</v>
      </c>
      <c r="W1141" s="4"/>
      <c r="X1141" s="4"/>
      <c r="Y1141" s="4"/>
      <c r="Z1141" s="4"/>
      <c r="AA1141" s="4"/>
      <c r="AB1141" s="4"/>
      <c r="AC1141" s="4" t="str">
        <f>IFERROR(__xludf.DUMMYFUNCTION("""COMPUTED_VALUE"""),"INSPEKSI SUTM - T2_Images/673e3d06.FOTO.134208.jpg")</f>
        <v>INSPEKSI SUTM - T2_Images/673e3d06.FOTO.134208.jpg</v>
      </c>
      <c r="AD1141" s="4"/>
      <c r="AE1141" s="4"/>
      <c r="AF1141" s="4" t="str">
        <f>IFERROR(__xludf.DUMMYFUNCTION("""COMPUTED_VALUE"""),"BELUM")</f>
        <v>BELUM</v>
      </c>
      <c r="AG1141" s="6">
        <f>IFERROR(__xludf.DUMMYFUNCTION("""COMPUTED_VALUE"""),46139.0)</f>
        <v>46139</v>
      </c>
      <c r="AH1141" s="4"/>
      <c r="AI1141" s="4"/>
    </row>
    <row r="1142" ht="15.75" customHeight="1">
      <c r="A1142" s="4" t="str">
        <f>IFERROR(__xludf.DUMMYFUNCTION("""COMPUTED_VALUE"""),"1fa1ce44")</f>
        <v>1fa1ce44</v>
      </c>
      <c r="B1142" s="5">
        <f>IFERROR(__xludf.DUMMYFUNCTION("""COMPUTED_VALUE"""),46139.8627662037)</f>
        <v>46139.86277</v>
      </c>
      <c r="C1142" s="4" t="str">
        <f>IFERROR(__xludf.DUMMYFUNCTION("""COMPUTED_VALUE"""),"-6.899216, 107.641262")</f>
        <v>-6.899216, 107.641262</v>
      </c>
      <c r="D1142" s="4" t="str">
        <f>IFERROR(__xludf.DUMMYFUNCTION("""COMPUTED_VALUE"""),"Sandi angga")</f>
        <v>Sandi angga</v>
      </c>
      <c r="E1142" s="4" t="str">
        <f>IFERROR(__xludf.DUMMYFUNCTION("""COMPUTED_VALUE"""),"BANDUNG")</f>
        <v>BANDUNG</v>
      </c>
      <c r="F1142" s="4" t="str">
        <f>IFERROR(__xludf.DUMMYFUNCTION("""COMPUTED_VALUE"""),"BANDUNG TIMUR")</f>
        <v>BANDUNG TIMUR</v>
      </c>
      <c r="G1142" s="4" t="str">
        <f>IFERROR(__xludf.DUMMYFUNCTION("""COMPUTED_VALUE"""),"DAGO PAKAR")</f>
        <v>DAGO PAKAR</v>
      </c>
      <c r="H1142" s="4" t="str">
        <f>IFERROR(__xludf.DUMMYFUNCTION("""COMPUTED_VALUE"""),"DSNM")</f>
        <v>DSNM</v>
      </c>
      <c r="I1142" s="4" t="str">
        <f>IFERROR(__xludf.DUMMYFUNCTION("""COMPUTED_VALUE"""),"PGH-PGMP")</f>
        <v>PGH-PGMP</v>
      </c>
      <c r="J1142" s="4" t="str">
        <f>IFERROR(__xludf.DUMMYFUNCTION("""COMPUTED_VALUE"""),"ZONA 2")</f>
        <v>ZONA 2</v>
      </c>
      <c r="K1142" s="4" t="str">
        <f>IFERROR(__xludf.DUMMYFUNCTION("""COMPUTED_VALUE"""),"001R23")</f>
        <v>001R23</v>
      </c>
      <c r="L1142" s="4" t="str">
        <f>IFERROR(__xludf.DUMMYFUNCTION("""COMPUTED_VALUE"""),"TM - 10B/H (Dua Percabangan)")</f>
        <v>TM - 10B/H (Dua Percabangan)</v>
      </c>
      <c r="M1142" s="4" t="str">
        <f>IFERROR(__xludf.DUMMYFUNCTION("""COMPUTED_VALUE"""),"Tidak Ada")</f>
        <v>Tidak Ada</v>
      </c>
      <c r="N1142" s="4"/>
      <c r="O1142" s="4" t="str">
        <f>IFERROR(__xludf.DUMMYFUNCTION("""COMPUTED_VALUE"""),"PEMBANDING SEJENIS")</f>
        <v>PEMBANDING SEJENIS</v>
      </c>
      <c r="P1142" s="4" t="str">
        <f>IFERROR(__xludf.DUMMYFUNCTION("""COMPUTED_VALUE"""),"KONEKTOR/JUMPER")</f>
        <v>KONEKTOR/JUMPER</v>
      </c>
      <c r="Q1142" s="4">
        <f>IFERROR(__xludf.DUMMYFUNCTION("""COMPUTED_VALUE"""),23.0)</f>
        <v>23</v>
      </c>
      <c r="R1142" s="4">
        <f>IFERROR(__xludf.DUMMYFUNCTION("""COMPUTED_VALUE"""),23.0)</f>
        <v>23</v>
      </c>
      <c r="S1142" s="4">
        <f>IFERROR(__xludf.DUMMYFUNCTION("""COMPUTED_VALUE"""),23.0)</f>
        <v>23</v>
      </c>
      <c r="T1142" s="4"/>
      <c r="U1142" s="4" t="str">
        <f>IFERROR(__xludf.DUMMYFUNCTION("""COMPUTED_VALUE"""),"BAIK")</f>
        <v>BAIK</v>
      </c>
      <c r="V1142" s="4" t="str">
        <f>IFERROR(__xludf.DUMMYFUNCTION("""COMPUTED_VALUE"""),"Tidak Ada")</f>
        <v>Tidak Ada</v>
      </c>
      <c r="W1142" s="4"/>
      <c r="X1142" s="4"/>
      <c r="Y1142" s="4"/>
      <c r="Z1142" s="4"/>
      <c r="AA1142" s="4"/>
      <c r="AB1142" s="4"/>
      <c r="AC1142" s="4" t="str">
        <f>IFERROR(__xludf.DUMMYFUNCTION("""COMPUTED_VALUE"""),"INSPEKSI SUTM - T2_Images/1fa1ce44.FOTO.134321.jpg")</f>
        <v>INSPEKSI SUTM - T2_Images/1fa1ce44.FOTO.134321.jpg</v>
      </c>
      <c r="AD1142" s="4"/>
      <c r="AE1142" s="4"/>
      <c r="AF1142" s="4" t="str">
        <f>IFERROR(__xludf.DUMMYFUNCTION("""COMPUTED_VALUE"""),"BELUM")</f>
        <v>BELUM</v>
      </c>
      <c r="AG1142" s="6">
        <f>IFERROR(__xludf.DUMMYFUNCTION("""COMPUTED_VALUE"""),46139.0)</f>
        <v>46139</v>
      </c>
      <c r="AH1142" s="4"/>
      <c r="AI1142" s="4"/>
    </row>
    <row r="1143" ht="15.75" customHeight="1">
      <c r="A1143" s="4" t="str">
        <f>IFERROR(__xludf.DUMMYFUNCTION("""COMPUTED_VALUE"""),"879e66a4")</f>
        <v>879e66a4</v>
      </c>
      <c r="B1143" s="5">
        <f>IFERROR(__xludf.DUMMYFUNCTION("""COMPUTED_VALUE"""),46139.86356481481)</f>
        <v>46139.86356</v>
      </c>
      <c r="C1143" s="4" t="str">
        <f>IFERROR(__xludf.DUMMYFUNCTION("""COMPUTED_VALUE"""),"-6.899224, 107.641248")</f>
        <v>-6.899224, 107.641248</v>
      </c>
      <c r="D1143" s="4" t="str">
        <f>IFERROR(__xludf.DUMMYFUNCTION("""COMPUTED_VALUE"""),"Sandi angga")</f>
        <v>Sandi angga</v>
      </c>
      <c r="E1143" s="4" t="str">
        <f>IFERROR(__xludf.DUMMYFUNCTION("""COMPUTED_VALUE"""),"BANDUNG")</f>
        <v>BANDUNG</v>
      </c>
      <c r="F1143" s="4" t="str">
        <f>IFERROR(__xludf.DUMMYFUNCTION("""COMPUTED_VALUE"""),"BANDUNG TIMUR")</f>
        <v>BANDUNG TIMUR</v>
      </c>
      <c r="G1143" s="4" t="str">
        <f>IFERROR(__xludf.DUMMYFUNCTION("""COMPUTED_VALUE"""),"DAGO PAKAR")</f>
        <v>DAGO PAKAR</v>
      </c>
      <c r="H1143" s="4" t="str">
        <f>IFERROR(__xludf.DUMMYFUNCTION("""COMPUTED_VALUE"""),"DSNM")</f>
        <v>DSNM</v>
      </c>
      <c r="I1143" s="4" t="str">
        <f>IFERROR(__xludf.DUMMYFUNCTION("""COMPUTED_VALUE"""),"PGH-PGMP")</f>
        <v>PGH-PGMP</v>
      </c>
      <c r="J1143" s="4" t="str">
        <f>IFERROR(__xludf.DUMMYFUNCTION("""COMPUTED_VALUE"""),"ZONA 2")</f>
        <v>ZONA 2</v>
      </c>
      <c r="K1143" s="4" t="str">
        <f>IFERROR(__xludf.DUMMYFUNCTION("""COMPUTED_VALUE"""),"001R23R02")</f>
        <v>001R23R02</v>
      </c>
      <c r="L1143" s="4" t="str">
        <f>IFERROR(__xludf.DUMMYFUNCTION("""COMPUTED_VALUE"""),"TM - 4B/H (Afspan)")</f>
        <v>TM - 4B/H (Afspan)</v>
      </c>
      <c r="M1143" s="4" t="str">
        <f>IFERROR(__xludf.DUMMYFUNCTION("""COMPUTED_VALUE"""),"Tidak Ada")</f>
        <v>Tidak Ada</v>
      </c>
      <c r="N1143" s="4"/>
      <c r="O1143" s="4" t="str">
        <f>IFERROR(__xludf.DUMMYFUNCTION("""COMPUTED_VALUE"""),"PEMBANDING SEJENIS")</f>
        <v>PEMBANDING SEJENIS</v>
      </c>
      <c r="P1143" s="4" t="str">
        <f>IFERROR(__xludf.DUMMYFUNCTION("""COMPUTED_VALUE"""),"KONEKTOR/JUMPER")</f>
        <v>KONEKTOR/JUMPER</v>
      </c>
      <c r="Q1143" s="4">
        <f>IFERROR(__xludf.DUMMYFUNCTION("""COMPUTED_VALUE"""),21.0)</f>
        <v>21</v>
      </c>
      <c r="R1143" s="4">
        <f>IFERROR(__xludf.DUMMYFUNCTION("""COMPUTED_VALUE"""),22.0)</f>
        <v>22</v>
      </c>
      <c r="S1143" s="4">
        <f>IFERROR(__xludf.DUMMYFUNCTION("""COMPUTED_VALUE"""),21.0)</f>
        <v>21</v>
      </c>
      <c r="T1143" s="4"/>
      <c r="U1143" s="4" t="str">
        <f>IFERROR(__xludf.DUMMYFUNCTION("""COMPUTED_VALUE"""),"BAIK")</f>
        <v>BAIK</v>
      </c>
      <c r="V1143" s="4" t="str">
        <f>IFERROR(__xludf.DUMMYFUNCTION("""COMPUTED_VALUE"""),"Tidak Ada")</f>
        <v>Tidak Ada</v>
      </c>
      <c r="W1143" s="4"/>
      <c r="X1143" s="4"/>
      <c r="Y1143" s="4"/>
      <c r="Z1143" s="4"/>
      <c r="AA1143" s="4"/>
      <c r="AB1143" s="4"/>
      <c r="AC1143" s="4" t="str">
        <f>IFERROR(__xludf.DUMMYFUNCTION("""COMPUTED_VALUE"""),"INSPEKSI SUTM - T2_Images/879e66a4.FOTO.134421.jpg")</f>
        <v>INSPEKSI SUTM - T2_Images/879e66a4.FOTO.134421.jpg</v>
      </c>
      <c r="AD1143" s="4"/>
      <c r="AE1143" s="4"/>
      <c r="AF1143" s="4" t="str">
        <f>IFERROR(__xludf.DUMMYFUNCTION("""COMPUTED_VALUE"""),"BELUM")</f>
        <v>BELUM</v>
      </c>
      <c r="AG1143" s="6">
        <f>IFERROR(__xludf.DUMMYFUNCTION("""COMPUTED_VALUE"""),46139.0)</f>
        <v>46139</v>
      </c>
      <c r="AH1143" s="4"/>
      <c r="AI1143" s="4"/>
    </row>
    <row r="1144" ht="15.75" customHeight="1">
      <c r="A1144" s="4" t="str">
        <f>IFERROR(__xludf.DUMMYFUNCTION("""COMPUTED_VALUE"""),"833348dd")</f>
        <v>833348dd</v>
      </c>
      <c r="B1144" s="5">
        <f>IFERROR(__xludf.DUMMYFUNCTION("""COMPUTED_VALUE"""),46139.86418981481)</f>
        <v>46139.86419</v>
      </c>
      <c r="C1144" s="4" t="str">
        <f>IFERROR(__xludf.DUMMYFUNCTION("""COMPUTED_VALUE"""),"-6.899211, 107.641255")</f>
        <v>-6.899211, 107.641255</v>
      </c>
      <c r="D1144" s="4" t="str">
        <f>IFERROR(__xludf.DUMMYFUNCTION("""COMPUTED_VALUE"""),"Sandi angga")</f>
        <v>Sandi angga</v>
      </c>
      <c r="E1144" s="4" t="str">
        <f>IFERROR(__xludf.DUMMYFUNCTION("""COMPUTED_VALUE"""),"BANDUNG")</f>
        <v>BANDUNG</v>
      </c>
      <c r="F1144" s="4" t="str">
        <f>IFERROR(__xludf.DUMMYFUNCTION("""COMPUTED_VALUE"""),"BANDUNG TIMUR")</f>
        <v>BANDUNG TIMUR</v>
      </c>
      <c r="G1144" s="4" t="str">
        <f>IFERROR(__xludf.DUMMYFUNCTION("""COMPUTED_VALUE"""),"DAGO PAKAR")</f>
        <v>DAGO PAKAR</v>
      </c>
      <c r="H1144" s="4" t="str">
        <f>IFERROR(__xludf.DUMMYFUNCTION("""COMPUTED_VALUE"""),"DSNM")</f>
        <v>DSNM</v>
      </c>
      <c r="I1144" s="4" t="str">
        <f>IFERROR(__xludf.DUMMYFUNCTION("""COMPUTED_VALUE"""),"PGH-PGMP")</f>
        <v>PGH-PGMP</v>
      </c>
      <c r="J1144" s="4" t="str">
        <f>IFERROR(__xludf.DUMMYFUNCTION("""COMPUTED_VALUE"""),"ZONA 2")</f>
        <v>ZONA 2</v>
      </c>
      <c r="K1144" s="4" t="str">
        <f>IFERROR(__xludf.DUMMYFUNCTION("""COMPUTED_VALUE"""),"001R23R07")</f>
        <v>001R23R07</v>
      </c>
      <c r="L1144" s="4" t="str">
        <f>IFERROR(__xludf.DUMMYFUNCTION("""COMPUTED_VALUE"""),"TM - 7B/H (Afspan 90 Derajat)")</f>
        <v>TM - 7B/H (Afspan 90 Derajat)</v>
      </c>
      <c r="M1144" s="4" t="str">
        <f>IFERROR(__xludf.DUMMYFUNCTION("""COMPUTED_VALUE"""),"Tidak Ada")</f>
        <v>Tidak Ada</v>
      </c>
      <c r="N1144" s="4"/>
      <c r="O1144" s="4" t="str">
        <f>IFERROR(__xludf.DUMMYFUNCTION("""COMPUTED_VALUE"""),"PEMBANDING SEJENIS")</f>
        <v>PEMBANDING SEJENIS</v>
      </c>
      <c r="P1144" s="4" t="str">
        <f>IFERROR(__xludf.DUMMYFUNCTION("""COMPUTED_VALUE"""),"KONEKTOR/JUMPER")</f>
        <v>KONEKTOR/JUMPER</v>
      </c>
      <c r="Q1144" s="4">
        <f>IFERROR(__xludf.DUMMYFUNCTION("""COMPUTED_VALUE"""),19.0)</f>
        <v>19</v>
      </c>
      <c r="R1144" s="4">
        <f>IFERROR(__xludf.DUMMYFUNCTION("""COMPUTED_VALUE"""),20.0)</f>
        <v>20</v>
      </c>
      <c r="S1144" s="4">
        <f>IFERROR(__xludf.DUMMYFUNCTION("""COMPUTED_VALUE"""),20.0)</f>
        <v>20</v>
      </c>
      <c r="T1144" s="4"/>
      <c r="U1144" s="4" t="str">
        <f>IFERROR(__xludf.DUMMYFUNCTION("""COMPUTED_VALUE"""),"BAIK")</f>
        <v>BAIK</v>
      </c>
      <c r="V1144" s="4" t="str">
        <f>IFERROR(__xludf.DUMMYFUNCTION("""COMPUTED_VALUE"""),"Tidak Ada")</f>
        <v>Tidak Ada</v>
      </c>
      <c r="W1144" s="4"/>
      <c r="X1144" s="4"/>
      <c r="Y1144" s="4"/>
      <c r="Z1144" s="4"/>
      <c r="AA1144" s="4"/>
      <c r="AB1144" s="4"/>
      <c r="AC1144" s="4" t="str">
        <f>IFERROR(__xludf.DUMMYFUNCTION("""COMPUTED_VALUE"""),"INSPEKSI SUTM - T2_Images/833348dd.FOTO.134513.jpg")</f>
        <v>INSPEKSI SUTM - T2_Images/833348dd.FOTO.134513.jpg</v>
      </c>
      <c r="AD1144" s="4"/>
      <c r="AE1144" s="4"/>
      <c r="AF1144" s="4" t="str">
        <f>IFERROR(__xludf.DUMMYFUNCTION("""COMPUTED_VALUE"""),"BELUM")</f>
        <v>BELUM</v>
      </c>
      <c r="AG1144" s="6">
        <f>IFERROR(__xludf.DUMMYFUNCTION("""COMPUTED_VALUE"""),46139.0)</f>
        <v>46139</v>
      </c>
      <c r="AH1144" s="4"/>
      <c r="AI1144" s="4"/>
    </row>
    <row r="1145" ht="15.75" customHeight="1">
      <c r="A1145" s="4" t="str">
        <f>IFERROR(__xludf.DUMMYFUNCTION("""COMPUTED_VALUE"""),"17ef03a1")</f>
        <v>17ef03a1</v>
      </c>
      <c r="B1145" s="5">
        <f>IFERROR(__xludf.DUMMYFUNCTION("""COMPUTED_VALUE"""),46139.86482638889)</f>
        <v>46139.86483</v>
      </c>
      <c r="C1145" s="4" t="str">
        <f>IFERROR(__xludf.DUMMYFUNCTION("""COMPUTED_VALUE"""),"-6.899208, 107.641251")</f>
        <v>-6.899208, 107.641251</v>
      </c>
      <c r="D1145" s="4" t="str">
        <f>IFERROR(__xludf.DUMMYFUNCTION("""COMPUTED_VALUE"""),"Sandi angga")</f>
        <v>Sandi angga</v>
      </c>
      <c r="E1145" s="4" t="str">
        <f>IFERROR(__xludf.DUMMYFUNCTION("""COMPUTED_VALUE"""),"BANDUNG")</f>
        <v>BANDUNG</v>
      </c>
      <c r="F1145" s="4" t="str">
        <f>IFERROR(__xludf.DUMMYFUNCTION("""COMPUTED_VALUE"""),"BANDUNG TIMUR")</f>
        <v>BANDUNG TIMUR</v>
      </c>
      <c r="G1145" s="4" t="str">
        <f>IFERROR(__xludf.DUMMYFUNCTION("""COMPUTED_VALUE"""),"DAGO PAKAR")</f>
        <v>DAGO PAKAR</v>
      </c>
      <c r="H1145" s="4" t="str">
        <f>IFERROR(__xludf.DUMMYFUNCTION("""COMPUTED_VALUE"""),"DSNM")</f>
        <v>DSNM</v>
      </c>
      <c r="I1145" s="4" t="str">
        <f>IFERROR(__xludf.DUMMYFUNCTION("""COMPUTED_VALUE"""),"PGH-PGMP")</f>
        <v>PGH-PGMP</v>
      </c>
      <c r="J1145" s="4" t="str">
        <f>IFERROR(__xludf.DUMMYFUNCTION("""COMPUTED_VALUE"""),"ZONA 2")</f>
        <v>ZONA 2</v>
      </c>
      <c r="K1145" s="4" t="str">
        <f>IFERROR(__xludf.DUMMYFUNCTION("""COMPUTED_VALUE"""),"001R23R10")</f>
        <v>001R23R10</v>
      </c>
      <c r="L1145" s="4" t="str">
        <f>IFERROR(__xludf.DUMMYFUNCTION("""COMPUTED_VALUE"""),"TM - 7B/H (Afspan 90 Derajat)")</f>
        <v>TM - 7B/H (Afspan 90 Derajat)</v>
      </c>
      <c r="M1145" s="4" t="str">
        <f>IFERROR(__xludf.DUMMYFUNCTION("""COMPUTED_VALUE"""),"Tidak Ada")</f>
        <v>Tidak Ada</v>
      </c>
      <c r="N1145" s="4"/>
      <c r="O1145" s="4" t="str">
        <f>IFERROR(__xludf.DUMMYFUNCTION("""COMPUTED_VALUE"""),"PEMBANDING SEJENIS")</f>
        <v>PEMBANDING SEJENIS</v>
      </c>
      <c r="P1145" s="4" t="str">
        <f>IFERROR(__xludf.DUMMYFUNCTION("""COMPUTED_VALUE"""),"KONEKTOR/JUMPER")</f>
        <v>KONEKTOR/JUMPER</v>
      </c>
      <c r="Q1145" s="4">
        <f>IFERROR(__xludf.DUMMYFUNCTION("""COMPUTED_VALUE"""),21.0)</f>
        <v>21</v>
      </c>
      <c r="R1145" s="4">
        <f>IFERROR(__xludf.DUMMYFUNCTION("""COMPUTED_VALUE"""),20.0)</f>
        <v>20</v>
      </c>
      <c r="S1145" s="4">
        <f>IFERROR(__xludf.DUMMYFUNCTION("""COMPUTED_VALUE"""),21.0)</f>
        <v>21</v>
      </c>
      <c r="T1145" s="4"/>
      <c r="U1145" s="4" t="str">
        <f>IFERROR(__xludf.DUMMYFUNCTION("""COMPUTED_VALUE"""),"BAIK")</f>
        <v>BAIK</v>
      </c>
      <c r="V1145" s="4" t="str">
        <f>IFERROR(__xludf.DUMMYFUNCTION("""COMPUTED_VALUE"""),"Tidak Ada")</f>
        <v>Tidak Ada</v>
      </c>
      <c r="W1145" s="4"/>
      <c r="X1145" s="4"/>
      <c r="Y1145" s="4"/>
      <c r="Z1145" s="4"/>
      <c r="AA1145" s="4"/>
      <c r="AB1145" s="4"/>
      <c r="AC1145" s="4" t="str">
        <f>IFERROR(__xludf.DUMMYFUNCTION("""COMPUTED_VALUE"""),"INSPEKSI SUTM - T2_Images/17ef03a1.FOTO.134620.jpg")</f>
        <v>INSPEKSI SUTM - T2_Images/17ef03a1.FOTO.134620.jpg</v>
      </c>
      <c r="AD1145" s="4"/>
      <c r="AE1145" s="4"/>
      <c r="AF1145" s="4" t="str">
        <f>IFERROR(__xludf.DUMMYFUNCTION("""COMPUTED_VALUE"""),"BELUM")</f>
        <v>BELUM</v>
      </c>
      <c r="AG1145" s="6">
        <f>IFERROR(__xludf.DUMMYFUNCTION("""COMPUTED_VALUE"""),46139.0)</f>
        <v>46139</v>
      </c>
      <c r="AH1145" s="4"/>
      <c r="AI1145" s="4"/>
    </row>
    <row r="1146" ht="15.75" customHeight="1">
      <c r="A1146" s="4" t="str">
        <f>IFERROR(__xludf.DUMMYFUNCTION("""COMPUTED_VALUE"""),"30ccfe29")</f>
        <v>30ccfe29</v>
      </c>
      <c r="B1146" s="5">
        <f>IFERROR(__xludf.DUMMYFUNCTION("""COMPUTED_VALUE"""),46139.865590277775)</f>
        <v>46139.86559</v>
      </c>
      <c r="C1146" s="4" t="str">
        <f>IFERROR(__xludf.DUMMYFUNCTION("""COMPUTED_VALUE"""),"-6.899192, 107.641250")</f>
        <v>-6.899192, 107.641250</v>
      </c>
      <c r="D1146" s="4" t="str">
        <f>IFERROR(__xludf.DUMMYFUNCTION("""COMPUTED_VALUE"""),"Sandi angga")</f>
        <v>Sandi angga</v>
      </c>
      <c r="E1146" s="4" t="str">
        <f>IFERROR(__xludf.DUMMYFUNCTION("""COMPUTED_VALUE"""),"BANDUNG")</f>
        <v>BANDUNG</v>
      </c>
      <c r="F1146" s="4" t="str">
        <f>IFERROR(__xludf.DUMMYFUNCTION("""COMPUTED_VALUE"""),"BANDUNG TIMUR")</f>
        <v>BANDUNG TIMUR</v>
      </c>
      <c r="G1146" s="4" t="str">
        <f>IFERROR(__xludf.DUMMYFUNCTION("""COMPUTED_VALUE"""),"DAGO PAKAR")</f>
        <v>DAGO PAKAR</v>
      </c>
      <c r="H1146" s="4" t="str">
        <f>IFERROR(__xludf.DUMMYFUNCTION("""COMPUTED_VALUE"""),"DSNM")</f>
        <v>DSNM</v>
      </c>
      <c r="I1146" s="4" t="str">
        <f>IFERROR(__xludf.DUMMYFUNCTION("""COMPUTED_VALUE"""),"PGH-PGMP")</f>
        <v>PGH-PGMP</v>
      </c>
      <c r="J1146" s="4" t="str">
        <f>IFERROR(__xludf.DUMMYFUNCTION("""COMPUTED_VALUE"""),"ZONA 2")</f>
        <v>ZONA 2</v>
      </c>
      <c r="K1146" s="4" t="str">
        <f>IFERROR(__xludf.DUMMYFUNCTION("""COMPUTED_VALUE"""),"001R23R14")</f>
        <v>001R23R14</v>
      </c>
      <c r="L1146" s="4" t="str">
        <f>IFERROR(__xludf.DUMMYFUNCTION("""COMPUTED_VALUE"""),"TM - 7B/H (Afspan 90 Derajat)")</f>
        <v>TM - 7B/H (Afspan 90 Derajat)</v>
      </c>
      <c r="M1146" s="4" t="str">
        <f>IFERROR(__xludf.DUMMYFUNCTION("""COMPUTED_VALUE"""),"Tidak Ada")</f>
        <v>Tidak Ada</v>
      </c>
      <c r="N1146" s="4"/>
      <c r="O1146" s="4" t="str">
        <f>IFERROR(__xludf.DUMMYFUNCTION("""COMPUTED_VALUE"""),"PEMBANDING SEJENIS")</f>
        <v>PEMBANDING SEJENIS</v>
      </c>
      <c r="P1146" s="4" t="str">
        <f>IFERROR(__xludf.DUMMYFUNCTION("""COMPUTED_VALUE"""),"KONEKTOR/JUMPER")</f>
        <v>KONEKTOR/JUMPER</v>
      </c>
      <c r="Q1146" s="4">
        <f>IFERROR(__xludf.DUMMYFUNCTION("""COMPUTED_VALUE"""),24.0)</f>
        <v>24</v>
      </c>
      <c r="R1146" s="4">
        <f>IFERROR(__xludf.DUMMYFUNCTION("""COMPUTED_VALUE"""),23.0)</f>
        <v>23</v>
      </c>
      <c r="S1146" s="4">
        <f>IFERROR(__xludf.DUMMYFUNCTION("""COMPUTED_VALUE"""),23.0)</f>
        <v>23</v>
      </c>
      <c r="T1146" s="4"/>
      <c r="U1146" s="4" t="str">
        <f>IFERROR(__xludf.DUMMYFUNCTION("""COMPUTED_VALUE"""),"BAIK")</f>
        <v>BAIK</v>
      </c>
      <c r="V1146" s="4" t="str">
        <f>IFERROR(__xludf.DUMMYFUNCTION("""COMPUTED_VALUE"""),"Tidak Ada")</f>
        <v>Tidak Ada</v>
      </c>
      <c r="W1146" s="4"/>
      <c r="X1146" s="4"/>
      <c r="Y1146" s="4"/>
      <c r="Z1146" s="4"/>
      <c r="AA1146" s="4"/>
      <c r="AB1146" s="4"/>
      <c r="AC1146" s="4" t="str">
        <f>IFERROR(__xludf.DUMMYFUNCTION("""COMPUTED_VALUE"""),"INSPEKSI SUTM - T2_Images/30ccfe29.FOTO.134725.jpg")</f>
        <v>INSPEKSI SUTM - T2_Images/30ccfe29.FOTO.134725.jpg</v>
      </c>
      <c r="AD1146" s="4"/>
      <c r="AE1146" s="4"/>
      <c r="AF1146" s="4" t="str">
        <f>IFERROR(__xludf.DUMMYFUNCTION("""COMPUTED_VALUE"""),"BELUM")</f>
        <v>BELUM</v>
      </c>
      <c r="AG1146" s="6">
        <f>IFERROR(__xludf.DUMMYFUNCTION("""COMPUTED_VALUE"""),46139.0)</f>
        <v>46139</v>
      </c>
      <c r="AH1146" s="4"/>
      <c r="AI1146" s="4"/>
    </row>
    <row r="1147" ht="15.75" customHeight="1">
      <c r="A1147" s="4" t="str">
        <f>IFERROR(__xludf.DUMMYFUNCTION("""COMPUTED_VALUE"""),"b12e8594")</f>
        <v>b12e8594</v>
      </c>
      <c r="B1147" s="5">
        <f>IFERROR(__xludf.DUMMYFUNCTION("""COMPUTED_VALUE"""),46139.866527777776)</f>
        <v>46139.86653</v>
      </c>
      <c r="C1147" s="4" t="str">
        <f>IFERROR(__xludf.DUMMYFUNCTION("""COMPUTED_VALUE"""),"-6.899187, 107.641257")</f>
        <v>-6.899187, 107.641257</v>
      </c>
      <c r="D1147" s="4" t="str">
        <f>IFERROR(__xludf.DUMMYFUNCTION("""COMPUTED_VALUE"""),"Sandi angga")</f>
        <v>Sandi angga</v>
      </c>
      <c r="E1147" s="4" t="str">
        <f>IFERROR(__xludf.DUMMYFUNCTION("""COMPUTED_VALUE"""),"BANDUNG")</f>
        <v>BANDUNG</v>
      </c>
      <c r="F1147" s="4" t="str">
        <f>IFERROR(__xludf.DUMMYFUNCTION("""COMPUTED_VALUE"""),"BANDUNG TIMUR")</f>
        <v>BANDUNG TIMUR</v>
      </c>
      <c r="G1147" s="4" t="str">
        <f>IFERROR(__xludf.DUMMYFUNCTION("""COMPUTED_VALUE"""),"DAGO PAKAR")</f>
        <v>DAGO PAKAR</v>
      </c>
      <c r="H1147" s="4" t="str">
        <f>IFERROR(__xludf.DUMMYFUNCTION("""COMPUTED_VALUE"""),"DSNM")</f>
        <v>DSNM</v>
      </c>
      <c r="I1147" s="4" t="str">
        <f>IFERROR(__xludf.DUMMYFUNCTION("""COMPUTED_VALUE"""),"PGH-PGMP")</f>
        <v>PGH-PGMP</v>
      </c>
      <c r="J1147" s="4" t="str">
        <f>IFERROR(__xludf.DUMMYFUNCTION("""COMPUTED_VALUE"""),"ZONA 2")</f>
        <v>ZONA 2</v>
      </c>
      <c r="K1147" s="4" t="str">
        <f>IFERROR(__xludf.DUMMYFUNCTION("""COMPUTED_VALUE"""),"001R23R15")</f>
        <v>001R23R15</v>
      </c>
      <c r="L1147" s="4" t="str">
        <f>IFERROR(__xludf.DUMMYFUNCTION("""COMPUTED_VALUE"""),"TM - 7B/H (Afspan 90 Derajat)")</f>
        <v>TM - 7B/H (Afspan 90 Derajat)</v>
      </c>
      <c r="M1147" s="4" t="str">
        <f>IFERROR(__xludf.DUMMYFUNCTION("""COMPUTED_VALUE"""),"Tidak Ada")</f>
        <v>Tidak Ada</v>
      </c>
      <c r="N1147" s="4"/>
      <c r="O1147" s="4" t="str">
        <f>IFERROR(__xludf.DUMMYFUNCTION("""COMPUTED_VALUE"""),"PEMBANDING SEJENIS")</f>
        <v>PEMBANDING SEJENIS</v>
      </c>
      <c r="P1147" s="4" t="str">
        <f>IFERROR(__xludf.DUMMYFUNCTION("""COMPUTED_VALUE"""),"KONEKTOR/JUMPER")</f>
        <v>KONEKTOR/JUMPER</v>
      </c>
      <c r="Q1147" s="4">
        <f>IFERROR(__xludf.DUMMYFUNCTION("""COMPUTED_VALUE"""),23.0)</f>
        <v>23</v>
      </c>
      <c r="R1147" s="4">
        <f>IFERROR(__xludf.DUMMYFUNCTION("""COMPUTED_VALUE"""),22.0)</f>
        <v>22</v>
      </c>
      <c r="S1147" s="4">
        <f>IFERROR(__xludf.DUMMYFUNCTION("""COMPUTED_VALUE"""),23.0)</f>
        <v>23</v>
      </c>
      <c r="T1147" s="4"/>
      <c r="U1147" s="4" t="str">
        <f>IFERROR(__xludf.DUMMYFUNCTION("""COMPUTED_VALUE"""),"BAIK")</f>
        <v>BAIK</v>
      </c>
      <c r="V1147" s="4" t="str">
        <f>IFERROR(__xludf.DUMMYFUNCTION("""COMPUTED_VALUE"""),"Tidak Ada")</f>
        <v>Tidak Ada</v>
      </c>
      <c r="W1147" s="4"/>
      <c r="X1147" s="4"/>
      <c r="Y1147" s="4"/>
      <c r="Z1147" s="4"/>
      <c r="AA1147" s="4"/>
      <c r="AB1147" s="4"/>
      <c r="AC1147" s="4" t="str">
        <f>IFERROR(__xludf.DUMMYFUNCTION("""COMPUTED_VALUE"""),"INSPEKSI SUTM - T2_Images/b12e8594.FOTO.134855.jpg")</f>
        <v>INSPEKSI SUTM - T2_Images/b12e8594.FOTO.134855.jpg</v>
      </c>
      <c r="AD1147" s="4"/>
      <c r="AE1147" s="4"/>
      <c r="AF1147" s="4" t="str">
        <f>IFERROR(__xludf.DUMMYFUNCTION("""COMPUTED_VALUE"""),"BELUM")</f>
        <v>BELUM</v>
      </c>
      <c r="AG1147" s="6">
        <f>IFERROR(__xludf.DUMMYFUNCTION("""COMPUTED_VALUE"""),46139.0)</f>
        <v>46139</v>
      </c>
      <c r="AH1147" s="4"/>
      <c r="AI1147" s="4"/>
    </row>
    <row r="1148" ht="15.75" customHeight="1">
      <c r="A1148" s="4" t="str">
        <f>IFERROR(__xludf.DUMMYFUNCTION("""COMPUTED_VALUE"""),"021c3356")</f>
        <v>021c3356</v>
      </c>
      <c r="B1148" s="5">
        <f>IFERROR(__xludf.DUMMYFUNCTION("""COMPUTED_VALUE"""),46139.867372685185)</f>
        <v>46139.86737</v>
      </c>
      <c r="C1148" s="4" t="str">
        <f>IFERROR(__xludf.DUMMYFUNCTION("""COMPUTED_VALUE"""),"-6.899199, 107.641264")</f>
        <v>-6.899199, 107.641264</v>
      </c>
      <c r="D1148" s="4" t="str">
        <f>IFERROR(__xludf.DUMMYFUNCTION("""COMPUTED_VALUE"""),"Sandi angga")</f>
        <v>Sandi angga</v>
      </c>
      <c r="E1148" s="4" t="str">
        <f>IFERROR(__xludf.DUMMYFUNCTION("""COMPUTED_VALUE"""),"BANDUNG")</f>
        <v>BANDUNG</v>
      </c>
      <c r="F1148" s="4" t="str">
        <f>IFERROR(__xludf.DUMMYFUNCTION("""COMPUTED_VALUE"""),"BANDUNG TIMUR")</f>
        <v>BANDUNG TIMUR</v>
      </c>
      <c r="G1148" s="4" t="str">
        <f>IFERROR(__xludf.DUMMYFUNCTION("""COMPUTED_VALUE"""),"DAGO PAKAR")</f>
        <v>DAGO PAKAR</v>
      </c>
      <c r="H1148" s="4" t="str">
        <f>IFERROR(__xludf.DUMMYFUNCTION("""COMPUTED_VALUE"""),"DSNM")</f>
        <v>DSNM</v>
      </c>
      <c r="I1148" s="4" t="str">
        <f>IFERROR(__xludf.DUMMYFUNCTION("""COMPUTED_VALUE"""),"PGH-PGMP")</f>
        <v>PGH-PGMP</v>
      </c>
      <c r="J1148" s="4" t="str">
        <f>IFERROR(__xludf.DUMMYFUNCTION("""COMPUTED_VALUE"""),"ZONA 2")</f>
        <v>ZONA 2</v>
      </c>
      <c r="K1148" s="4" t="str">
        <f>IFERROR(__xludf.DUMMYFUNCTION("""COMPUTED_VALUE"""),"001R23R22")</f>
        <v>001R23R22</v>
      </c>
      <c r="L1148" s="4" t="str">
        <f>IFERROR(__xludf.DUMMYFUNCTION("""COMPUTED_VALUE"""),"TM - 4B/H (Afspan)")</f>
        <v>TM - 4B/H (Afspan)</v>
      </c>
      <c r="M1148" s="4" t="str">
        <f>IFERROR(__xludf.DUMMYFUNCTION("""COMPUTED_VALUE"""),"Tidak Ada")</f>
        <v>Tidak Ada</v>
      </c>
      <c r="N1148" s="4"/>
      <c r="O1148" s="4" t="str">
        <f>IFERROR(__xludf.DUMMYFUNCTION("""COMPUTED_VALUE"""),"PEMBANDING SEJENIS")</f>
        <v>PEMBANDING SEJENIS</v>
      </c>
      <c r="P1148" s="4" t="str">
        <f>IFERROR(__xludf.DUMMYFUNCTION("""COMPUTED_VALUE"""),"KONEKTOR/JUMPER")</f>
        <v>KONEKTOR/JUMPER</v>
      </c>
      <c r="Q1148" s="4">
        <f>IFERROR(__xludf.DUMMYFUNCTION("""COMPUTED_VALUE"""),20.0)</f>
        <v>20</v>
      </c>
      <c r="R1148" s="4">
        <f>IFERROR(__xludf.DUMMYFUNCTION("""COMPUTED_VALUE"""),21.0)</f>
        <v>21</v>
      </c>
      <c r="S1148" s="4">
        <f>IFERROR(__xludf.DUMMYFUNCTION("""COMPUTED_VALUE"""),21.0)</f>
        <v>21</v>
      </c>
      <c r="T1148" s="4"/>
      <c r="U1148" s="4" t="str">
        <f>IFERROR(__xludf.DUMMYFUNCTION("""COMPUTED_VALUE"""),"BAIK")</f>
        <v>BAIK</v>
      </c>
      <c r="V1148" s="4" t="str">
        <f>IFERROR(__xludf.DUMMYFUNCTION("""COMPUTED_VALUE"""),"Tidak Ada")</f>
        <v>Tidak Ada</v>
      </c>
      <c r="W1148" s="4"/>
      <c r="X1148" s="4"/>
      <c r="Y1148" s="4"/>
      <c r="Z1148" s="4"/>
      <c r="AA1148" s="4"/>
      <c r="AB1148" s="4"/>
      <c r="AC1148" s="4" t="str">
        <f>IFERROR(__xludf.DUMMYFUNCTION("""COMPUTED_VALUE"""),"INSPEKSI SUTM - T2_Images/021c3356.FOTO.134952.jpg")</f>
        <v>INSPEKSI SUTM - T2_Images/021c3356.FOTO.134952.jpg</v>
      </c>
      <c r="AD1148" s="4"/>
      <c r="AE1148" s="4"/>
      <c r="AF1148" s="4" t="str">
        <f>IFERROR(__xludf.DUMMYFUNCTION("""COMPUTED_VALUE"""),"BELUM")</f>
        <v>BELUM</v>
      </c>
      <c r="AG1148" s="6">
        <f>IFERROR(__xludf.DUMMYFUNCTION("""COMPUTED_VALUE"""),46139.0)</f>
        <v>46139</v>
      </c>
      <c r="AH1148" s="4"/>
      <c r="AI1148" s="4"/>
    </row>
    <row r="1149" ht="15.75" customHeight="1">
      <c r="A1149" s="4" t="str">
        <f>IFERROR(__xludf.DUMMYFUNCTION("""COMPUTED_VALUE"""),"aa648447")</f>
        <v>aa648447</v>
      </c>
      <c r="B1149" s="5">
        <f>IFERROR(__xludf.DUMMYFUNCTION("""COMPUTED_VALUE"""),46139.868101851855)</f>
        <v>46139.8681</v>
      </c>
      <c r="C1149" s="4" t="str">
        <f>IFERROR(__xludf.DUMMYFUNCTION("""COMPUTED_VALUE"""),"-6.899184, 107.641274")</f>
        <v>-6.899184, 107.641274</v>
      </c>
      <c r="D1149" s="4" t="str">
        <f>IFERROR(__xludf.DUMMYFUNCTION("""COMPUTED_VALUE"""),"Sandi angga")</f>
        <v>Sandi angga</v>
      </c>
      <c r="E1149" s="4" t="str">
        <f>IFERROR(__xludf.DUMMYFUNCTION("""COMPUTED_VALUE"""),"BANDUNG")</f>
        <v>BANDUNG</v>
      </c>
      <c r="F1149" s="4" t="str">
        <f>IFERROR(__xludf.DUMMYFUNCTION("""COMPUTED_VALUE"""),"BANDUNG TIMUR")</f>
        <v>BANDUNG TIMUR</v>
      </c>
      <c r="G1149" s="4" t="str">
        <f>IFERROR(__xludf.DUMMYFUNCTION("""COMPUTED_VALUE"""),"DAGO PAKAR")</f>
        <v>DAGO PAKAR</v>
      </c>
      <c r="H1149" s="4" t="str">
        <f>IFERROR(__xludf.DUMMYFUNCTION("""COMPUTED_VALUE"""),"DSNM")</f>
        <v>DSNM</v>
      </c>
      <c r="I1149" s="4" t="str">
        <f>IFERROR(__xludf.DUMMYFUNCTION("""COMPUTED_VALUE"""),"PGH-PGMP")</f>
        <v>PGH-PGMP</v>
      </c>
      <c r="J1149" s="4" t="str">
        <f>IFERROR(__xludf.DUMMYFUNCTION("""COMPUTED_VALUE"""),"ZONA 2")</f>
        <v>ZONA 2</v>
      </c>
      <c r="K1149" s="4" t="str">
        <f>IFERROR(__xludf.DUMMYFUNCTION("""COMPUTED_VALUE"""),"001R23R26")</f>
        <v>001R23R26</v>
      </c>
      <c r="L1149" s="4" t="str">
        <f>IFERROR(__xludf.DUMMYFUNCTION("""COMPUTED_VALUE"""),"TM - 7B/H (Afspan 90 Derajat)")</f>
        <v>TM - 7B/H (Afspan 90 Derajat)</v>
      </c>
      <c r="M1149" s="4" t="str">
        <f>IFERROR(__xludf.DUMMYFUNCTION("""COMPUTED_VALUE"""),"Tidak Ada")</f>
        <v>Tidak Ada</v>
      </c>
      <c r="N1149" s="4"/>
      <c r="O1149" s="4" t="str">
        <f>IFERROR(__xludf.DUMMYFUNCTION("""COMPUTED_VALUE"""),"PEMBANDING SEJENIS")</f>
        <v>PEMBANDING SEJENIS</v>
      </c>
      <c r="P1149" s="4" t="str">
        <f>IFERROR(__xludf.DUMMYFUNCTION("""COMPUTED_VALUE"""),"KONEKTOR/JUMPER")</f>
        <v>KONEKTOR/JUMPER</v>
      </c>
      <c r="Q1149" s="4">
        <f>IFERROR(__xludf.DUMMYFUNCTION("""COMPUTED_VALUE"""),21.0)</f>
        <v>21</v>
      </c>
      <c r="R1149" s="4">
        <f>IFERROR(__xludf.DUMMYFUNCTION("""COMPUTED_VALUE"""),20.0)</f>
        <v>20</v>
      </c>
      <c r="S1149" s="4">
        <f>IFERROR(__xludf.DUMMYFUNCTION("""COMPUTED_VALUE"""),20.0)</f>
        <v>20</v>
      </c>
      <c r="T1149" s="4"/>
      <c r="U1149" s="4" t="str">
        <f>IFERROR(__xludf.DUMMYFUNCTION("""COMPUTED_VALUE"""),"BAIK")</f>
        <v>BAIK</v>
      </c>
      <c r="V1149" s="4" t="str">
        <f>IFERROR(__xludf.DUMMYFUNCTION("""COMPUTED_VALUE"""),"Tidak Ada")</f>
        <v>Tidak Ada</v>
      </c>
      <c r="W1149" s="4"/>
      <c r="X1149" s="4"/>
      <c r="Y1149" s="4"/>
      <c r="Z1149" s="4"/>
      <c r="AA1149" s="4"/>
      <c r="AB1149" s="4"/>
      <c r="AC1149" s="4" t="str">
        <f>IFERROR(__xludf.DUMMYFUNCTION("""COMPUTED_VALUE"""),"INSPEKSI SUTM - T2_Images/aa648447.FOTO.135050.jpg")</f>
        <v>INSPEKSI SUTM - T2_Images/aa648447.FOTO.135050.jpg</v>
      </c>
      <c r="AD1149" s="4"/>
      <c r="AE1149" s="4"/>
      <c r="AF1149" s="4" t="str">
        <f>IFERROR(__xludf.DUMMYFUNCTION("""COMPUTED_VALUE"""),"BELUM")</f>
        <v>BELUM</v>
      </c>
      <c r="AG1149" s="6">
        <f>IFERROR(__xludf.DUMMYFUNCTION("""COMPUTED_VALUE"""),46139.0)</f>
        <v>46139</v>
      </c>
      <c r="AH1149" s="4"/>
      <c r="AI1149" s="4"/>
    </row>
    <row r="1150" ht="15.75" customHeight="1">
      <c r="A1150" s="4" t="str">
        <f>IFERROR(__xludf.DUMMYFUNCTION("""COMPUTED_VALUE"""),"c56ef04d")</f>
        <v>c56ef04d</v>
      </c>
      <c r="B1150" s="5">
        <f>IFERROR(__xludf.DUMMYFUNCTION("""COMPUTED_VALUE"""),46139.86866898148)</f>
        <v>46139.86867</v>
      </c>
      <c r="C1150" s="4" t="str">
        <f>IFERROR(__xludf.DUMMYFUNCTION("""COMPUTED_VALUE"""),"-6.899177, 107.641277")</f>
        <v>-6.899177, 107.641277</v>
      </c>
      <c r="D1150" s="4" t="str">
        <f>IFERROR(__xludf.DUMMYFUNCTION("""COMPUTED_VALUE"""),"Sandi angga")</f>
        <v>Sandi angga</v>
      </c>
      <c r="E1150" s="4" t="str">
        <f>IFERROR(__xludf.DUMMYFUNCTION("""COMPUTED_VALUE"""),"BANDUNG")</f>
        <v>BANDUNG</v>
      </c>
      <c r="F1150" s="4" t="str">
        <f>IFERROR(__xludf.DUMMYFUNCTION("""COMPUTED_VALUE"""),"BANDUNG TIMUR")</f>
        <v>BANDUNG TIMUR</v>
      </c>
      <c r="G1150" s="4" t="str">
        <f>IFERROR(__xludf.DUMMYFUNCTION("""COMPUTED_VALUE"""),"DAGO PAKAR")</f>
        <v>DAGO PAKAR</v>
      </c>
      <c r="H1150" s="4" t="str">
        <f>IFERROR(__xludf.DUMMYFUNCTION("""COMPUTED_VALUE"""),"DSNM")</f>
        <v>DSNM</v>
      </c>
      <c r="I1150" s="4" t="str">
        <f>IFERROR(__xludf.DUMMYFUNCTION("""COMPUTED_VALUE"""),"PGH-PGMP")</f>
        <v>PGH-PGMP</v>
      </c>
      <c r="J1150" s="4" t="str">
        <f>IFERROR(__xludf.DUMMYFUNCTION("""COMPUTED_VALUE"""),"ZONA 2")</f>
        <v>ZONA 2</v>
      </c>
      <c r="K1150" s="4" t="str">
        <f>IFERROR(__xludf.DUMMYFUNCTION("""COMPUTED_VALUE"""),"001R23R27")</f>
        <v>001R23R27</v>
      </c>
      <c r="L1150" s="4" t="str">
        <f>IFERROR(__xludf.DUMMYFUNCTION("""COMPUTED_VALUE"""),"TM - 7B/H (Afspan 90 Derajat)")</f>
        <v>TM - 7B/H (Afspan 90 Derajat)</v>
      </c>
      <c r="M1150" s="4" t="str">
        <f>IFERROR(__xludf.DUMMYFUNCTION("""COMPUTED_VALUE"""),"Tidak Ada")</f>
        <v>Tidak Ada</v>
      </c>
      <c r="N1150" s="4"/>
      <c r="O1150" s="4" t="str">
        <f>IFERROR(__xludf.DUMMYFUNCTION("""COMPUTED_VALUE"""),"PEMBANDING SEJENIS")</f>
        <v>PEMBANDING SEJENIS</v>
      </c>
      <c r="P1150" s="4" t="str">
        <f>IFERROR(__xludf.DUMMYFUNCTION("""COMPUTED_VALUE"""),"KONEKTOR/JUMPER")</f>
        <v>KONEKTOR/JUMPER</v>
      </c>
      <c r="Q1150" s="4">
        <f>IFERROR(__xludf.DUMMYFUNCTION("""COMPUTED_VALUE"""),22.0)</f>
        <v>22</v>
      </c>
      <c r="R1150" s="4">
        <f>IFERROR(__xludf.DUMMYFUNCTION("""COMPUTED_VALUE"""),22.0)</f>
        <v>22</v>
      </c>
      <c r="S1150" s="4">
        <f>IFERROR(__xludf.DUMMYFUNCTION("""COMPUTED_VALUE"""),22.0)</f>
        <v>22</v>
      </c>
      <c r="T1150" s="4"/>
      <c r="U1150" s="4" t="str">
        <f>IFERROR(__xludf.DUMMYFUNCTION("""COMPUTED_VALUE"""),"BAIK")</f>
        <v>BAIK</v>
      </c>
      <c r="V1150" s="4" t="str">
        <f>IFERROR(__xludf.DUMMYFUNCTION("""COMPUTED_VALUE"""),"Tidak Ada")</f>
        <v>Tidak Ada</v>
      </c>
      <c r="W1150" s="4"/>
      <c r="X1150" s="4"/>
      <c r="Y1150" s="4"/>
      <c r="Z1150" s="4"/>
      <c r="AA1150" s="4"/>
      <c r="AB1150" s="4"/>
      <c r="AC1150" s="4" t="str">
        <f>IFERROR(__xludf.DUMMYFUNCTION("""COMPUTED_VALUE"""),"INSPEKSI SUTM - T2_Images/c56ef04d.FOTO.135139.jpg")</f>
        <v>INSPEKSI SUTM - T2_Images/c56ef04d.FOTO.135139.jpg</v>
      </c>
      <c r="AD1150" s="4"/>
      <c r="AE1150" s="4"/>
      <c r="AF1150" s="4" t="str">
        <f>IFERROR(__xludf.DUMMYFUNCTION("""COMPUTED_VALUE"""),"BELUM")</f>
        <v>BELUM</v>
      </c>
      <c r="AG1150" s="6">
        <f>IFERROR(__xludf.DUMMYFUNCTION("""COMPUTED_VALUE"""),46139.0)</f>
        <v>46139</v>
      </c>
      <c r="AH1150" s="4"/>
      <c r="AI1150" s="4"/>
    </row>
    <row r="1151" ht="15.75" customHeight="1">
      <c r="A1151" s="4" t="str">
        <f>IFERROR(__xludf.DUMMYFUNCTION("""COMPUTED_VALUE"""),"ba380ced")</f>
        <v>ba380ced</v>
      </c>
      <c r="B1151" s="5">
        <f>IFERROR(__xludf.DUMMYFUNCTION("""COMPUTED_VALUE"""),46139.86931712963)</f>
        <v>46139.86932</v>
      </c>
      <c r="C1151" s="4" t="str">
        <f>IFERROR(__xludf.DUMMYFUNCTION("""COMPUTED_VALUE"""),"-6.899174, 107.641281")</f>
        <v>-6.899174, 107.641281</v>
      </c>
      <c r="D1151" s="4" t="str">
        <f>IFERROR(__xludf.DUMMYFUNCTION("""COMPUTED_VALUE"""),"Sandi angga")</f>
        <v>Sandi angga</v>
      </c>
      <c r="E1151" s="4" t="str">
        <f>IFERROR(__xludf.DUMMYFUNCTION("""COMPUTED_VALUE"""),"BANDUNG")</f>
        <v>BANDUNG</v>
      </c>
      <c r="F1151" s="4" t="str">
        <f>IFERROR(__xludf.DUMMYFUNCTION("""COMPUTED_VALUE"""),"BANDUNG TIMUR")</f>
        <v>BANDUNG TIMUR</v>
      </c>
      <c r="G1151" s="4" t="str">
        <f>IFERROR(__xludf.DUMMYFUNCTION("""COMPUTED_VALUE"""),"DAGO PAKAR")</f>
        <v>DAGO PAKAR</v>
      </c>
      <c r="H1151" s="4" t="str">
        <f>IFERROR(__xludf.DUMMYFUNCTION("""COMPUTED_VALUE"""),"DSNM")</f>
        <v>DSNM</v>
      </c>
      <c r="I1151" s="4" t="str">
        <f>IFERROR(__xludf.DUMMYFUNCTION("""COMPUTED_VALUE"""),"PGH-PGMP")</f>
        <v>PGH-PGMP</v>
      </c>
      <c r="J1151" s="4" t="str">
        <f>IFERROR(__xludf.DUMMYFUNCTION("""COMPUTED_VALUE"""),"ZONA 2")</f>
        <v>ZONA 2</v>
      </c>
      <c r="K1151" s="4" t="str">
        <f>IFERROR(__xludf.DUMMYFUNCTION("""COMPUTED_VALUE"""),"001R23R31")</f>
        <v>001R23R31</v>
      </c>
      <c r="L1151" s="4" t="str">
        <f>IFERROR(__xludf.DUMMYFUNCTION("""COMPUTED_VALUE"""),"TM - 14B/H (Akhir)")</f>
        <v>TM - 14B/H (Akhir)</v>
      </c>
      <c r="M1151" s="4" t="str">
        <f>IFERROR(__xludf.DUMMYFUNCTION("""COMPUTED_VALUE"""),"Tidak Ada")</f>
        <v>Tidak Ada</v>
      </c>
      <c r="N1151" s="4"/>
      <c r="O1151" s="4" t="str">
        <f>IFERROR(__xludf.DUMMYFUNCTION("""COMPUTED_VALUE"""),"PEMBANDING SEJENIS")</f>
        <v>PEMBANDING SEJENIS</v>
      </c>
      <c r="P1151" s="4" t="str">
        <f>IFERROR(__xludf.DUMMYFUNCTION("""COMPUTED_VALUE"""),"TERMINASI")</f>
        <v>TERMINASI</v>
      </c>
      <c r="Q1151" s="4">
        <f>IFERROR(__xludf.DUMMYFUNCTION("""COMPUTED_VALUE"""),19.0)</f>
        <v>19</v>
      </c>
      <c r="R1151" s="4">
        <f>IFERROR(__xludf.DUMMYFUNCTION("""COMPUTED_VALUE"""),19.0)</f>
        <v>19</v>
      </c>
      <c r="S1151" s="4">
        <f>IFERROR(__xludf.DUMMYFUNCTION("""COMPUTED_VALUE"""),21.0)</f>
        <v>21</v>
      </c>
      <c r="T1151" s="4"/>
      <c r="U1151" s="4" t="str">
        <f>IFERROR(__xludf.DUMMYFUNCTION("""COMPUTED_VALUE"""),"BAIK")</f>
        <v>BAIK</v>
      </c>
      <c r="V1151" s="4" t="str">
        <f>IFERROR(__xludf.DUMMYFUNCTION("""COMPUTED_VALUE"""),"Tidak Ada")</f>
        <v>Tidak Ada</v>
      </c>
      <c r="W1151" s="4"/>
      <c r="X1151" s="4"/>
      <c r="Y1151" s="4"/>
      <c r="Z1151" s="4"/>
      <c r="AA1151" s="4"/>
      <c r="AB1151" s="4"/>
      <c r="AC1151" s="4" t="str">
        <f>IFERROR(__xludf.DUMMYFUNCTION("""COMPUTED_VALUE"""),"INSPEKSI SUTM - T2_Images/ba380ced.FOTO.135243.jpg")</f>
        <v>INSPEKSI SUTM - T2_Images/ba380ced.FOTO.135243.jpg</v>
      </c>
      <c r="AD1151" s="4"/>
      <c r="AE1151" s="4"/>
      <c r="AF1151" s="4" t="str">
        <f>IFERROR(__xludf.DUMMYFUNCTION("""COMPUTED_VALUE"""),"BELUM")</f>
        <v>BELUM</v>
      </c>
      <c r="AG1151" s="6">
        <f>IFERROR(__xludf.DUMMYFUNCTION("""COMPUTED_VALUE"""),46139.0)</f>
        <v>46139</v>
      </c>
      <c r="AH1151" s="4"/>
      <c r="AI1151" s="4"/>
    </row>
    <row r="1152" ht="15.75" customHeight="1">
      <c r="A1152" s="4" t="str">
        <f>IFERROR(__xludf.DUMMYFUNCTION("""COMPUTED_VALUE"""),"9ce774da")</f>
        <v>9ce774da</v>
      </c>
      <c r="B1152" s="5">
        <f>IFERROR(__xludf.DUMMYFUNCTION("""COMPUTED_VALUE"""),46140.84034722222)</f>
        <v>46140.84035</v>
      </c>
      <c r="C1152" s="4" t="str">
        <f>IFERROR(__xludf.DUMMYFUNCTION("""COMPUTED_VALUE"""),"-6.911557, 107.683437")</f>
        <v>-6.911557, 107.683437</v>
      </c>
      <c r="D1152" s="4" t="str">
        <f>IFERROR(__xludf.DUMMYFUNCTION("""COMPUTED_VALUE"""),"Candra heri")</f>
        <v>Candra heri</v>
      </c>
      <c r="E1152" s="4" t="str">
        <f>IFERROR(__xludf.DUMMYFUNCTION("""COMPUTED_VALUE"""),"BANDUNG")</f>
        <v>BANDUNG</v>
      </c>
      <c r="F1152" s="4" t="str">
        <f>IFERROR(__xludf.DUMMYFUNCTION("""COMPUTED_VALUE"""),"UJUNGBERUNG")</f>
        <v>UJUNGBERUNG</v>
      </c>
      <c r="G1152" s="4" t="str">
        <f>IFERROR(__xludf.DUMMYFUNCTION("""COMPUTED_VALUE"""),"GI BANDUNG TIMUR")</f>
        <v>GI BANDUNG TIMUR</v>
      </c>
      <c r="H1152" s="4" t="str">
        <f>IFERROR(__xludf.DUMMYFUNCTION("""COMPUTED_VALUE"""),"TZB")</f>
        <v>TZB</v>
      </c>
      <c r="I1152" s="4" t="str">
        <f>IFERROR(__xludf.DUMMYFUNCTION("""COMPUTED_VALUE"""),"GH BNA - RPPB")</f>
        <v>GH BNA - RPPB</v>
      </c>
      <c r="J1152" s="4" t="str">
        <f>IFERROR(__xludf.DUMMYFUNCTION("""COMPUTED_VALUE"""),"ZONA 2")</f>
        <v>ZONA 2</v>
      </c>
      <c r="K1152" s="4" t="str">
        <f>IFERROR(__xludf.DUMMYFUNCTION("""COMPUTED_VALUE"""),"001")</f>
        <v>001</v>
      </c>
      <c r="L1152" s="4" t="str">
        <f>IFERROR(__xludf.DUMMYFUNCTION("""COMPUTED_VALUE"""),"TM - 11B/H (Kabel Naik)")</f>
        <v>TM - 11B/H (Kabel Naik)</v>
      </c>
      <c r="M1152" s="4" t="str">
        <f>IFERROR(__xludf.DUMMYFUNCTION("""COMPUTED_VALUE"""),"Tidak Ada")</f>
        <v>Tidak Ada</v>
      </c>
      <c r="N1152" s="4"/>
      <c r="O1152" s="4" t="str">
        <f>IFERROR(__xludf.DUMMYFUNCTION("""COMPUTED_VALUE"""),"PEMBANDING SEJENIS")</f>
        <v>PEMBANDING SEJENIS</v>
      </c>
      <c r="P1152" s="4" t="str">
        <f>IFERROR(__xludf.DUMMYFUNCTION("""COMPUTED_VALUE"""),"TERMINASI")</f>
        <v>TERMINASI</v>
      </c>
      <c r="Q1152" s="4">
        <f>IFERROR(__xludf.DUMMYFUNCTION("""COMPUTED_VALUE"""),26.0)</f>
        <v>26</v>
      </c>
      <c r="R1152" s="4">
        <f>IFERROR(__xludf.DUMMYFUNCTION("""COMPUTED_VALUE"""),25.0)</f>
        <v>25</v>
      </c>
      <c r="S1152" s="4">
        <f>IFERROR(__xludf.DUMMYFUNCTION("""COMPUTED_VALUE"""),25.0)</f>
        <v>25</v>
      </c>
      <c r="T1152" s="4"/>
      <c r="U1152" s="4" t="str">
        <f>IFERROR(__xludf.DUMMYFUNCTION("""COMPUTED_VALUE"""),"BAIK")</f>
        <v>BAIK</v>
      </c>
      <c r="V1152" s="4" t="str">
        <f>IFERROR(__xludf.DUMMYFUNCTION("""COMPUTED_VALUE"""),"Tidak Ada")</f>
        <v>Tidak Ada</v>
      </c>
      <c r="W1152" s="4"/>
      <c r="X1152" s="4"/>
      <c r="Y1152" s="4"/>
      <c r="Z1152" s="4"/>
      <c r="AA1152" s="4"/>
      <c r="AB1152" s="4"/>
      <c r="AC1152" s="4" t="str">
        <f>IFERROR(__xludf.DUMMYFUNCTION("""COMPUTED_VALUE"""),"INSPEKSI SUTM - T2_Images/9ce774da.FOTO.045205.jpg")</f>
        <v>INSPEKSI SUTM - T2_Images/9ce774da.FOTO.045205.jpg</v>
      </c>
      <c r="AD1152" s="4"/>
      <c r="AE1152" s="4"/>
      <c r="AF1152" s="4" t="str">
        <f>IFERROR(__xludf.DUMMYFUNCTION("""COMPUTED_VALUE"""),"BELUM")</f>
        <v>BELUM</v>
      </c>
      <c r="AG1152" s="6">
        <f>IFERROR(__xludf.DUMMYFUNCTION("""COMPUTED_VALUE"""),46140.0)</f>
        <v>46140</v>
      </c>
      <c r="AH1152" s="4"/>
      <c r="AI1152" s="4"/>
    </row>
    <row r="1153" ht="15.75" customHeight="1">
      <c r="A1153" s="4" t="str">
        <f>IFERROR(__xludf.DUMMYFUNCTION("""COMPUTED_VALUE"""),"e870c6f1")</f>
        <v>e870c6f1</v>
      </c>
      <c r="B1153" s="5">
        <f>IFERROR(__xludf.DUMMYFUNCTION("""COMPUTED_VALUE"""),46140.842939814815)</f>
        <v>46140.84294</v>
      </c>
      <c r="C1153" s="4" t="str">
        <f>IFERROR(__xludf.DUMMYFUNCTION("""COMPUTED_VALUE"""),"-6.911361, 107.682671")</f>
        <v>-6.911361, 107.682671</v>
      </c>
      <c r="D1153" s="4" t="str">
        <f>IFERROR(__xludf.DUMMYFUNCTION("""COMPUTED_VALUE"""),"Heri candra")</f>
        <v>Heri candra</v>
      </c>
      <c r="E1153" s="4" t="str">
        <f>IFERROR(__xludf.DUMMYFUNCTION("""COMPUTED_VALUE"""),"BANDUNG")</f>
        <v>BANDUNG</v>
      </c>
      <c r="F1153" s="4" t="str">
        <f>IFERROR(__xludf.DUMMYFUNCTION("""COMPUTED_VALUE"""),"UJUNGBERUNG")</f>
        <v>UJUNGBERUNG</v>
      </c>
      <c r="G1153" s="4" t="str">
        <f>IFERROR(__xludf.DUMMYFUNCTION("""COMPUTED_VALUE"""),"GI BANDUNG TIMUR")</f>
        <v>GI BANDUNG TIMUR</v>
      </c>
      <c r="H1153" s="4" t="str">
        <f>IFERROR(__xludf.DUMMYFUNCTION("""COMPUTED_VALUE"""),"TZB")</f>
        <v>TZB</v>
      </c>
      <c r="I1153" s="4" t="str">
        <f>IFERROR(__xludf.DUMMYFUNCTION("""COMPUTED_VALUE"""),"GH BNA - RPPB")</f>
        <v>GH BNA - RPPB</v>
      </c>
      <c r="J1153" s="4" t="str">
        <f>IFERROR(__xludf.DUMMYFUNCTION("""COMPUTED_VALUE"""),"ZONA 2")</f>
        <v>ZONA 2</v>
      </c>
      <c r="K1153" s="4" t="str">
        <f>IFERROR(__xludf.DUMMYFUNCTION("""COMPUTED_VALUE"""),"003")</f>
        <v>003</v>
      </c>
      <c r="L1153" s="4" t="str">
        <f>IFERROR(__xludf.DUMMYFUNCTION("""COMPUTED_VALUE"""),"TM - 7B/H (Afspan 90 Derajat)")</f>
        <v>TM - 7B/H (Afspan 90 Derajat)</v>
      </c>
      <c r="M1153" s="4" t="str">
        <f>IFERROR(__xludf.DUMMYFUNCTION("""COMPUTED_VALUE"""),"Tidak Ada")</f>
        <v>Tidak Ada</v>
      </c>
      <c r="N1153" s="4"/>
      <c r="O1153" s="4" t="str">
        <f>IFERROR(__xludf.DUMMYFUNCTION("""COMPUTED_VALUE"""),"PEMBANDING SEJENIS")</f>
        <v>PEMBANDING SEJENIS</v>
      </c>
      <c r="P1153" s="4" t="str">
        <f>IFERROR(__xludf.DUMMYFUNCTION("""COMPUTED_VALUE"""),"KONEKTOR/JUMPER")</f>
        <v>KONEKTOR/JUMPER</v>
      </c>
      <c r="Q1153" s="4">
        <f>IFERROR(__xludf.DUMMYFUNCTION("""COMPUTED_VALUE"""),21.0)</f>
        <v>21</v>
      </c>
      <c r="R1153" s="4">
        <f>IFERROR(__xludf.DUMMYFUNCTION("""COMPUTED_VALUE"""),23.0)</f>
        <v>23</v>
      </c>
      <c r="S1153" s="4">
        <f>IFERROR(__xludf.DUMMYFUNCTION("""COMPUTED_VALUE"""),20.0)</f>
        <v>20</v>
      </c>
      <c r="T1153" s="4"/>
      <c r="U1153" s="4" t="str">
        <f>IFERROR(__xludf.DUMMYFUNCTION("""COMPUTED_VALUE"""),"CUKUP")</f>
        <v>CUKUP</v>
      </c>
      <c r="V1153" s="4" t="str">
        <f>IFERROR(__xludf.DUMMYFUNCTION("""COMPUTED_VALUE"""),"Tidak Ada")</f>
        <v>Tidak Ada</v>
      </c>
      <c r="W1153" s="4"/>
      <c r="X1153" s="4"/>
      <c r="Y1153" s="4"/>
      <c r="Z1153" s="4"/>
      <c r="AA1153" s="4"/>
      <c r="AB1153" s="4"/>
      <c r="AC1153" s="4" t="str">
        <f>IFERROR(__xludf.DUMMYFUNCTION("""COMPUTED_VALUE"""),"INSPEKSI SUTM - T2_Images/e870c6f1.FOTO.045735.jpg")</f>
        <v>INSPEKSI SUTM - T2_Images/e870c6f1.FOTO.045735.jpg</v>
      </c>
      <c r="AD1153" s="4"/>
      <c r="AE1153" s="4"/>
      <c r="AF1153" s="4" t="str">
        <f>IFERROR(__xludf.DUMMYFUNCTION("""COMPUTED_VALUE"""),"BELUM")</f>
        <v>BELUM</v>
      </c>
      <c r="AG1153" s="6">
        <f>IFERROR(__xludf.DUMMYFUNCTION("""COMPUTED_VALUE"""),46140.0)</f>
        <v>46140</v>
      </c>
      <c r="AH1153" s="4"/>
      <c r="AI1153" s="4"/>
    </row>
    <row r="1154" ht="15.75" customHeight="1">
      <c r="A1154" s="4" t="str">
        <f>IFERROR(__xludf.DUMMYFUNCTION("""COMPUTED_VALUE"""),"525de303")</f>
        <v>525de303</v>
      </c>
      <c r="B1154" s="5">
        <f>IFERROR(__xludf.DUMMYFUNCTION("""COMPUTED_VALUE"""),46140.84385416667)</f>
        <v>46140.84385</v>
      </c>
      <c r="C1154" s="4" t="str">
        <f>IFERROR(__xludf.DUMMYFUNCTION("""COMPUTED_VALUE"""),"-6.911736, 107.682534")</f>
        <v>-6.911736, 107.682534</v>
      </c>
      <c r="D1154" s="4" t="str">
        <f>IFERROR(__xludf.DUMMYFUNCTION("""COMPUTED_VALUE"""),"Cndra heri")</f>
        <v>Cndra heri</v>
      </c>
      <c r="E1154" s="4" t="str">
        <f>IFERROR(__xludf.DUMMYFUNCTION("""COMPUTED_VALUE"""),"BANDUNG")</f>
        <v>BANDUNG</v>
      </c>
      <c r="F1154" s="4" t="str">
        <f>IFERROR(__xludf.DUMMYFUNCTION("""COMPUTED_VALUE"""),"UJUNGBERUNG")</f>
        <v>UJUNGBERUNG</v>
      </c>
      <c r="G1154" s="4" t="str">
        <f>IFERROR(__xludf.DUMMYFUNCTION("""COMPUTED_VALUE"""),"GI BANDUNG TIMUR")</f>
        <v>GI BANDUNG TIMUR</v>
      </c>
      <c r="H1154" s="4" t="str">
        <f>IFERROR(__xludf.DUMMYFUNCTION("""COMPUTED_VALUE"""),"TZB")</f>
        <v>TZB</v>
      </c>
      <c r="I1154" s="4" t="str">
        <f>IFERROR(__xludf.DUMMYFUNCTION("""COMPUTED_VALUE"""),"GH BNA - RPPB")</f>
        <v>GH BNA - RPPB</v>
      </c>
      <c r="J1154" s="4" t="str">
        <f>IFERROR(__xludf.DUMMYFUNCTION("""COMPUTED_VALUE"""),"ZONA 2")</f>
        <v>ZONA 2</v>
      </c>
      <c r="K1154" s="4" t="str">
        <f>IFERROR(__xludf.DUMMYFUNCTION("""COMPUTED_VALUE"""),"005")</f>
        <v>005</v>
      </c>
      <c r="L1154" s="4" t="str">
        <f>IFERROR(__xludf.DUMMYFUNCTION("""COMPUTED_VALUE"""),"TM - 4B/H (Afspan)")</f>
        <v>TM - 4B/H (Afspan)</v>
      </c>
      <c r="M1154" s="4" t="str">
        <f>IFERROR(__xludf.DUMMYFUNCTION("""COMPUTED_VALUE"""),"Tidak Ada")</f>
        <v>Tidak Ada</v>
      </c>
      <c r="N1154" s="4"/>
      <c r="O1154" s="4" t="str">
        <f>IFERROR(__xludf.DUMMYFUNCTION("""COMPUTED_VALUE"""),"PEMBANDING SEJENIS")</f>
        <v>PEMBANDING SEJENIS</v>
      </c>
      <c r="P1154" s="4" t="str">
        <f>IFERROR(__xludf.DUMMYFUNCTION("""COMPUTED_VALUE"""),"KONEKTOR/JUMPER")</f>
        <v>KONEKTOR/JUMPER</v>
      </c>
      <c r="Q1154" s="4">
        <f>IFERROR(__xludf.DUMMYFUNCTION("""COMPUTED_VALUE"""),23.0)</f>
        <v>23</v>
      </c>
      <c r="R1154" s="4">
        <f>IFERROR(__xludf.DUMMYFUNCTION("""COMPUTED_VALUE"""),23.0)</f>
        <v>23</v>
      </c>
      <c r="S1154" s="4">
        <f>IFERROR(__xludf.DUMMYFUNCTION("""COMPUTED_VALUE"""),23.0)</f>
        <v>23</v>
      </c>
      <c r="T1154" s="4"/>
      <c r="U1154" s="4" t="str">
        <f>IFERROR(__xludf.DUMMYFUNCTION("""COMPUTED_VALUE"""),"BAIK")</f>
        <v>BAIK</v>
      </c>
      <c r="V1154" s="4" t="str">
        <f>IFERROR(__xludf.DUMMYFUNCTION("""COMPUTED_VALUE"""),"Tidak Ada")</f>
        <v>Tidak Ada</v>
      </c>
      <c r="W1154" s="4"/>
      <c r="X1154" s="4"/>
      <c r="Y1154" s="4"/>
      <c r="Z1154" s="4"/>
      <c r="AA1154" s="4"/>
      <c r="AB1154" s="4"/>
      <c r="AC1154" s="4" t="str">
        <f>IFERROR(__xludf.DUMMYFUNCTION("""COMPUTED_VALUE"""),"INSPEKSI SUTM - T2_Images/525de303.FOTO.045740.jpg")</f>
        <v>INSPEKSI SUTM - T2_Images/525de303.FOTO.045740.jpg</v>
      </c>
      <c r="AD1154" s="4"/>
      <c r="AE1154" s="4"/>
      <c r="AF1154" s="4" t="str">
        <f>IFERROR(__xludf.DUMMYFUNCTION("""COMPUTED_VALUE"""),"BELUM")</f>
        <v>BELUM</v>
      </c>
      <c r="AG1154" s="6">
        <f>IFERROR(__xludf.DUMMYFUNCTION("""COMPUTED_VALUE"""),46140.0)</f>
        <v>46140</v>
      </c>
      <c r="AH1154" s="4"/>
      <c r="AI1154" s="4"/>
    </row>
    <row r="1155" ht="15.75" customHeight="1">
      <c r="A1155" s="4" t="str">
        <f>IFERROR(__xludf.DUMMYFUNCTION("""COMPUTED_VALUE"""),"5660b11d")</f>
        <v>5660b11d</v>
      </c>
      <c r="B1155" s="5">
        <f>IFERROR(__xludf.DUMMYFUNCTION("""COMPUTED_VALUE"""),46140.84459490741)</f>
        <v>46140.84459</v>
      </c>
      <c r="C1155" s="4" t="str">
        <f>IFERROR(__xludf.DUMMYFUNCTION("""COMPUTED_VALUE"""),"-6.922647, 107.732555")</f>
        <v>-6.922647, 107.732555</v>
      </c>
      <c r="D1155" s="4" t="str">
        <f>IFERROR(__xludf.DUMMYFUNCTION("""COMPUTED_VALUE"""),"Candra heri")</f>
        <v>Candra heri</v>
      </c>
      <c r="E1155" s="4" t="str">
        <f>IFERROR(__xludf.DUMMYFUNCTION("""COMPUTED_VALUE"""),"BANDUNG")</f>
        <v>BANDUNG</v>
      </c>
      <c r="F1155" s="4" t="str">
        <f>IFERROR(__xludf.DUMMYFUNCTION("""COMPUTED_VALUE"""),"UJUNGBERUNG")</f>
        <v>UJUNGBERUNG</v>
      </c>
      <c r="G1155" s="4" t="str">
        <f>IFERROR(__xludf.DUMMYFUNCTION("""COMPUTED_VALUE"""),"GI BANDUNG TIMUR")</f>
        <v>GI BANDUNG TIMUR</v>
      </c>
      <c r="H1155" s="4" t="str">
        <f>IFERROR(__xludf.DUMMYFUNCTION("""COMPUTED_VALUE"""),"TZB")</f>
        <v>TZB</v>
      </c>
      <c r="I1155" s="4" t="str">
        <f>IFERROR(__xludf.DUMMYFUNCTION("""COMPUTED_VALUE"""),"GH BNA - RPPB")</f>
        <v>GH BNA - RPPB</v>
      </c>
      <c r="J1155" s="4" t="str">
        <f>IFERROR(__xludf.DUMMYFUNCTION("""COMPUTED_VALUE"""),"ZONA 2")</f>
        <v>ZONA 2</v>
      </c>
      <c r="K1155" s="4" t="str">
        <f>IFERROR(__xludf.DUMMYFUNCTION("""COMPUTED_VALUE"""),"007")</f>
        <v>007</v>
      </c>
      <c r="L1155" s="4" t="str">
        <f>IFERROR(__xludf.DUMMYFUNCTION("""COMPUTED_VALUE"""),"TM - 13B/H (Kabel Naik Pada Tiang Tumpu)")</f>
        <v>TM - 13B/H (Kabel Naik Pada Tiang Tumpu)</v>
      </c>
      <c r="M1155" s="4" t="str">
        <f>IFERROR(__xludf.DUMMYFUNCTION("""COMPUTED_VALUE"""),"Gardu")</f>
        <v>Gardu</v>
      </c>
      <c r="N1155" s="4" t="str">
        <f>IFERROR(__xludf.DUMMYFUNCTION("""COMPUTED_VALUE"""),"A")</f>
        <v>A</v>
      </c>
      <c r="O1155" s="4" t="str">
        <f>IFERROR(__xludf.DUMMYFUNCTION("""COMPUTED_VALUE"""),"PEMBANDING SEJENIS")</f>
        <v>PEMBANDING SEJENIS</v>
      </c>
      <c r="P1155" s="4" t="str">
        <f>IFERROR(__xludf.DUMMYFUNCTION("""COMPUTED_VALUE"""),"TERMINASI")</f>
        <v>TERMINASI</v>
      </c>
      <c r="Q1155" s="4">
        <f>IFERROR(__xludf.DUMMYFUNCTION("""COMPUTED_VALUE"""),24.0)</f>
        <v>24</v>
      </c>
      <c r="R1155" s="4">
        <f>IFERROR(__xludf.DUMMYFUNCTION("""COMPUTED_VALUE"""),24.0)</f>
        <v>24</v>
      </c>
      <c r="S1155" s="4">
        <f>IFERROR(__xludf.DUMMYFUNCTION("""COMPUTED_VALUE"""),24.0)</f>
        <v>24</v>
      </c>
      <c r="T1155" s="4"/>
      <c r="U1155" s="4" t="str">
        <f>IFERROR(__xludf.DUMMYFUNCTION("""COMPUTED_VALUE"""),"BAIK")</f>
        <v>BAIK</v>
      </c>
      <c r="V1155" s="4" t="str">
        <f>IFERROR(__xludf.DUMMYFUNCTION("""COMPUTED_VALUE"""),"Tidak Ada")</f>
        <v>Tidak Ada</v>
      </c>
      <c r="W1155" s="4"/>
      <c r="X1155" s="4"/>
      <c r="Y1155" s="4"/>
      <c r="Z1155" s="4"/>
      <c r="AA1155" s="4"/>
      <c r="AB1155" s="4"/>
      <c r="AC1155" s="4" t="str">
        <f>IFERROR(__xludf.DUMMYFUNCTION("""COMPUTED_VALUE"""),"INSPEKSI SUTM - T2_Images/5660b11d.FOTO.045746.jpg")</f>
        <v>INSPEKSI SUTM - T2_Images/5660b11d.FOTO.045746.jpg</v>
      </c>
      <c r="AD1155" s="4"/>
      <c r="AE1155" s="4"/>
      <c r="AF1155" s="4" t="str">
        <f>IFERROR(__xludf.DUMMYFUNCTION("""COMPUTED_VALUE"""),"BELUM")</f>
        <v>BELUM</v>
      </c>
      <c r="AG1155" s="6">
        <f>IFERROR(__xludf.DUMMYFUNCTION("""COMPUTED_VALUE"""),46140.0)</f>
        <v>46140</v>
      </c>
      <c r="AH1155" s="4"/>
      <c r="AI1155" s="4"/>
    </row>
    <row r="1156" ht="15.75" customHeight="1">
      <c r="A1156" s="4" t="str">
        <f>IFERROR(__xludf.DUMMYFUNCTION("""COMPUTED_VALUE"""),"21217ff9")</f>
        <v>21217ff9</v>
      </c>
      <c r="B1156" s="5">
        <f>IFERROR(__xludf.DUMMYFUNCTION("""COMPUTED_VALUE"""),46140.84599537037)</f>
        <v>46140.846</v>
      </c>
      <c r="C1156" s="4" t="str">
        <f>IFERROR(__xludf.DUMMYFUNCTION("""COMPUTED_VALUE"""),"-6.912150, 107.681572")</f>
        <v>-6.912150, 107.681572</v>
      </c>
      <c r="D1156" s="4" t="str">
        <f>IFERROR(__xludf.DUMMYFUNCTION("""COMPUTED_VALUE"""),"Candra heri")</f>
        <v>Candra heri</v>
      </c>
      <c r="E1156" s="4" t="str">
        <f>IFERROR(__xludf.DUMMYFUNCTION("""COMPUTED_VALUE"""),"BANDUNG")</f>
        <v>BANDUNG</v>
      </c>
      <c r="F1156" s="4" t="str">
        <f>IFERROR(__xludf.DUMMYFUNCTION("""COMPUTED_VALUE"""),"UJUNGBERUNG")</f>
        <v>UJUNGBERUNG</v>
      </c>
      <c r="G1156" s="4" t="str">
        <f>IFERROR(__xludf.DUMMYFUNCTION("""COMPUTED_VALUE"""),"GI BANDUNG TIMUR")</f>
        <v>GI BANDUNG TIMUR</v>
      </c>
      <c r="H1156" s="4" t="str">
        <f>IFERROR(__xludf.DUMMYFUNCTION("""COMPUTED_VALUE"""),"TZB")</f>
        <v>TZB</v>
      </c>
      <c r="I1156" s="4" t="str">
        <f>IFERROR(__xludf.DUMMYFUNCTION("""COMPUTED_VALUE"""),"GH BNA - RPPB")</f>
        <v>GH BNA - RPPB</v>
      </c>
      <c r="J1156" s="4" t="str">
        <f>IFERROR(__xludf.DUMMYFUNCTION("""COMPUTED_VALUE"""),"ZONA 2")</f>
        <v>ZONA 2</v>
      </c>
      <c r="K1156" s="4" t="str">
        <f>IFERROR(__xludf.DUMMYFUNCTION("""COMPUTED_VALUE"""),"008")</f>
        <v>008</v>
      </c>
      <c r="L1156" s="4" t="str">
        <f>IFERROR(__xludf.DUMMYFUNCTION("""COMPUTED_VALUE"""),"TM - 11B/H (Kabel Naik)")</f>
        <v>TM - 11B/H (Kabel Naik)</v>
      </c>
      <c r="M1156" s="4" t="str">
        <f>IFERROR(__xludf.DUMMYFUNCTION("""COMPUTED_VALUE"""),"Tidak Ada")</f>
        <v>Tidak Ada</v>
      </c>
      <c r="N1156" s="4"/>
      <c r="O1156" s="4" t="str">
        <f>IFERROR(__xludf.DUMMYFUNCTION("""COMPUTED_VALUE"""),"PEMBANDING SEJENIS")</f>
        <v>PEMBANDING SEJENIS</v>
      </c>
      <c r="P1156" s="4" t="str">
        <f>IFERROR(__xludf.DUMMYFUNCTION("""COMPUTED_VALUE"""),"TERMINASI")</f>
        <v>TERMINASI</v>
      </c>
      <c r="Q1156" s="4">
        <f>IFERROR(__xludf.DUMMYFUNCTION("""COMPUTED_VALUE"""),22.0)</f>
        <v>22</v>
      </c>
      <c r="R1156" s="4">
        <f>IFERROR(__xludf.DUMMYFUNCTION("""COMPUTED_VALUE"""),25.0)</f>
        <v>25</v>
      </c>
      <c r="S1156" s="4">
        <f>IFERROR(__xludf.DUMMYFUNCTION("""COMPUTED_VALUE"""),24.0)</f>
        <v>24</v>
      </c>
      <c r="T1156" s="4"/>
      <c r="U1156" s="4" t="str">
        <f>IFERROR(__xludf.DUMMYFUNCTION("""COMPUTED_VALUE"""),"CUKUP")</f>
        <v>CUKUP</v>
      </c>
      <c r="V1156" s="4" t="str">
        <f>IFERROR(__xludf.DUMMYFUNCTION("""COMPUTED_VALUE"""),"Tidak Ada")</f>
        <v>Tidak Ada</v>
      </c>
      <c r="W1156" s="4"/>
      <c r="X1156" s="4"/>
      <c r="Y1156" s="4"/>
      <c r="Z1156" s="4"/>
      <c r="AA1156" s="4"/>
      <c r="AB1156" s="4"/>
      <c r="AC1156" s="4" t="str">
        <f>IFERROR(__xludf.DUMMYFUNCTION("""COMPUTED_VALUE"""),"INSPEKSI SUTM - T2_Images/21217ff9.FOTO.045843.jpg")</f>
        <v>INSPEKSI SUTM - T2_Images/21217ff9.FOTO.045843.jpg</v>
      </c>
      <c r="AD1156" s="4"/>
      <c r="AE1156" s="4"/>
      <c r="AF1156" s="4" t="str">
        <f>IFERROR(__xludf.DUMMYFUNCTION("""COMPUTED_VALUE"""),"BELUM")</f>
        <v>BELUM</v>
      </c>
      <c r="AG1156" s="6">
        <f>IFERROR(__xludf.DUMMYFUNCTION("""COMPUTED_VALUE"""),46140.0)</f>
        <v>46140</v>
      </c>
      <c r="AH1156" s="4"/>
      <c r="AI1156" s="4"/>
    </row>
    <row r="1157" ht="15.75" customHeight="1">
      <c r="A1157" s="4" t="str">
        <f>IFERROR(__xludf.DUMMYFUNCTION("""COMPUTED_VALUE"""),"8998be8a")</f>
        <v>8998be8a</v>
      </c>
      <c r="B1157" s="5">
        <f>IFERROR(__xludf.DUMMYFUNCTION("""COMPUTED_VALUE"""),46140.84710648148)</f>
        <v>46140.84711</v>
      </c>
      <c r="C1157" s="4" t="str">
        <f>IFERROR(__xludf.DUMMYFUNCTION("""COMPUTED_VALUE"""),"-6.912158, 107.681568")</f>
        <v>-6.912158, 107.681568</v>
      </c>
      <c r="D1157" s="4" t="str">
        <f>IFERROR(__xludf.DUMMYFUNCTION("""COMPUTED_VALUE"""),"Candra heri")</f>
        <v>Candra heri</v>
      </c>
      <c r="E1157" s="4" t="str">
        <f>IFERROR(__xludf.DUMMYFUNCTION("""COMPUTED_VALUE"""),"BANDUNG")</f>
        <v>BANDUNG</v>
      </c>
      <c r="F1157" s="4" t="str">
        <f>IFERROR(__xludf.DUMMYFUNCTION("""COMPUTED_VALUE"""),"UJUNGBERUNG")</f>
        <v>UJUNGBERUNG</v>
      </c>
      <c r="G1157" s="4" t="str">
        <f>IFERROR(__xludf.DUMMYFUNCTION("""COMPUTED_VALUE"""),"GI BANDUNG TIMUR")</f>
        <v>GI BANDUNG TIMUR</v>
      </c>
      <c r="H1157" s="4" t="str">
        <f>IFERROR(__xludf.DUMMYFUNCTION("""COMPUTED_VALUE"""),"TZB")</f>
        <v>TZB</v>
      </c>
      <c r="I1157" s="4" t="str">
        <f>IFERROR(__xludf.DUMMYFUNCTION("""COMPUTED_VALUE"""),"GH BNA - RPPB")</f>
        <v>GH BNA - RPPB</v>
      </c>
      <c r="J1157" s="4" t="str">
        <f>IFERROR(__xludf.DUMMYFUNCTION("""COMPUTED_VALUE"""),"ZONA 2")</f>
        <v>ZONA 2</v>
      </c>
      <c r="K1157" s="4" t="str">
        <f>IFERROR(__xludf.DUMMYFUNCTION("""COMPUTED_VALUE"""),"009")</f>
        <v>009</v>
      </c>
      <c r="L1157" s="4" t="str">
        <f>IFERROR(__xludf.DUMMYFUNCTION("""COMPUTED_VALUE"""),"TM - 4B/H (Afspan)")</f>
        <v>TM - 4B/H (Afspan)</v>
      </c>
      <c r="M1157" s="4" t="str">
        <f>IFERROR(__xludf.DUMMYFUNCTION("""COMPUTED_VALUE"""),"Tidak Ada")</f>
        <v>Tidak Ada</v>
      </c>
      <c r="N1157" s="4"/>
      <c r="O1157" s="4" t="str">
        <f>IFERROR(__xludf.DUMMYFUNCTION("""COMPUTED_VALUE"""),"PEMBANDING SEJENIS")</f>
        <v>PEMBANDING SEJENIS</v>
      </c>
      <c r="P1157" s="4" t="str">
        <f>IFERROR(__xludf.DUMMYFUNCTION("""COMPUTED_VALUE"""),"KONEKTOR/JUMPER")</f>
        <v>KONEKTOR/JUMPER</v>
      </c>
      <c r="Q1157" s="4">
        <f>IFERROR(__xludf.DUMMYFUNCTION("""COMPUTED_VALUE"""),24.0)</f>
        <v>24</v>
      </c>
      <c r="R1157" s="4">
        <f>IFERROR(__xludf.DUMMYFUNCTION("""COMPUTED_VALUE"""),24.0)</f>
        <v>24</v>
      </c>
      <c r="S1157" s="4">
        <f>IFERROR(__xludf.DUMMYFUNCTION("""COMPUTED_VALUE"""),24.0)</f>
        <v>24</v>
      </c>
      <c r="T1157" s="4"/>
      <c r="U1157" s="4" t="str">
        <f>IFERROR(__xludf.DUMMYFUNCTION("""COMPUTED_VALUE"""),"BAIK")</f>
        <v>BAIK</v>
      </c>
      <c r="V1157" s="4" t="str">
        <f>IFERROR(__xludf.DUMMYFUNCTION("""COMPUTED_VALUE"""),"Tidak Ada")</f>
        <v>Tidak Ada</v>
      </c>
      <c r="W1157" s="4"/>
      <c r="X1157" s="4"/>
      <c r="Y1157" s="4"/>
      <c r="Z1157" s="4"/>
      <c r="AA1157" s="4"/>
      <c r="AB1157" s="4"/>
      <c r="AC1157" s="4" t="str">
        <f>IFERROR(__xludf.DUMMYFUNCTION("""COMPUTED_VALUE"""),"INSPEKSI SUTM - T2_Images/8998be8a.FOTO.050103.jpg")</f>
        <v>INSPEKSI SUTM - T2_Images/8998be8a.FOTO.050103.jpg</v>
      </c>
      <c r="AD1157" s="4"/>
      <c r="AE1157" s="4"/>
      <c r="AF1157" s="4" t="str">
        <f>IFERROR(__xludf.DUMMYFUNCTION("""COMPUTED_VALUE"""),"BELUM")</f>
        <v>BELUM</v>
      </c>
      <c r="AG1157" s="6">
        <f>IFERROR(__xludf.DUMMYFUNCTION("""COMPUTED_VALUE"""),46140.0)</f>
        <v>46140</v>
      </c>
      <c r="AH1157" s="4"/>
      <c r="AI1157" s="4"/>
    </row>
    <row r="1158" ht="15.75" customHeight="1">
      <c r="A1158" s="4" t="str">
        <f>IFERROR(__xludf.DUMMYFUNCTION("""COMPUTED_VALUE"""),"6afdd686")</f>
        <v>6afdd686</v>
      </c>
      <c r="B1158" s="5">
        <f>IFERROR(__xludf.DUMMYFUNCTION("""COMPUTED_VALUE"""),46140.84884259259)</f>
        <v>46140.84884</v>
      </c>
      <c r="C1158" s="4" t="str">
        <f>IFERROR(__xludf.DUMMYFUNCTION("""COMPUTED_VALUE"""),"-6.912594, 107.681463")</f>
        <v>-6.912594, 107.681463</v>
      </c>
      <c r="D1158" s="4" t="str">
        <f>IFERROR(__xludf.DUMMYFUNCTION("""COMPUTED_VALUE"""),"Candra heri")</f>
        <v>Candra heri</v>
      </c>
      <c r="E1158" s="4" t="str">
        <f>IFERROR(__xludf.DUMMYFUNCTION("""COMPUTED_VALUE"""),"BANDUNG")</f>
        <v>BANDUNG</v>
      </c>
      <c r="F1158" s="4" t="str">
        <f>IFERROR(__xludf.DUMMYFUNCTION("""COMPUTED_VALUE"""),"UJUNGBERUNG")</f>
        <v>UJUNGBERUNG</v>
      </c>
      <c r="G1158" s="4" t="str">
        <f>IFERROR(__xludf.DUMMYFUNCTION("""COMPUTED_VALUE"""),"GI BANDUNG TIMUR")</f>
        <v>GI BANDUNG TIMUR</v>
      </c>
      <c r="H1158" s="4" t="str">
        <f>IFERROR(__xludf.DUMMYFUNCTION("""COMPUTED_VALUE"""),"TZB")</f>
        <v>TZB</v>
      </c>
      <c r="I1158" s="4" t="str">
        <f>IFERROR(__xludf.DUMMYFUNCTION("""COMPUTED_VALUE"""),"GH BNA - RPPB")</f>
        <v>GH BNA - RPPB</v>
      </c>
      <c r="J1158" s="4" t="str">
        <f>IFERROR(__xludf.DUMMYFUNCTION("""COMPUTED_VALUE"""),"ZONA 2")</f>
        <v>ZONA 2</v>
      </c>
      <c r="K1158" s="4" t="str">
        <f>IFERROR(__xludf.DUMMYFUNCTION("""COMPUTED_VALUE"""),"010")</f>
        <v>010</v>
      </c>
      <c r="L1158" s="4" t="str">
        <f>IFERROR(__xludf.DUMMYFUNCTION("""COMPUTED_VALUE"""),"TM - 8B/H (Percabangan)")</f>
        <v>TM - 8B/H (Percabangan)</v>
      </c>
      <c r="M1158" s="4" t="str">
        <f>IFERROR(__xludf.DUMMYFUNCTION("""COMPUTED_VALUE"""),"Tidak Ada")</f>
        <v>Tidak Ada</v>
      </c>
      <c r="N1158" s="4"/>
      <c r="O1158" s="4" t="str">
        <f>IFERROR(__xludf.DUMMYFUNCTION("""COMPUTED_VALUE"""),"PEMBANDING SEJENIS")</f>
        <v>PEMBANDING SEJENIS</v>
      </c>
      <c r="P1158" s="4" t="str">
        <f>IFERROR(__xludf.DUMMYFUNCTION("""COMPUTED_VALUE"""),"KONEKTOR/JUMPER")</f>
        <v>KONEKTOR/JUMPER</v>
      </c>
      <c r="Q1158" s="4">
        <f>IFERROR(__xludf.DUMMYFUNCTION("""COMPUTED_VALUE"""),23.0)</f>
        <v>23</v>
      </c>
      <c r="R1158" s="4">
        <f>IFERROR(__xludf.DUMMYFUNCTION("""COMPUTED_VALUE"""),23.0)</f>
        <v>23</v>
      </c>
      <c r="S1158" s="4">
        <f>IFERROR(__xludf.DUMMYFUNCTION("""COMPUTED_VALUE"""),24.0)</f>
        <v>24</v>
      </c>
      <c r="T1158" s="4"/>
      <c r="U1158" s="4" t="str">
        <f>IFERROR(__xludf.DUMMYFUNCTION("""COMPUTED_VALUE"""),"BAIK")</f>
        <v>BAIK</v>
      </c>
      <c r="V1158" s="4" t="str">
        <f>IFERROR(__xludf.DUMMYFUNCTION("""COMPUTED_VALUE"""),"Tidak Ada")</f>
        <v>Tidak Ada</v>
      </c>
      <c r="W1158" s="4"/>
      <c r="X1158" s="4"/>
      <c r="Y1158" s="4"/>
      <c r="Z1158" s="4"/>
      <c r="AA1158" s="4"/>
      <c r="AB1158" s="4"/>
      <c r="AC1158" s="4" t="str">
        <f>IFERROR(__xludf.DUMMYFUNCTION("""COMPUTED_VALUE"""),"INSPEKSI SUTM - T2_Images/6afdd686.FOTO.050634.jpg")</f>
        <v>INSPEKSI SUTM - T2_Images/6afdd686.FOTO.050634.jpg</v>
      </c>
      <c r="AD1158" s="4"/>
      <c r="AE1158" s="4"/>
      <c r="AF1158" s="4" t="str">
        <f>IFERROR(__xludf.DUMMYFUNCTION("""COMPUTED_VALUE"""),"BELUM")</f>
        <v>BELUM</v>
      </c>
      <c r="AG1158" s="6">
        <f>IFERROR(__xludf.DUMMYFUNCTION("""COMPUTED_VALUE"""),46140.0)</f>
        <v>46140</v>
      </c>
      <c r="AH1158" s="4"/>
      <c r="AI1158" s="4"/>
    </row>
    <row r="1159" ht="15.75" customHeight="1">
      <c r="A1159" s="4" t="str">
        <f>IFERROR(__xludf.DUMMYFUNCTION("""COMPUTED_VALUE"""),"c228850e")</f>
        <v>c228850e</v>
      </c>
      <c r="B1159" s="5">
        <f>IFERROR(__xludf.DUMMYFUNCTION("""COMPUTED_VALUE"""),46140.85037037037)</f>
        <v>46140.85037</v>
      </c>
      <c r="C1159" s="4" t="str">
        <f>IFERROR(__xludf.DUMMYFUNCTION("""COMPUTED_VALUE"""),"-6.912589, 107.681440")</f>
        <v>-6.912589, 107.681440</v>
      </c>
      <c r="D1159" s="4" t="str">
        <f>IFERROR(__xludf.DUMMYFUNCTION("""COMPUTED_VALUE"""),"Cndra heri")</f>
        <v>Cndra heri</v>
      </c>
      <c r="E1159" s="4" t="str">
        <f>IFERROR(__xludf.DUMMYFUNCTION("""COMPUTED_VALUE"""),"BANDUNG")</f>
        <v>BANDUNG</v>
      </c>
      <c r="F1159" s="4" t="str">
        <f>IFERROR(__xludf.DUMMYFUNCTION("""COMPUTED_VALUE"""),"UJUNGBERUNG")</f>
        <v>UJUNGBERUNG</v>
      </c>
      <c r="G1159" s="4" t="str">
        <f>IFERROR(__xludf.DUMMYFUNCTION("""COMPUTED_VALUE"""),"GI BANDUNG TIMUR")</f>
        <v>GI BANDUNG TIMUR</v>
      </c>
      <c r="H1159" s="4" t="str">
        <f>IFERROR(__xludf.DUMMYFUNCTION("""COMPUTED_VALUE"""),"TZB")</f>
        <v>TZB</v>
      </c>
      <c r="I1159" s="4" t="str">
        <f>IFERROR(__xludf.DUMMYFUNCTION("""COMPUTED_VALUE"""),"GH BNA - RPPB")</f>
        <v>GH BNA - RPPB</v>
      </c>
      <c r="J1159" s="4" t="str">
        <f>IFERROR(__xludf.DUMMYFUNCTION("""COMPUTED_VALUE"""),"ZONA 2")</f>
        <v>ZONA 2</v>
      </c>
      <c r="K1159" s="4" t="str">
        <f>IFERROR(__xludf.DUMMYFUNCTION("""COMPUTED_VALUE"""),"010L03")</f>
        <v>010L03</v>
      </c>
      <c r="L1159" s="4" t="str">
        <f>IFERROR(__xludf.DUMMYFUNCTION("""COMPUTED_VALUE"""),"TM - 14B/H (Akhir)")</f>
        <v>TM - 14B/H (Akhir)</v>
      </c>
      <c r="M1159" s="4" t="str">
        <f>IFERROR(__xludf.DUMMYFUNCTION("""COMPUTED_VALUE"""),"Tidak Ada")</f>
        <v>Tidak Ada</v>
      </c>
      <c r="N1159" s="4"/>
      <c r="O1159" s="4" t="str">
        <f>IFERROR(__xludf.DUMMYFUNCTION("""COMPUTED_VALUE"""),"PEMBANDING SEJENIS")</f>
        <v>PEMBANDING SEJENIS</v>
      </c>
      <c r="P1159" s="4" t="str">
        <f>IFERROR(__xludf.DUMMYFUNCTION("""COMPUTED_VALUE"""),"KONEKTOR/JUMPER")</f>
        <v>KONEKTOR/JUMPER</v>
      </c>
      <c r="Q1159" s="4">
        <f>IFERROR(__xludf.DUMMYFUNCTION("""COMPUTED_VALUE"""),22.0)</f>
        <v>22</v>
      </c>
      <c r="R1159" s="4">
        <f>IFERROR(__xludf.DUMMYFUNCTION("""COMPUTED_VALUE"""),23.0)</f>
        <v>23</v>
      </c>
      <c r="S1159" s="4">
        <f>IFERROR(__xludf.DUMMYFUNCTION("""COMPUTED_VALUE"""),22.0)</f>
        <v>22</v>
      </c>
      <c r="T1159" s="4"/>
      <c r="U1159" s="4" t="str">
        <f>IFERROR(__xludf.DUMMYFUNCTION("""COMPUTED_VALUE"""),"BAIK")</f>
        <v>BAIK</v>
      </c>
      <c r="V1159" s="4" t="str">
        <f>IFERROR(__xludf.DUMMYFUNCTION("""COMPUTED_VALUE"""),"Tidak Ada")</f>
        <v>Tidak Ada</v>
      </c>
      <c r="W1159" s="4"/>
      <c r="X1159" s="4"/>
      <c r="Y1159" s="4"/>
      <c r="Z1159" s="4"/>
      <c r="AA1159" s="4"/>
      <c r="AB1159" s="4"/>
      <c r="AC1159" s="4" t="str">
        <f>IFERROR(__xludf.DUMMYFUNCTION("""COMPUTED_VALUE"""),"INSPEKSI SUTM - T2_Images/c228850e.FOTO.050640.jpg")</f>
        <v>INSPEKSI SUTM - T2_Images/c228850e.FOTO.050640.jpg</v>
      </c>
      <c r="AD1159" s="4"/>
      <c r="AE1159" s="4"/>
      <c r="AF1159" s="4" t="str">
        <f>IFERROR(__xludf.DUMMYFUNCTION("""COMPUTED_VALUE"""),"BELUM")</f>
        <v>BELUM</v>
      </c>
      <c r="AG1159" s="6">
        <f>IFERROR(__xludf.DUMMYFUNCTION("""COMPUTED_VALUE"""),46140.0)</f>
        <v>46140</v>
      </c>
      <c r="AH1159" s="4"/>
      <c r="AI1159" s="4"/>
    </row>
    <row r="1160" ht="15.75" customHeight="1">
      <c r="A1160" s="4" t="str">
        <f>IFERROR(__xludf.DUMMYFUNCTION("""COMPUTED_VALUE"""),"a47a6138")</f>
        <v>a47a6138</v>
      </c>
      <c r="B1160" s="5">
        <f>IFERROR(__xludf.DUMMYFUNCTION("""COMPUTED_VALUE"""),46140.85239583333)</f>
        <v>46140.8524</v>
      </c>
      <c r="C1160" s="4" t="str">
        <f>IFERROR(__xludf.DUMMYFUNCTION("""COMPUTED_VALUE"""),"-6.914793, 107.681351")</f>
        <v>-6.914793, 107.681351</v>
      </c>
      <c r="D1160" s="4" t="str">
        <f>IFERROR(__xludf.DUMMYFUNCTION("""COMPUTED_VALUE"""),"Cndra heri")</f>
        <v>Cndra heri</v>
      </c>
      <c r="E1160" s="4" t="str">
        <f>IFERROR(__xludf.DUMMYFUNCTION("""COMPUTED_VALUE"""),"BANDUNG")</f>
        <v>BANDUNG</v>
      </c>
      <c r="F1160" s="4" t="str">
        <f>IFERROR(__xludf.DUMMYFUNCTION("""COMPUTED_VALUE"""),"UJUNGBERUNG")</f>
        <v>UJUNGBERUNG</v>
      </c>
      <c r="G1160" s="4" t="str">
        <f>IFERROR(__xludf.DUMMYFUNCTION("""COMPUTED_VALUE"""),"GI BANDUNG TIMUR")</f>
        <v>GI BANDUNG TIMUR</v>
      </c>
      <c r="H1160" s="4" t="str">
        <f>IFERROR(__xludf.DUMMYFUNCTION("""COMPUTED_VALUE"""),"TZB")</f>
        <v>TZB</v>
      </c>
      <c r="I1160" s="4" t="str">
        <f>IFERROR(__xludf.DUMMYFUNCTION("""COMPUTED_VALUE"""),"GH BNA - RPPB")</f>
        <v>GH BNA - RPPB</v>
      </c>
      <c r="J1160" s="4" t="str">
        <f>IFERROR(__xludf.DUMMYFUNCTION("""COMPUTED_VALUE"""),"ZONA 2")</f>
        <v>ZONA 2</v>
      </c>
      <c r="K1160" s="4" t="str">
        <f>IFERROR(__xludf.DUMMYFUNCTION("""COMPUTED_VALUE"""),"016")</f>
        <v>016</v>
      </c>
      <c r="L1160" s="4" t="str">
        <f>IFERROR(__xludf.DUMMYFUNCTION("""COMPUTED_VALUE"""),"TM - 7B/H (Afspan 90 Derajat)")</f>
        <v>TM - 7B/H (Afspan 90 Derajat)</v>
      </c>
      <c r="M1160" s="4" t="str">
        <f>IFERROR(__xludf.DUMMYFUNCTION("""COMPUTED_VALUE"""),"Tidak Ada")</f>
        <v>Tidak Ada</v>
      </c>
      <c r="N1160" s="4"/>
      <c r="O1160" s="4" t="str">
        <f>IFERROR(__xludf.DUMMYFUNCTION("""COMPUTED_VALUE"""),"PEMBANDING SEJENIS")</f>
        <v>PEMBANDING SEJENIS</v>
      </c>
      <c r="P1160" s="4" t="str">
        <f>IFERROR(__xludf.DUMMYFUNCTION("""COMPUTED_VALUE"""),"KONEKTOR/JUMPER")</f>
        <v>KONEKTOR/JUMPER</v>
      </c>
      <c r="Q1160" s="4">
        <f>IFERROR(__xludf.DUMMYFUNCTION("""COMPUTED_VALUE"""),19.0)</f>
        <v>19</v>
      </c>
      <c r="R1160" s="4">
        <f>IFERROR(__xludf.DUMMYFUNCTION("""COMPUTED_VALUE"""),20.0)</f>
        <v>20</v>
      </c>
      <c r="S1160" s="4">
        <f>IFERROR(__xludf.DUMMYFUNCTION("""COMPUTED_VALUE"""),19.0)</f>
        <v>19</v>
      </c>
      <c r="T1160" s="4"/>
      <c r="U1160" s="4" t="str">
        <f>IFERROR(__xludf.DUMMYFUNCTION("""COMPUTED_VALUE"""),"BAIK")</f>
        <v>BAIK</v>
      </c>
      <c r="V1160" s="4" t="str">
        <f>IFERROR(__xludf.DUMMYFUNCTION("""COMPUTED_VALUE"""),"Tidak Ada")</f>
        <v>Tidak Ada</v>
      </c>
      <c r="W1160" s="4"/>
      <c r="X1160" s="4"/>
      <c r="Y1160" s="4"/>
      <c r="Z1160" s="4"/>
      <c r="AA1160" s="4"/>
      <c r="AB1160" s="4"/>
      <c r="AC1160" s="4" t="str">
        <f>IFERROR(__xludf.DUMMYFUNCTION("""COMPUTED_VALUE"""),"INSPEKSI SUTM - T2_Images/a47a6138.FOTO.050756.jpg")</f>
        <v>INSPEKSI SUTM - T2_Images/a47a6138.FOTO.050756.jpg</v>
      </c>
      <c r="AD1160" s="4"/>
      <c r="AE1160" s="4"/>
      <c r="AF1160" s="4" t="str">
        <f>IFERROR(__xludf.DUMMYFUNCTION("""COMPUTED_VALUE"""),"BELUM")</f>
        <v>BELUM</v>
      </c>
      <c r="AG1160" s="6">
        <f>IFERROR(__xludf.DUMMYFUNCTION("""COMPUTED_VALUE"""),46140.0)</f>
        <v>46140</v>
      </c>
      <c r="AH1160" s="4"/>
      <c r="AI1160" s="4"/>
    </row>
    <row r="1161" ht="15.75" customHeight="1">
      <c r="A1161" s="4" t="str">
        <f>IFERROR(__xludf.DUMMYFUNCTION("""COMPUTED_VALUE"""),"bc2ff065")</f>
        <v>bc2ff065</v>
      </c>
      <c r="B1161" s="5">
        <f>IFERROR(__xludf.DUMMYFUNCTION("""COMPUTED_VALUE"""),46140.85420138889)</f>
        <v>46140.8542</v>
      </c>
      <c r="C1161" s="4" t="str">
        <f>IFERROR(__xludf.DUMMYFUNCTION("""COMPUTED_VALUE"""),"-6.916400, 107.682416")</f>
        <v>-6.916400, 107.682416</v>
      </c>
      <c r="D1161" s="4" t="str">
        <f>IFERROR(__xludf.DUMMYFUNCTION("""COMPUTED_VALUE"""),"Cndra heri")</f>
        <v>Cndra heri</v>
      </c>
      <c r="E1161" s="4" t="str">
        <f>IFERROR(__xludf.DUMMYFUNCTION("""COMPUTED_VALUE"""),"BANDUNG")</f>
        <v>BANDUNG</v>
      </c>
      <c r="F1161" s="4" t="str">
        <f>IFERROR(__xludf.DUMMYFUNCTION("""COMPUTED_VALUE"""),"UJUNGBERUNG")</f>
        <v>UJUNGBERUNG</v>
      </c>
      <c r="G1161" s="4" t="str">
        <f>IFERROR(__xludf.DUMMYFUNCTION("""COMPUTED_VALUE"""),"GI BANDUNG TIMUR")</f>
        <v>GI BANDUNG TIMUR</v>
      </c>
      <c r="H1161" s="4" t="str">
        <f>IFERROR(__xludf.DUMMYFUNCTION("""COMPUTED_VALUE"""),"TZB")</f>
        <v>TZB</v>
      </c>
      <c r="I1161" s="4" t="str">
        <f>IFERROR(__xludf.DUMMYFUNCTION("""COMPUTED_VALUE"""),"GH BNA - RPPB")</f>
        <v>GH BNA - RPPB</v>
      </c>
      <c r="J1161" s="4" t="str">
        <f>IFERROR(__xludf.DUMMYFUNCTION("""COMPUTED_VALUE"""),"ZONA 2")</f>
        <v>ZONA 2</v>
      </c>
      <c r="K1161" s="4" t="str">
        <f>IFERROR(__xludf.DUMMYFUNCTION("""COMPUTED_VALUE"""),"022")</f>
        <v>022</v>
      </c>
      <c r="L1161" s="4" t="str">
        <f>IFERROR(__xludf.DUMMYFUNCTION("""COMPUTED_VALUE"""),"TM - 8B/H (Percabangan)")</f>
        <v>TM - 8B/H (Percabangan)</v>
      </c>
      <c r="M1161" s="4" t="str">
        <f>IFERROR(__xludf.DUMMYFUNCTION("""COMPUTED_VALUE"""),"Tidak Ada")</f>
        <v>Tidak Ada</v>
      </c>
      <c r="N1161" s="4"/>
      <c r="O1161" s="4" t="str">
        <f>IFERROR(__xludf.DUMMYFUNCTION("""COMPUTED_VALUE"""),"PEMBANDING SEJENIS")</f>
        <v>PEMBANDING SEJENIS</v>
      </c>
      <c r="P1161" s="4" t="str">
        <f>IFERROR(__xludf.DUMMYFUNCTION("""COMPUTED_VALUE"""),"KONEKTOR/JUMPER")</f>
        <v>KONEKTOR/JUMPER</v>
      </c>
      <c r="Q1161" s="4">
        <f>IFERROR(__xludf.DUMMYFUNCTION("""COMPUTED_VALUE"""),21.0)</f>
        <v>21</v>
      </c>
      <c r="R1161" s="4">
        <f>IFERROR(__xludf.DUMMYFUNCTION("""COMPUTED_VALUE"""),20.0)</f>
        <v>20</v>
      </c>
      <c r="S1161" s="4">
        <f>IFERROR(__xludf.DUMMYFUNCTION("""COMPUTED_VALUE"""),20.0)</f>
        <v>20</v>
      </c>
      <c r="T1161" s="4"/>
      <c r="U1161" s="4" t="str">
        <f>IFERROR(__xludf.DUMMYFUNCTION("""COMPUTED_VALUE"""),"BAIK")</f>
        <v>BAIK</v>
      </c>
      <c r="V1161" s="4" t="str">
        <f>IFERROR(__xludf.DUMMYFUNCTION("""COMPUTED_VALUE"""),"Tidak Ada")</f>
        <v>Tidak Ada</v>
      </c>
      <c r="W1161" s="4"/>
      <c r="X1161" s="4"/>
      <c r="Y1161" s="4"/>
      <c r="Z1161" s="4"/>
      <c r="AA1161" s="4"/>
      <c r="AB1161" s="4"/>
      <c r="AC1161" s="4" t="str">
        <f>IFERROR(__xludf.DUMMYFUNCTION("""COMPUTED_VALUE"""),"INSPEKSI SUTM - T2_Images/bc2ff065.FOTO.051350.jpg")</f>
        <v>INSPEKSI SUTM - T2_Images/bc2ff065.FOTO.051350.jpg</v>
      </c>
      <c r="AD1161" s="4"/>
      <c r="AE1161" s="4"/>
      <c r="AF1161" s="4" t="str">
        <f>IFERROR(__xludf.DUMMYFUNCTION("""COMPUTED_VALUE"""),"BELUM")</f>
        <v>BELUM</v>
      </c>
      <c r="AG1161" s="6">
        <f>IFERROR(__xludf.DUMMYFUNCTION("""COMPUTED_VALUE"""),46140.0)</f>
        <v>46140</v>
      </c>
      <c r="AH1161" s="4"/>
      <c r="AI1161" s="4"/>
    </row>
    <row r="1162" ht="15.75" customHeight="1">
      <c r="A1162" s="4" t="str">
        <f>IFERROR(__xludf.DUMMYFUNCTION("""COMPUTED_VALUE"""),"dba5d174")</f>
        <v>dba5d174</v>
      </c>
      <c r="B1162" s="5">
        <f>IFERROR(__xludf.DUMMYFUNCTION("""COMPUTED_VALUE"""),46140.854895833334)</f>
        <v>46140.8549</v>
      </c>
      <c r="C1162" s="4" t="str">
        <f>IFERROR(__xludf.DUMMYFUNCTION("""COMPUTED_VALUE"""),"-6.916399, 107.682419")</f>
        <v>-6.916399, 107.682419</v>
      </c>
      <c r="D1162" s="4" t="str">
        <f>IFERROR(__xludf.DUMMYFUNCTION("""COMPUTED_VALUE"""),"Candra heri")</f>
        <v>Candra heri</v>
      </c>
      <c r="E1162" s="4" t="str">
        <f>IFERROR(__xludf.DUMMYFUNCTION("""COMPUTED_VALUE"""),"BANDUNG")</f>
        <v>BANDUNG</v>
      </c>
      <c r="F1162" s="4" t="str">
        <f>IFERROR(__xludf.DUMMYFUNCTION("""COMPUTED_VALUE"""),"UJUNGBERUNG")</f>
        <v>UJUNGBERUNG</v>
      </c>
      <c r="G1162" s="4" t="str">
        <f>IFERROR(__xludf.DUMMYFUNCTION("""COMPUTED_VALUE"""),"GI BANDUNG TIMUR")</f>
        <v>GI BANDUNG TIMUR</v>
      </c>
      <c r="H1162" s="4" t="str">
        <f>IFERROR(__xludf.DUMMYFUNCTION("""COMPUTED_VALUE"""),"TZB")</f>
        <v>TZB</v>
      </c>
      <c r="I1162" s="4" t="str">
        <f>IFERROR(__xludf.DUMMYFUNCTION("""COMPUTED_VALUE"""),"GH BNA - RPPB")</f>
        <v>GH BNA - RPPB</v>
      </c>
      <c r="J1162" s="4" t="str">
        <f>IFERROR(__xludf.DUMMYFUNCTION("""COMPUTED_VALUE"""),"ZONA 2")</f>
        <v>ZONA 2</v>
      </c>
      <c r="K1162" s="4" t="str">
        <f>IFERROR(__xludf.DUMMYFUNCTION("""COMPUTED_VALUE"""),"024")</f>
        <v>024</v>
      </c>
      <c r="L1162" s="4" t="str">
        <f>IFERROR(__xludf.DUMMYFUNCTION("""COMPUTED_VALUE"""),"TM - 13B/H (Kabel Naik Pada Tiang Tumpu)")</f>
        <v>TM - 13B/H (Kabel Naik Pada Tiang Tumpu)</v>
      </c>
      <c r="M1162" s="4" t="str">
        <f>IFERROR(__xludf.DUMMYFUNCTION("""COMPUTED_VALUE"""),"Tidak Ada")</f>
        <v>Tidak Ada</v>
      </c>
      <c r="N1162" s="4"/>
      <c r="O1162" s="4" t="str">
        <f>IFERROR(__xludf.DUMMYFUNCTION("""COMPUTED_VALUE"""),"PEMBANDING SEJENIS")</f>
        <v>PEMBANDING SEJENIS</v>
      </c>
      <c r="P1162" s="4" t="str">
        <f>IFERROR(__xludf.DUMMYFUNCTION("""COMPUTED_VALUE"""),"TERMINASI")</f>
        <v>TERMINASI</v>
      </c>
      <c r="Q1162" s="4">
        <f>IFERROR(__xludf.DUMMYFUNCTION("""COMPUTED_VALUE"""),24.0)</f>
        <v>24</v>
      </c>
      <c r="R1162" s="4">
        <f>IFERROR(__xludf.DUMMYFUNCTION("""COMPUTED_VALUE"""),31.0)</f>
        <v>31</v>
      </c>
      <c r="S1162" s="4">
        <f>IFERROR(__xludf.DUMMYFUNCTION("""COMPUTED_VALUE"""),30.0)</f>
        <v>30</v>
      </c>
      <c r="T1162" s="4"/>
      <c r="U1162" s="4" t="str">
        <f>IFERROR(__xludf.DUMMYFUNCTION("""COMPUTED_VALUE"""),"CUKUP")</f>
        <v>CUKUP</v>
      </c>
      <c r="V1162" s="4" t="str">
        <f>IFERROR(__xludf.DUMMYFUNCTION("""COMPUTED_VALUE"""),"Tidak Ada")</f>
        <v>Tidak Ada</v>
      </c>
      <c r="W1162" s="4"/>
      <c r="X1162" s="4"/>
      <c r="Y1162" s="4"/>
      <c r="Z1162" s="4"/>
      <c r="AA1162" s="4"/>
      <c r="AB1162" s="4"/>
      <c r="AC1162" s="4" t="str">
        <f>IFERROR(__xludf.DUMMYFUNCTION("""COMPUTED_VALUE"""),"INSPEKSI SUTM - T2_Images/dba5d174.FOTO.051355.jpg")</f>
        <v>INSPEKSI SUTM - T2_Images/dba5d174.FOTO.051355.jpg</v>
      </c>
      <c r="AD1162" s="4"/>
      <c r="AE1162" s="4"/>
      <c r="AF1162" s="4" t="str">
        <f>IFERROR(__xludf.DUMMYFUNCTION("""COMPUTED_VALUE"""),"BELUM")</f>
        <v>BELUM</v>
      </c>
      <c r="AG1162" s="6">
        <f>IFERROR(__xludf.DUMMYFUNCTION("""COMPUTED_VALUE"""),46140.0)</f>
        <v>46140</v>
      </c>
      <c r="AH1162" s="4"/>
      <c r="AI1162" s="4"/>
    </row>
    <row r="1163" ht="15.75" customHeight="1">
      <c r="A1163" s="4" t="str">
        <f>IFERROR(__xludf.DUMMYFUNCTION("""COMPUTED_VALUE"""),"d30ca93b")</f>
        <v>d30ca93b</v>
      </c>
      <c r="B1163" s="5">
        <f>IFERROR(__xludf.DUMMYFUNCTION("""COMPUTED_VALUE"""),46140.85685185185)</f>
        <v>46140.85685</v>
      </c>
      <c r="C1163" s="4" t="str">
        <f>IFERROR(__xludf.DUMMYFUNCTION("""COMPUTED_VALUE"""),"-6.917723, 107.682390")</f>
        <v>-6.917723, 107.682390</v>
      </c>
      <c r="D1163" s="4" t="str">
        <f>IFERROR(__xludf.DUMMYFUNCTION("""COMPUTED_VALUE"""),"Cndra heri")</f>
        <v>Cndra heri</v>
      </c>
      <c r="E1163" s="4" t="str">
        <f>IFERROR(__xludf.DUMMYFUNCTION("""COMPUTED_VALUE"""),"BANDUNG")</f>
        <v>BANDUNG</v>
      </c>
      <c r="F1163" s="4" t="str">
        <f>IFERROR(__xludf.DUMMYFUNCTION("""COMPUTED_VALUE"""),"UJUNGBERUNG")</f>
        <v>UJUNGBERUNG</v>
      </c>
      <c r="G1163" s="4" t="str">
        <f>IFERROR(__xludf.DUMMYFUNCTION("""COMPUTED_VALUE"""),"GI BANDUNG TIMUR")</f>
        <v>GI BANDUNG TIMUR</v>
      </c>
      <c r="H1163" s="4" t="str">
        <f>IFERROR(__xludf.DUMMYFUNCTION("""COMPUTED_VALUE"""),"TZB")</f>
        <v>TZB</v>
      </c>
      <c r="I1163" s="4" t="str">
        <f>IFERROR(__xludf.DUMMYFUNCTION("""COMPUTED_VALUE"""),"GH BNA - RPPB")</f>
        <v>GH BNA - RPPB</v>
      </c>
      <c r="J1163" s="4" t="str">
        <f>IFERROR(__xludf.DUMMYFUNCTION("""COMPUTED_VALUE"""),"ZONA 2")</f>
        <v>ZONA 2</v>
      </c>
      <c r="K1163" s="4" t="str">
        <f>IFERROR(__xludf.DUMMYFUNCTION("""COMPUTED_VALUE"""),"024R01")</f>
        <v>024R01</v>
      </c>
      <c r="L1163" s="4" t="str">
        <f>IFERROR(__xludf.DUMMYFUNCTION("""COMPUTED_VALUE"""),"TM - 13B/H (Kabel Naik Pada Tiang Tumpu)")</f>
        <v>TM - 13B/H (Kabel Naik Pada Tiang Tumpu)</v>
      </c>
      <c r="M1163" s="4" t="str">
        <f>IFERROR(__xludf.DUMMYFUNCTION("""COMPUTED_VALUE"""),"Gardu")</f>
        <v>Gardu</v>
      </c>
      <c r="N1163" s="4" t="str">
        <f>IFERROR(__xludf.DUMMYFUNCTION("""COMPUTED_VALUE"""),"GBKA")</f>
        <v>GBKA</v>
      </c>
      <c r="O1163" s="4" t="str">
        <f>IFERROR(__xludf.DUMMYFUNCTION("""COMPUTED_VALUE"""),"PEMBANDING SEJENIS")</f>
        <v>PEMBANDING SEJENIS</v>
      </c>
      <c r="P1163" s="4" t="str">
        <f>IFERROR(__xludf.DUMMYFUNCTION("""COMPUTED_VALUE"""),"TERMINASI")</f>
        <v>TERMINASI</v>
      </c>
      <c r="Q1163" s="4">
        <f>IFERROR(__xludf.DUMMYFUNCTION("""COMPUTED_VALUE"""),24.0)</f>
        <v>24</v>
      </c>
      <c r="R1163" s="4">
        <f>IFERROR(__xludf.DUMMYFUNCTION("""COMPUTED_VALUE"""),22.0)</f>
        <v>22</v>
      </c>
      <c r="S1163" s="4">
        <f>IFERROR(__xludf.DUMMYFUNCTION("""COMPUTED_VALUE"""),23.0)</f>
        <v>23</v>
      </c>
      <c r="T1163" s="4"/>
      <c r="U1163" s="4" t="str">
        <f>IFERROR(__xludf.DUMMYFUNCTION("""COMPUTED_VALUE"""),"BAIK")</f>
        <v>BAIK</v>
      </c>
      <c r="V1163" s="4" t="str">
        <f>IFERROR(__xludf.DUMMYFUNCTION("""COMPUTED_VALUE"""),"Tidak Ada")</f>
        <v>Tidak Ada</v>
      </c>
      <c r="W1163" s="4"/>
      <c r="X1163" s="4"/>
      <c r="Y1163" s="4"/>
      <c r="Z1163" s="4"/>
      <c r="AA1163" s="4"/>
      <c r="AB1163" s="4"/>
      <c r="AC1163" s="4" t="str">
        <f>IFERROR(__xludf.DUMMYFUNCTION("""COMPUTED_VALUE"""),"INSPEKSI SUTM - T2_Images/d30ca93b.FOTO.051438.jpg")</f>
        <v>INSPEKSI SUTM - T2_Images/d30ca93b.FOTO.051438.jpg</v>
      </c>
      <c r="AD1163" s="4"/>
      <c r="AE1163" s="4"/>
      <c r="AF1163" s="4" t="str">
        <f>IFERROR(__xludf.DUMMYFUNCTION("""COMPUTED_VALUE"""),"BELUM")</f>
        <v>BELUM</v>
      </c>
      <c r="AG1163" s="6">
        <f>IFERROR(__xludf.DUMMYFUNCTION("""COMPUTED_VALUE"""),46140.0)</f>
        <v>46140</v>
      </c>
      <c r="AH1163" s="4"/>
      <c r="AI1163" s="4"/>
    </row>
    <row r="1164" ht="15.75" customHeight="1">
      <c r="A1164" s="4" t="str">
        <f>IFERROR(__xludf.DUMMYFUNCTION("""COMPUTED_VALUE"""),"2c9b6449")</f>
        <v>2c9b6449</v>
      </c>
      <c r="B1164" s="5">
        <f>IFERROR(__xludf.DUMMYFUNCTION("""COMPUTED_VALUE"""),46140.858402777776)</f>
        <v>46140.8584</v>
      </c>
      <c r="C1164" s="4" t="str">
        <f>IFERROR(__xludf.DUMMYFUNCTION("""COMPUTED_VALUE"""),"-6.917282, 107.681069")</f>
        <v>-6.917282, 107.681069</v>
      </c>
      <c r="D1164" s="4" t="str">
        <f>IFERROR(__xludf.DUMMYFUNCTION("""COMPUTED_VALUE"""),"Candra heri")</f>
        <v>Candra heri</v>
      </c>
      <c r="E1164" s="4" t="str">
        <f>IFERROR(__xludf.DUMMYFUNCTION("""COMPUTED_VALUE"""),"BANDUNG")</f>
        <v>BANDUNG</v>
      </c>
      <c r="F1164" s="4" t="str">
        <f>IFERROR(__xludf.DUMMYFUNCTION("""COMPUTED_VALUE"""),"UJUNGBERUNG")</f>
        <v>UJUNGBERUNG</v>
      </c>
      <c r="G1164" s="4" t="str">
        <f>IFERROR(__xludf.DUMMYFUNCTION("""COMPUTED_VALUE"""),"GI BANDUNG TIMUR")</f>
        <v>GI BANDUNG TIMUR</v>
      </c>
      <c r="H1164" s="4" t="str">
        <f>IFERROR(__xludf.DUMMYFUNCTION("""COMPUTED_VALUE"""),"TZB")</f>
        <v>TZB</v>
      </c>
      <c r="I1164" s="4" t="str">
        <f>IFERROR(__xludf.DUMMYFUNCTION("""COMPUTED_VALUE"""),"GH BNA - RPPB")</f>
        <v>GH BNA - RPPB</v>
      </c>
      <c r="J1164" s="4" t="str">
        <f>IFERROR(__xludf.DUMMYFUNCTION("""COMPUTED_VALUE"""),"ZONA 2")</f>
        <v>ZONA 2</v>
      </c>
      <c r="K1164" s="4" t="str">
        <f>IFERROR(__xludf.DUMMYFUNCTION("""COMPUTED_VALUE"""),"024R06")</f>
        <v>024R06</v>
      </c>
      <c r="L1164" s="4" t="str">
        <f>IFERROR(__xludf.DUMMYFUNCTION("""COMPUTED_VALUE"""),"TM - 7B/H (Afspan 90 Derajat)")</f>
        <v>TM - 7B/H (Afspan 90 Derajat)</v>
      </c>
      <c r="M1164" s="4" t="str">
        <f>IFERROR(__xludf.DUMMYFUNCTION("""COMPUTED_VALUE"""),"Tidak Ada")</f>
        <v>Tidak Ada</v>
      </c>
      <c r="N1164" s="4"/>
      <c r="O1164" s="4" t="str">
        <f>IFERROR(__xludf.DUMMYFUNCTION("""COMPUTED_VALUE"""),"PEMBANDING SEJENIS")</f>
        <v>PEMBANDING SEJENIS</v>
      </c>
      <c r="P1164" s="4" t="str">
        <f>IFERROR(__xludf.DUMMYFUNCTION("""COMPUTED_VALUE"""),"KONEKTOR/JUMPER")</f>
        <v>KONEKTOR/JUMPER</v>
      </c>
      <c r="Q1164" s="4">
        <f>IFERROR(__xludf.DUMMYFUNCTION("""COMPUTED_VALUE"""),21.0)</f>
        <v>21</v>
      </c>
      <c r="R1164" s="4">
        <f>IFERROR(__xludf.DUMMYFUNCTION("""COMPUTED_VALUE"""),21.0)</f>
        <v>21</v>
      </c>
      <c r="S1164" s="4">
        <f>IFERROR(__xludf.DUMMYFUNCTION("""COMPUTED_VALUE"""),22.0)</f>
        <v>22</v>
      </c>
      <c r="T1164" s="4"/>
      <c r="U1164" s="4" t="str">
        <f>IFERROR(__xludf.DUMMYFUNCTION("""COMPUTED_VALUE"""),"BAIK")</f>
        <v>BAIK</v>
      </c>
      <c r="V1164" s="4" t="str">
        <f>IFERROR(__xludf.DUMMYFUNCTION("""COMPUTED_VALUE"""),"Tidak Ada")</f>
        <v>Tidak Ada</v>
      </c>
      <c r="W1164" s="4"/>
      <c r="X1164" s="4"/>
      <c r="Y1164" s="4"/>
      <c r="Z1164" s="4"/>
      <c r="AA1164" s="4"/>
      <c r="AB1164" s="4"/>
      <c r="AC1164" s="4" t="str">
        <f>IFERROR(__xludf.DUMMYFUNCTION("""COMPUTED_VALUE"""),"INSPEKSI SUTM - T2_Images/2c9b6449.FOTO.051959.jpg")</f>
        <v>INSPEKSI SUTM - T2_Images/2c9b6449.FOTO.051959.jpg</v>
      </c>
      <c r="AD1164" s="4"/>
      <c r="AE1164" s="4"/>
      <c r="AF1164" s="4" t="str">
        <f>IFERROR(__xludf.DUMMYFUNCTION("""COMPUTED_VALUE"""),"BELUM")</f>
        <v>BELUM</v>
      </c>
      <c r="AG1164" s="6">
        <f>IFERROR(__xludf.DUMMYFUNCTION("""COMPUTED_VALUE"""),46140.0)</f>
        <v>46140</v>
      </c>
      <c r="AH1164" s="4"/>
      <c r="AI1164" s="4"/>
    </row>
    <row r="1165" ht="15.75" customHeight="1">
      <c r="A1165" s="4" t="str">
        <f>IFERROR(__xludf.DUMMYFUNCTION("""COMPUTED_VALUE"""),"64ce40c6")</f>
        <v>64ce40c6</v>
      </c>
      <c r="B1165" s="5">
        <f>IFERROR(__xludf.DUMMYFUNCTION("""COMPUTED_VALUE"""),46140.859768518516)</f>
        <v>46140.85977</v>
      </c>
      <c r="C1165" s="4" t="str">
        <f>IFERROR(__xludf.DUMMYFUNCTION("""COMPUTED_VALUE"""),"-6.918079, 107.680808")</f>
        <v>-6.918079, 107.680808</v>
      </c>
      <c r="D1165" s="4" t="str">
        <f>IFERROR(__xludf.DUMMYFUNCTION("""COMPUTED_VALUE"""),"Candra heri")</f>
        <v>Candra heri</v>
      </c>
      <c r="E1165" s="4" t="str">
        <f>IFERROR(__xludf.DUMMYFUNCTION("""COMPUTED_VALUE"""),"BANDUNG")</f>
        <v>BANDUNG</v>
      </c>
      <c r="F1165" s="4" t="str">
        <f>IFERROR(__xludf.DUMMYFUNCTION("""COMPUTED_VALUE"""),"UJUNGBERUNG")</f>
        <v>UJUNGBERUNG</v>
      </c>
      <c r="G1165" s="4" t="str">
        <f>IFERROR(__xludf.DUMMYFUNCTION("""COMPUTED_VALUE"""),"GI BANDUNG TIMUR")</f>
        <v>GI BANDUNG TIMUR</v>
      </c>
      <c r="H1165" s="4" t="str">
        <f>IFERROR(__xludf.DUMMYFUNCTION("""COMPUTED_VALUE"""),"TZB")</f>
        <v>TZB</v>
      </c>
      <c r="I1165" s="4" t="str">
        <f>IFERROR(__xludf.DUMMYFUNCTION("""COMPUTED_VALUE"""),"GH BNA - RPPB")</f>
        <v>GH BNA - RPPB</v>
      </c>
      <c r="J1165" s="4" t="str">
        <f>IFERROR(__xludf.DUMMYFUNCTION("""COMPUTED_VALUE"""),"ZONA 2")</f>
        <v>ZONA 2</v>
      </c>
      <c r="K1165" s="4" t="str">
        <f>IFERROR(__xludf.DUMMYFUNCTION("""COMPUTED_VALUE"""),"024R08")</f>
        <v>024R08</v>
      </c>
      <c r="L1165" s="4" t="str">
        <f>IFERROR(__xludf.DUMMYFUNCTION("""COMPUTED_VALUE"""),"TM - 7B/H (Afspan 90 Derajat)")</f>
        <v>TM - 7B/H (Afspan 90 Derajat)</v>
      </c>
      <c r="M1165" s="4" t="str">
        <f>IFERROR(__xludf.DUMMYFUNCTION("""COMPUTED_VALUE"""),"Tidak Ada")</f>
        <v>Tidak Ada</v>
      </c>
      <c r="N1165" s="4"/>
      <c r="O1165" s="4" t="str">
        <f>IFERROR(__xludf.DUMMYFUNCTION("""COMPUTED_VALUE"""),"PEMBANDING SEJENIS")</f>
        <v>PEMBANDING SEJENIS</v>
      </c>
      <c r="P1165" s="4" t="str">
        <f>IFERROR(__xludf.DUMMYFUNCTION("""COMPUTED_VALUE"""),"KONEKTOR/JUMPER")</f>
        <v>KONEKTOR/JUMPER</v>
      </c>
      <c r="Q1165" s="4">
        <f>IFERROR(__xludf.DUMMYFUNCTION("""COMPUTED_VALUE"""),22.0)</f>
        <v>22</v>
      </c>
      <c r="R1165" s="4">
        <f>IFERROR(__xludf.DUMMYFUNCTION("""COMPUTED_VALUE"""),22.0)</f>
        <v>22</v>
      </c>
      <c r="S1165" s="4">
        <f>IFERROR(__xludf.DUMMYFUNCTION("""COMPUTED_VALUE"""),22.0)</f>
        <v>22</v>
      </c>
      <c r="T1165" s="4"/>
      <c r="U1165" s="4" t="str">
        <f>IFERROR(__xludf.DUMMYFUNCTION("""COMPUTED_VALUE"""),"BAIK")</f>
        <v>BAIK</v>
      </c>
      <c r="V1165" s="4" t="str">
        <f>IFERROR(__xludf.DUMMYFUNCTION("""COMPUTED_VALUE"""),"Tidak Ada")</f>
        <v>Tidak Ada</v>
      </c>
      <c r="W1165" s="4"/>
      <c r="X1165" s="4"/>
      <c r="Y1165" s="4"/>
      <c r="Z1165" s="4"/>
      <c r="AA1165" s="4"/>
      <c r="AB1165" s="4"/>
      <c r="AC1165" s="4" t="str">
        <f>IFERROR(__xludf.DUMMYFUNCTION("""COMPUTED_VALUE"""),"INSPEKSI SUTM - T2_Images/64ce40c6.FOTO.052004.jpg")</f>
        <v>INSPEKSI SUTM - T2_Images/64ce40c6.FOTO.052004.jpg</v>
      </c>
      <c r="AD1165" s="4"/>
      <c r="AE1165" s="4"/>
      <c r="AF1165" s="4" t="str">
        <f>IFERROR(__xludf.DUMMYFUNCTION("""COMPUTED_VALUE"""),"BELUM")</f>
        <v>BELUM</v>
      </c>
      <c r="AG1165" s="6">
        <f>IFERROR(__xludf.DUMMYFUNCTION("""COMPUTED_VALUE"""),46140.0)</f>
        <v>46140</v>
      </c>
      <c r="AH1165" s="4"/>
      <c r="AI1165" s="4"/>
    </row>
    <row r="1166" ht="15.75" customHeight="1">
      <c r="A1166" s="4" t="str">
        <f>IFERROR(__xludf.DUMMYFUNCTION("""COMPUTED_VALUE"""),"b08c6d71")</f>
        <v>b08c6d71</v>
      </c>
      <c r="B1166" s="5">
        <f>IFERROR(__xludf.DUMMYFUNCTION("""COMPUTED_VALUE"""),46140.86105324074)</f>
        <v>46140.86105</v>
      </c>
      <c r="C1166" s="4" t="str">
        <f>IFERROR(__xludf.DUMMYFUNCTION("""COMPUTED_VALUE"""),"-6.917940, 107.680274")</f>
        <v>-6.917940, 107.680274</v>
      </c>
      <c r="D1166" s="4" t="str">
        <f>IFERROR(__xludf.DUMMYFUNCTION("""COMPUTED_VALUE"""),"Candra heri")</f>
        <v>Candra heri</v>
      </c>
      <c r="E1166" s="4" t="str">
        <f>IFERROR(__xludf.DUMMYFUNCTION("""COMPUTED_VALUE"""),"BANDUNG")</f>
        <v>BANDUNG</v>
      </c>
      <c r="F1166" s="4" t="str">
        <f>IFERROR(__xludf.DUMMYFUNCTION("""COMPUTED_VALUE"""),"UJUNGBERUNG")</f>
        <v>UJUNGBERUNG</v>
      </c>
      <c r="G1166" s="4" t="str">
        <f>IFERROR(__xludf.DUMMYFUNCTION("""COMPUTED_VALUE"""),"GI BANDUNG TIMUR")</f>
        <v>GI BANDUNG TIMUR</v>
      </c>
      <c r="H1166" s="4" t="str">
        <f>IFERROR(__xludf.DUMMYFUNCTION("""COMPUTED_VALUE"""),"TZB")</f>
        <v>TZB</v>
      </c>
      <c r="I1166" s="4" t="str">
        <f>IFERROR(__xludf.DUMMYFUNCTION("""COMPUTED_VALUE"""),"GH BNA - RPPB")</f>
        <v>GH BNA - RPPB</v>
      </c>
      <c r="J1166" s="4" t="str">
        <f>IFERROR(__xludf.DUMMYFUNCTION("""COMPUTED_VALUE"""),"ZONA 2")</f>
        <v>ZONA 2</v>
      </c>
      <c r="K1166" s="4" t="str">
        <f>IFERROR(__xludf.DUMMYFUNCTION("""COMPUTED_VALUE"""),"024R011")</f>
        <v>024R011</v>
      </c>
      <c r="L1166" s="4" t="str">
        <f>IFERROR(__xludf.DUMMYFUNCTION("""COMPUTED_VALUE"""),"TM - 11B/H (Kabel Naik)")</f>
        <v>TM - 11B/H (Kabel Naik)</v>
      </c>
      <c r="M1166" s="4" t="str">
        <f>IFERROR(__xludf.DUMMYFUNCTION("""COMPUTED_VALUE"""),"Tidak Ada")</f>
        <v>Tidak Ada</v>
      </c>
      <c r="N1166" s="4"/>
      <c r="O1166" s="4" t="str">
        <f>IFERROR(__xludf.DUMMYFUNCTION("""COMPUTED_VALUE"""),"PEMBANDING SEJENIS")</f>
        <v>PEMBANDING SEJENIS</v>
      </c>
      <c r="P1166" s="4" t="str">
        <f>IFERROR(__xludf.DUMMYFUNCTION("""COMPUTED_VALUE"""),"TERMINASI")</f>
        <v>TERMINASI</v>
      </c>
      <c r="Q1166" s="4">
        <f>IFERROR(__xludf.DUMMYFUNCTION("""COMPUTED_VALUE"""),24.0)</f>
        <v>24</v>
      </c>
      <c r="R1166" s="4">
        <f>IFERROR(__xludf.DUMMYFUNCTION("""COMPUTED_VALUE"""),23.0)</f>
        <v>23</v>
      </c>
      <c r="S1166" s="4">
        <f>IFERROR(__xludf.DUMMYFUNCTION("""COMPUTED_VALUE"""),23.0)</f>
        <v>23</v>
      </c>
      <c r="T1166" s="4"/>
      <c r="U1166" s="4" t="str">
        <f>IFERROR(__xludf.DUMMYFUNCTION("""COMPUTED_VALUE"""),"BAIK")</f>
        <v>BAIK</v>
      </c>
      <c r="V1166" s="4" t="str">
        <f>IFERROR(__xludf.DUMMYFUNCTION("""COMPUTED_VALUE"""),"Tidak Ada")</f>
        <v>Tidak Ada</v>
      </c>
      <c r="W1166" s="4"/>
      <c r="X1166" s="4"/>
      <c r="Y1166" s="4"/>
      <c r="Z1166" s="4"/>
      <c r="AA1166" s="4"/>
      <c r="AB1166" s="4"/>
      <c r="AC1166" s="4" t="str">
        <f>IFERROR(__xludf.DUMMYFUNCTION("""COMPUTED_VALUE"""),"INSPEKSI SUTM - T2_Images/b08c6d71.FOTO.052010.jpg")</f>
        <v>INSPEKSI SUTM - T2_Images/b08c6d71.FOTO.052010.jpg</v>
      </c>
      <c r="AD1166" s="4"/>
      <c r="AE1166" s="4"/>
      <c r="AF1166" s="4" t="str">
        <f>IFERROR(__xludf.DUMMYFUNCTION("""COMPUTED_VALUE"""),"BELUM")</f>
        <v>BELUM</v>
      </c>
      <c r="AG1166" s="6">
        <f>IFERROR(__xludf.DUMMYFUNCTION("""COMPUTED_VALUE"""),46140.0)</f>
        <v>46140</v>
      </c>
      <c r="AH1166" s="4"/>
      <c r="AI1166" s="4"/>
    </row>
    <row r="1167" ht="15.75" customHeight="1">
      <c r="A1167" s="4" t="str">
        <f>IFERROR(__xludf.DUMMYFUNCTION("""COMPUTED_VALUE"""),"147687a9")</f>
        <v>147687a9</v>
      </c>
      <c r="B1167" s="5">
        <f>IFERROR(__xludf.DUMMYFUNCTION("""COMPUTED_VALUE"""),46140.862905092596)</f>
        <v>46140.86291</v>
      </c>
      <c r="C1167" s="4" t="str">
        <f>IFERROR(__xludf.DUMMYFUNCTION("""COMPUTED_VALUE"""),"-6.918727, 107.679926")</f>
        <v>-6.918727, 107.679926</v>
      </c>
      <c r="D1167" s="4" t="str">
        <f>IFERROR(__xludf.DUMMYFUNCTION("""COMPUTED_VALUE"""),"Candra heri")</f>
        <v>Candra heri</v>
      </c>
      <c r="E1167" s="4" t="str">
        <f>IFERROR(__xludf.DUMMYFUNCTION("""COMPUTED_VALUE"""),"BANDUNG")</f>
        <v>BANDUNG</v>
      </c>
      <c r="F1167" s="4" t="str">
        <f>IFERROR(__xludf.DUMMYFUNCTION("""COMPUTED_VALUE"""),"UJUNGBERUNG")</f>
        <v>UJUNGBERUNG</v>
      </c>
      <c r="G1167" s="4" t="str">
        <f>IFERROR(__xludf.DUMMYFUNCTION("""COMPUTED_VALUE"""),"GI BANDUNG TIMUR")</f>
        <v>GI BANDUNG TIMUR</v>
      </c>
      <c r="H1167" s="4" t="str">
        <f>IFERROR(__xludf.DUMMYFUNCTION("""COMPUTED_VALUE"""),"TZB")</f>
        <v>TZB</v>
      </c>
      <c r="I1167" s="4" t="str">
        <f>IFERROR(__xludf.DUMMYFUNCTION("""COMPUTED_VALUE"""),"GH BNA - RPPB")</f>
        <v>GH BNA - RPPB</v>
      </c>
      <c r="J1167" s="4" t="str">
        <f>IFERROR(__xludf.DUMMYFUNCTION("""COMPUTED_VALUE"""),"ZONA 2")</f>
        <v>ZONA 2</v>
      </c>
      <c r="K1167" s="4" t="str">
        <f>IFERROR(__xludf.DUMMYFUNCTION("""COMPUTED_VALUE"""),"024R012")</f>
        <v>024R012</v>
      </c>
      <c r="L1167" s="4" t="str">
        <f>IFERROR(__xludf.DUMMYFUNCTION("""COMPUTED_VALUE"""),"TM - 13B/H (Kabel Naik Pada Tiang Tumpu)")</f>
        <v>TM - 13B/H (Kabel Naik Pada Tiang Tumpu)</v>
      </c>
      <c r="M1167" s="4" t="str">
        <f>IFERROR(__xludf.DUMMYFUNCTION("""COMPUTED_VALUE"""),"Tidak Ada")</f>
        <v>Tidak Ada</v>
      </c>
      <c r="N1167" s="4"/>
      <c r="O1167" s="4" t="str">
        <f>IFERROR(__xludf.DUMMYFUNCTION("""COMPUTED_VALUE"""),"PEMBANDING SEJENIS")</f>
        <v>PEMBANDING SEJENIS</v>
      </c>
      <c r="P1167" s="4" t="str">
        <f>IFERROR(__xludf.DUMMYFUNCTION("""COMPUTED_VALUE"""),"TERMINASI")</f>
        <v>TERMINASI</v>
      </c>
      <c r="Q1167" s="4">
        <f>IFERROR(__xludf.DUMMYFUNCTION("""COMPUTED_VALUE"""),23.0)</f>
        <v>23</v>
      </c>
      <c r="R1167" s="4">
        <f>IFERROR(__xludf.DUMMYFUNCTION("""COMPUTED_VALUE"""),23.0)</f>
        <v>23</v>
      </c>
      <c r="S1167" s="4">
        <f>IFERROR(__xludf.DUMMYFUNCTION("""COMPUTED_VALUE"""),23.0)</f>
        <v>23</v>
      </c>
      <c r="T1167" s="4"/>
      <c r="U1167" s="4" t="str">
        <f>IFERROR(__xludf.DUMMYFUNCTION("""COMPUTED_VALUE"""),"BAIK")</f>
        <v>BAIK</v>
      </c>
      <c r="V1167" s="4" t="str">
        <f>IFERROR(__xludf.DUMMYFUNCTION("""COMPUTED_VALUE"""),"Tidak Ada")</f>
        <v>Tidak Ada</v>
      </c>
      <c r="W1167" s="4"/>
      <c r="X1167" s="4"/>
      <c r="Y1167" s="4"/>
      <c r="Z1167" s="4"/>
      <c r="AA1167" s="4"/>
      <c r="AB1167" s="4"/>
      <c r="AC1167" s="4" t="str">
        <f>IFERROR(__xludf.DUMMYFUNCTION("""COMPUTED_VALUE"""),"INSPEKSI SUTM - T2_Images/147687a9.FOTO.062936.jpg")</f>
        <v>INSPEKSI SUTM - T2_Images/147687a9.FOTO.062936.jpg</v>
      </c>
      <c r="AD1167" s="4"/>
      <c r="AE1167" s="4"/>
      <c r="AF1167" s="4" t="str">
        <f>IFERROR(__xludf.DUMMYFUNCTION("""COMPUTED_VALUE"""),"BELUM")</f>
        <v>BELUM</v>
      </c>
      <c r="AG1167" s="6">
        <f>IFERROR(__xludf.DUMMYFUNCTION("""COMPUTED_VALUE"""),46140.0)</f>
        <v>46140</v>
      </c>
      <c r="AH1167" s="4"/>
      <c r="AI1167" s="4"/>
    </row>
    <row r="1168" ht="15.75" customHeight="1">
      <c r="A1168" s="4" t="str">
        <f>IFERROR(__xludf.DUMMYFUNCTION("""COMPUTED_VALUE"""),"8174a7ec")</f>
        <v>8174a7ec</v>
      </c>
      <c r="B1168" s="5">
        <f>IFERROR(__xludf.DUMMYFUNCTION("""COMPUTED_VALUE"""),46140.86375)</f>
        <v>46140.86375</v>
      </c>
      <c r="C1168" s="4" t="str">
        <f>IFERROR(__xludf.DUMMYFUNCTION("""COMPUTED_VALUE"""),"-6.918717, 107.679924")</f>
        <v>-6.918717, 107.679924</v>
      </c>
      <c r="D1168" s="4" t="str">
        <f>IFERROR(__xludf.DUMMYFUNCTION("""COMPUTED_VALUE"""),"Candra heri")</f>
        <v>Candra heri</v>
      </c>
      <c r="E1168" s="4" t="str">
        <f>IFERROR(__xludf.DUMMYFUNCTION("""COMPUTED_VALUE"""),"BANDUNG")</f>
        <v>BANDUNG</v>
      </c>
      <c r="F1168" s="4" t="str">
        <f>IFERROR(__xludf.DUMMYFUNCTION("""COMPUTED_VALUE"""),"UJUNGBERUNG")</f>
        <v>UJUNGBERUNG</v>
      </c>
      <c r="G1168" s="4" t="str">
        <f>IFERROR(__xludf.DUMMYFUNCTION("""COMPUTED_VALUE"""),"GI BANDUNG TIMUR")</f>
        <v>GI BANDUNG TIMUR</v>
      </c>
      <c r="H1168" s="4" t="str">
        <f>IFERROR(__xludf.DUMMYFUNCTION("""COMPUTED_VALUE"""),"TZB")</f>
        <v>TZB</v>
      </c>
      <c r="I1168" s="4" t="str">
        <f>IFERROR(__xludf.DUMMYFUNCTION("""COMPUTED_VALUE"""),"GH BNA - RPPB")</f>
        <v>GH BNA - RPPB</v>
      </c>
      <c r="J1168" s="4" t="str">
        <f>IFERROR(__xludf.DUMMYFUNCTION("""COMPUTED_VALUE"""),"ZONA 2")</f>
        <v>ZONA 2</v>
      </c>
      <c r="K1168" s="4" t="str">
        <f>IFERROR(__xludf.DUMMYFUNCTION("""COMPUTED_VALUE"""),"024R015")</f>
        <v>024R015</v>
      </c>
      <c r="L1168" s="4" t="str">
        <f>IFERROR(__xludf.DUMMYFUNCTION("""COMPUTED_VALUE"""),"TM - 1B/H (Tumpu)")</f>
        <v>TM - 1B/H (Tumpu)</v>
      </c>
      <c r="M1168" s="4" t="str">
        <f>IFERROR(__xludf.DUMMYFUNCTION("""COMPUTED_VALUE"""),"Tidak Ada")</f>
        <v>Tidak Ada</v>
      </c>
      <c r="N1168" s="4"/>
      <c r="O1168" s="4" t="str">
        <f>IFERROR(__xludf.DUMMYFUNCTION("""COMPUTED_VALUE"""),"PEMBANDING SEJENIS")</f>
        <v>PEMBANDING SEJENIS</v>
      </c>
      <c r="P1168" s="4" t="str">
        <f>IFERROR(__xludf.DUMMYFUNCTION("""COMPUTED_VALUE"""),"ARRESTER")</f>
        <v>ARRESTER</v>
      </c>
      <c r="Q1168" s="4">
        <f>IFERROR(__xludf.DUMMYFUNCTION("""COMPUTED_VALUE"""),23.0)</f>
        <v>23</v>
      </c>
      <c r="R1168" s="4">
        <f>IFERROR(__xludf.DUMMYFUNCTION("""COMPUTED_VALUE"""),23.0)</f>
        <v>23</v>
      </c>
      <c r="S1168" s="4">
        <f>IFERROR(__xludf.DUMMYFUNCTION("""COMPUTED_VALUE"""),22.0)</f>
        <v>22</v>
      </c>
      <c r="T1168" s="4"/>
      <c r="U1168" s="4" t="str">
        <f>IFERROR(__xludf.DUMMYFUNCTION("""COMPUTED_VALUE"""),"BAIK")</f>
        <v>BAIK</v>
      </c>
      <c r="V1168" s="4" t="str">
        <f>IFERROR(__xludf.DUMMYFUNCTION("""COMPUTED_VALUE"""),"Tidak Ada")</f>
        <v>Tidak Ada</v>
      </c>
      <c r="W1168" s="4"/>
      <c r="X1168" s="4"/>
      <c r="Y1168" s="4"/>
      <c r="Z1168" s="4"/>
      <c r="AA1168" s="4"/>
      <c r="AB1168" s="4"/>
      <c r="AC1168" s="4" t="str">
        <f>IFERROR(__xludf.DUMMYFUNCTION("""COMPUTED_VALUE"""),"INSPEKSI SUTM - T2_Images/8174a7ec.FOTO.062946.jpg")</f>
        <v>INSPEKSI SUTM - T2_Images/8174a7ec.FOTO.062946.jpg</v>
      </c>
      <c r="AD1168" s="4"/>
      <c r="AE1168" s="4"/>
      <c r="AF1168" s="4" t="str">
        <f>IFERROR(__xludf.DUMMYFUNCTION("""COMPUTED_VALUE"""),"BELUM")</f>
        <v>BELUM</v>
      </c>
      <c r="AG1168" s="6">
        <f>IFERROR(__xludf.DUMMYFUNCTION("""COMPUTED_VALUE"""),46140.0)</f>
        <v>46140</v>
      </c>
      <c r="AH1168" s="4"/>
      <c r="AI1168" s="4"/>
    </row>
    <row r="1169" ht="15.75" customHeight="1">
      <c r="A1169" s="4" t="str">
        <f>IFERROR(__xludf.DUMMYFUNCTION("""COMPUTED_VALUE"""),"3601efd2")</f>
        <v>3601efd2</v>
      </c>
      <c r="B1169" s="5">
        <f>IFERROR(__xludf.DUMMYFUNCTION("""COMPUTED_VALUE"""),46140.909907407404)</f>
        <v>46140.90991</v>
      </c>
      <c r="C1169" s="4" t="str">
        <f>IFERROR(__xludf.DUMMYFUNCTION("""COMPUTED_VALUE"""),"-6.918745, 107.679914")</f>
        <v>-6.918745, 107.679914</v>
      </c>
      <c r="D1169" s="4" t="str">
        <f>IFERROR(__xludf.DUMMYFUNCTION("""COMPUTED_VALUE"""),"Cndra heri")</f>
        <v>Cndra heri</v>
      </c>
      <c r="E1169" s="4" t="str">
        <f>IFERROR(__xludf.DUMMYFUNCTION("""COMPUTED_VALUE"""),"BANDUNG")</f>
        <v>BANDUNG</v>
      </c>
      <c r="F1169" s="4" t="str">
        <f>IFERROR(__xludf.DUMMYFUNCTION("""COMPUTED_VALUE"""),"UJUNGBERUNG")</f>
        <v>UJUNGBERUNG</v>
      </c>
      <c r="G1169" s="4" t="str">
        <f>IFERROR(__xludf.DUMMYFUNCTION("""COMPUTED_VALUE"""),"GI BANDUNG TIMUR")</f>
        <v>GI BANDUNG TIMUR</v>
      </c>
      <c r="H1169" s="4" t="str">
        <f>IFERROR(__xludf.DUMMYFUNCTION("""COMPUTED_VALUE"""),"TZB")</f>
        <v>TZB</v>
      </c>
      <c r="I1169" s="4" t="str">
        <f>IFERROR(__xludf.DUMMYFUNCTION("""COMPUTED_VALUE"""),"GH BNA - RPPB")</f>
        <v>GH BNA - RPPB</v>
      </c>
      <c r="J1169" s="4" t="str">
        <f>IFERROR(__xludf.DUMMYFUNCTION("""COMPUTED_VALUE"""),"ZONA 2")</f>
        <v>ZONA 2</v>
      </c>
      <c r="K1169" s="4" t="str">
        <f>IFERROR(__xludf.DUMMYFUNCTION("""COMPUTED_VALUE"""),"024R018")</f>
        <v>024R018</v>
      </c>
      <c r="L1169" s="4" t="str">
        <f>IFERROR(__xludf.DUMMYFUNCTION("""COMPUTED_VALUE"""),"TM - 7B/H (Afspan 90 Derajat)")</f>
        <v>TM - 7B/H (Afspan 90 Derajat)</v>
      </c>
      <c r="M1169" s="4" t="str">
        <f>IFERROR(__xludf.DUMMYFUNCTION("""COMPUTED_VALUE"""),"Tidak Ada")</f>
        <v>Tidak Ada</v>
      </c>
      <c r="N1169" s="4"/>
      <c r="O1169" s="4" t="str">
        <f>IFERROR(__xludf.DUMMYFUNCTION("""COMPUTED_VALUE"""),"PEMBANDING SEJENIS")</f>
        <v>PEMBANDING SEJENIS</v>
      </c>
      <c r="P1169" s="4" t="str">
        <f>IFERROR(__xludf.DUMMYFUNCTION("""COMPUTED_VALUE"""),"KONEKTOR/JUMPER")</f>
        <v>KONEKTOR/JUMPER</v>
      </c>
      <c r="Q1169" s="4">
        <f>IFERROR(__xludf.DUMMYFUNCTION("""COMPUTED_VALUE"""),23.0)</f>
        <v>23</v>
      </c>
      <c r="R1169" s="4">
        <f>IFERROR(__xludf.DUMMYFUNCTION("""COMPUTED_VALUE"""),23.0)</f>
        <v>23</v>
      </c>
      <c r="S1169" s="4">
        <f>IFERROR(__xludf.DUMMYFUNCTION("""COMPUTED_VALUE"""),23.0)</f>
        <v>23</v>
      </c>
      <c r="T1169" s="4"/>
      <c r="U1169" s="4" t="str">
        <f>IFERROR(__xludf.DUMMYFUNCTION("""COMPUTED_VALUE"""),"BAIK")</f>
        <v>BAIK</v>
      </c>
      <c r="V1169" s="4" t="str">
        <f>IFERROR(__xludf.DUMMYFUNCTION("""COMPUTED_VALUE"""),"Tidak Ada")</f>
        <v>Tidak Ada</v>
      </c>
      <c r="W1169" s="4"/>
      <c r="X1169" s="4"/>
      <c r="Y1169" s="4"/>
      <c r="Z1169" s="4"/>
      <c r="AA1169" s="4"/>
      <c r="AB1169" s="4"/>
      <c r="AC1169" s="4" t="str">
        <f>IFERROR(__xludf.DUMMYFUNCTION("""COMPUTED_VALUE"""),"INSPEKSI SUTM - T2_Images/3601efd2.FOTO.063058.jpg")</f>
        <v>INSPEKSI SUTM - T2_Images/3601efd2.FOTO.063058.jpg</v>
      </c>
      <c r="AD1169" s="4"/>
      <c r="AE1169" s="4"/>
      <c r="AF1169" s="4" t="str">
        <f>IFERROR(__xludf.DUMMYFUNCTION("""COMPUTED_VALUE"""),"BELUM")</f>
        <v>BELUM</v>
      </c>
      <c r="AG1169" s="6">
        <f>IFERROR(__xludf.DUMMYFUNCTION("""COMPUTED_VALUE"""),46140.0)</f>
        <v>46140</v>
      </c>
      <c r="AH1169" s="4"/>
      <c r="AI1169" s="4"/>
    </row>
    <row r="1170" ht="15.75" customHeight="1">
      <c r="A1170" s="4" t="str">
        <f>IFERROR(__xludf.DUMMYFUNCTION("""COMPUTED_VALUE"""),"39092148")</f>
        <v>39092148</v>
      </c>
      <c r="B1170" s="5">
        <f>IFERROR(__xludf.DUMMYFUNCTION("""COMPUTED_VALUE"""),46140.91548611111)</f>
        <v>46140.91549</v>
      </c>
      <c r="C1170" s="4" t="str">
        <f>IFERROR(__xludf.DUMMYFUNCTION("""COMPUTED_VALUE"""),"-6.913316, 107.694905")</f>
        <v>-6.913316, 107.694905</v>
      </c>
      <c r="D1170" s="4" t="str">
        <f>IFERROR(__xludf.DUMMYFUNCTION("""COMPUTED_VALUE"""),"CNdra heri")</f>
        <v>CNdra heri</v>
      </c>
      <c r="E1170" s="4" t="str">
        <f>IFERROR(__xludf.DUMMYFUNCTION("""COMPUTED_VALUE"""),"BANDUNG")</f>
        <v>BANDUNG</v>
      </c>
      <c r="F1170" s="4" t="str">
        <f>IFERROR(__xludf.DUMMYFUNCTION("""COMPUTED_VALUE"""),"UJUNGBERUNG")</f>
        <v>UJUNGBERUNG</v>
      </c>
      <c r="G1170" s="4" t="str">
        <f>IFERROR(__xludf.DUMMYFUNCTION("""COMPUTED_VALUE"""),"GI BANDUNG TIMUR")</f>
        <v>GI BANDUNG TIMUR</v>
      </c>
      <c r="H1170" s="4" t="str">
        <f>IFERROR(__xludf.DUMMYFUNCTION("""COMPUTED_VALUE"""),"TZB")</f>
        <v>TZB</v>
      </c>
      <c r="I1170" s="4" t="str">
        <f>IFERROR(__xludf.DUMMYFUNCTION("""COMPUTED_VALUE"""),"GH BNA - RPPB")</f>
        <v>GH BNA - RPPB</v>
      </c>
      <c r="J1170" s="4" t="str">
        <f>IFERROR(__xludf.DUMMYFUNCTION("""COMPUTED_VALUE"""),"ZONA 2")</f>
        <v>ZONA 2</v>
      </c>
      <c r="K1170" s="4" t="str">
        <f>IFERROR(__xludf.DUMMYFUNCTION("""COMPUTED_VALUE"""),"042")</f>
        <v>042</v>
      </c>
      <c r="L1170" s="4" t="str">
        <f>IFERROR(__xludf.DUMMYFUNCTION("""COMPUTED_VALUE"""),"TM - 7B/H (Afspan 90 Derajat)")</f>
        <v>TM - 7B/H (Afspan 90 Derajat)</v>
      </c>
      <c r="M1170" s="4" t="str">
        <f>IFERROR(__xludf.DUMMYFUNCTION("""COMPUTED_VALUE"""),"Tidak Ada")</f>
        <v>Tidak Ada</v>
      </c>
      <c r="N1170" s="4"/>
      <c r="O1170" s="4" t="str">
        <f>IFERROR(__xludf.DUMMYFUNCTION("""COMPUTED_VALUE"""),"PEMBANDING SEJENIS")</f>
        <v>PEMBANDING SEJENIS</v>
      </c>
      <c r="P1170" s="4" t="str">
        <f>IFERROR(__xludf.DUMMYFUNCTION("""COMPUTED_VALUE"""),"KONEKTOR/JUMPER")</f>
        <v>KONEKTOR/JUMPER</v>
      </c>
      <c r="Q1170" s="4">
        <f>IFERROR(__xludf.DUMMYFUNCTION("""COMPUTED_VALUE"""),23.0)</f>
        <v>23</v>
      </c>
      <c r="R1170" s="4">
        <f>IFERROR(__xludf.DUMMYFUNCTION("""COMPUTED_VALUE"""),23.0)</f>
        <v>23</v>
      </c>
      <c r="S1170" s="4">
        <f>IFERROR(__xludf.DUMMYFUNCTION("""COMPUTED_VALUE"""),23.0)</f>
        <v>23</v>
      </c>
      <c r="T1170" s="4"/>
      <c r="U1170" s="4" t="str">
        <f>IFERROR(__xludf.DUMMYFUNCTION("""COMPUTED_VALUE"""),"BAIK")</f>
        <v>BAIK</v>
      </c>
      <c r="V1170" s="4" t="str">
        <f>IFERROR(__xludf.DUMMYFUNCTION("""COMPUTED_VALUE"""),"Tidak Ada")</f>
        <v>Tidak Ada</v>
      </c>
      <c r="W1170" s="4"/>
      <c r="X1170" s="4"/>
      <c r="Y1170" s="4"/>
      <c r="Z1170" s="4"/>
      <c r="AA1170" s="4"/>
      <c r="AB1170" s="4"/>
      <c r="AC1170" s="4" t="str">
        <f>IFERROR(__xludf.DUMMYFUNCTION("""COMPUTED_VALUE"""),"INSPEKSI SUTM - T2_Images/39092148.FOTO.063942.jpg")</f>
        <v>INSPEKSI SUTM - T2_Images/39092148.FOTO.063942.jpg</v>
      </c>
      <c r="AD1170" s="4"/>
      <c r="AE1170" s="4"/>
      <c r="AF1170" s="4" t="str">
        <f>IFERROR(__xludf.DUMMYFUNCTION("""COMPUTED_VALUE"""),"BELUM")</f>
        <v>BELUM</v>
      </c>
      <c r="AG1170" s="6">
        <f>IFERROR(__xludf.DUMMYFUNCTION("""COMPUTED_VALUE"""),46140.0)</f>
        <v>46140</v>
      </c>
      <c r="AH1170" s="4"/>
      <c r="AI1170" s="4"/>
    </row>
    <row r="1171" ht="15.75" customHeight="1">
      <c r="A1171" s="4" t="str">
        <f>IFERROR(__xludf.DUMMYFUNCTION("""COMPUTED_VALUE"""),"1ed8028d")</f>
        <v>1ed8028d</v>
      </c>
      <c r="B1171" s="5">
        <f>IFERROR(__xludf.DUMMYFUNCTION("""COMPUTED_VALUE"""),46140.916875)</f>
        <v>46140.91688</v>
      </c>
      <c r="C1171" s="4" t="str">
        <f>IFERROR(__xludf.DUMMYFUNCTION("""COMPUTED_VALUE"""),"-6.913314, 107.694901")</f>
        <v>-6.913314, 107.694901</v>
      </c>
      <c r="D1171" s="4" t="str">
        <f>IFERROR(__xludf.DUMMYFUNCTION("""COMPUTED_VALUE"""),"Candra heri")</f>
        <v>Candra heri</v>
      </c>
      <c r="E1171" s="4" t="str">
        <f>IFERROR(__xludf.DUMMYFUNCTION("""COMPUTED_VALUE"""),"BANDUNG")</f>
        <v>BANDUNG</v>
      </c>
      <c r="F1171" s="4" t="str">
        <f>IFERROR(__xludf.DUMMYFUNCTION("""COMPUTED_VALUE"""),"UJUNGBERUNG")</f>
        <v>UJUNGBERUNG</v>
      </c>
      <c r="G1171" s="4" t="str">
        <f>IFERROR(__xludf.DUMMYFUNCTION("""COMPUTED_VALUE"""),"GI BANDUNG TIMUR")</f>
        <v>GI BANDUNG TIMUR</v>
      </c>
      <c r="H1171" s="4" t="str">
        <f>IFERROR(__xludf.DUMMYFUNCTION("""COMPUTED_VALUE"""),"TZB")</f>
        <v>TZB</v>
      </c>
      <c r="I1171" s="4" t="str">
        <f>IFERROR(__xludf.DUMMYFUNCTION("""COMPUTED_VALUE"""),"GH BNA - RPPB")</f>
        <v>GH BNA - RPPB</v>
      </c>
      <c r="J1171" s="4" t="str">
        <f>IFERROR(__xludf.DUMMYFUNCTION("""COMPUTED_VALUE"""),"ZONA 2")</f>
        <v>ZONA 2</v>
      </c>
      <c r="K1171" s="4" t="str">
        <f>IFERROR(__xludf.DUMMYFUNCTION("""COMPUTED_VALUE"""),"040")</f>
        <v>040</v>
      </c>
      <c r="L1171" s="4" t="str">
        <f>IFERROR(__xludf.DUMMYFUNCTION("""COMPUTED_VALUE"""),"TM - 7B/H (Afspan 90 Derajat)")</f>
        <v>TM - 7B/H (Afspan 90 Derajat)</v>
      </c>
      <c r="M1171" s="4" t="str">
        <f>IFERROR(__xludf.DUMMYFUNCTION("""COMPUTED_VALUE"""),"Tidak Ada")</f>
        <v>Tidak Ada</v>
      </c>
      <c r="N1171" s="4"/>
      <c r="O1171" s="4" t="str">
        <f>IFERROR(__xludf.DUMMYFUNCTION("""COMPUTED_VALUE"""),"PEMBANDING SEJENIS")</f>
        <v>PEMBANDING SEJENIS</v>
      </c>
      <c r="P1171" s="4" t="str">
        <f>IFERROR(__xludf.DUMMYFUNCTION("""COMPUTED_VALUE"""),"KONEKTOR/JUMPER")</f>
        <v>KONEKTOR/JUMPER</v>
      </c>
      <c r="Q1171" s="4">
        <f>IFERROR(__xludf.DUMMYFUNCTION("""COMPUTED_VALUE"""),23.0)</f>
        <v>23</v>
      </c>
      <c r="R1171" s="4">
        <f>IFERROR(__xludf.DUMMYFUNCTION("""COMPUTED_VALUE"""),23.0)</f>
        <v>23</v>
      </c>
      <c r="S1171" s="4">
        <f>IFERROR(__xludf.DUMMYFUNCTION("""COMPUTED_VALUE"""),23.0)</f>
        <v>23</v>
      </c>
      <c r="T1171" s="4"/>
      <c r="U1171" s="4" t="str">
        <f>IFERROR(__xludf.DUMMYFUNCTION("""COMPUTED_VALUE"""),"BAIK")</f>
        <v>BAIK</v>
      </c>
      <c r="V1171" s="4" t="str">
        <f>IFERROR(__xludf.DUMMYFUNCTION("""COMPUTED_VALUE"""),"Tidak Ada")</f>
        <v>Tidak Ada</v>
      </c>
      <c r="W1171" s="4"/>
      <c r="X1171" s="4"/>
      <c r="Y1171" s="4"/>
      <c r="Z1171" s="4"/>
      <c r="AA1171" s="4"/>
      <c r="AB1171" s="4"/>
      <c r="AC1171" s="4" t="str">
        <f>IFERROR(__xludf.DUMMYFUNCTION("""COMPUTED_VALUE"""),"INSPEKSI SUTM - T2_Images/1ed8028d.FOTO.064050.jpg")</f>
        <v>INSPEKSI SUTM - T2_Images/1ed8028d.FOTO.064050.jpg</v>
      </c>
      <c r="AD1171" s="4"/>
      <c r="AE1171" s="4"/>
      <c r="AF1171" s="4" t="str">
        <f>IFERROR(__xludf.DUMMYFUNCTION("""COMPUTED_VALUE"""),"BELUM")</f>
        <v>BELUM</v>
      </c>
      <c r="AG1171" s="6">
        <f>IFERROR(__xludf.DUMMYFUNCTION("""COMPUTED_VALUE"""),46140.0)</f>
        <v>46140</v>
      </c>
      <c r="AH1171" s="4"/>
      <c r="AI1171" s="4"/>
    </row>
    <row r="1172" ht="15.75" customHeight="1">
      <c r="A1172" s="4" t="str">
        <f>IFERROR(__xludf.DUMMYFUNCTION("""COMPUTED_VALUE"""),"fc25d0eb")</f>
        <v>fc25d0eb</v>
      </c>
      <c r="B1172" s="5">
        <f>IFERROR(__xludf.DUMMYFUNCTION("""COMPUTED_VALUE"""),46140.917905092596)</f>
        <v>46140.91791</v>
      </c>
      <c r="C1172" s="4" t="str">
        <f>IFERROR(__xludf.DUMMYFUNCTION("""COMPUTED_VALUE"""),"-6.913313, 107.694911")</f>
        <v>-6.913313, 107.694911</v>
      </c>
      <c r="D1172" s="4" t="str">
        <f>IFERROR(__xludf.DUMMYFUNCTION("""COMPUTED_VALUE"""),"Cndra heri")</f>
        <v>Cndra heri</v>
      </c>
      <c r="E1172" s="4" t="str">
        <f>IFERROR(__xludf.DUMMYFUNCTION("""COMPUTED_VALUE"""),"BANDUNG")</f>
        <v>BANDUNG</v>
      </c>
      <c r="F1172" s="4" t="str">
        <f>IFERROR(__xludf.DUMMYFUNCTION("""COMPUTED_VALUE"""),"UJUNGBERUNG")</f>
        <v>UJUNGBERUNG</v>
      </c>
      <c r="G1172" s="4" t="str">
        <f>IFERROR(__xludf.DUMMYFUNCTION("""COMPUTED_VALUE"""),"GI BANDUNG TIMUR")</f>
        <v>GI BANDUNG TIMUR</v>
      </c>
      <c r="H1172" s="4" t="str">
        <f>IFERROR(__xludf.DUMMYFUNCTION("""COMPUTED_VALUE"""),"TZB")</f>
        <v>TZB</v>
      </c>
      <c r="I1172" s="4" t="str">
        <f>IFERROR(__xludf.DUMMYFUNCTION("""COMPUTED_VALUE"""),"GH BNA - RPPB")</f>
        <v>GH BNA - RPPB</v>
      </c>
      <c r="J1172" s="4" t="str">
        <f>IFERROR(__xludf.DUMMYFUNCTION("""COMPUTED_VALUE"""),"ZONA 2")</f>
        <v>ZONA 2</v>
      </c>
      <c r="K1172" s="4" t="str">
        <f>IFERROR(__xludf.DUMMYFUNCTION("""COMPUTED_VALUE"""),"039")</f>
        <v>039</v>
      </c>
      <c r="L1172" s="4" t="str">
        <f>IFERROR(__xludf.DUMMYFUNCTION("""COMPUTED_VALUE"""),"TM - 7B/H (Afspan 90 Derajat)")</f>
        <v>TM - 7B/H (Afspan 90 Derajat)</v>
      </c>
      <c r="M1172" s="4" t="str">
        <f>IFERROR(__xludf.DUMMYFUNCTION("""COMPUTED_VALUE"""),"Tidak Ada")</f>
        <v>Tidak Ada</v>
      </c>
      <c r="N1172" s="4"/>
      <c r="O1172" s="4" t="str">
        <f>IFERROR(__xludf.DUMMYFUNCTION("""COMPUTED_VALUE"""),"PEMBANDING SEJENIS")</f>
        <v>PEMBANDING SEJENIS</v>
      </c>
      <c r="P1172" s="4" t="str">
        <f>IFERROR(__xludf.DUMMYFUNCTION("""COMPUTED_VALUE"""),"KONEKTOR/JUMPER")</f>
        <v>KONEKTOR/JUMPER</v>
      </c>
      <c r="Q1172" s="4">
        <f>IFERROR(__xludf.DUMMYFUNCTION("""COMPUTED_VALUE"""),23.0)</f>
        <v>23</v>
      </c>
      <c r="R1172" s="4">
        <f>IFERROR(__xludf.DUMMYFUNCTION("""COMPUTED_VALUE"""),23.0)</f>
        <v>23</v>
      </c>
      <c r="S1172" s="4">
        <f>IFERROR(__xludf.DUMMYFUNCTION("""COMPUTED_VALUE"""),23.0)</f>
        <v>23</v>
      </c>
      <c r="T1172" s="4"/>
      <c r="U1172" s="4" t="str">
        <f>IFERROR(__xludf.DUMMYFUNCTION("""COMPUTED_VALUE"""),"BAIK")</f>
        <v>BAIK</v>
      </c>
      <c r="V1172" s="4" t="str">
        <f>IFERROR(__xludf.DUMMYFUNCTION("""COMPUTED_VALUE"""),"Tidak Ada")</f>
        <v>Tidak Ada</v>
      </c>
      <c r="W1172" s="4"/>
      <c r="X1172" s="4"/>
      <c r="Y1172" s="4"/>
      <c r="Z1172" s="4"/>
      <c r="AA1172" s="4"/>
      <c r="AB1172" s="4"/>
      <c r="AC1172" s="4" t="str">
        <f>IFERROR(__xludf.DUMMYFUNCTION("""COMPUTED_VALUE"""),"INSPEKSI SUTM - T2_Images/fc25d0eb.FOTO.064221.jpg")</f>
        <v>INSPEKSI SUTM - T2_Images/fc25d0eb.FOTO.064221.jpg</v>
      </c>
      <c r="AD1172" s="4"/>
      <c r="AE1172" s="4"/>
      <c r="AF1172" s="4" t="str">
        <f>IFERROR(__xludf.DUMMYFUNCTION("""COMPUTED_VALUE"""),"BELUM")</f>
        <v>BELUM</v>
      </c>
      <c r="AG1172" s="6">
        <f>IFERROR(__xludf.DUMMYFUNCTION("""COMPUTED_VALUE"""),46140.0)</f>
        <v>46140</v>
      </c>
      <c r="AH1172" s="4"/>
      <c r="AI1172" s="4"/>
    </row>
    <row r="1173" ht="15.75" customHeight="1">
      <c r="A1173" s="4" t="str">
        <f>IFERROR(__xludf.DUMMYFUNCTION("""COMPUTED_VALUE"""),"df2263ab")</f>
        <v>df2263ab</v>
      </c>
      <c r="B1173" s="5">
        <f>IFERROR(__xludf.DUMMYFUNCTION("""COMPUTED_VALUE"""),46140.91920138889)</f>
        <v>46140.9192</v>
      </c>
      <c r="C1173" s="4" t="str">
        <f>IFERROR(__xludf.DUMMYFUNCTION("""COMPUTED_VALUE"""),"-6.913301, 107.694901")</f>
        <v>-6.913301, 107.694901</v>
      </c>
      <c r="D1173" s="4" t="str">
        <f>IFERROR(__xludf.DUMMYFUNCTION("""COMPUTED_VALUE"""),"Candra heri")</f>
        <v>Candra heri</v>
      </c>
      <c r="E1173" s="4" t="str">
        <f>IFERROR(__xludf.DUMMYFUNCTION("""COMPUTED_VALUE"""),"BANDUNG")</f>
        <v>BANDUNG</v>
      </c>
      <c r="F1173" s="4" t="str">
        <f>IFERROR(__xludf.DUMMYFUNCTION("""COMPUTED_VALUE"""),"UJUNGBERUNG")</f>
        <v>UJUNGBERUNG</v>
      </c>
      <c r="G1173" s="4" t="str">
        <f>IFERROR(__xludf.DUMMYFUNCTION("""COMPUTED_VALUE"""),"GI BANDUNG TIMUR")</f>
        <v>GI BANDUNG TIMUR</v>
      </c>
      <c r="H1173" s="4" t="str">
        <f>IFERROR(__xludf.DUMMYFUNCTION("""COMPUTED_VALUE"""),"TZB")</f>
        <v>TZB</v>
      </c>
      <c r="I1173" s="4" t="str">
        <f>IFERROR(__xludf.DUMMYFUNCTION("""COMPUTED_VALUE"""),"GH BNA - RPPB")</f>
        <v>GH BNA - RPPB</v>
      </c>
      <c r="J1173" s="4" t="str">
        <f>IFERROR(__xludf.DUMMYFUNCTION("""COMPUTED_VALUE"""),"ZONA 2")</f>
        <v>ZONA 2</v>
      </c>
      <c r="K1173" s="4" t="str">
        <f>IFERROR(__xludf.DUMMYFUNCTION("""COMPUTED_VALUE"""),"037")</f>
        <v>037</v>
      </c>
      <c r="L1173" s="4" t="str">
        <f>IFERROR(__xludf.DUMMYFUNCTION("""COMPUTED_VALUE"""),"TM - 8B/H (Percabangan)")</f>
        <v>TM - 8B/H (Percabangan)</v>
      </c>
      <c r="M1173" s="4" t="str">
        <f>IFERROR(__xludf.DUMMYFUNCTION("""COMPUTED_VALUE"""),"Tidak Ada")</f>
        <v>Tidak Ada</v>
      </c>
      <c r="N1173" s="4"/>
      <c r="O1173" s="4" t="str">
        <f>IFERROR(__xludf.DUMMYFUNCTION("""COMPUTED_VALUE"""),"PEMBANDING SEJENIS")</f>
        <v>PEMBANDING SEJENIS</v>
      </c>
      <c r="P1173" s="4" t="str">
        <f>IFERROR(__xludf.DUMMYFUNCTION("""COMPUTED_VALUE"""),"KONEKTOR/JUMPER")</f>
        <v>KONEKTOR/JUMPER</v>
      </c>
      <c r="Q1173" s="4">
        <f>IFERROR(__xludf.DUMMYFUNCTION("""COMPUTED_VALUE"""),23.0)</f>
        <v>23</v>
      </c>
      <c r="R1173" s="4">
        <f>IFERROR(__xludf.DUMMYFUNCTION("""COMPUTED_VALUE"""),23.0)</f>
        <v>23</v>
      </c>
      <c r="S1173" s="4">
        <f>IFERROR(__xludf.DUMMYFUNCTION("""COMPUTED_VALUE"""),23.0)</f>
        <v>23</v>
      </c>
      <c r="T1173" s="4"/>
      <c r="U1173" s="4" t="str">
        <f>IFERROR(__xludf.DUMMYFUNCTION("""COMPUTED_VALUE"""),"BAIK")</f>
        <v>BAIK</v>
      </c>
      <c r="V1173" s="4" t="str">
        <f>IFERROR(__xludf.DUMMYFUNCTION("""COMPUTED_VALUE"""),"Tidak Ada")</f>
        <v>Tidak Ada</v>
      </c>
      <c r="W1173" s="4"/>
      <c r="X1173" s="4"/>
      <c r="Y1173" s="4"/>
      <c r="Z1173" s="4"/>
      <c r="AA1173" s="4"/>
      <c r="AB1173" s="4"/>
      <c r="AC1173" s="4" t="str">
        <f>IFERROR(__xludf.DUMMYFUNCTION("""COMPUTED_VALUE"""),"INSPEKSI SUTM - T2_Images/df2263ab.FOTO.064400.jpg")</f>
        <v>INSPEKSI SUTM - T2_Images/df2263ab.FOTO.064400.jpg</v>
      </c>
      <c r="AD1173" s="4"/>
      <c r="AE1173" s="4"/>
      <c r="AF1173" s="4" t="str">
        <f>IFERROR(__xludf.DUMMYFUNCTION("""COMPUTED_VALUE"""),"BELUM")</f>
        <v>BELUM</v>
      </c>
      <c r="AG1173" s="6">
        <f>IFERROR(__xludf.DUMMYFUNCTION("""COMPUTED_VALUE"""),46140.0)</f>
        <v>46140</v>
      </c>
      <c r="AH1173" s="4"/>
      <c r="AI1173" s="4"/>
    </row>
    <row r="1174" ht="15.75" customHeight="1">
      <c r="A1174" s="4" t="str">
        <f>IFERROR(__xludf.DUMMYFUNCTION("""COMPUTED_VALUE"""),"469587b4")</f>
        <v>469587b4</v>
      </c>
      <c r="B1174" s="5">
        <f>IFERROR(__xludf.DUMMYFUNCTION("""COMPUTED_VALUE"""),46140.92023148148)</f>
        <v>46140.92023</v>
      </c>
      <c r="C1174" s="4" t="str">
        <f>IFERROR(__xludf.DUMMYFUNCTION("""COMPUTED_VALUE"""),"-6.913310, 107.694901")</f>
        <v>-6.913310, 107.694901</v>
      </c>
      <c r="D1174" s="4" t="str">
        <f>IFERROR(__xludf.DUMMYFUNCTION("""COMPUTED_VALUE"""),"Candra heri")</f>
        <v>Candra heri</v>
      </c>
      <c r="E1174" s="4" t="str">
        <f>IFERROR(__xludf.DUMMYFUNCTION("""COMPUTED_VALUE"""),"BANDUNG")</f>
        <v>BANDUNG</v>
      </c>
      <c r="F1174" s="4" t="str">
        <f>IFERROR(__xludf.DUMMYFUNCTION("""COMPUTED_VALUE"""),"UJUNGBERUNG")</f>
        <v>UJUNGBERUNG</v>
      </c>
      <c r="G1174" s="4" t="str">
        <f>IFERROR(__xludf.DUMMYFUNCTION("""COMPUTED_VALUE"""),"GI BANDUNG TIMUR")</f>
        <v>GI BANDUNG TIMUR</v>
      </c>
      <c r="H1174" s="4" t="str">
        <f>IFERROR(__xludf.DUMMYFUNCTION("""COMPUTED_VALUE"""),"TZB")</f>
        <v>TZB</v>
      </c>
      <c r="I1174" s="4" t="str">
        <f>IFERROR(__xludf.DUMMYFUNCTION("""COMPUTED_VALUE"""),"GH BNA - RPPB")</f>
        <v>GH BNA - RPPB</v>
      </c>
      <c r="J1174" s="4" t="str">
        <f>IFERROR(__xludf.DUMMYFUNCTION("""COMPUTED_VALUE"""),"ZONA 2")</f>
        <v>ZONA 2</v>
      </c>
      <c r="K1174" s="4" t="str">
        <f>IFERROR(__xludf.DUMMYFUNCTION("""COMPUTED_VALUE"""),"035")</f>
        <v>035</v>
      </c>
      <c r="L1174" s="4" t="str">
        <f>IFERROR(__xludf.DUMMYFUNCTION("""COMPUTED_VALUE"""),"TM - 1B/H (Tumpu)")</f>
        <v>TM - 1B/H (Tumpu)</v>
      </c>
      <c r="M1174" s="4" t="str">
        <f>IFERROR(__xludf.DUMMYFUNCTION("""COMPUTED_VALUE"""),"Tidak Ada")</f>
        <v>Tidak Ada</v>
      </c>
      <c r="N1174" s="4"/>
      <c r="O1174" s="4" t="str">
        <f>IFERROR(__xludf.DUMMYFUNCTION("""COMPUTED_VALUE"""),"PEMBANDING SEJENIS")</f>
        <v>PEMBANDING SEJENIS</v>
      </c>
      <c r="P1174" s="4" t="str">
        <f>IFERROR(__xludf.DUMMYFUNCTION("""COMPUTED_VALUE"""),"ARRESTER")</f>
        <v>ARRESTER</v>
      </c>
      <c r="Q1174" s="4">
        <f>IFERROR(__xludf.DUMMYFUNCTION("""COMPUTED_VALUE"""),23.0)</f>
        <v>23</v>
      </c>
      <c r="R1174" s="4">
        <f>IFERROR(__xludf.DUMMYFUNCTION("""COMPUTED_VALUE"""),24.0)</f>
        <v>24</v>
      </c>
      <c r="S1174" s="4">
        <f>IFERROR(__xludf.DUMMYFUNCTION("""COMPUTED_VALUE"""),24.0)</f>
        <v>24</v>
      </c>
      <c r="T1174" s="4"/>
      <c r="U1174" s="4" t="str">
        <f>IFERROR(__xludf.DUMMYFUNCTION("""COMPUTED_VALUE"""),"BAIK")</f>
        <v>BAIK</v>
      </c>
      <c r="V1174" s="4" t="str">
        <f>IFERROR(__xludf.DUMMYFUNCTION("""COMPUTED_VALUE"""),"Tidak Ada")</f>
        <v>Tidak Ada</v>
      </c>
      <c r="W1174" s="4"/>
      <c r="X1174" s="4"/>
      <c r="Y1174" s="4"/>
      <c r="Z1174" s="4"/>
      <c r="AA1174" s="4"/>
      <c r="AB1174" s="4"/>
      <c r="AC1174" s="4" t="str">
        <f>IFERROR(__xludf.DUMMYFUNCTION("""COMPUTED_VALUE"""),"INSPEKSI SUTM - T2_Images/469587b4.FOTO.064552.jpg")</f>
        <v>INSPEKSI SUTM - T2_Images/469587b4.FOTO.064552.jpg</v>
      </c>
      <c r="AD1174" s="4"/>
      <c r="AE1174" s="4"/>
      <c r="AF1174" s="4" t="str">
        <f>IFERROR(__xludf.DUMMYFUNCTION("""COMPUTED_VALUE"""),"BELUM")</f>
        <v>BELUM</v>
      </c>
      <c r="AG1174" s="6">
        <f>IFERROR(__xludf.DUMMYFUNCTION("""COMPUTED_VALUE"""),46140.0)</f>
        <v>46140</v>
      </c>
      <c r="AH1174" s="4"/>
      <c r="AI1174" s="4"/>
    </row>
    <row r="1175" ht="15.75" customHeight="1">
      <c r="A1175" s="4" t="str">
        <f>IFERROR(__xludf.DUMMYFUNCTION("""COMPUTED_VALUE"""),"1570fbaa")</f>
        <v>1570fbaa</v>
      </c>
      <c r="B1175" s="5">
        <f>IFERROR(__xludf.DUMMYFUNCTION("""COMPUTED_VALUE"""),46140.922685185185)</f>
        <v>46140.92269</v>
      </c>
      <c r="C1175" s="4" t="str">
        <f>IFERROR(__xludf.DUMMYFUNCTION("""COMPUTED_VALUE"""),"-6.913323, 107.694919")</f>
        <v>-6.913323, 107.694919</v>
      </c>
      <c r="D1175" s="4" t="str">
        <f>IFERROR(__xludf.DUMMYFUNCTION("""COMPUTED_VALUE"""),"Candra heri")</f>
        <v>Candra heri</v>
      </c>
      <c r="E1175" s="4" t="str">
        <f>IFERROR(__xludf.DUMMYFUNCTION("""COMPUTED_VALUE"""),"BANDUNG")</f>
        <v>BANDUNG</v>
      </c>
      <c r="F1175" s="4" t="str">
        <f>IFERROR(__xludf.DUMMYFUNCTION("""COMPUTED_VALUE"""),"UJUNGBERUNG")</f>
        <v>UJUNGBERUNG</v>
      </c>
      <c r="G1175" s="4" t="str">
        <f>IFERROR(__xludf.DUMMYFUNCTION("""COMPUTED_VALUE"""),"GI BANDUNG TIMUR")</f>
        <v>GI BANDUNG TIMUR</v>
      </c>
      <c r="H1175" s="4" t="str">
        <f>IFERROR(__xludf.DUMMYFUNCTION("""COMPUTED_VALUE"""),"TZB")</f>
        <v>TZB</v>
      </c>
      <c r="I1175" s="4" t="str">
        <f>IFERROR(__xludf.DUMMYFUNCTION("""COMPUTED_VALUE"""),"GH BNA - RPPB")</f>
        <v>GH BNA - RPPB</v>
      </c>
      <c r="J1175" s="4" t="str">
        <f>IFERROR(__xludf.DUMMYFUNCTION("""COMPUTED_VALUE"""),"ZONA 2")</f>
        <v>ZONA 2</v>
      </c>
      <c r="K1175" s="4" t="str">
        <f>IFERROR(__xludf.DUMMYFUNCTION("""COMPUTED_VALUE"""),"031")</f>
        <v>031</v>
      </c>
      <c r="L1175" s="4" t="str">
        <f>IFERROR(__xludf.DUMMYFUNCTION("""COMPUTED_VALUE"""),"TM - 7B/H (Afspan 90 Derajat)")</f>
        <v>TM - 7B/H (Afspan 90 Derajat)</v>
      </c>
      <c r="M1175" s="4" t="str">
        <f>IFERROR(__xludf.DUMMYFUNCTION("""COMPUTED_VALUE"""),"Tidak Ada")</f>
        <v>Tidak Ada</v>
      </c>
      <c r="N1175" s="4"/>
      <c r="O1175" s="4" t="str">
        <f>IFERROR(__xludf.DUMMYFUNCTION("""COMPUTED_VALUE"""),"PEMBANDING SEJENIS")</f>
        <v>PEMBANDING SEJENIS</v>
      </c>
      <c r="P1175" s="4" t="str">
        <f>IFERROR(__xludf.DUMMYFUNCTION("""COMPUTED_VALUE"""),"KONEKTOR/JUMPER")</f>
        <v>KONEKTOR/JUMPER</v>
      </c>
      <c r="Q1175" s="4">
        <f>IFERROR(__xludf.DUMMYFUNCTION("""COMPUTED_VALUE"""),24.0)</f>
        <v>24</v>
      </c>
      <c r="R1175" s="4">
        <f>IFERROR(__xludf.DUMMYFUNCTION("""COMPUTED_VALUE"""),23.0)</f>
        <v>23</v>
      </c>
      <c r="S1175" s="4">
        <f>IFERROR(__xludf.DUMMYFUNCTION("""COMPUTED_VALUE"""),24.0)</f>
        <v>24</v>
      </c>
      <c r="T1175" s="4"/>
      <c r="U1175" s="4" t="str">
        <f>IFERROR(__xludf.DUMMYFUNCTION("""COMPUTED_VALUE"""),"BAIK")</f>
        <v>BAIK</v>
      </c>
      <c r="V1175" s="4" t="str">
        <f>IFERROR(__xludf.DUMMYFUNCTION("""COMPUTED_VALUE"""),"Tidak Ada")</f>
        <v>Tidak Ada</v>
      </c>
      <c r="W1175" s="4"/>
      <c r="X1175" s="4"/>
      <c r="Y1175" s="4"/>
      <c r="Z1175" s="4"/>
      <c r="AA1175" s="4"/>
      <c r="AB1175" s="4"/>
      <c r="AC1175" s="4" t="str">
        <f>IFERROR(__xludf.DUMMYFUNCTION("""COMPUTED_VALUE"""),"INSPEKSI SUTM - T2_Images/1570fbaa.FOTO.064922.jpg")</f>
        <v>INSPEKSI SUTM - T2_Images/1570fbaa.FOTO.064922.jpg</v>
      </c>
      <c r="AD1175" s="4"/>
      <c r="AE1175" s="4"/>
      <c r="AF1175" s="4" t="str">
        <f>IFERROR(__xludf.DUMMYFUNCTION("""COMPUTED_VALUE"""),"BELUM")</f>
        <v>BELUM</v>
      </c>
      <c r="AG1175" s="6">
        <f>IFERROR(__xludf.DUMMYFUNCTION("""COMPUTED_VALUE"""),46140.0)</f>
        <v>46140</v>
      </c>
      <c r="AH1175" s="4"/>
      <c r="AI1175" s="4"/>
    </row>
    <row r="1176" ht="15.75" customHeight="1">
      <c r="A1176" s="4" t="str">
        <f>IFERROR(__xludf.DUMMYFUNCTION("""COMPUTED_VALUE"""),"81a11022")</f>
        <v>81a11022</v>
      </c>
      <c r="B1176" s="5">
        <f>IFERROR(__xludf.DUMMYFUNCTION("""COMPUTED_VALUE"""),46140.92377314815)</f>
        <v>46140.92377</v>
      </c>
      <c r="C1176" s="4" t="str">
        <f>IFERROR(__xludf.DUMMYFUNCTION("""COMPUTED_VALUE"""),"-6.913315, 107.694919")</f>
        <v>-6.913315, 107.694919</v>
      </c>
      <c r="D1176" s="4" t="str">
        <f>IFERROR(__xludf.DUMMYFUNCTION("""COMPUTED_VALUE"""),"Candra heri")</f>
        <v>Candra heri</v>
      </c>
      <c r="E1176" s="4" t="str">
        <f>IFERROR(__xludf.DUMMYFUNCTION("""COMPUTED_VALUE"""),"BANDUNG")</f>
        <v>BANDUNG</v>
      </c>
      <c r="F1176" s="4" t="str">
        <f>IFERROR(__xludf.DUMMYFUNCTION("""COMPUTED_VALUE"""),"UJUNGBERUNG")</f>
        <v>UJUNGBERUNG</v>
      </c>
      <c r="G1176" s="4" t="str">
        <f>IFERROR(__xludf.DUMMYFUNCTION("""COMPUTED_VALUE"""),"GI BANDUNG TIMUR")</f>
        <v>GI BANDUNG TIMUR</v>
      </c>
      <c r="H1176" s="4" t="str">
        <f>IFERROR(__xludf.DUMMYFUNCTION("""COMPUTED_VALUE"""),"TZB")</f>
        <v>TZB</v>
      </c>
      <c r="I1176" s="4" t="str">
        <f>IFERROR(__xludf.DUMMYFUNCTION("""COMPUTED_VALUE"""),"GH BNA - RPPB")</f>
        <v>GH BNA - RPPB</v>
      </c>
      <c r="J1176" s="4" t="str">
        <f>IFERROR(__xludf.DUMMYFUNCTION("""COMPUTED_VALUE"""),"ZONA 2")</f>
        <v>ZONA 2</v>
      </c>
      <c r="K1176" s="4" t="str">
        <f>IFERROR(__xludf.DUMMYFUNCTION("""COMPUTED_VALUE"""),"030")</f>
        <v>030</v>
      </c>
      <c r="L1176" s="4" t="str">
        <f>IFERROR(__xludf.DUMMYFUNCTION("""COMPUTED_VALUE"""),"TM - 1B/H (Tumpu)")</f>
        <v>TM - 1B/H (Tumpu)</v>
      </c>
      <c r="M1176" s="4" t="str">
        <f>IFERROR(__xludf.DUMMYFUNCTION("""COMPUTED_VALUE"""),"Tidak Ada")</f>
        <v>Tidak Ada</v>
      </c>
      <c r="N1176" s="4"/>
      <c r="O1176" s="4" t="str">
        <f>IFERROR(__xludf.DUMMYFUNCTION("""COMPUTED_VALUE"""),"PEMBANDING SEJENIS")</f>
        <v>PEMBANDING SEJENIS</v>
      </c>
      <c r="P1176" s="4" t="str">
        <f>IFERROR(__xludf.DUMMYFUNCTION("""COMPUTED_VALUE"""),"ARRESTER")</f>
        <v>ARRESTER</v>
      </c>
      <c r="Q1176" s="4">
        <f>IFERROR(__xludf.DUMMYFUNCTION("""COMPUTED_VALUE"""),23.0)</f>
        <v>23</v>
      </c>
      <c r="R1176" s="4">
        <f>IFERROR(__xludf.DUMMYFUNCTION("""COMPUTED_VALUE"""),24.0)</f>
        <v>24</v>
      </c>
      <c r="S1176" s="4">
        <f>IFERROR(__xludf.DUMMYFUNCTION("""COMPUTED_VALUE"""),24.0)</f>
        <v>24</v>
      </c>
      <c r="T1176" s="4"/>
      <c r="U1176" s="4" t="str">
        <f>IFERROR(__xludf.DUMMYFUNCTION("""COMPUTED_VALUE"""),"BAIK")</f>
        <v>BAIK</v>
      </c>
      <c r="V1176" s="4" t="str">
        <f>IFERROR(__xludf.DUMMYFUNCTION("""COMPUTED_VALUE"""),"Tidak Ada")</f>
        <v>Tidak Ada</v>
      </c>
      <c r="W1176" s="4"/>
      <c r="X1176" s="4"/>
      <c r="Y1176" s="4"/>
      <c r="Z1176" s="4"/>
      <c r="AA1176" s="4"/>
      <c r="AB1176" s="4"/>
      <c r="AC1176" s="4" t="str">
        <f>IFERROR(__xludf.DUMMYFUNCTION("""COMPUTED_VALUE"""),"INSPEKSI SUTM - T2_Images/81a11022.FOTO.065050.jpg")</f>
        <v>INSPEKSI SUTM - T2_Images/81a11022.FOTO.065050.jpg</v>
      </c>
      <c r="AD1176" s="4"/>
      <c r="AE1176" s="4"/>
      <c r="AF1176" s="4" t="str">
        <f>IFERROR(__xludf.DUMMYFUNCTION("""COMPUTED_VALUE"""),"BELUM")</f>
        <v>BELUM</v>
      </c>
      <c r="AG1176" s="6">
        <f>IFERROR(__xludf.DUMMYFUNCTION("""COMPUTED_VALUE"""),46140.0)</f>
        <v>46140</v>
      </c>
      <c r="AH1176" s="4"/>
      <c r="AI1176" s="4"/>
    </row>
    <row r="1177" ht="15.75" customHeight="1">
      <c r="A1177" s="4" t="str">
        <f>IFERROR(__xludf.DUMMYFUNCTION("""COMPUTED_VALUE"""),"2da7af75")</f>
        <v>2da7af75</v>
      </c>
      <c r="B1177" s="5">
        <f>IFERROR(__xludf.DUMMYFUNCTION("""COMPUTED_VALUE"""),46140.924837962964)</f>
        <v>46140.92484</v>
      </c>
      <c r="C1177" s="4" t="str">
        <f>IFERROR(__xludf.DUMMYFUNCTION("""COMPUTED_VALUE"""),"-6.913325, 107.694929")</f>
        <v>-6.913325, 107.694929</v>
      </c>
      <c r="D1177" s="4" t="str">
        <f>IFERROR(__xludf.DUMMYFUNCTION("""COMPUTED_VALUE"""),"Candra heri")</f>
        <v>Candra heri</v>
      </c>
      <c r="E1177" s="4" t="str">
        <f>IFERROR(__xludf.DUMMYFUNCTION("""COMPUTED_VALUE"""),"BANDUNG")</f>
        <v>BANDUNG</v>
      </c>
      <c r="F1177" s="4" t="str">
        <f>IFERROR(__xludf.DUMMYFUNCTION("""COMPUTED_VALUE"""),"UJUNGBERUNG")</f>
        <v>UJUNGBERUNG</v>
      </c>
      <c r="G1177" s="4" t="str">
        <f>IFERROR(__xludf.DUMMYFUNCTION("""COMPUTED_VALUE"""),"GI BANDUNG TIMUR")</f>
        <v>GI BANDUNG TIMUR</v>
      </c>
      <c r="H1177" s="4" t="str">
        <f>IFERROR(__xludf.DUMMYFUNCTION("""COMPUTED_VALUE"""),"TZB")</f>
        <v>TZB</v>
      </c>
      <c r="I1177" s="4" t="str">
        <f>IFERROR(__xludf.DUMMYFUNCTION("""COMPUTED_VALUE"""),"GH BNA - RPPB")</f>
        <v>GH BNA - RPPB</v>
      </c>
      <c r="J1177" s="4" t="str">
        <f>IFERROR(__xludf.DUMMYFUNCTION("""COMPUTED_VALUE"""),"ZONA 2")</f>
        <v>ZONA 2</v>
      </c>
      <c r="K1177" s="4" t="str">
        <f>IFERROR(__xludf.DUMMYFUNCTION("""COMPUTED_VALUE"""),"024R030")</f>
        <v>024R030</v>
      </c>
      <c r="L1177" s="4" t="str">
        <f>IFERROR(__xludf.DUMMYFUNCTION("""COMPUTED_VALUE"""),"TM - 7B/H (Afspan 90 Derajat)")</f>
        <v>TM - 7B/H (Afspan 90 Derajat)</v>
      </c>
      <c r="M1177" s="4" t="str">
        <f>IFERROR(__xludf.DUMMYFUNCTION("""COMPUTED_VALUE"""),"Tidak Ada")</f>
        <v>Tidak Ada</v>
      </c>
      <c r="N1177" s="4"/>
      <c r="O1177" s="4" t="str">
        <f>IFERROR(__xludf.DUMMYFUNCTION("""COMPUTED_VALUE"""),"PEMBANDING SEJENIS")</f>
        <v>PEMBANDING SEJENIS</v>
      </c>
      <c r="P1177" s="4" t="str">
        <f>IFERROR(__xludf.DUMMYFUNCTION("""COMPUTED_VALUE"""),"KONEKTOR/JUMPER")</f>
        <v>KONEKTOR/JUMPER</v>
      </c>
      <c r="Q1177" s="4">
        <f>IFERROR(__xludf.DUMMYFUNCTION("""COMPUTED_VALUE"""),24.0)</f>
        <v>24</v>
      </c>
      <c r="R1177" s="4">
        <f>IFERROR(__xludf.DUMMYFUNCTION("""COMPUTED_VALUE"""),24.0)</f>
        <v>24</v>
      </c>
      <c r="S1177" s="4">
        <f>IFERROR(__xludf.DUMMYFUNCTION("""COMPUTED_VALUE"""),24.0)</f>
        <v>24</v>
      </c>
      <c r="T1177" s="4"/>
      <c r="U1177" s="4" t="str">
        <f>IFERROR(__xludf.DUMMYFUNCTION("""COMPUTED_VALUE"""),"BAIK")</f>
        <v>BAIK</v>
      </c>
      <c r="V1177" s="4" t="str">
        <f>IFERROR(__xludf.DUMMYFUNCTION("""COMPUTED_VALUE"""),"Tidak Ada")</f>
        <v>Tidak Ada</v>
      </c>
      <c r="W1177" s="4"/>
      <c r="X1177" s="4"/>
      <c r="Y1177" s="4"/>
      <c r="Z1177" s="4"/>
      <c r="AA1177" s="4"/>
      <c r="AB1177" s="4"/>
      <c r="AC1177" s="4" t="str">
        <f>IFERROR(__xludf.DUMMYFUNCTION("""COMPUTED_VALUE"""),"INSPEKSI SUTM - T2_Images/2da7af75.FOTO.065210.jpg")</f>
        <v>INSPEKSI SUTM - T2_Images/2da7af75.FOTO.065210.jpg</v>
      </c>
      <c r="AD1177" s="4"/>
      <c r="AE1177" s="4"/>
      <c r="AF1177" s="4" t="str">
        <f>IFERROR(__xludf.DUMMYFUNCTION("""COMPUTED_VALUE"""),"BELUM")</f>
        <v>BELUM</v>
      </c>
      <c r="AG1177" s="6">
        <f>IFERROR(__xludf.DUMMYFUNCTION("""COMPUTED_VALUE"""),46140.0)</f>
        <v>46140</v>
      </c>
      <c r="AH1177" s="4"/>
      <c r="AI1177" s="4"/>
    </row>
    <row r="1178" ht="15.75" customHeight="1">
      <c r="A1178" s="4" t="str">
        <f>IFERROR(__xludf.DUMMYFUNCTION("""COMPUTED_VALUE"""),"f8b855c7")</f>
        <v>f8b855c7</v>
      </c>
      <c r="B1178" s="5">
        <f>IFERROR(__xludf.DUMMYFUNCTION("""COMPUTED_VALUE"""),46140.92673611111)</f>
        <v>46140.92674</v>
      </c>
      <c r="C1178" s="4" t="str">
        <f>IFERROR(__xludf.DUMMYFUNCTION("""COMPUTED_VALUE"""),"-6.913364, 107.694934")</f>
        <v>-6.913364, 107.694934</v>
      </c>
      <c r="D1178" s="4" t="str">
        <f>IFERROR(__xludf.DUMMYFUNCTION("""COMPUTED_VALUE"""),"Candra heri")</f>
        <v>Candra heri</v>
      </c>
      <c r="E1178" s="4" t="str">
        <f>IFERROR(__xludf.DUMMYFUNCTION("""COMPUTED_VALUE"""),"BANDUNG")</f>
        <v>BANDUNG</v>
      </c>
      <c r="F1178" s="4" t="str">
        <f>IFERROR(__xludf.DUMMYFUNCTION("""COMPUTED_VALUE"""),"UJUNGBERUNG")</f>
        <v>UJUNGBERUNG</v>
      </c>
      <c r="G1178" s="4" t="str">
        <f>IFERROR(__xludf.DUMMYFUNCTION("""COMPUTED_VALUE"""),"GI BANDUNG TIMUR")</f>
        <v>GI BANDUNG TIMUR</v>
      </c>
      <c r="H1178" s="4" t="str">
        <f>IFERROR(__xludf.DUMMYFUNCTION("""COMPUTED_VALUE"""),"TZB")</f>
        <v>TZB</v>
      </c>
      <c r="I1178" s="4" t="str">
        <f>IFERROR(__xludf.DUMMYFUNCTION("""COMPUTED_VALUE"""),"GH BNA - RPPB")</f>
        <v>GH BNA - RPPB</v>
      </c>
      <c r="J1178" s="4" t="str">
        <f>IFERROR(__xludf.DUMMYFUNCTION("""COMPUTED_VALUE"""),"ZONA 2")</f>
        <v>ZONA 2</v>
      </c>
      <c r="K1178" s="4" t="str">
        <f>IFERROR(__xludf.DUMMYFUNCTION("""COMPUTED_VALUE"""),"024R018R09")</f>
        <v>024R018R09</v>
      </c>
      <c r="L1178" s="4" t="str">
        <f>IFERROR(__xludf.DUMMYFUNCTION("""COMPUTED_VALUE"""),"TM - 1B/H (Tumpu)")</f>
        <v>TM - 1B/H (Tumpu)</v>
      </c>
      <c r="M1178" s="4" t="str">
        <f>IFERROR(__xludf.DUMMYFUNCTION("""COMPUTED_VALUE"""),"Tidak Ada")</f>
        <v>Tidak Ada</v>
      </c>
      <c r="N1178" s="4"/>
      <c r="O1178" s="4" t="str">
        <f>IFERROR(__xludf.DUMMYFUNCTION("""COMPUTED_VALUE"""),"PEMBANDING SEJENIS")</f>
        <v>PEMBANDING SEJENIS</v>
      </c>
      <c r="P1178" s="4" t="str">
        <f>IFERROR(__xludf.DUMMYFUNCTION("""COMPUTED_VALUE"""),"ARRESTER")</f>
        <v>ARRESTER</v>
      </c>
      <c r="Q1178" s="4">
        <f>IFERROR(__xludf.DUMMYFUNCTION("""COMPUTED_VALUE"""),23.0)</f>
        <v>23</v>
      </c>
      <c r="R1178" s="4">
        <f>IFERROR(__xludf.DUMMYFUNCTION("""COMPUTED_VALUE"""),23.0)</f>
        <v>23</v>
      </c>
      <c r="S1178" s="4">
        <f>IFERROR(__xludf.DUMMYFUNCTION("""COMPUTED_VALUE"""),23.0)</f>
        <v>23</v>
      </c>
      <c r="T1178" s="4"/>
      <c r="U1178" s="4" t="str">
        <f>IFERROR(__xludf.DUMMYFUNCTION("""COMPUTED_VALUE"""),"BAIK")</f>
        <v>BAIK</v>
      </c>
      <c r="V1178" s="4" t="str">
        <f>IFERROR(__xludf.DUMMYFUNCTION("""COMPUTED_VALUE"""),"Tidak Ada")</f>
        <v>Tidak Ada</v>
      </c>
      <c r="W1178" s="4"/>
      <c r="X1178" s="4"/>
      <c r="Y1178" s="4"/>
      <c r="Z1178" s="4"/>
      <c r="AA1178" s="4"/>
      <c r="AB1178" s="4"/>
      <c r="AC1178" s="4" t="str">
        <f>IFERROR(__xludf.DUMMYFUNCTION("""COMPUTED_VALUE"""),"INSPEKSI SUTM - T2_Images/f8b855c7.FOTO.065443.jpg")</f>
        <v>INSPEKSI SUTM - T2_Images/f8b855c7.FOTO.065443.jpg</v>
      </c>
      <c r="AD1178" s="4"/>
      <c r="AE1178" s="4"/>
      <c r="AF1178" s="4" t="str">
        <f>IFERROR(__xludf.DUMMYFUNCTION("""COMPUTED_VALUE"""),"BELUM")</f>
        <v>BELUM</v>
      </c>
      <c r="AG1178" s="6">
        <f>IFERROR(__xludf.DUMMYFUNCTION("""COMPUTED_VALUE"""),46140.0)</f>
        <v>46140</v>
      </c>
      <c r="AH1178" s="4"/>
      <c r="AI1178" s="4"/>
    </row>
    <row r="1179" ht="15.75" customHeight="1">
      <c r="A1179" s="4" t="str">
        <f>IFERROR(__xludf.DUMMYFUNCTION("""COMPUTED_VALUE"""),"99623bb7")</f>
        <v>99623bb7</v>
      </c>
      <c r="B1179" s="5">
        <f>IFERROR(__xludf.DUMMYFUNCTION("""COMPUTED_VALUE"""),46140.92744212963)</f>
        <v>46140.92744</v>
      </c>
      <c r="C1179" s="4" t="str">
        <f>IFERROR(__xludf.DUMMYFUNCTION("""COMPUTED_VALUE"""),"-6.913367, 107.694942")</f>
        <v>-6.913367, 107.694942</v>
      </c>
      <c r="D1179" s="4" t="str">
        <f>IFERROR(__xludf.DUMMYFUNCTION("""COMPUTED_VALUE"""),"Candra heri")</f>
        <v>Candra heri</v>
      </c>
      <c r="E1179" s="4" t="str">
        <f>IFERROR(__xludf.DUMMYFUNCTION("""COMPUTED_VALUE"""),"BANDUNG")</f>
        <v>BANDUNG</v>
      </c>
      <c r="F1179" s="4" t="str">
        <f>IFERROR(__xludf.DUMMYFUNCTION("""COMPUTED_VALUE"""),"UJUNGBERUNG")</f>
        <v>UJUNGBERUNG</v>
      </c>
      <c r="G1179" s="4" t="str">
        <f>IFERROR(__xludf.DUMMYFUNCTION("""COMPUTED_VALUE"""),"GI BANDUNG TIMUR")</f>
        <v>GI BANDUNG TIMUR</v>
      </c>
      <c r="H1179" s="4" t="str">
        <f>IFERROR(__xludf.DUMMYFUNCTION("""COMPUTED_VALUE"""),"TZB")</f>
        <v>TZB</v>
      </c>
      <c r="I1179" s="4" t="str">
        <f>IFERROR(__xludf.DUMMYFUNCTION("""COMPUTED_VALUE"""),"GH BNA - RPPB")</f>
        <v>GH BNA - RPPB</v>
      </c>
      <c r="J1179" s="4" t="str">
        <f>IFERROR(__xludf.DUMMYFUNCTION("""COMPUTED_VALUE"""),"ZONA 2")</f>
        <v>ZONA 2</v>
      </c>
      <c r="K1179" s="4" t="str">
        <f>IFERROR(__xludf.DUMMYFUNCTION("""COMPUTED_VALUE"""),"024R018R08")</f>
        <v>024R018R08</v>
      </c>
      <c r="L1179" s="4" t="str">
        <f>IFERROR(__xludf.DUMMYFUNCTION("""COMPUTED_VALUE"""),"TM - 8B/H (Percabangan)")</f>
        <v>TM - 8B/H (Percabangan)</v>
      </c>
      <c r="M1179" s="4" t="str">
        <f>IFERROR(__xludf.DUMMYFUNCTION("""COMPUTED_VALUE"""),"Tidak Ada")</f>
        <v>Tidak Ada</v>
      </c>
      <c r="N1179" s="4"/>
      <c r="O1179" s="4" t="str">
        <f>IFERROR(__xludf.DUMMYFUNCTION("""COMPUTED_VALUE"""),"PEMBANDING SEJENIS")</f>
        <v>PEMBANDING SEJENIS</v>
      </c>
      <c r="P1179" s="4" t="str">
        <f>IFERROR(__xludf.DUMMYFUNCTION("""COMPUTED_VALUE"""),"KONEKTOR/JUMPER")</f>
        <v>KONEKTOR/JUMPER</v>
      </c>
      <c r="Q1179" s="4">
        <f>IFERROR(__xludf.DUMMYFUNCTION("""COMPUTED_VALUE"""),22.0)</f>
        <v>22</v>
      </c>
      <c r="R1179" s="4">
        <f>IFERROR(__xludf.DUMMYFUNCTION("""COMPUTED_VALUE"""),22.0)</f>
        <v>22</v>
      </c>
      <c r="S1179" s="4">
        <f>IFERROR(__xludf.DUMMYFUNCTION("""COMPUTED_VALUE"""),22.0)</f>
        <v>22</v>
      </c>
      <c r="T1179" s="4"/>
      <c r="U1179" s="4" t="str">
        <f>IFERROR(__xludf.DUMMYFUNCTION("""COMPUTED_VALUE"""),"BAIK")</f>
        <v>BAIK</v>
      </c>
      <c r="V1179" s="4" t="str">
        <f>IFERROR(__xludf.DUMMYFUNCTION("""COMPUTED_VALUE"""),"Tidak Ada")</f>
        <v>Tidak Ada</v>
      </c>
      <c r="W1179" s="4"/>
      <c r="X1179" s="4"/>
      <c r="Y1179" s="4"/>
      <c r="Z1179" s="4"/>
      <c r="AA1179" s="4"/>
      <c r="AB1179" s="4"/>
      <c r="AC1179" s="4" t="str">
        <f>IFERROR(__xludf.DUMMYFUNCTION("""COMPUTED_VALUE"""),"INSPEKSI SUTM - T2_Images/99623bb7.FOTO.065535.jpg")</f>
        <v>INSPEKSI SUTM - T2_Images/99623bb7.FOTO.065535.jpg</v>
      </c>
      <c r="AD1179" s="4"/>
      <c r="AE1179" s="4"/>
      <c r="AF1179" s="4" t="str">
        <f>IFERROR(__xludf.DUMMYFUNCTION("""COMPUTED_VALUE"""),"BELUM")</f>
        <v>BELUM</v>
      </c>
      <c r="AG1179" s="6">
        <f>IFERROR(__xludf.DUMMYFUNCTION("""COMPUTED_VALUE"""),46140.0)</f>
        <v>46140</v>
      </c>
      <c r="AH1179" s="4"/>
      <c r="AI1179" s="4"/>
    </row>
    <row r="1180" ht="15.75" customHeight="1">
      <c r="A1180" s="4" t="str">
        <f>IFERROR(__xludf.DUMMYFUNCTION("""COMPUTED_VALUE"""),"236405b2")</f>
        <v>236405b2</v>
      </c>
      <c r="B1180" s="5">
        <f>IFERROR(__xludf.DUMMYFUNCTION("""COMPUTED_VALUE"""),46140.92805555555)</f>
        <v>46140.92806</v>
      </c>
      <c r="C1180" s="4" t="str">
        <f>IFERROR(__xludf.DUMMYFUNCTION("""COMPUTED_VALUE"""),"-6.913371, 107.694947")</f>
        <v>-6.913371, 107.694947</v>
      </c>
      <c r="D1180" s="4" t="str">
        <f>IFERROR(__xludf.DUMMYFUNCTION("""COMPUTED_VALUE"""),"Candra heri")</f>
        <v>Candra heri</v>
      </c>
      <c r="E1180" s="4" t="str">
        <f>IFERROR(__xludf.DUMMYFUNCTION("""COMPUTED_VALUE"""),"BANDUNG")</f>
        <v>BANDUNG</v>
      </c>
      <c r="F1180" s="4" t="str">
        <f>IFERROR(__xludf.DUMMYFUNCTION("""COMPUTED_VALUE"""),"UJUNGBERUNG")</f>
        <v>UJUNGBERUNG</v>
      </c>
      <c r="G1180" s="4" t="str">
        <f>IFERROR(__xludf.DUMMYFUNCTION("""COMPUTED_VALUE"""),"GI BANDUNG TIMUR")</f>
        <v>GI BANDUNG TIMUR</v>
      </c>
      <c r="H1180" s="4" t="str">
        <f>IFERROR(__xludf.DUMMYFUNCTION("""COMPUTED_VALUE"""),"TZB")</f>
        <v>TZB</v>
      </c>
      <c r="I1180" s="4" t="str">
        <f>IFERROR(__xludf.DUMMYFUNCTION("""COMPUTED_VALUE"""),"GH BNA - RPPB")</f>
        <v>GH BNA - RPPB</v>
      </c>
      <c r="J1180" s="4" t="str">
        <f>IFERROR(__xludf.DUMMYFUNCTION("""COMPUTED_VALUE"""),"ZONA 2")</f>
        <v>ZONA 2</v>
      </c>
      <c r="K1180" s="4" t="str">
        <f>IFERROR(__xludf.DUMMYFUNCTION("""COMPUTED_VALUE"""),"024R018R06")</f>
        <v>024R018R06</v>
      </c>
      <c r="L1180" s="4" t="str">
        <f>IFERROR(__xludf.DUMMYFUNCTION("""COMPUTED_VALUE"""),"TM - 7B/H (Afspan 90 Derajat)")</f>
        <v>TM - 7B/H (Afspan 90 Derajat)</v>
      </c>
      <c r="M1180" s="4" t="str">
        <f>IFERROR(__xludf.DUMMYFUNCTION("""COMPUTED_VALUE"""),"Tidak Ada")</f>
        <v>Tidak Ada</v>
      </c>
      <c r="N1180" s="4"/>
      <c r="O1180" s="4" t="str">
        <f>IFERROR(__xludf.DUMMYFUNCTION("""COMPUTED_VALUE"""),"PEMBANDING SEJENIS")</f>
        <v>PEMBANDING SEJENIS</v>
      </c>
      <c r="P1180" s="4" t="str">
        <f>IFERROR(__xludf.DUMMYFUNCTION("""COMPUTED_VALUE"""),"KONEKTOR/JUMPER")</f>
        <v>KONEKTOR/JUMPER</v>
      </c>
      <c r="Q1180" s="4">
        <f>IFERROR(__xludf.DUMMYFUNCTION("""COMPUTED_VALUE"""),23.0)</f>
        <v>23</v>
      </c>
      <c r="R1180" s="4">
        <f>IFERROR(__xludf.DUMMYFUNCTION("""COMPUTED_VALUE"""),23.0)</f>
        <v>23</v>
      </c>
      <c r="S1180" s="4">
        <f>IFERROR(__xludf.DUMMYFUNCTION("""COMPUTED_VALUE"""),23.0)</f>
        <v>23</v>
      </c>
      <c r="T1180" s="4"/>
      <c r="U1180" s="4" t="str">
        <f>IFERROR(__xludf.DUMMYFUNCTION("""COMPUTED_VALUE"""),"BAIK")</f>
        <v>BAIK</v>
      </c>
      <c r="V1180" s="4" t="str">
        <f>IFERROR(__xludf.DUMMYFUNCTION("""COMPUTED_VALUE"""),"Tidak Ada")</f>
        <v>Tidak Ada</v>
      </c>
      <c r="W1180" s="4"/>
      <c r="X1180" s="4"/>
      <c r="Y1180" s="4"/>
      <c r="Z1180" s="4"/>
      <c r="AA1180" s="4"/>
      <c r="AB1180" s="4"/>
      <c r="AC1180" s="4" t="str">
        <f>IFERROR(__xludf.DUMMYFUNCTION("""COMPUTED_VALUE"""),"INSPEKSI SUTM - T2_Images/236405b2.FOTO.065628.jpg")</f>
        <v>INSPEKSI SUTM - T2_Images/236405b2.FOTO.065628.jpg</v>
      </c>
      <c r="AD1180" s="4"/>
      <c r="AE1180" s="4"/>
      <c r="AF1180" s="4" t="str">
        <f>IFERROR(__xludf.DUMMYFUNCTION("""COMPUTED_VALUE"""),"BELUM")</f>
        <v>BELUM</v>
      </c>
      <c r="AG1180" s="6">
        <f>IFERROR(__xludf.DUMMYFUNCTION("""COMPUTED_VALUE"""),46140.0)</f>
        <v>46140</v>
      </c>
      <c r="AH1180" s="4"/>
      <c r="AI1180" s="4"/>
    </row>
    <row r="1181" ht="15.75" customHeight="1">
      <c r="A1181" s="4" t="str">
        <f>IFERROR(__xludf.DUMMYFUNCTION("""COMPUTED_VALUE"""),"5da37a13")</f>
        <v>5da37a13</v>
      </c>
      <c r="B1181" s="5">
        <f>IFERROR(__xludf.DUMMYFUNCTION("""COMPUTED_VALUE"""),46140.9287962963)</f>
        <v>46140.9288</v>
      </c>
      <c r="C1181" s="4" t="str">
        <f>IFERROR(__xludf.DUMMYFUNCTION("""COMPUTED_VALUE"""),"-6.913378, 107.694961")</f>
        <v>-6.913378, 107.694961</v>
      </c>
      <c r="D1181" s="4" t="str">
        <f>IFERROR(__xludf.DUMMYFUNCTION("""COMPUTED_VALUE"""),"Candra heri")</f>
        <v>Candra heri</v>
      </c>
      <c r="E1181" s="4" t="str">
        <f>IFERROR(__xludf.DUMMYFUNCTION("""COMPUTED_VALUE"""),"BANDUNG")</f>
        <v>BANDUNG</v>
      </c>
      <c r="F1181" s="4" t="str">
        <f>IFERROR(__xludf.DUMMYFUNCTION("""COMPUTED_VALUE"""),"UJUNGBERUNG")</f>
        <v>UJUNGBERUNG</v>
      </c>
      <c r="G1181" s="4" t="str">
        <f>IFERROR(__xludf.DUMMYFUNCTION("""COMPUTED_VALUE"""),"GI BANDUNG TIMUR")</f>
        <v>GI BANDUNG TIMUR</v>
      </c>
      <c r="H1181" s="4" t="str">
        <f>IFERROR(__xludf.DUMMYFUNCTION("""COMPUTED_VALUE"""),"TZB")</f>
        <v>TZB</v>
      </c>
      <c r="I1181" s="4" t="str">
        <f>IFERROR(__xludf.DUMMYFUNCTION("""COMPUTED_VALUE"""),"GH BNA - RPPB")</f>
        <v>GH BNA - RPPB</v>
      </c>
      <c r="J1181" s="4" t="str">
        <f>IFERROR(__xludf.DUMMYFUNCTION("""COMPUTED_VALUE"""),"ZONA 2")</f>
        <v>ZONA 2</v>
      </c>
      <c r="K1181" s="4" t="str">
        <f>IFERROR(__xludf.DUMMYFUNCTION("""COMPUTED_VALUE"""),"024R018R05R06")</f>
        <v>024R018R05R06</v>
      </c>
      <c r="L1181" s="4" t="str">
        <f>IFERROR(__xludf.DUMMYFUNCTION("""COMPUTED_VALUE"""),"TM - 13B/H (Kabel Naik Pada Tiang Tumpu)")</f>
        <v>TM - 13B/H (Kabel Naik Pada Tiang Tumpu)</v>
      </c>
      <c r="M1181" s="4" t="str">
        <f>IFERROR(__xludf.DUMMYFUNCTION("""COMPUTED_VALUE"""),"Gardu")</f>
        <v>Gardu</v>
      </c>
      <c r="N1181" s="4" t="str">
        <f>IFERROR(__xludf.DUMMYFUNCTION("""COMPUTED_VALUE"""),"A")</f>
        <v>A</v>
      </c>
      <c r="O1181" s="4" t="str">
        <f>IFERROR(__xludf.DUMMYFUNCTION("""COMPUTED_VALUE"""),"PEMBANDING SEJENIS")</f>
        <v>PEMBANDING SEJENIS</v>
      </c>
      <c r="P1181" s="4" t="str">
        <f>IFERROR(__xludf.DUMMYFUNCTION("""COMPUTED_VALUE"""),"TERMINASI")</f>
        <v>TERMINASI</v>
      </c>
      <c r="Q1181" s="4">
        <f>IFERROR(__xludf.DUMMYFUNCTION("""COMPUTED_VALUE"""),23.0)</f>
        <v>23</v>
      </c>
      <c r="R1181" s="4">
        <f>IFERROR(__xludf.DUMMYFUNCTION("""COMPUTED_VALUE"""),23.0)</f>
        <v>23</v>
      </c>
      <c r="S1181" s="4">
        <f>IFERROR(__xludf.DUMMYFUNCTION("""COMPUTED_VALUE"""),23.0)</f>
        <v>23</v>
      </c>
      <c r="T1181" s="4"/>
      <c r="U1181" s="4" t="str">
        <f>IFERROR(__xludf.DUMMYFUNCTION("""COMPUTED_VALUE"""),"BAIK")</f>
        <v>BAIK</v>
      </c>
      <c r="V1181" s="4" t="str">
        <f>IFERROR(__xludf.DUMMYFUNCTION("""COMPUTED_VALUE"""),"Tidak Ada")</f>
        <v>Tidak Ada</v>
      </c>
      <c r="W1181" s="4"/>
      <c r="X1181" s="4"/>
      <c r="Y1181" s="4"/>
      <c r="Z1181" s="4"/>
      <c r="AA1181" s="4"/>
      <c r="AB1181" s="4"/>
      <c r="AC1181" s="4" t="str">
        <f>IFERROR(__xludf.DUMMYFUNCTION("""COMPUTED_VALUE"""),"INSPEKSI SUTM - T2_Images/5da37a13.FOTO.065758.jpg")</f>
        <v>INSPEKSI SUTM - T2_Images/5da37a13.FOTO.065758.jpg</v>
      </c>
      <c r="AD1181" s="4"/>
      <c r="AE1181" s="4"/>
      <c r="AF1181" s="4" t="str">
        <f>IFERROR(__xludf.DUMMYFUNCTION("""COMPUTED_VALUE"""),"BELUM")</f>
        <v>BELUM</v>
      </c>
      <c r="AG1181" s="6">
        <f>IFERROR(__xludf.DUMMYFUNCTION("""COMPUTED_VALUE"""),46140.0)</f>
        <v>46140</v>
      </c>
      <c r="AH1181" s="4"/>
      <c r="AI1181" s="4"/>
    </row>
    <row r="1182" ht="15.75" customHeight="1">
      <c r="A1182" s="4" t="str">
        <f>IFERROR(__xludf.DUMMYFUNCTION("""COMPUTED_VALUE"""),"d4e2670b")</f>
        <v>d4e2670b</v>
      </c>
      <c r="B1182" s="5">
        <f>IFERROR(__xludf.DUMMYFUNCTION("""COMPUTED_VALUE"""),46140.92972222222)</f>
        <v>46140.92972</v>
      </c>
      <c r="C1182" s="4" t="str">
        <f>IFERROR(__xludf.DUMMYFUNCTION("""COMPUTED_VALUE"""),"-6.913399, 107.694972")</f>
        <v>-6.913399, 107.694972</v>
      </c>
      <c r="D1182" s="4" t="str">
        <f>IFERROR(__xludf.DUMMYFUNCTION("""COMPUTED_VALUE"""),"Candra heri")</f>
        <v>Candra heri</v>
      </c>
      <c r="E1182" s="4" t="str">
        <f>IFERROR(__xludf.DUMMYFUNCTION("""COMPUTED_VALUE"""),"BANDUNG")</f>
        <v>BANDUNG</v>
      </c>
      <c r="F1182" s="4" t="str">
        <f>IFERROR(__xludf.DUMMYFUNCTION("""COMPUTED_VALUE"""),"UJUNGBERUNG")</f>
        <v>UJUNGBERUNG</v>
      </c>
      <c r="G1182" s="4" t="str">
        <f>IFERROR(__xludf.DUMMYFUNCTION("""COMPUTED_VALUE"""),"GI BANDUNG TIMUR")</f>
        <v>GI BANDUNG TIMUR</v>
      </c>
      <c r="H1182" s="4" t="str">
        <f>IFERROR(__xludf.DUMMYFUNCTION("""COMPUTED_VALUE"""),"TZB")</f>
        <v>TZB</v>
      </c>
      <c r="I1182" s="4" t="str">
        <f>IFERROR(__xludf.DUMMYFUNCTION("""COMPUTED_VALUE"""),"GH BNA - RPPB")</f>
        <v>GH BNA - RPPB</v>
      </c>
      <c r="J1182" s="4" t="str">
        <f>IFERROR(__xludf.DUMMYFUNCTION("""COMPUTED_VALUE"""),"ZONA 2")</f>
        <v>ZONA 2</v>
      </c>
      <c r="K1182" s="4" t="str">
        <f>IFERROR(__xludf.DUMMYFUNCTION("""COMPUTED_VALUE"""),"024R018R05R04")</f>
        <v>024R018R05R04</v>
      </c>
      <c r="L1182" s="4" t="str">
        <f>IFERROR(__xludf.DUMMYFUNCTION("""COMPUTED_VALUE"""),"TM - 7B/H (Afspan 90 Derajat)")</f>
        <v>TM - 7B/H (Afspan 90 Derajat)</v>
      </c>
      <c r="M1182" s="4" t="str">
        <f>IFERROR(__xludf.DUMMYFUNCTION("""COMPUTED_VALUE"""),"Tidak Ada")</f>
        <v>Tidak Ada</v>
      </c>
      <c r="N1182" s="4"/>
      <c r="O1182" s="4" t="str">
        <f>IFERROR(__xludf.DUMMYFUNCTION("""COMPUTED_VALUE"""),"PEMBANDING SEJENIS")</f>
        <v>PEMBANDING SEJENIS</v>
      </c>
      <c r="P1182" s="4" t="str">
        <f>IFERROR(__xludf.DUMMYFUNCTION("""COMPUTED_VALUE"""),"KONEKTOR/JUMPER")</f>
        <v>KONEKTOR/JUMPER</v>
      </c>
      <c r="Q1182" s="4">
        <f>IFERROR(__xludf.DUMMYFUNCTION("""COMPUTED_VALUE"""),21.0)</f>
        <v>21</v>
      </c>
      <c r="R1182" s="4">
        <f>IFERROR(__xludf.DUMMYFUNCTION("""COMPUTED_VALUE"""),22.0)</f>
        <v>22</v>
      </c>
      <c r="S1182" s="4">
        <f>IFERROR(__xludf.DUMMYFUNCTION("""COMPUTED_VALUE"""),22.0)</f>
        <v>22</v>
      </c>
      <c r="T1182" s="4"/>
      <c r="U1182" s="4" t="str">
        <f>IFERROR(__xludf.DUMMYFUNCTION("""COMPUTED_VALUE"""),"BAIK")</f>
        <v>BAIK</v>
      </c>
      <c r="V1182" s="4" t="str">
        <f>IFERROR(__xludf.DUMMYFUNCTION("""COMPUTED_VALUE"""),"Tidak Ada")</f>
        <v>Tidak Ada</v>
      </c>
      <c r="W1182" s="4"/>
      <c r="X1182" s="4"/>
      <c r="Y1182" s="4"/>
      <c r="Z1182" s="4"/>
      <c r="AA1182" s="4"/>
      <c r="AB1182" s="4"/>
      <c r="AC1182" s="4" t="str">
        <f>IFERROR(__xludf.DUMMYFUNCTION("""COMPUTED_VALUE"""),"INSPEKSI SUTM - T2_Images/d4e2670b.FOTO.065855.jpg")</f>
        <v>INSPEKSI SUTM - T2_Images/d4e2670b.FOTO.065855.jpg</v>
      </c>
      <c r="AD1182" s="4"/>
      <c r="AE1182" s="4"/>
      <c r="AF1182" s="4" t="str">
        <f>IFERROR(__xludf.DUMMYFUNCTION("""COMPUTED_VALUE"""),"BELUM")</f>
        <v>BELUM</v>
      </c>
      <c r="AG1182" s="6">
        <f>IFERROR(__xludf.DUMMYFUNCTION("""COMPUTED_VALUE"""),46140.0)</f>
        <v>46140</v>
      </c>
      <c r="AH1182" s="4"/>
      <c r="AI1182" s="4"/>
    </row>
    <row r="1183" ht="15.75" customHeight="1">
      <c r="A1183" s="4" t="str">
        <f>IFERROR(__xludf.DUMMYFUNCTION("""COMPUTED_VALUE"""),"110b5372")</f>
        <v>110b5372</v>
      </c>
      <c r="B1183" s="5">
        <f>IFERROR(__xludf.DUMMYFUNCTION("""COMPUTED_VALUE"""),46140.93041666667)</f>
        <v>46140.93042</v>
      </c>
      <c r="C1183" s="4" t="str">
        <f>IFERROR(__xludf.DUMMYFUNCTION("""COMPUTED_VALUE"""),"-6.913398, 107.694982")</f>
        <v>-6.913398, 107.694982</v>
      </c>
      <c r="D1183" s="4" t="str">
        <f>IFERROR(__xludf.DUMMYFUNCTION("""COMPUTED_VALUE"""),"Candra heri")</f>
        <v>Candra heri</v>
      </c>
      <c r="E1183" s="4" t="str">
        <f>IFERROR(__xludf.DUMMYFUNCTION("""COMPUTED_VALUE"""),"BANDUNG")</f>
        <v>BANDUNG</v>
      </c>
      <c r="F1183" s="4" t="str">
        <f>IFERROR(__xludf.DUMMYFUNCTION("""COMPUTED_VALUE"""),"UJUNGBERUNG")</f>
        <v>UJUNGBERUNG</v>
      </c>
      <c r="G1183" s="4" t="str">
        <f>IFERROR(__xludf.DUMMYFUNCTION("""COMPUTED_VALUE"""),"GI BANDUNG TIMUR")</f>
        <v>GI BANDUNG TIMUR</v>
      </c>
      <c r="H1183" s="4" t="str">
        <f>IFERROR(__xludf.DUMMYFUNCTION("""COMPUTED_VALUE"""),"TZB")</f>
        <v>TZB</v>
      </c>
      <c r="I1183" s="4" t="str">
        <f>IFERROR(__xludf.DUMMYFUNCTION("""COMPUTED_VALUE"""),"GH BNA - RPPB")</f>
        <v>GH BNA - RPPB</v>
      </c>
      <c r="J1183" s="4" t="str">
        <f>IFERROR(__xludf.DUMMYFUNCTION("""COMPUTED_VALUE"""),"ZONA 2")</f>
        <v>ZONA 2</v>
      </c>
      <c r="K1183" s="4" t="str">
        <f>IFERROR(__xludf.DUMMYFUNCTION("""COMPUTED_VALUE"""),"024R018R05R03")</f>
        <v>024R018R05R03</v>
      </c>
      <c r="L1183" s="4" t="str">
        <f>IFERROR(__xludf.DUMMYFUNCTION("""COMPUTED_VALUE"""),"TM - 1B/H (Tumpu)")</f>
        <v>TM - 1B/H (Tumpu)</v>
      </c>
      <c r="M1183" s="4" t="str">
        <f>IFERROR(__xludf.DUMMYFUNCTION("""COMPUTED_VALUE"""),"Tidak Ada")</f>
        <v>Tidak Ada</v>
      </c>
      <c r="N1183" s="4"/>
      <c r="O1183" s="4" t="str">
        <f>IFERROR(__xludf.DUMMYFUNCTION("""COMPUTED_VALUE"""),"PEMBANDING SEJENIS")</f>
        <v>PEMBANDING SEJENIS</v>
      </c>
      <c r="P1183" s="4" t="str">
        <f>IFERROR(__xludf.DUMMYFUNCTION("""COMPUTED_VALUE"""),"ARRESTER")</f>
        <v>ARRESTER</v>
      </c>
      <c r="Q1183" s="4">
        <f>IFERROR(__xludf.DUMMYFUNCTION("""COMPUTED_VALUE"""),23.0)</f>
        <v>23</v>
      </c>
      <c r="R1183" s="4">
        <f>IFERROR(__xludf.DUMMYFUNCTION("""COMPUTED_VALUE"""),23.0)</f>
        <v>23</v>
      </c>
      <c r="S1183" s="4">
        <f>IFERROR(__xludf.DUMMYFUNCTION("""COMPUTED_VALUE"""),23.0)</f>
        <v>23</v>
      </c>
      <c r="T1183" s="4"/>
      <c r="U1183" s="4" t="str">
        <f>IFERROR(__xludf.DUMMYFUNCTION("""COMPUTED_VALUE"""),"BAIK")</f>
        <v>BAIK</v>
      </c>
      <c r="V1183" s="4" t="str">
        <f>IFERROR(__xludf.DUMMYFUNCTION("""COMPUTED_VALUE"""),"Tidak Ada")</f>
        <v>Tidak Ada</v>
      </c>
      <c r="W1183" s="4"/>
      <c r="X1183" s="4"/>
      <c r="Y1183" s="4"/>
      <c r="Z1183" s="4"/>
      <c r="AA1183" s="4"/>
      <c r="AB1183" s="4"/>
      <c r="AC1183" s="4" t="str">
        <f>IFERROR(__xludf.DUMMYFUNCTION("""COMPUTED_VALUE"""),"INSPEKSI SUTM - T2_Images/110b5372.FOTO.070022.jpg")</f>
        <v>INSPEKSI SUTM - T2_Images/110b5372.FOTO.070022.jpg</v>
      </c>
      <c r="AD1183" s="4"/>
      <c r="AE1183" s="4"/>
      <c r="AF1183" s="4" t="str">
        <f>IFERROR(__xludf.DUMMYFUNCTION("""COMPUTED_VALUE"""),"BELUM")</f>
        <v>BELUM</v>
      </c>
      <c r="AG1183" s="6">
        <f>IFERROR(__xludf.DUMMYFUNCTION("""COMPUTED_VALUE"""),46140.0)</f>
        <v>46140</v>
      </c>
      <c r="AH1183" s="4"/>
      <c r="AI1183" s="4"/>
    </row>
    <row r="1184" ht="15.75" customHeight="1">
      <c r="A1184" s="4" t="str">
        <f>IFERROR(__xludf.DUMMYFUNCTION("""COMPUTED_VALUE"""),"2c9860ef")</f>
        <v>2c9860ef</v>
      </c>
      <c r="B1184" s="5">
        <f>IFERROR(__xludf.DUMMYFUNCTION("""COMPUTED_VALUE"""),46140.9312037037)</f>
        <v>46140.9312</v>
      </c>
      <c r="C1184" s="4" t="str">
        <f>IFERROR(__xludf.DUMMYFUNCTION("""COMPUTED_VALUE"""),"-6.913413, 107.694974")</f>
        <v>-6.913413, 107.694974</v>
      </c>
      <c r="D1184" s="4" t="str">
        <f>IFERROR(__xludf.DUMMYFUNCTION("""COMPUTED_VALUE"""),"Candra heri")</f>
        <v>Candra heri</v>
      </c>
      <c r="E1184" s="4" t="str">
        <f>IFERROR(__xludf.DUMMYFUNCTION("""COMPUTED_VALUE"""),"BANDUNG")</f>
        <v>BANDUNG</v>
      </c>
      <c r="F1184" s="4" t="str">
        <f>IFERROR(__xludf.DUMMYFUNCTION("""COMPUTED_VALUE"""),"UJUNGBERUNG")</f>
        <v>UJUNGBERUNG</v>
      </c>
      <c r="G1184" s="4" t="str">
        <f>IFERROR(__xludf.DUMMYFUNCTION("""COMPUTED_VALUE"""),"GI BANDUNG TIMUR")</f>
        <v>GI BANDUNG TIMUR</v>
      </c>
      <c r="H1184" s="4" t="str">
        <f>IFERROR(__xludf.DUMMYFUNCTION("""COMPUTED_VALUE"""),"TZB")</f>
        <v>TZB</v>
      </c>
      <c r="I1184" s="4" t="str">
        <f>IFERROR(__xludf.DUMMYFUNCTION("""COMPUTED_VALUE"""),"GH BNA - RPPB")</f>
        <v>GH BNA - RPPB</v>
      </c>
      <c r="J1184" s="4" t="str">
        <f>IFERROR(__xludf.DUMMYFUNCTION("""COMPUTED_VALUE"""),"ZONA 2")</f>
        <v>ZONA 2</v>
      </c>
      <c r="K1184" s="4" t="str">
        <f>IFERROR(__xludf.DUMMYFUNCTION("""COMPUTED_VALUE"""),"024R018R05R06")</f>
        <v>024R018R05R06</v>
      </c>
      <c r="L1184" s="4" t="str">
        <f>IFERROR(__xludf.DUMMYFUNCTION("""COMPUTED_VALUE"""),"TM - 2B/H (Double Tumpu)")</f>
        <v>TM - 2B/H (Double Tumpu)</v>
      </c>
      <c r="M1184" s="4" t="str">
        <f>IFERROR(__xludf.DUMMYFUNCTION("""COMPUTED_VALUE"""),"Tidak Ada")</f>
        <v>Tidak Ada</v>
      </c>
      <c r="N1184" s="4"/>
      <c r="O1184" s="4" t="str">
        <f>IFERROR(__xludf.DUMMYFUNCTION("""COMPUTED_VALUE"""),"PEMBANDING SEJENIS")</f>
        <v>PEMBANDING SEJENIS</v>
      </c>
      <c r="P1184" s="4" t="str">
        <f>IFERROR(__xludf.DUMMYFUNCTION("""COMPUTED_VALUE"""),"ARRESTER")</f>
        <v>ARRESTER</v>
      </c>
      <c r="Q1184" s="4">
        <f>IFERROR(__xludf.DUMMYFUNCTION("""COMPUTED_VALUE"""),23.0)</f>
        <v>23</v>
      </c>
      <c r="R1184" s="4">
        <f>IFERROR(__xludf.DUMMYFUNCTION("""COMPUTED_VALUE"""),23.0)</f>
        <v>23</v>
      </c>
      <c r="S1184" s="4">
        <f>IFERROR(__xludf.DUMMYFUNCTION("""COMPUTED_VALUE"""),23.0)</f>
        <v>23</v>
      </c>
      <c r="T1184" s="4"/>
      <c r="U1184" s="4" t="str">
        <f>IFERROR(__xludf.DUMMYFUNCTION("""COMPUTED_VALUE"""),"BAIK")</f>
        <v>BAIK</v>
      </c>
      <c r="V1184" s="4" t="str">
        <f>IFERROR(__xludf.DUMMYFUNCTION("""COMPUTED_VALUE"""),"Tidak Ada")</f>
        <v>Tidak Ada</v>
      </c>
      <c r="W1184" s="4"/>
      <c r="X1184" s="4"/>
      <c r="Y1184" s="4"/>
      <c r="Z1184" s="4"/>
      <c r="AA1184" s="4"/>
      <c r="AB1184" s="4"/>
      <c r="AC1184" s="4" t="str">
        <f>IFERROR(__xludf.DUMMYFUNCTION("""COMPUTED_VALUE"""),"INSPEKSI SUTM - T2_Images/2c9860ef.FOTO.070423.jpg")</f>
        <v>INSPEKSI SUTM - T2_Images/2c9860ef.FOTO.070423.jpg</v>
      </c>
      <c r="AD1184" s="4"/>
      <c r="AE1184" s="4"/>
      <c r="AF1184" s="4" t="str">
        <f>IFERROR(__xludf.DUMMYFUNCTION("""COMPUTED_VALUE"""),"BELUM")</f>
        <v>BELUM</v>
      </c>
      <c r="AG1184" s="6">
        <f>IFERROR(__xludf.DUMMYFUNCTION("""COMPUTED_VALUE"""),46140.0)</f>
        <v>46140</v>
      </c>
      <c r="AH1184" s="4"/>
      <c r="AI1184" s="4"/>
    </row>
    <row r="1185" ht="15.75" customHeight="1">
      <c r="A1185" s="4" t="str">
        <f>IFERROR(__xludf.DUMMYFUNCTION("""COMPUTED_VALUE"""),"583cb1e5")</f>
        <v>583cb1e5</v>
      </c>
      <c r="B1185" s="5">
        <f>IFERROR(__xludf.DUMMYFUNCTION("""COMPUTED_VALUE"""),46140.8662962963)</f>
        <v>46140.8663</v>
      </c>
      <c r="C1185" s="4" t="str">
        <f>IFERROR(__xludf.DUMMYFUNCTION("""COMPUTED_VALUE"""),"-6.936806, 107.732564")</f>
        <v>-6.936806, 107.732564</v>
      </c>
      <c r="D1185" s="4" t="str">
        <f>IFERROR(__xludf.DUMMYFUNCTION("""COMPUTED_VALUE"""),"Canra heei")</f>
        <v>Canra heei</v>
      </c>
      <c r="E1185" s="4" t="str">
        <f>IFERROR(__xludf.DUMMYFUNCTION("""COMPUTED_VALUE"""),"BANDUNG")</f>
        <v>BANDUNG</v>
      </c>
      <c r="F1185" s="4" t="str">
        <f>IFERROR(__xludf.DUMMYFUNCTION("""COMPUTED_VALUE"""),"UJUNGBERUNG")</f>
        <v>UJUNGBERUNG</v>
      </c>
      <c r="G1185" s="4" t="str">
        <f>IFERROR(__xludf.DUMMYFUNCTION("""COMPUTED_VALUE"""),"UJUNGBERUNG")</f>
        <v>UJUNGBERUNG</v>
      </c>
      <c r="H1185" s="4" t="str">
        <f>IFERROR(__xludf.DUMMYFUNCTION("""COMPUTED_VALUE"""),"CLNI")</f>
        <v>CLNI</v>
      </c>
      <c r="I1185" s="4" t="str">
        <f>IFERROR(__xludf.DUMMYFUNCTION("""COMPUTED_VALUE"""),"GI UBRNG - REC.CBL")</f>
        <v>GI UBRNG - REC.CBL</v>
      </c>
      <c r="J1185" s="4" t="str">
        <f>IFERROR(__xludf.DUMMYFUNCTION("""COMPUTED_VALUE"""),"ZONA 1")</f>
        <v>ZONA 1</v>
      </c>
      <c r="K1185" s="4" t="str">
        <f>IFERROR(__xludf.DUMMYFUNCTION("""COMPUTED_VALUE"""),"001")</f>
        <v>001</v>
      </c>
      <c r="L1185" s="4" t="str">
        <f>IFERROR(__xludf.DUMMYFUNCTION("""COMPUTED_VALUE"""),"TM - 11B/H (Kabel Naik)")</f>
        <v>TM - 11B/H (Kabel Naik)</v>
      </c>
      <c r="M1185" s="4" t="str">
        <f>IFERROR(__xludf.DUMMYFUNCTION("""COMPUTED_VALUE"""),"Tidak Ada")</f>
        <v>Tidak Ada</v>
      </c>
      <c r="N1185" s="4"/>
      <c r="O1185" s="4" t="str">
        <f>IFERROR(__xludf.DUMMYFUNCTION("""COMPUTED_VALUE"""),"PEMBANDING SEJENIS")</f>
        <v>PEMBANDING SEJENIS</v>
      </c>
      <c r="P1185" s="4" t="str">
        <f>IFERROR(__xludf.DUMMYFUNCTION("""COMPUTED_VALUE"""),"TERMINASI")</f>
        <v>TERMINASI</v>
      </c>
      <c r="Q1185" s="4">
        <f>IFERROR(__xludf.DUMMYFUNCTION("""COMPUTED_VALUE"""),24.0)</f>
        <v>24</v>
      </c>
      <c r="R1185" s="4">
        <f>IFERROR(__xludf.DUMMYFUNCTION("""COMPUTED_VALUE"""),24.0)</f>
        <v>24</v>
      </c>
      <c r="S1185" s="4">
        <f>IFERROR(__xludf.DUMMYFUNCTION("""COMPUTED_VALUE"""),24.0)</f>
        <v>24</v>
      </c>
      <c r="T1185" s="4"/>
      <c r="U1185" s="4" t="str">
        <f>IFERROR(__xludf.DUMMYFUNCTION("""COMPUTED_VALUE"""),"BAIK")</f>
        <v>BAIK</v>
      </c>
      <c r="V1185" s="4" t="str">
        <f>IFERROR(__xludf.DUMMYFUNCTION("""COMPUTED_VALUE"""),"Tidak Ada")</f>
        <v>Tidak Ada</v>
      </c>
      <c r="W1185" s="4"/>
      <c r="X1185" s="4"/>
      <c r="Y1185" s="4"/>
      <c r="Z1185" s="4"/>
      <c r="AA1185" s="4"/>
      <c r="AB1185" s="4"/>
      <c r="AC1185" s="4" t="str">
        <f>IFERROR(__xludf.DUMMYFUNCTION("""COMPUTED_VALUE"""),"INSPEKSI SUTM - T2_Images/583cb1e5.FOTO.135320.jpg")</f>
        <v>INSPEKSI SUTM - T2_Images/583cb1e5.FOTO.135320.jpg</v>
      </c>
      <c r="AD1185" s="4"/>
      <c r="AE1185" s="4"/>
      <c r="AF1185" s="4" t="str">
        <f>IFERROR(__xludf.DUMMYFUNCTION("""COMPUTED_VALUE"""),"BELUM")</f>
        <v>BELUM</v>
      </c>
      <c r="AG1185" s="6">
        <f>IFERROR(__xludf.DUMMYFUNCTION("""COMPUTED_VALUE"""),46140.0)</f>
        <v>46140</v>
      </c>
      <c r="AH1185" s="4"/>
      <c r="AI1185" s="4"/>
    </row>
    <row r="1186" ht="15.75" customHeight="1">
      <c r="A1186" s="4" t="str">
        <f>IFERROR(__xludf.DUMMYFUNCTION("""COMPUTED_VALUE"""),"4947b54a")</f>
        <v>4947b54a</v>
      </c>
      <c r="B1186" s="5">
        <f>IFERROR(__xludf.DUMMYFUNCTION("""COMPUTED_VALUE"""),46140.86754629629)</f>
        <v>46140.86755</v>
      </c>
      <c r="C1186" s="4" t="str">
        <f>IFERROR(__xludf.DUMMYFUNCTION("""COMPUTED_VALUE"""),"-6.936727, 107.732722")</f>
        <v>-6.936727, 107.732722</v>
      </c>
      <c r="D1186" s="4" t="str">
        <f>IFERROR(__xludf.DUMMYFUNCTION("""COMPUTED_VALUE"""),"Canra heei")</f>
        <v>Canra heei</v>
      </c>
      <c r="E1186" s="4" t="str">
        <f>IFERROR(__xludf.DUMMYFUNCTION("""COMPUTED_VALUE"""),"BANDUNG")</f>
        <v>BANDUNG</v>
      </c>
      <c r="F1186" s="4" t="str">
        <f>IFERROR(__xludf.DUMMYFUNCTION("""COMPUTED_VALUE"""),"UJUNGBERUNG")</f>
        <v>UJUNGBERUNG</v>
      </c>
      <c r="G1186" s="4" t="str">
        <f>IFERROR(__xludf.DUMMYFUNCTION("""COMPUTED_VALUE"""),"UJUNGBERUNG")</f>
        <v>UJUNGBERUNG</v>
      </c>
      <c r="H1186" s="4" t="str">
        <f>IFERROR(__xludf.DUMMYFUNCTION("""COMPUTED_VALUE"""),"CLNI")</f>
        <v>CLNI</v>
      </c>
      <c r="I1186" s="4" t="str">
        <f>IFERROR(__xludf.DUMMYFUNCTION("""COMPUTED_VALUE"""),"GI UBRNG - REC.CBL")</f>
        <v>GI UBRNG - REC.CBL</v>
      </c>
      <c r="J1186" s="4" t="str">
        <f>IFERROR(__xludf.DUMMYFUNCTION("""COMPUTED_VALUE"""),"ZONA 1")</f>
        <v>ZONA 1</v>
      </c>
      <c r="K1186" s="4" t="str">
        <f>IFERROR(__xludf.DUMMYFUNCTION("""COMPUTED_VALUE"""),"003")</f>
        <v>003</v>
      </c>
      <c r="L1186" s="4" t="str">
        <f>IFERROR(__xludf.DUMMYFUNCTION("""COMPUTED_VALUE"""),"TM - 4B/H (Afspan)")</f>
        <v>TM - 4B/H (Afspan)</v>
      </c>
      <c r="M1186" s="4" t="str">
        <f>IFERROR(__xludf.DUMMYFUNCTION("""COMPUTED_VALUE"""),"Tidak Ada")</f>
        <v>Tidak Ada</v>
      </c>
      <c r="N1186" s="4"/>
      <c r="O1186" s="4" t="str">
        <f>IFERROR(__xludf.DUMMYFUNCTION("""COMPUTED_VALUE"""),"PEMBANDING SEJENIS")</f>
        <v>PEMBANDING SEJENIS</v>
      </c>
      <c r="P1186" s="4" t="str">
        <f>IFERROR(__xludf.DUMMYFUNCTION("""COMPUTED_VALUE"""),"KONEKTOR/JUMPER")</f>
        <v>KONEKTOR/JUMPER</v>
      </c>
      <c r="Q1186" s="4">
        <f>IFERROR(__xludf.DUMMYFUNCTION("""COMPUTED_VALUE"""),34.0)</f>
        <v>34</v>
      </c>
      <c r="R1186" s="4">
        <f>IFERROR(__xludf.DUMMYFUNCTION("""COMPUTED_VALUE"""),24.0)</f>
        <v>24</v>
      </c>
      <c r="S1186" s="4">
        <f>IFERROR(__xludf.DUMMYFUNCTION("""COMPUTED_VALUE"""),25.0)</f>
        <v>25</v>
      </c>
      <c r="T1186" s="4"/>
      <c r="U1186" s="4" t="str">
        <f>IFERROR(__xludf.DUMMYFUNCTION("""COMPUTED_VALUE"""),"KURANG")</f>
        <v>KURANG</v>
      </c>
      <c r="V1186" s="4" t="str">
        <f>IFERROR(__xludf.DUMMYFUNCTION("""COMPUTED_VALUE"""),"Tidak Ada")</f>
        <v>Tidak Ada</v>
      </c>
      <c r="W1186" s="4"/>
      <c r="X1186" s="4"/>
      <c r="Y1186" s="4"/>
      <c r="Z1186" s="4"/>
      <c r="AA1186" s="4"/>
      <c r="AB1186" s="4"/>
      <c r="AC1186" s="4" t="str">
        <f>IFERROR(__xludf.DUMMYFUNCTION("""COMPUTED_VALUE"""),"INSPEKSI SUTM - T2_Images/4947b54a.FOTO.135324.jpg")</f>
        <v>INSPEKSI SUTM - T2_Images/4947b54a.FOTO.135324.jpg</v>
      </c>
      <c r="AD1186" s="4"/>
      <c r="AE1186" s="4"/>
      <c r="AF1186" s="4" t="str">
        <f>IFERROR(__xludf.DUMMYFUNCTION("""COMPUTED_VALUE"""),"BELUM")</f>
        <v>BELUM</v>
      </c>
      <c r="AG1186" s="6">
        <f>IFERROR(__xludf.DUMMYFUNCTION("""COMPUTED_VALUE"""),46140.0)</f>
        <v>46140</v>
      </c>
      <c r="AH1186" s="4"/>
      <c r="AI1186" s="4"/>
    </row>
    <row r="1187" ht="15.75" customHeight="1">
      <c r="A1187" s="4" t="str">
        <f>IFERROR(__xludf.DUMMYFUNCTION("""COMPUTED_VALUE"""),"c5688b33")</f>
        <v>c5688b33</v>
      </c>
      <c r="B1187" s="5">
        <f>IFERROR(__xludf.DUMMYFUNCTION("""COMPUTED_VALUE"""),46140.86853009259)</f>
        <v>46140.86853</v>
      </c>
      <c r="C1187" s="4" t="str">
        <f>IFERROR(__xludf.DUMMYFUNCTION("""COMPUTED_VALUE"""),"-6.936186, 107.732917")</f>
        <v>-6.936186, 107.732917</v>
      </c>
      <c r="D1187" s="4" t="str">
        <f>IFERROR(__xludf.DUMMYFUNCTION("""COMPUTED_VALUE"""),"Canra heei")</f>
        <v>Canra heei</v>
      </c>
      <c r="E1187" s="4" t="str">
        <f>IFERROR(__xludf.DUMMYFUNCTION("""COMPUTED_VALUE"""),"BANDUNG")</f>
        <v>BANDUNG</v>
      </c>
      <c r="F1187" s="4" t="str">
        <f>IFERROR(__xludf.DUMMYFUNCTION("""COMPUTED_VALUE"""),"UJUNGBERUNG")</f>
        <v>UJUNGBERUNG</v>
      </c>
      <c r="G1187" s="4" t="str">
        <f>IFERROR(__xludf.DUMMYFUNCTION("""COMPUTED_VALUE"""),"UJUNGBERUNG")</f>
        <v>UJUNGBERUNG</v>
      </c>
      <c r="H1187" s="4" t="str">
        <f>IFERROR(__xludf.DUMMYFUNCTION("""COMPUTED_VALUE"""),"CLNI")</f>
        <v>CLNI</v>
      </c>
      <c r="I1187" s="4" t="str">
        <f>IFERROR(__xludf.DUMMYFUNCTION("""COMPUTED_VALUE"""),"GI UBRNG - REC.CBL")</f>
        <v>GI UBRNG - REC.CBL</v>
      </c>
      <c r="J1187" s="4" t="str">
        <f>IFERROR(__xludf.DUMMYFUNCTION("""COMPUTED_VALUE"""),"ZONA 1")</f>
        <v>ZONA 1</v>
      </c>
      <c r="K1187" s="4" t="str">
        <f>IFERROR(__xludf.DUMMYFUNCTION("""COMPUTED_VALUE"""),"004")</f>
        <v>004</v>
      </c>
      <c r="L1187" s="4" t="str">
        <f>IFERROR(__xludf.DUMMYFUNCTION("""COMPUTED_VALUE"""),"TM - 1B/H (Tumpu)")</f>
        <v>TM - 1B/H (Tumpu)</v>
      </c>
      <c r="M1187" s="4" t="str">
        <f>IFERROR(__xludf.DUMMYFUNCTION("""COMPUTED_VALUE"""),"Tidak Ada")</f>
        <v>Tidak Ada</v>
      </c>
      <c r="N1187" s="4"/>
      <c r="O1187" s="4" t="str">
        <f>IFERROR(__xludf.DUMMYFUNCTION("""COMPUTED_VALUE"""),"PEMBANDING SEJENIS")</f>
        <v>PEMBANDING SEJENIS</v>
      </c>
      <c r="P1187" s="4" t="str">
        <f>IFERROR(__xludf.DUMMYFUNCTION("""COMPUTED_VALUE"""),"ARRESTER")</f>
        <v>ARRESTER</v>
      </c>
      <c r="Q1187" s="4">
        <f>IFERROR(__xludf.DUMMYFUNCTION("""COMPUTED_VALUE"""),24.0)</f>
        <v>24</v>
      </c>
      <c r="R1187" s="4">
        <f>IFERROR(__xludf.DUMMYFUNCTION("""COMPUTED_VALUE"""),25.0)</f>
        <v>25</v>
      </c>
      <c r="S1187" s="4">
        <f>IFERROR(__xludf.DUMMYFUNCTION("""COMPUTED_VALUE"""),23.0)</f>
        <v>23</v>
      </c>
      <c r="T1187" s="4"/>
      <c r="U1187" s="4" t="str">
        <f>IFERROR(__xludf.DUMMYFUNCTION("""COMPUTED_VALUE"""),"BAIK")</f>
        <v>BAIK</v>
      </c>
      <c r="V1187" s="4" t="str">
        <f>IFERROR(__xludf.DUMMYFUNCTION("""COMPUTED_VALUE"""),"Tidak Ada")</f>
        <v>Tidak Ada</v>
      </c>
      <c r="W1187" s="4"/>
      <c r="X1187" s="4"/>
      <c r="Y1187" s="4"/>
      <c r="Z1187" s="4"/>
      <c r="AA1187" s="4"/>
      <c r="AB1187" s="4"/>
      <c r="AC1187" s="4" t="str">
        <f>IFERROR(__xludf.DUMMYFUNCTION("""COMPUTED_VALUE"""),"INSPEKSI SUTM - T2_Images/c5688b33.FOTO.135328.jpg")</f>
        <v>INSPEKSI SUTM - T2_Images/c5688b33.FOTO.135328.jpg</v>
      </c>
      <c r="AD1187" s="4"/>
      <c r="AE1187" s="4"/>
      <c r="AF1187" s="4" t="str">
        <f>IFERROR(__xludf.DUMMYFUNCTION("""COMPUTED_VALUE"""),"BELUM")</f>
        <v>BELUM</v>
      </c>
      <c r="AG1187" s="6">
        <f>IFERROR(__xludf.DUMMYFUNCTION("""COMPUTED_VALUE"""),46140.0)</f>
        <v>46140</v>
      </c>
      <c r="AH1187" s="4"/>
      <c r="AI1187" s="4"/>
    </row>
    <row r="1188" ht="15.75" customHeight="1">
      <c r="A1188" s="4" t="str">
        <f>IFERROR(__xludf.DUMMYFUNCTION("""COMPUTED_VALUE"""),"fee006ab")</f>
        <v>fee006ab</v>
      </c>
      <c r="B1188" s="5">
        <f>IFERROR(__xludf.DUMMYFUNCTION("""COMPUTED_VALUE"""),46140.869375)</f>
        <v>46140.86938</v>
      </c>
      <c r="C1188" s="4" t="str">
        <f>IFERROR(__xludf.DUMMYFUNCTION("""COMPUTED_VALUE"""),"-6.935903, 107.733121")</f>
        <v>-6.935903, 107.733121</v>
      </c>
      <c r="D1188" s="4" t="str">
        <f>IFERROR(__xludf.DUMMYFUNCTION("""COMPUTED_VALUE"""),"Canra heei")</f>
        <v>Canra heei</v>
      </c>
      <c r="E1188" s="4" t="str">
        <f>IFERROR(__xludf.DUMMYFUNCTION("""COMPUTED_VALUE"""),"BANDUNG")</f>
        <v>BANDUNG</v>
      </c>
      <c r="F1188" s="4" t="str">
        <f>IFERROR(__xludf.DUMMYFUNCTION("""COMPUTED_VALUE"""),"UJUNGBERUNG")</f>
        <v>UJUNGBERUNG</v>
      </c>
      <c r="G1188" s="4" t="str">
        <f>IFERROR(__xludf.DUMMYFUNCTION("""COMPUTED_VALUE"""),"UJUNGBERUNG")</f>
        <v>UJUNGBERUNG</v>
      </c>
      <c r="H1188" s="4" t="str">
        <f>IFERROR(__xludf.DUMMYFUNCTION("""COMPUTED_VALUE"""),"CLNI")</f>
        <v>CLNI</v>
      </c>
      <c r="I1188" s="4" t="str">
        <f>IFERROR(__xludf.DUMMYFUNCTION("""COMPUTED_VALUE"""),"GI UBRNG - REC.CBL")</f>
        <v>GI UBRNG - REC.CBL</v>
      </c>
      <c r="J1188" s="4" t="str">
        <f>IFERROR(__xludf.DUMMYFUNCTION("""COMPUTED_VALUE"""),"ZONA 1")</f>
        <v>ZONA 1</v>
      </c>
      <c r="K1188" s="4" t="str">
        <f>IFERROR(__xludf.DUMMYFUNCTION("""COMPUTED_VALUE"""),"006")</f>
        <v>006</v>
      </c>
      <c r="L1188" s="4" t="str">
        <f>IFERROR(__xludf.DUMMYFUNCTION("""COMPUTED_VALUE"""),"TM - 1B/H (Tumpu)")</f>
        <v>TM - 1B/H (Tumpu)</v>
      </c>
      <c r="M1188" s="4" t="str">
        <f>IFERROR(__xludf.DUMMYFUNCTION("""COMPUTED_VALUE"""),"Tidak Ada")</f>
        <v>Tidak Ada</v>
      </c>
      <c r="N1188" s="4"/>
      <c r="O1188" s="4" t="str">
        <f>IFERROR(__xludf.DUMMYFUNCTION("""COMPUTED_VALUE"""),"PEMBANDING SEJENIS")</f>
        <v>PEMBANDING SEJENIS</v>
      </c>
      <c r="P1188" s="4" t="str">
        <f>IFERROR(__xludf.DUMMYFUNCTION("""COMPUTED_VALUE"""),"KONEKTOR/JUMPER")</f>
        <v>KONEKTOR/JUMPER</v>
      </c>
      <c r="Q1188" s="4">
        <f>IFERROR(__xludf.DUMMYFUNCTION("""COMPUTED_VALUE"""),24.0)</f>
        <v>24</v>
      </c>
      <c r="R1188" s="4">
        <f>IFERROR(__xludf.DUMMYFUNCTION("""COMPUTED_VALUE"""),26.0)</f>
        <v>26</v>
      </c>
      <c r="S1188" s="4">
        <f>IFERROR(__xludf.DUMMYFUNCTION("""COMPUTED_VALUE"""),26.0)</f>
        <v>26</v>
      </c>
      <c r="T1188" s="4"/>
      <c r="U1188" s="4" t="str">
        <f>IFERROR(__xludf.DUMMYFUNCTION("""COMPUTED_VALUE"""),"BAIK")</f>
        <v>BAIK</v>
      </c>
      <c r="V1188" s="4" t="str">
        <f>IFERROR(__xludf.DUMMYFUNCTION("""COMPUTED_VALUE"""),"Tidak Ada")</f>
        <v>Tidak Ada</v>
      </c>
      <c r="W1188" s="4"/>
      <c r="X1188" s="4"/>
      <c r="Y1188" s="4"/>
      <c r="Z1188" s="4"/>
      <c r="AA1188" s="4"/>
      <c r="AB1188" s="4"/>
      <c r="AC1188" s="4" t="str">
        <f>IFERROR(__xludf.DUMMYFUNCTION("""COMPUTED_VALUE"""),"INSPEKSI SUTM - T2_Images/fee006ab.FOTO.135338.jpg")</f>
        <v>INSPEKSI SUTM - T2_Images/fee006ab.FOTO.135338.jpg</v>
      </c>
      <c r="AD1188" s="4"/>
      <c r="AE1188" s="4"/>
      <c r="AF1188" s="4" t="str">
        <f>IFERROR(__xludf.DUMMYFUNCTION("""COMPUTED_VALUE"""),"BELUM")</f>
        <v>BELUM</v>
      </c>
      <c r="AG1188" s="6">
        <f>IFERROR(__xludf.DUMMYFUNCTION("""COMPUTED_VALUE"""),46140.0)</f>
        <v>46140</v>
      </c>
      <c r="AH1188" s="4"/>
      <c r="AI1188" s="4"/>
    </row>
    <row r="1189" ht="15.75" customHeight="1">
      <c r="A1189" s="4" t="str">
        <f>IFERROR(__xludf.DUMMYFUNCTION("""COMPUTED_VALUE"""),"79ade98c")</f>
        <v>79ade98c</v>
      </c>
      <c r="B1189" s="5">
        <f>IFERROR(__xludf.DUMMYFUNCTION("""COMPUTED_VALUE"""),46140.870254629626)</f>
        <v>46140.87025</v>
      </c>
      <c r="C1189" s="4" t="str">
        <f>IFERROR(__xludf.DUMMYFUNCTION("""COMPUTED_VALUE"""),"-6.934749, 107.733764")</f>
        <v>-6.934749, 107.733764</v>
      </c>
      <c r="D1189" s="4" t="str">
        <f>IFERROR(__xludf.DUMMYFUNCTION("""COMPUTED_VALUE"""),"Canra heei")</f>
        <v>Canra heei</v>
      </c>
      <c r="E1189" s="4" t="str">
        <f>IFERROR(__xludf.DUMMYFUNCTION("""COMPUTED_VALUE"""),"BANDUNG")</f>
        <v>BANDUNG</v>
      </c>
      <c r="F1189" s="4" t="str">
        <f>IFERROR(__xludf.DUMMYFUNCTION("""COMPUTED_VALUE"""),"UJUNGBERUNG")</f>
        <v>UJUNGBERUNG</v>
      </c>
      <c r="G1189" s="4" t="str">
        <f>IFERROR(__xludf.DUMMYFUNCTION("""COMPUTED_VALUE"""),"UJUNGBERUNG")</f>
        <v>UJUNGBERUNG</v>
      </c>
      <c r="H1189" s="4" t="str">
        <f>IFERROR(__xludf.DUMMYFUNCTION("""COMPUTED_VALUE"""),"CLNI")</f>
        <v>CLNI</v>
      </c>
      <c r="I1189" s="4" t="str">
        <f>IFERROR(__xludf.DUMMYFUNCTION("""COMPUTED_VALUE"""),"GI UBRNG - REC.CBL")</f>
        <v>GI UBRNG - REC.CBL</v>
      </c>
      <c r="J1189" s="4" t="str">
        <f>IFERROR(__xludf.DUMMYFUNCTION("""COMPUTED_VALUE"""),"ZONA 1")</f>
        <v>ZONA 1</v>
      </c>
      <c r="K1189" s="4" t="str">
        <f>IFERROR(__xludf.DUMMYFUNCTION("""COMPUTED_VALUE"""),"010")</f>
        <v>010</v>
      </c>
      <c r="L1189" s="4" t="str">
        <f>IFERROR(__xludf.DUMMYFUNCTION("""COMPUTED_VALUE"""),"TM - 8B/H (Percabangan)")</f>
        <v>TM - 8B/H (Percabangan)</v>
      </c>
      <c r="M1189" s="4" t="str">
        <f>IFERROR(__xludf.DUMMYFUNCTION("""COMPUTED_VALUE"""),"Tidak Ada")</f>
        <v>Tidak Ada</v>
      </c>
      <c r="N1189" s="4"/>
      <c r="O1189" s="4" t="str">
        <f>IFERROR(__xludf.DUMMYFUNCTION("""COMPUTED_VALUE"""),"PEMBANDING SEJENIS")</f>
        <v>PEMBANDING SEJENIS</v>
      </c>
      <c r="P1189" s="4" t="str">
        <f>IFERROR(__xludf.DUMMYFUNCTION("""COMPUTED_VALUE"""),"KONEKTOR/JUMPER")</f>
        <v>KONEKTOR/JUMPER</v>
      </c>
      <c r="Q1189" s="4">
        <f>IFERROR(__xludf.DUMMYFUNCTION("""COMPUTED_VALUE"""),25.0)</f>
        <v>25</v>
      </c>
      <c r="R1189" s="4">
        <f>IFERROR(__xludf.DUMMYFUNCTION("""COMPUTED_VALUE"""),24.0)</f>
        <v>24</v>
      </c>
      <c r="S1189" s="4">
        <f>IFERROR(__xludf.DUMMYFUNCTION("""COMPUTED_VALUE"""),25.0)</f>
        <v>25</v>
      </c>
      <c r="T1189" s="4"/>
      <c r="U1189" s="4" t="str">
        <f>IFERROR(__xludf.DUMMYFUNCTION("""COMPUTED_VALUE"""),"BAIK")</f>
        <v>BAIK</v>
      </c>
      <c r="V1189" s="4" t="str">
        <f>IFERROR(__xludf.DUMMYFUNCTION("""COMPUTED_VALUE"""),"Tidak Ada")</f>
        <v>Tidak Ada</v>
      </c>
      <c r="W1189" s="4"/>
      <c r="X1189" s="4"/>
      <c r="Y1189" s="4"/>
      <c r="Z1189" s="4"/>
      <c r="AA1189" s="4"/>
      <c r="AB1189" s="4"/>
      <c r="AC1189" s="4" t="str">
        <f>IFERROR(__xludf.DUMMYFUNCTION("""COMPUTED_VALUE"""),"INSPEKSI SUTM - T2_Images/79ade98c.FOTO.135352.jpg")</f>
        <v>INSPEKSI SUTM - T2_Images/79ade98c.FOTO.135352.jpg</v>
      </c>
      <c r="AD1189" s="4"/>
      <c r="AE1189" s="4"/>
      <c r="AF1189" s="4" t="str">
        <f>IFERROR(__xludf.DUMMYFUNCTION("""COMPUTED_VALUE"""),"BELUM")</f>
        <v>BELUM</v>
      </c>
      <c r="AG1189" s="6">
        <f>IFERROR(__xludf.DUMMYFUNCTION("""COMPUTED_VALUE"""),46140.0)</f>
        <v>46140</v>
      </c>
      <c r="AH1189" s="4"/>
      <c r="AI1189" s="4"/>
    </row>
    <row r="1190" ht="15.75" customHeight="1">
      <c r="A1190" s="4" t="str">
        <f>IFERROR(__xludf.DUMMYFUNCTION("""COMPUTED_VALUE"""),"fe00c9d9")</f>
        <v>fe00c9d9</v>
      </c>
      <c r="B1190" s="5">
        <f>IFERROR(__xludf.DUMMYFUNCTION("""COMPUTED_VALUE"""),46140.871469907404)</f>
        <v>46140.87147</v>
      </c>
      <c r="C1190" s="4" t="str">
        <f>IFERROR(__xludf.DUMMYFUNCTION("""COMPUTED_VALUE"""),"-6.934565, 107.733629")</f>
        <v>-6.934565, 107.733629</v>
      </c>
      <c r="D1190" s="4" t="str">
        <f>IFERROR(__xludf.DUMMYFUNCTION("""COMPUTED_VALUE"""),"Canra heei")</f>
        <v>Canra heei</v>
      </c>
      <c r="E1190" s="4" t="str">
        <f>IFERROR(__xludf.DUMMYFUNCTION("""COMPUTED_VALUE"""),"BANDUNG")</f>
        <v>BANDUNG</v>
      </c>
      <c r="F1190" s="4" t="str">
        <f>IFERROR(__xludf.DUMMYFUNCTION("""COMPUTED_VALUE"""),"UJUNGBERUNG")</f>
        <v>UJUNGBERUNG</v>
      </c>
      <c r="G1190" s="4" t="str">
        <f>IFERROR(__xludf.DUMMYFUNCTION("""COMPUTED_VALUE"""),"UJUNGBERUNG")</f>
        <v>UJUNGBERUNG</v>
      </c>
      <c r="H1190" s="4" t="str">
        <f>IFERROR(__xludf.DUMMYFUNCTION("""COMPUTED_VALUE"""),"CLNI")</f>
        <v>CLNI</v>
      </c>
      <c r="I1190" s="4" t="str">
        <f>IFERROR(__xludf.DUMMYFUNCTION("""COMPUTED_VALUE"""),"GI UBRNG - REC.CBL")</f>
        <v>GI UBRNG - REC.CBL</v>
      </c>
      <c r="J1190" s="4" t="str">
        <f>IFERROR(__xludf.DUMMYFUNCTION("""COMPUTED_VALUE"""),"ZONA 1")</f>
        <v>ZONA 1</v>
      </c>
      <c r="K1190" s="4" t="str">
        <f>IFERROR(__xludf.DUMMYFUNCTION("""COMPUTED_VALUE"""),"011")</f>
        <v>011</v>
      </c>
      <c r="L1190" s="4" t="str">
        <f>IFERROR(__xludf.DUMMYFUNCTION("""COMPUTED_VALUE"""),"TM - 14B/H (Akhir)")</f>
        <v>TM - 14B/H (Akhir)</v>
      </c>
      <c r="M1190" s="4" t="str">
        <f>IFERROR(__xludf.DUMMYFUNCTION("""COMPUTED_VALUE"""),"Tidak Ada")</f>
        <v>Tidak Ada</v>
      </c>
      <c r="N1190" s="4"/>
      <c r="O1190" s="4" t="str">
        <f>IFERROR(__xludf.DUMMYFUNCTION("""COMPUTED_VALUE"""),"PEMBANDING SEJENIS")</f>
        <v>PEMBANDING SEJENIS</v>
      </c>
      <c r="P1190" s="4" t="str">
        <f>IFERROR(__xludf.DUMMYFUNCTION("""COMPUTED_VALUE"""),"TERMINASI")</f>
        <v>TERMINASI</v>
      </c>
      <c r="Q1190" s="4">
        <f>IFERROR(__xludf.DUMMYFUNCTION("""COMPUTED_VALUE"""),25.0)</f>
        <v>25</v>
      </c>
      <c r="R1190" s="4">
        <f>IFERROR(__xludf.DUMMYFUNCTION("""COMPUTED_VALUE"""),26.0)</f>
        <v>26</v>
      </c>
      <c r="S1190" s="4">
        <f>IFERROR(__xludf.DUMMYFUNCTION("""COMPUTED_VALUE"""),26.0)</f>
        <v>26</v>
      </c>
      <c r="T1190" s="4"/>
      <c r="U1190" s="4" t="str">
        <f>IFERROR(__xludf.DUMMYFUNCTION("""COMPUTED_VALUE"""),"BAIK")</f>
        <v>BAIK</v>
      </c>
      <c r="V1190" s="4" t="str">
        <f>IFERROR(__xludf.DUMMYFUNCTION("""COMPUTED_VALUE"""),"Tidak Ada")</f>
        <v>Tidak Ada</v>
      </c>
      <c r="W1190" s="4"/>
      <c r="X1190" s="4"/>
      <c r="Y1190" s="4"/>
      <c r="Z1190" s="4"/>
      <c r="AA1190" s="4"/>
      <c r="AB1190" s="4"/>
      <c r="AC1190" s="4" t="str">
        <f>IFERROR(__xludf.DUMMYFUNCTION("""COMPUTED_VALUE"""),"INSPEKSI SUTM - T2_Images/fe00c9d9.FOTO.135611.jpg")</f>
        <v>INSPEKSI SUTM - T2_Images/fe00c9d9.FOTO.135611.jpg</v>
      </c>
      <c r="AD1190" s="4"/>
      <c r="AE1190" s="4"/>
      <c r="AF1190" s="4" t="str">
        <f>IFERROR(__xludf.DUMMYFUNCTION("""COMPUTED_VALUE"""),"BELUM")</f>
        <v>BELUM</v>
      </c>
      <c r="AG1190" s="6">
        <f>IFERROR(__xludf.DUMMYFUNCTION("""COMPUTED_VALUE"""),46140.0)</f>
        <v>46140</v>
      </c>
      <c r="AH1190" s="4"/>
      <c r="AI1190" s="4"/>
    </row>
    <row r="1191" ht="15.75" customHeight="1">
      <c r="A1191" s="4" t="str">
        <f>IFERROR(__xludf.DUMMYFUNCTION("""COMPUTED_VALUE"""),"a426aad0")</f>
        <v>a426aad0</v>
      </c>
      <c r="B1191" s="5">
        <f>IFERROR(__xludf.DUMMYFUNCTION("""COMPUTED_VALUE"""),46140.87337962963)</f>
        <v>46140.87338</v>
      </c>
      <c r="C1191" s="4" t="str">
        <f>IFERROR(__xludf.DUMMYFUNCTION("""COMPUTED_VALUE"""),"-6.934525, 107.733865")</f>
        <v>-6.934525, 107.733865</v>
      </c>
      <c r="D1191" s="4" t="str">
        <f>IFERROR(__xludf.DUMMYFUNCTION("""COMPUTED_VALUE"""),"Canra heri")</f>
        <v>Canra heri</v>
      </c>
      <c r="E1191" s="4" t="str">
        <f>IFERROR(__xludf.DUMMYFUNCTION("""COMPUTED_VALUE"""),"BANDUNG")</f>
        <v>BANDUNG</v>
      </c>
      <c r="F1191" s="4" t="str">
        <f>IFERROR(__xludf.DUMMYFUNCTION("""COMPUTED_VALUE"""),"UJUNGBERUNG")</f>
        <v>UJUNGBERUNG</v>
      </c>
      <c r="G1191" s="4" t="str">
        <f>IFERROR(__xludf.DUMMYFUNCTION("""COMPUTED_VALUE"""),"UJUNGBERUNG")</f>
        <v>UJUNGBERUNG</v>
      </c>
      <c r="H1191" s="4" t="str">
        <f>IFERROR(__xludf.DUMMYFUNCTION("""COMPUTED_VALUE"""),"CLNI")</f>
        <v>CLNI</v>
      </c>
      <c r="I1191" s="4" t="str">
        <f>IFERROR(__xludf.DUMMYFUNCTION("""COMPUTED_VALUE"""),"GI UBRNG - REC.CBL")</f>
        <v>GI UBRNG - REC.CBL</v>
      </c>
      <c r="J1191" s="4" t="str">
        <f>IFERROR(__xludf.DUMMYFUNCTION("""COMPUTED_VALUE"""),"ZONA 1")</f>
        <v>ZONA 1</v>
      </c>
      <c r="K1191" s="4" t="str">
        <f>IFERROR(__xludf.DUMMYFUNCTION("""COMPUTED_VALUE"""),"010R01")</f>
        <v>010R01</v>
      </c>
      <c r="L1191" s="4" t="str">
        <f>IFERROR(__xludf.DUMMYFUNCTION("""COMPUTED_VALUE"""),"TM - 4B/H (Afspan)")</f>
        <v>TM - 4B/H (Afspan)</v>
      </c>
      <c r="M1191" s="4" t="str">
        <f>IFERROR(__xludf.DUMMYFUNCTION("""COMPUTED_VALUE"""),"Gardu")</f>
        <v>Gardu</v>
      </c>
      <c r="N1191" s="4" t="str">
        <f>IFERROR(__xludf.DUMMYFUNCTION("""COMPUTED_VALUE"""),"Cnub")</f>
        <v>Cnub</v>
      </c>
      <c r="O1191" s="4" t="str">
        <f>IFERROR(__xludf.DUMMYFUNCTION("""COMPUTED_VALUE"""),"PEMBANDING SEJENIS")</f>
        <v>PEMBANDING SEJENIS</v>
      </c>
      <c r="P1191" s="4" t="str">
        <f>IFERROR(__xludf.DUMMYFUNCTION("""COMPUTED_VALUE"""),"KONEKTOR/JUMPER")</f>
        <v>KONEKTOR/JUMPER</v>
      </c>
      <c r="Q1191" s="4">
        <f>IFERROR(__xludf.DUMMYFUNCTION("""COMPUTED_VALUE"""),22.0)</f>
        <v>22</v>
      </c>
      <c r="R1191" s="4">
        <f>IFERROR(__xludf.DUMMYFUNCTION("""COMPUTED_VALUE"""),23.0)</f>
        <v>23</v>
      </c>
      <c r="S1191" s="4">
        <f>IFERROR(__xludf.DUMMYFUNCTION("""COMPUTED_VALUE"""),22.0)</f>
        <v>22</v>
      </c>
      <c r="T1191" s="4"/>
      <c r="U1191" s="4" t="str">
        <f>IFERROR(__xludf.DUMMYFUNCTION("""COMPUTED_VALUE"""),"BAIK")</f>
        <v>BAIK</v>
      </c>
      <c r="V1191" s="4" t="str">
        <f>IFERROR(__xludf.DUMMYFUNCTION("""COMPUTED_VALUE"""),"Tidak Ada")</f>
        <v>Tidak Ada</v>
      </c>
      <c r="W1191" s="4"/>
      <c r="X1191" s="4"/>
      <c r="Y1191" s="4"/>
      <c r="Z1191" s="4"/>
      <c r="AA1191" s="4"/>
      <c r="AB1191" s="4"/>
      <c r="AC1191" s="4" t="str">
        <f>IFERROR(__xludf.DUMMYFUNCTION("""COMPUTED_VALUE"""),"INSPEKSI SUTM - T2_Images/a426aad0.FOTO.135842.jpg")</f>
        <v>INSPEKSI SUTM - T2_Images/a426aad0.FOTO.135842.jpg</v>
      </c>
      <c r="AD1191" s="4"/>
      <c r="AE1191" s="4"/>
      <c r="AF1191" s="4" t="str">
        <f>IFERROR(__xludf.DUMMYFUNCTION("""COMPUTED_VALUE"""),"BELUM")</f>
        <v>BELUM</v>
      </c>
      <c r="AG1191" s="6">
        <f>IFERROR(__xludf.DUMMYFUNCTION("""COMPUTED_VALUE"""),46140.0)</f>
        <v>46140</v>
      </c>
      <c r="AH1191" s="4"/>
      <c r="AI1191" s="4"/>
    </row>
    <row r="1192" ht="15.75" customHeight="1">
      <c r="A1192" s="4" t="str">
        <f>IFERROR(__xludf.DUMMYFUNCTION("""COMPUTED_VALUE"""),"9903512d")</f>
        <v>9903512d</v>
      </c>
      <c r="B1192" s="5">
        <f>IFERROR(__xludf.DUMMYFUNCTION("""COMPUTED_VALUE"""),46140.87520833333)</f>
        <v>46140.87521</v>
      </c>
      <c r="C1192" s="4" t="str">
        <f>IFERROR(__xludf.DUMMYFUNCTION("""COMPUTED_VALUE"""),"-6.933604, 107.734278")</f>
        <v>-6.933604, 107.734278</v>
      </c>
      <c r="D1192" s="4" t="str">
        <f>IFERROR(__xludf.DUMMYFUNCTION("""COMPUTED_VALUE"""),"Canra heri")</f>
        <v>Canra heri</v>
      </c>
      <c r="E1192" s="4" t="str">
        <f>IFERROR(__xludf.DUMMYFUNCTION("""COMPUTED_VALUE"""),"BANDUNG")</f>
        <v>BANDUNG</v>
      </c>
      <c r="F1192" s="4" t="str">
        <f>IFERROR(__xludf.DUMMYFUNCTION("""COMPUTED_VALUE"""),"UJUNGBERUNG")</f>
        <v>UJUNGBERUNG</v>
      </c>
      <c r="G1192" s="4" t="str">
        <f>IFERROR(__xludf.DUMMYFUNCTION("""COMPUTED_VALUE"""),"UJUNGBERUNG")</f>
        <v>UJUNGBERUNG</v>
      </c>
      <c r="H1192" s="4" t="str">
        <f>IFERROR(__xludf.DUMMYFUNCTION("""COMPUTED_VALUE"""),"CLNI")</f>
        <v>CLNI</v>
      </c>
      <c r="I1192" s="4" t="str">
        <f>IFERROR(__xludf.DUMMYFUNCTION("""COMPUTED_VALUE"""),"GI UBRNG - REC.CBL")</f>
        <v>GI UBRNG - REC.CBL</v>
      </c>
      <c r="J1192" s="4" t="str">
        <f>IFERROR(__xludf.DUMMYFUNCTION("""COMPUTED_VALUE"""),"ZONA 1")</f>
        <v>ZONA 1</v>
      </c>
      <c r="K1192" s="4" t="str">
        <f>IFERROR(__xludf.DUMMYFUNCTION("""COMPUTED_VALUE"""),"014L01")</f>
        <v>014L01</v>
      </c>
      <c r="L1192" s="4" t="str">
        <f>IFERROR(__xludf.DUMMYFUNCTION("""COMPUTED_VALUE"""),"TM - 11B/H (Kabel Naik)")</f>
        <v>TM - 11B/H (Kabel Naik)</v>
      </c>
      <c r="M1192" s="4" t="str">
        <f>IFERROR(__xludf.DUMMYFUNCTION("""COMPUTED_VALUE"""),"Gardu")</f>
        <v>Gardu</v>
      </c>
      <c r="N1192" s="4" t="str">
        <f>IFERROR(__xludf.DUMMYFUNCTION("""COMPUTED_VALUE"""),"Pgcn")</f>
        <v>Pgcn</v>
      </c>
      <c r="O1192" s="4" t="str">
        <f>IFERROR(__xludf.DUMMYFUNCTION("""COMPUTED_VALUE"""),"PEMBANDING SEJENIS")</f>
        <v>PEMBANDING SEJENIS</v>
      </c>
      <c r="P1192" s="4" t="str">
        <f>IFERROR(__xludf.DUMMYFUNCTION("""COMPUTED_VALUE"""),"TERMINASI")</f>
        <v>TERMINASI</v>
      </c>
      <c r="Q1192" s="4">
        <f>IFERROR(__xludf.DUMMYFUNCTION("""COMPUTED_VALUE"""),24.0)</f>
        <v>24</v>
      </c>
      <c r="R1192" s="4">
        <f>IFERROR(__xludf.DUMMYFUNCTION("""COMPUTED_VALUE"""),24.0)</f>
        <v>24</v>
      </c>
      <c r="S1192" s="4">
        <f>IFERROR(__xludf.DUMMYFUNCTION("""COMPUTED_VALUE"""),24.0)</f>
        <v>24</v>
      </c>
      <c r="T1192" s="4"/>
      <c r="U1192" s="4" t="str">
        <f>IFERROR(__xludf.DUMMYFUNCTION("""COMPUTED_VALUE"""),"BAIK")</f>
        <v>BAIK</v>
      </c>
      <c r="V1192" s="4" t="str">
        <f>IFERROR(__xludf.DUMMYFUNCTION("""COMPUTED_VALUE"""),"Tidak Ada")</f>
        <v>Tidak Ada</v>
      </c>
      <c r="W1192" s="4"/>
      <c r="X1192" s="4"/>
      <c r="Y1192" s="4"/>
      <c r="Z1192" s="4"/>
      <c r="AA1192" s="4"/>
      <c r="AB1192" s="4"/>
      <c r="AC1192" s="4" t="str">
        <f>IFERROR(__xludf.DUMMYFUNCTION("""COMPUTED_VALUE"""),"INSPEKSI SUTM - T2_Images/9903512d.FOTO.140117.jpg")</f>
        <v>INSPEKSI SUTM - T2_Images/9903512d.FOTO.140117.jpg</v>
      </c>
      <c r="AD1192" s="4"/>
      <c r="AE1192" s="4"/>
      <c r="AF1192" s="4" t="str">
        <f>IFERROR(__xludf.DUMMYFUNCTION("""COMPUTED_VALUE"""),"BELUM")</f>
        <v>BELUM</v>
      </c>
      <c r="AG1192" s="6">
        <f>IFERROR(__xludf.DUMMYFUNCTION("""COMPUTED_VALUE"""),46140.0)</f>
        <v>46140</v>
      </c>
      <c r="AH1192" s="4"/>
      <c r="AI1192" s="4"/>
    </row>
    <row r="1193" ht="15.75" customHeight="1">
      <c r="A1193" s="4" t="str">
        <f>IFERROR(__xludf.DUMMYFUNCTION("""COMPUTED_VALUE"""),"78b4caaf")</f>
        <v>78b4caaf</v>
      </c>
      <c r="B1193" s="5">
        <f>IFERROR(__xludf.DUMMYFUNCTION("""COMPUTED_VALUE"""),46140.875914351855)</f>
        <v>46140.87591</v>
      </c>
      <c r="C1193" s="4" t="str">
        <f>IFERROR(__xludf.DUMMYFUNCTION("""COMPUTED_VALUE"""),"-6.933596, 107.734276")</f>
        <v>-6.933596, 107.734276</v>
      </c>
      <c r="D1193" s="4" t="str">
        <f>IFERROR(__xludf.DUMMYFUNCTION("""COMPUTED_VALUE"""),"Canra heri")</f>
        <v>Canra heri</v>
      </c>
      <c r="E1193" s="4" t="str">
        <f>IFERROR(__xludf.DUMMYFUNCTION("""COMPUTED_VALUE"""),"BANDUNG")</f>
        <v>BANDUNG</v>
      </c>
      <c r="F1193" s="4" t="str">
        <f>IFERROR(__xludf.DUMMYFUNCTION("""COMPUTED_VALUE"""),"UJUNGBERUNG")</f>
        <v>UJUNGBERUNG</v>
      </c>
      <c r="G1193" s="4" t="str">
        <f>IFERROR(__xludf.DUMMYFUNCTION("""COMPUTED_VALUE"""),"UJUNGBERUNG")</f>
        <v>UJUNGBERUNG</v>
      </c>
      <c r="H1193" s="4" t="str">
        <f>IFERROR(__xludf.DUMMYFUNCTION("""COMPUTED_VALUE"""),"CLNI")</f>
        <v>CLNI</v>
      </c>
      <c r="I1193" s="4" t="str">
        <f>IFERROR(__xludf.DUMMYFUNCTION("""COMPUTED_VALUE"""),"GI UBRNG - REC.CBL")</f>
        <v>GI UBRNG - REC.CBL</v>
      </c>
      <c r="J1193" s="4" t="str">
        <f>IFERROR(__xludf.DUMMYFUNCTION("""COMPUTED_VALUE"""),"ZONA 1")</f>
        <v>ZONA 1</v>
      </c>
      <c r="K1193" s="4" t="str">
        <f>IFERROR(__xludf.DUMMYFUNCTION("""COMPUTED_VALUE"""),"014L02")</f>
        <v>014L02</v>
      </c>
      <c r="L1193" s="4" t="str">
        <f>IFERROR(__xludf.DUMMYFUNCTION("""COMPUTED_VALUE"""),"TM - 14B/H (Akhir)")</f>
        <v>TM - 14B/H (Akhir)</v>
      </c>
      <c r="M1193" s="4" t="str">
        <f>IFERROR(__xludf.DUMMYFUNCTION("""COMPUTED_VALUE"""),"Gardu")</f>
        <v>Gardu</v>
      </c>
      <c r="N1193" s="4" t="str">
        <f>IFERROR(__xludf.DUMMYFUNCTION("""COMPUTED_VALUE"""),"Pgcn")</f>
        <v>Pgcn</v>
      </c>
      <c r="O1193" s="4" t="str">
        <f>IFERROR(__xludf.DUMMYFUNCTION("""COMPUTED_VALUE"""),"PEMBANDING SEJENIS")</f>
        <v>PEMBANDING SEJENIS</v>
      </c>
      <c r="P1193" s="4" t="str">
        <f>IFERROR(__xludf.DUMMYFUNCTION("""COMPUTED_VALUE"""),"TERMINASI")</f>
        <v>TERMINASI</v>
      </c>
      <c r="Q1193" s="4">
        <f>IFERROR(__xludf.DUMMYFUNCTION("""COMPUTED_VALUE"""),25.0)</f>
        <v>25</v>
      </c>
      <c r="R1193" s="4">
        <f>IFERROR(__xludf.DUMMYFUNCTION("""COMPUTED_VALUE"""),25.0)</f>
        <v>25</v>
      </c>
      <c r="S1193" s="4">
        <f>IFERROR(__xludf.DUMMYFUNCTION("""COMPUTED_VALUE"""),25.0)</f>
        <v>25</v>
      </c>
      <c r="T1193" s="4"/>
      <c r="U1193" s="4" t="str">
        <f>IFERROR(__xludf.DUMMYFUNCTION("""COMPUTED_VALUE"""),"BAIK")</f>
        <v>BAIK</v>
      </c>
      <c r="V1193" s="4" t="str">
        <f>IFERROR(__xludf.DUMMYFUNCTION("""COMPUTED_VALUE"""),"Tidak Ada")</f>
        <v>Tidak Ada</v>
      </c>
      <c r="W1193" s="4"/>
      <c r="X1193" s="4"/>
      <c r="Y1193" s="4"/>
      <c r="Z1193" s="4"/>
      <c r="AA1193" s="4"/>
      <c r="AB1193" s="4"/>
      <c r="AC1193" s="4" t="str">
        <f>IFERROR(__xludf.DUMMYFUNCTION("""COMPUTED_VALUE"""),"INSPEKSI SUTM - T2_Images/78b4caaf.FOTO.140211.jpg")</f>
        <v>INSPEKSI SUTM - T2_Images/78b4caaf.FOTO.140211.jpg</v>
      </c>
      <c r="AD1193" s="4"/>
      <c r="AE1193" s="4"/>
      <c r="AF1193" s="4" t="str">
        <f>IFERROR(__xludf.DUMMYFUNCTION("""COMPUTED_VALUE"""),"BELUM")</f>
        <v>BELUM</v>
      </c>
      <c r="AG1193" s="6">
        <f>IFERROR(__xludf.DUMMYFUNCTION("""COMPUTED_VALUE"""),46140.0)</f>
        <v>46140</v>
      </c>
      <c r="AH1193" s="4"/>
      <c r="AI1193" s="4"/>
    </row>
    <row r="1194" ht="15.75" customHeight="1">
      <c r="A1194" s="4" t="str">
        <f>IFERROR(__xludf.DUMMYFUNCTION("""COMPUTED_VALUE"""),"4ba5d9f5")</f>
        <v>4ba5d9f5</v>
      </c>
      <c r="B1194" s="5">
        <f>IFERROR(__xludf.DUMMYFUNCTION("""COMPUTED_VALUE"""),46140.87671296296)</f>
        <v>46140.87671</v>
      </c>
      <c r="C1194" s="4" t="str">
        <f>IFERROR(__xludf.DUMMYFUNCTION("""COMPUTED_VALUE"""),"-6.933583, 107.734276")</f>
        <v>-6.933583, 107.734276</v>
      </c>
      <c r="D1194" s="4" t="str">
        <f>IFERROR(__xludf.DUMMYFUNCTION("""COMPUTED_VALUE"""),"Canra heei")</f>
        <v>Canra heei</v>
      </c>
      <c r="E1194" s="4" t="str">
        <f>IFERROR(__xludf.DUMMYFUNCTION("""COMPUTED_VALUE"""),"BANDUNG")</f>
        <v>BANDUNG</v>
      </c>
      <c r="F1194" s="4" t="str">
        <f>IFERROR(__xludf.DUMMYFUNCTION("""COMPUTED_VALUE"""),"UJUNGBERUNG")</f>
        <v>UJUNGBERUNG</v>
      </c>
      <c r="G1194" s="4" t="str">
        <f>IFERROR(__xludf.DUMMYFUNCTION("""COMPUTED_VALUE"""),"UJUNGBERUNG")</f>
        <v>UJUNGBERUNG</v>
      </c>
      <c r="H1194" s="4" t="str">
        <f>IFERROR(__xludf.DUMMYFUNCTION("""COMPUTED_VALUE"""),"CLNI")</f>
        <v>CLNI</v>
      </c>
      <c r="I1194" s="4" t="str">
        <f>IFERROR(__xludf.DUMMYFUNCTION("""COMPUTED_VALUE"""),"GI UBRNG - REC.CBL")</f>
        <v>GI UBRNG - REC.CBL</v>
      </c>
      <c r="J1194" s="4" t="str">
        <f>IFERROR(__xludf.DUMMYFUNCTION("""COMPUTED_VALUE"""),"ZONA 1")</f>
        <v>ZONA 1</v>
      </c>
      <c r="K1194" s="4" t="str">
        <f>IFERROR(__xludf.DUMMYFUNCTION("""COMPUTED_VALUE"""),"014")</f>
        <v>014</v>
      </c>
      <c r="L1194" s="4" t="str">
        <f>IFERROR(__xludf.DUMMYFUNCTION("""COMPUTED_VALUE"""),"TM - 11B/H (Kabel Naik)")</f>
        <v>TM - 11B/H (Kabel Naik)</v>
      </c>
      <c r="M1194" s="4" t="str">
        <f>IFERROR(__xludf.DUMMYFUNCTION("""COMPUTED_VALUE"""),"Tidak Ada")</f>
        <v>Tidak Ada</v>
      </c>
      <c r="N1194" s="4"/>
      <c r="O1194" s="4" t="str">
        <f>IFERROR(__xludf.DUMMYFUNCTION("""COMPUTED_VALUE"""),"PEMBANDING SEJENIS")</f>
        <v>PEMBANDING SEJENIS</v>
      </c>
      <c r="P1194" s="4" t="str">
        <f>IFERROR(__xludf.DUMMYFUNCTION("""COMPUTED_VALUE"""),"TERMINASI")</f>
        <v>TERMINASI</v>
      </c>
      <c r="Q1194" s="4">
        <f>IFERROR(__xludf.DUMMYFUNCTION("""COMPUTED_VALUE"""),25.0)</f>
        <v>25</v>
      </c>
      <c r="R1194" s="4">
        <f>IFERROR(__xludf.DUMMYFUNCTION("""COMPUTED_VALUE"""),23.0)</f>
        <v>23</v>
      </c>
      <c r="S1194" s="4">
        <f>IFERROR(__xludf.DUMMYFUNCTION("""COMPUTED_VALUE"""),23.0)</f>
        <v>23</v>
      </c>
      <c r="T1194" s="4"/>
      <c r="U1194" s="4" t="str">
        <f>IFERROR(__xludf.DUMMYFUNCTION("""COMPUTED_VALUE"""),"BAIK")</f>
        <v>BAIK</v>
      </c>
      <c r="V1194" s="4" t="str">
        <f>IFERROR(__xludf.DUMMYFUNCTION("""COMPUTED_VALUE"""),"Tidak Ada")</f>
        <v>Tidak Ada</v>
      </c>
      <c r="W1194" s="4"/>
      <c r="X1194" s="4"/>
      <c r="Y1194" s="4"/>
      <c r="Z1194" s="4"/>
      <c r="AA1194" s="4"/>
      <c r="AB1194" s="4"/>
      <c r="AC1194" s="4" t="str">
        <f>IFERROR(__xludf.DUMMYFUNCTION("""COMPUTED_VALUE"""),"INSPEKSI SUTM - T2_Images/4ba5d9f5.FOTO.140342.jpg")</f>
        <v>INSPEKSI SUTM - T2_Images/4ba5d9f5.FOTO.140342.jpg</v>
      </c>
      <c r="AD1194" s="4"/>
      <c r="AE1194" s="4"/>
      <c r="AF1194" s="4" t="str">
        <f>IFERROR(__xludf.DUMMYFUNCTION("""COMPUTED_VALUE"""),"BELUM")</f>
        <v>BELUM</v>
      </c>
      <c r="AG1194" s="6">
        <f>IFERROR(__xludf.DUMMYFUNCTION("""COMPUTED_VALUE"""),46140.0)</f>
        <v>46140</v>
      </c>
      <c r="AH1194" s="4"/>
      <c r="AI1194" s="4"/>
    </row>
    <row r="1195" ht="15.75" customHeight="1">
      <c r="A1195" s="4" t="str">
        <f>IFERROR(__xludf.DUMMYFUNCTION("""COMPUTED_VALUE"""),"946c1f11")</f>
        <v>946c1f11</v>
      </c>
      <c r="B1195" s="5">
        <f>IFERROR(__xludf.DUMMYFUNCTION("""COMPUTED_VALUE"""),46140.87818287037)</f>
        <v>46140.87818</v>
      </c>
      <c r="C1195" s="4" t="str">
        <f>IFERROR(__xludf.DUMMYFUNCTION("""COMPUTED_VALUE"""),"-6.930454, 107.735180")</f>
        <v>-6.930454, 107.735180</v>
      </c>
      <c r="D1195" s="4" t="str">
        <f>IFERROR(__xludf.DUMMYFUNCTION("""COMPUTED_VALUE"""),"Canra heei")</f>
        <v>Canra heei</v>
      </c>
      <c r="E1195" s="4" t="str">
        <f>IFERROR(__xludf.DUMMYFUNCTION("""COMPUTED_VALUE"""),"BANDUNG")</f>
        <v>BANDUNG</v>
      </c>
      <c r="F1195" s="4" t="str">
        <f>IFERROR(__xludf.DUMMYFUNCTION("""COMPUTED_VALUE"""),"UJUNGBERUNG")</f>
        <v>UJUNGBERUNG</v>
      </c>
      <c r="G1195" s="4" t="str">
        <f>IFERROR(__xludf.DUMMYFUNCTION("""COMPUTED_VALUE"""),"UJUNGBERUNG")</f>
        <v>UJUNGBERUNG</v>
      </c>
      <c r="H1195" s="4" t="str">
        <f>IFERROR(__xludf.DUMMYFUNCTION("""COMPUTED_VALUE"""),"CLNI")</f>
        <v>CLNI</v>
      </c>
      <c r="I1195" s="4" t="str">
        <f>IFERROR(__xludf.DUMMYFUNCTION("""COMPUTED_VALUE"""),"GI UBRNG - REC.CBL")</f>
        <v>GI UBRNG - REC.CBL</v>
      </c>
      <c r="J1195" s="4" t="str">
        <f>IFERROR(__xludf.DUMMYFUNCTION("""COMPUTED_VALUE"""),"ZONA 1")</f>
        <v>ZONA 1</v>
      </c>
      <c r="K1195" s="4" t="str">
        <f>IFERROR(__xludf.DUMMYFUNCTION("""COMPUTED_VALUE"""),"024")</f>
        <v>024</v>
      </c>
      <c r="L1195" s="4" t="str">
        <f>IFERROR(__xludf.DUMMYFUNCTION("""COMPUTED_VALUE"""),"TM - 4B/H (Afspan)")</f>
        <v>TM - 4B/H (Afspan)</v>
      </c>
      <c r="M1195" s="4" t="str">
        <f>IFERROR(__xludf.DUMMYFUNCTION("""COMPUTED_VALUE"""),"Tidak Ada")</f>
        <v>Tidak Ada</v>
      </c>
      <c r="N1195" s="4"/>
      <c r="O1195" s="4" t="str">
        <f>IFERROR(__xludf.DUMMYFUNCTION("""COMPUTED_VALUE"""),"PEMBANDING SEJENIS")</f>
        <v>PEMBANDING SEJENIS</v>
      </c>
      <c r="P1195" s="4" t="str">
        <f>IFERROR(__xludf.DUMMYFUNCTION("""COMPUTED_VALUE"""),"KONEKTOR/JUMPER")</f>
        <v>KONEKTOR/JUMPER</v>
      </c>
      <c r="Q1195" s="4">
        <f>IFERROR(__xludf.DUMMYFUNCTION("""COMPUTED_VALUE"""),24.0)</f>
        <v>24</v>
      </c>
      <c r="R1195" s="4">
        <f>IFERROR(__xludf.DUMMYFUNCTION("""COMPUTED_VALUE"""),24.0)</f>
        <v>24</v>
      </c>
      <c r="S1195" s="4">
        <f>IFERROR(__xludf.DUMMYFUNCTION("""COMPUTED_VALUE"""),24.0)</f>
        <v>24</v>
      </c>
      <c r="T1195" s="4"/>
      <c r="U1195" s="4" t="str">
        <f>IFERROR(__xludf.DUMMYFUNCTION("""COMPUTED_VALUE"""),"BAIK")</f>
        <v>BAIK</v>
      </c>
      <c r="V1195" s="4" t="str">
        <f>IFERROR(__xludf.DUMMYFUNCTION("""COMPUTED_VALUE"""),"Tidak Ada")</f>
        <v>Tidak Ada</v>
      </c>
      <c r="W1195" s="4"/>
      <c r="X1195" s="4"/>
      <c r="Y1195" s="4"/>
      <c r="Z1195" s="4"/>
      <c r="AA1195" s="4"/>
      <c r="AB1195" s="4"/>
      <c r="AC1195" s="4" t="str">
        <f>IFERROR(__xludf.DUMMYFUNCTION("""COMPUTED_VALUE"""),"INSPEKSI SUTM - T2_Images/946c1f11.FOTO.140529.jpg")</f>
        <v>INSPEKSI SUTM - T2_Images/946c1f11.FOTO.140529.jpg</v>
      </c>
      <c r="AD1195" s="4"/>
      <c r="AE1195" s="4"/>
      <c r="AF1195" s="4" t="str">
        <f>IFERROR(__xludf.DUMMYFUNCTION("""COMPUTED_VALUE"""),"BELUM")</f>
        <v>BELUM</v>
      </c>
      <c r="AG1195" s="6">
        <f>IFERROR(__xludf.DUMMYFUNCTION("""COMPUTED_VALUE"""),46140.0)</f>
        <v>46140</v>
      </c>
      <c r="AH1195" s="4"/>
      <c r="AI1195" s="4"/>
    </row>
    <row r="1196" ht="15.75" customHeight="1">
      <c r="A1196" s="4" t="str">
        <f>IFERROR(__xludf.DUMMYFUNCTION("""COMPUTED_VALUE"""),"b95e6fac")</f>
        <v>b95e6fac</v>
      </c>
      <c r="B1196" s="5">
        <f>IFERROR(__xludf.DUMMYFUNCTION("""COMPUTED_VALUE"""),46140.87899305556)</f>
        <v>46140.87899</v>
      </c>
      <c r="C1196" s="4" t="str">
        <f>IFERROR(__xludf.DUMMYFUNCTION("""COMPUTED_VALUE"""),"-6.930087, 107.735340")</f>
        <v>-6.930087, 107.735340</v>
      </c>
      <c r="D1196" s="4" t="str">
        <f>IFERROR(__xludf.DUMMYFUNCTION("""COMPUTED_VALUE"""),"Canra heri")</f>
        <v>Canra heri</v>
      </c>
      <c r="E1196" s="4" t="str">
        <f>IFERROR(__xludf.DUMMYFUNCTION("""COMPUTED_VALUE"""),"BANDUNG")</f>
        <v>BANDUNG</v>
      </c>
      <c r="F1196" s="4" t="str">
        <f>IFERROR(__xludf.DUMMYFUNCTION("""COMPUTED_VALUE"""),"UJUNGBERUNG")</f>
        <v>UJUNGBERUNG</v>
      </c>
      <c r="G1196" s="4" t="str">
        <f>IFERROR(__xludf.DUMMYFUNCTION("""COMPUTED_VALUE"""),"UJUNGBERUNG")</f>
        <v>UJUNGBERUNG</v>
      </c>
      <c r="H1196" s="4" t="str">
        <f>IFERROR(__xludf.DUMMYFUNCTION("""COMPUTED_VALUE"""),"CLNI")</f>
        <v>CLNI</v>
      </c>
      <c r="I1196" s="4" t="str">
        <f>IFERROR(__xludf.DUMMYFUNCTION("""COMPUTED_VALUE"""),"GI UBRNG - REC.CBL")</f>
        <v>GI UBRNG - REC.CBL</v>
      </c>
      <c r="J1196" s="4" t="str">
        <f>IFERROR(__xludf.DUMMYFUNCTION("""COMPUTED_VALUE"""),"ZONA 1")</f>
        <v>ZONA 1</v>
      </c>
      <c r="K1196" s="4" t="str">
        <f>IFERROR(__xludf.DUMMYFUNCTION("""COMPUTED_VALUE"""),"025")</f>
        <v>025</v>
      </c>
      <c r="L1196" s="4" t="str">
        <f>IFERROR(__xludf.DUMMYFUNCTION("""COMPUTED_VALUE"""),"TM - 8B/H (Percabangan)")</f>
        <v>TM - 8B/H (Percabangan)</v>
      </c>
      <c r="M1196" s="4" t="str">
        <f>IFERROR(__xludf.DUMMYFUNCTION("""COMPUTED_VALUE"""),"Tidak Ada")</f>
        <v>Tidak Ada</v>
      </c>
      <c r="N1196" s="4"/>
      <c r="O1196" s="4" t="str">
        <f>IFERROR(__xludf.DUMMYFUNCTION("""COMPUTED_VALUE"""),"PEMBANDING SEJENIS")</f>
        <v>PEMBANDING SEJENIS</v>
      </c>
      <c r="P1196" s="4" t="str">
        <f>IFERROR(__xludf.DUMMYFUNCTION("""COMPUTED_VALUE"""),"KONEKTOR/JUMPER")</f>
        <v>KONEKTOR/JUMPER</v>
      </c>
      <c r="Q1196" s="4">
        <f>IFERROR(__xludf.DUMMYFUNCTION("""COMPUTED_VALUE"""),22.0)</f>
        <v>22</v>
      </c>
      <c r="R1196" s="4">
        <f>IFERROR(__xludf.DUMMYFUNCTION("""COMPUTED_VALUE"""),23.0)</f>
        <v>23</v>
      </c>
      <c r="S1196" s="4">
        <f>IFERROR(__xludf.DUMMYFUNCTION("""COMPUTED_VALUE"""),22.0)</f>
        <v>22</v>
      </c>
      <c r="T1196" s="4"/>
      <c r="U1196" s="4" t="str">
        <f>IFERROR(__xludf.DUMMYFUNCTION("""COMPUTED_VALUE"""),"BAIK")</f>
        <v>BAIK</v>
      </c>
      <c r="V1196" s="4" t="str">
        <f>IFERROR(__xludf.DUMMYFUNCTION("""COMPUTED_VALUE"""),"Tidak Ada")</f>
        <v>Tidak Ada</v>
      </c>
      <c r="W1196" s="4"/>
      <c r="X1196" s="4"/>
      <c r="Y1196" s="4"/>
      <c r="Z1196" s="4"/>
      <c r="AA1196" s="4"/>
      <c r="AB1196" s="4"/>
      <c r="AC1196" s="4" t="str">
        <f>IFERROR(__xludf.DUMMYFUNCTION("""COMPUTED_VALUE"""),"INSPEKSI SUTM - T2_Images/b95e6fac.FOTO.140638.jpg")</f>
        <v>INSPEKSI SUTM - T2_Images/b95e6fac.FOTO.140638.jpg</v>
      </c>
      <c r="AD1196" s="4"/>
      <c r="AE1196" s="4"/>
      <c r="AF1196" s="4" t="str">
        <f>IFERROR(__xludf.DUMMYFUNCTION("""COMPUTED_VALUE"""),"BELUM")</f>
        <v>BELUM</v>
      </c>
      <c r="AG1196" s="6">
        <f>IFERROR(__xludf.DUMMYFUNCTION("""COMPUTED_VALUE"""),46140.0)</f>
        <v>46140</v>
      </c>
      <c r="AH1196" s="4"/>
      <c r="AI1196" s="4"/>
    </row>
    <row r="1197" ht="15.75" customHeight="1">
      <c r="A1197" s="4" t="str">
        <f>IFERROR(__xludf.DUMMYFUNCTION("""COMPUTED_VALUE"""),"b74083e8")</f>
        <v>b74083e8</v>
      </c>
      <c r="B1197" s="5">
        <f>IFERROR(__xludf.DUMMYFUNCTION("""COMPUTED_VALUE"""),46140.880208333336)</f>
        <v>46140.88021</v>
      </c>
      <c r="C1197" s="4" t="str">
        <f>IFERROR(__xludf.DUMMYFUNCTION("""COMPUTED_VALUE"""),"-6.930090, 107.735335")</f>
        <v>-6.930090, 107.735335</v>
      </c>
      <c r="D1197" s="4" t="str">
        <f>IFERROR(__xludf.DUMMYFUNCTION("""COMPUTED_VALUE"""),"Canra heei")</f>
        <v>Canra heei</v>
      </c>
      <c r="E1197" s="4" t="str">
        <f>IFERROR(__xludf.DUMMYFUNCTION("""COMPUTED_VALUE"""),"BANDUNG")</f>
        <v>BANDUNG</v>
      </c>
      <c r="F1197" s="4" t="str">
        <f>IFERROR(__xludf.DUMMYFUNCTION("""COMPUTED_VALUE"""),"UJUNGBERUNG")</f>
        <v>UJUNGBERUNG</v>
      </c>
      <c r="G1197" s="4" t="str">
        <f>IFERROR(__xludf.DUMMYFUNCTION("""COMPUTED_VALUE"""),"UJUNGBERUNG")</f>
        <v>UJUNGBERUNG</v>
      </c>
      <c r="H1197" s="4" t="str">
        <f>IFERROR(__xludf.DUMMYFUNCTION("""COMPUTED_VALUE"""),"CLNI")</f>
        <v>CLNI</v>
      </c>
      <c r="I1197" s="4" t="str">
        <f>IFERROR(__xludf.DUMMYFUNCTION("""COMPUTED_VALUE"""),"GI UBRNG - REC.CBL")</f>
        <v>GI UBRNG - REC.CBL</v>
      </c>
      <c r="J1197" s="4" t="str">
        <f>IFERROR(__xludf.DUMMYFUNCTION("""COMPUTED_VALUE"""),"ZONA 1")</f>
        <v>ZONA 1</v>
      </c>
      <c r="K1197" s="4" t="str">
        <f>IFERROR(__xludf.DUMMYFUNCTION("""COMPUTED_VALUE"""),"026")</f>
        <v>026</v>
      </c>
      <c r="L1197" s="4" t="str">
        <f>IFERROR(__xludf.DUMMYFUNCTION("""COMPUTED_VALUE"""),"TM - 14B/H (Akhir)")</f>
        <v>TM - 14B/H (Akhir)</v>
      </c>
      <c r="M1197" s="4" t="str">
        <f>IFERROR(__xludf.DUMMYFUNCTION("""COMPUTED_VALUE"""),"Gardu")</f>
        <v>Gardu</v>
      </c>
      <c r="N1197" s="4" t="str">
        <f>IFERROR(__xludf.DUMMYFUNCTION("""COMPUTED_VALUE"""),"Cblc")</f>
        <v>Cblc</v>
      </c>
      <c r="O1197" s="4" t="str">
        <f>IFERROR(__xludf.DUMMYFUNCTION("""COMPUTED_VALUE"""),"PEMBANDING SEJENIS")</f>
        <v>PEMBANDING SEJENIS</v>
      </c>
      <c r="P1197" s="4" t="str">
        <f>IFERROR(__xludf.DUMMYFUNCTION("""COMPUTED_VALUE"""),"KONEKTOR/JUMPER")</f>
        <v>KONEKTOR/JUMPER</v>
      </c>
      <c r="Q1197" s="4">
        <f>IFERROR(__xludf.DUMMYFUNCTION("""COMPUTED_VALUE"""),26.0)</f>
        <v>26</v>
      </c>
      <c r="R1197" s="4">
        <f>IFERROR(__xludf.DUMMYFUNCTION("""COMPUTED_VALUE"""),26.0)</f>
        <v>26</v>
      </c>
      <c r="S1197" s="4">
        <f>IFERROR(__xludf.DUMMYFUNCTION("""COMPUTED_VALUE"""),27.0)</f>
        <v>27</v>
      </c>
      <c r="T1197" s="4"/>
      <c r="U1197" s="4" t="str">
        <f>IFERROR(__xludf.DUMMYFUNCTION("""COMPUTED_VALUE"""),"BAIK")</f>
        <v>BAIK</v>
      </c>
      <c r="V1197" s="4" t="str">
        <f>IFERROR(__xludf.DUMMYFUNCTION("""COMPUTED_VALUE"""),"Tidak Ada")</f>
        <v>Tidak Ada</v>
      </c>
      <c r="W1197" s="4"/>
      <c r="X1197" s="4"/>
      <c r="Y1197" s="4"/>
      <c r="Z1197" s="4"/>
      <c r="AA1197" s="4"/>
      <c r="AB1197" s="4"/>
      <c r="AC1197" s="4" t="str">
        <f>IFERROR(__xludf.DUMMYFUNCTION("""COMPUTED_VALUE"""),"INSPEKSI SUTM - T2_Images/b74083e8.FOTO.140821.jpg")</f>
        <v>INSPEKSI SUTM - T2_Images/b74083e8.FOTO.140821.jpg</v>
      </c>
      <c r="AD1197" s="4"/>
      <c r="AE1197" s="4"/>
      <c r="AF1197" s="4" t="str">
        <f>IFERROR(__xludf.DUMMYFUNCTION("""COMPUTED_VALUE"""),"BELUM")</f>
        <v>BELUM</v>
      </c>
      <c r="AG1197" s="6">
        <f>IFERROR(__xludf.DUMMYFUNCTION("""COMPUTED_VALUE"""),46140.0)</f>
        <v>46140</v>
      </c>
      <c r="AH1197" s="4"/>
      <c r="AI1197" s="4"/>
    </row>
    <row r="1198" ht="15.75" customHeight="1">
      <c r="A1198" s="4" t="str">
        <f>IFERROR(__xludf.DUMMYFUNCTION("""COMPUTED_VALUE"""),"6f1db2ce")</f>
        <v>6f1db2ce</v>
      </c>
      <c r="B1198" s="5">
        <f>IFERROR(__xludf.DUMMYFUNCTION("""COMPUTED_VALUE"""),46140.881527777776)</f>
        <v>46140.88153</v>
      </c>
      <c r="C1198" s="4" t="str">
        <f>IFERROR(__xludf.DUMMYFUNCTION("""COMPUTED_VALUE"""),"-6.928366, 107.736299")</f>
        <v>-6.928366, 107.736299</v>
      </c>
      <c r="D1198" s="4" t="str">
        <f>IFERROR(__xludf.DUMMYFUNCTION("""COMPUTED_VALUE"""),"Canra heei")</f>
        <v>Canra heei</v>
      </c>
      <c r="E1198" s="4" t="str">
        <f>IFERROR(__xludf.DUMMYFUNCTION("""COMPUTED_VALUE"""),"BANDUNG")</f>
        <v>BANDUNG</v>
      </c>
      <c r="F1198" s="4" t="str">
        <f>IFERROR(__xludf.DUMMYFUNCTION("""COMPUTED_VALUE"""),"UJUNGBERUNG")</f>
        <v>UJUNGBERUNG</v>
      </c>
      <c r="G1198" s="4" t="str">
        <f>IFERROR(__xludf.DUMMYFUNCTION("""COMPUTED_VALUE"""),"UJUNGBERUNG")</f>
        <v>UJUNGBERUNG</v>
      </c>
      <c r="H1198" s="4" t="str">
        <f>IFERROR(__xludf.DUMMYFUNCTION("""COMPUTED_VALUE"""),"CLNI")</f>
        <v>CLNI</v>
      </c>
      <c r="I1198" s="4" t="str">
        <f>IFERROR(__xludf.DUMMYFUNCTION("""COMPUTED_VALUE"""),"REC. CBL - LBS CLNB")</f>
        <v>REC. CBL - LBS CLNB</v>
      </c>
      <c r="J1198" s="4" t="str">
        <f>IFERROR(__xludf.DUMMYFUNCTION("""COMPUTED_VALUE"""),"ZONA 2")</f>
        <v>ZONA 2</v>
      </c>
      <c r="K1198" s="4" t="str">
        <f>IFERROR(__xludf.DUMMYFUNCTION("""COMPUTED_VALUE"""),"031")</f>
        <v>031</v>
      </c>
      <c r="L1198" s="4" t="str">
        <f>IFERROR(__xludf.DUMMYFUNCTION("""COMPUTED_VALUE"""),"TM - 16B/H (REC/SSO/LBS)")</f>
        <v>TM - 16B/H (REC/SSO/LBS)</v>
      </c>
      <c r="M1198" s="4" t="str">
        <f>IFERROR(__xludf.DUMMYFUNCTION("""COMPUTED_VALUE"""),"REC")</f>
        <v>REC</v>
      </c>
      <c r="N1198" s="4" t="str">
        <f>IFERROR(__xludf.DUMMYFUNCTION("""COMPUTED_VALUE"""),"Cbl")</f>
        <v>Cbl</v>
      </c>
      <c r="O1198" s="4" t="str">
        <f>IFERROR(__xludf.DUMMYFUNCTION("""COMPUTED_VALUE"""),"PEMBANDING SEJENIS")</f>
        <v>PEMBANDING SEJENIS</v>
      </c>
      <c r="P1198" s="4" t="str">
        <f>IFERROR(__xludf.DUMMYFUNCTION("""COMPUTED_VALUE"""),"KONEKTOR/JUMPER")</f>
        <v>KONEKTOR/JUMPER</v>
      </c>
      <c r="Q1198" s="4">
        <f>IFERROR(__xludf.DUMMYFUNCTION("""COMPUTED_VALUE"""),30.0)</f>
        <v>30</v>
      </c>
      <c r="R1198" s="4">
        <f>IFERROR(__xludf.DUMMYFUNCTION("""COMPUTED_VALUE"""),24.0)</f>
        <v>24</v>
      </c>
      <c r="S1198" s="4">
        <f>IFERROR(__xludf.DUMMYFUNCTION("""COMPUTED_VALUE"""),22.0)</f>
        <v>22</v>
      </c>
      <c r="T1198" s="4"/>
      <c r="U1198" s="4" t="str">
        <f>IFERROR(__xludf.DUMMYFUNCTION("""COMPUTED_VALUE"""),"CUKUP")</f>
        <v>CUKUP</v>
      </c>
      <c r="V1198" s="4" t="str">
        <f>IFERROR(__xludf.DUMMYFUNCTION("""COMPUTED_VALUE"""),"Tidak Ada")</f>
        <v>Tidak Ada</v>
      </c>
      <c r="W1198" s="4"/>
      <c r="X1198" s="4"/>
      <c r="Y1198" s="4"/>
      <c r="Z1198" s="4"/>
      <c r="AA1198" s="4"/>
      <c r="AB1198" s="4"/>
      <c r="AC1198" s="4" t="str">
        <f>IFERROR(__xludf.DUMMYFUNCTION("""COMPUTED_VALUE"""),"INSPEKSI SUTM - T2_Images/6f1db2ce.FOTO.141017.jpg")</f>
        <v>INSPEKSI SUTM - T2_Images/6f1db2ce.FOTO.141017.jpg</v>
      </c>
      <c r="AD1198" s="4"/>
      <c r="AE1198" s="4"/>
      <c r="AF1198" s="4" t="str">
        <f>IFERROR(__xludf.DUMMYFUNCTION("""COMPUTED_VALUE"""),"BELUM")</f>
        <v>BELUM</v>
      </c>
      <c r="AG1198" s="6">
        <f>IFERROR(__xludf.DUMMYFUNCTION("""COMPUTED_VALUE"""),46140.0)</f>
        <v>46140</v>
      </c>
      <c r="AH1198" s="4"/>
      <c r="AI1198" s="4"/>
    </row>
    <row r="1199" ht="15.75" customHeight="1">
      <c r="A1199" s="4" t="str">
        <f>IFERROR(__xludf.DUMMYFUNCTION("""COMPUTED_VALUE"""),"c649428e")</f>
        <v>c649428e</v>
      </c>
      <c r="B1199" s="5">
        <f>IFERROR(__xludf.DUMMYFUNCTION("""COMPUTED_VALUE"""),46140.883101851854)</f>
        <v>46140.8831</v>
      </c>
      <c r="C1199" s="4" t="str">
        <f>IFERROR(__xludf.DUMMYFUNCTION("""COMPUTED_VALUE"""),"-6.926073, 107.737639")</f>
        <v>-6.926073, 107.737639</v>
      </c>
      <c r="D1199" s="4" t="str">
        <f>IFERROR(__xludf.DUMMYFUNCTION("""COMPUTED_VALUE"""),"Canra heei")</f>
        <v>Canra heei</v>
      </c>
      <c r="E1199" s="4" t="str">
        <f>IFERROR(__xludf.DUMMYFUNCTION("""COMPUTED_VALUE"""),"BANDUNG")</f>
        <v>BANDUNG</v>
      </c>
      <c r="F1199" s="4" t="str">
        <f>IFERROR(__xludf.DUMMYFUNCTION("""COMPUTED_VALUE"""),"UJUNGBERUNG")</f>
        <v>UJUNGBERUNG</v>
      </c>
      <c r="G1199" s="4" t="str">
        <f>IFERROR(__xludf.DUMMYFUNCTION("""COMPUTED_VALUE"""),"UJUNGBERUNG")</f>
        <v>UJUNGBERUNG</v>
      </c>
      <c r="H1199" s="4" t="str">
        <f>IFERROR(__xludf.DUMMYFUNCTION("""COMPUTED_VALUE"""),"CLNI")</f>
        <v>CLNI</v>
      </c>
      <c r="I1199" s="4" t="str">
        <f>IFERROR(__xludf.DUMMYFUNCTION("""COMPUTED_VALUE"""),"REC. CBL - LBS CLNB")</f>
        <v>REC. CBL - LBS CLNB</v>
      </c>
      <c r="J1199" s="4" t="str">
        <f>IFERROR(__xludf.DUMMYFUNCTION("""COMPUTED_VALUE"""),"ZONA 2")</f>
        <v>ZONA 2</v>
      </c>
      <c r="K1199" s="4" t="str">
        <f>IFERROR(__xludf.DUMMYFUNCTION("""COMPUTED_VALUE"""),"037")</f>
        <v>037</v>
      </c>
      <c r="L1199" s="4" t="str">
        <f>IFERROR(__xludf.DUMMYFUNCTION("""COMPUTED_VALUE"""),"TM - 4B/H (Afspan)")</f>
        <v>TM - 4B/H (Afspan)</v>
      </c>
      <c r="M1199" s="4" t="str">
        <f>IFERROR(__xludf.DUMMYFUNCTION("""COMPUTED_VALUE"""),"Tidak Ada")</f>
        <v>Tidak Ada</v>
      </c>
      <c r="N1199" s="4"/>
      <c r="O1199" s="4" t="str">
        <f>IFERROR(__xludf.DUMMYFUNCTION("""COMPUTED_VALUE"""),"PEMBANDING SEJENIS")</f>
        <v>PEMBANDING SEJENIS</v>
      </c>
      <c r="P1199" s="4" t="str">
        <f>IFERROR(__xludf.DUMMYFUNCTION("""COMPUTED_VALUE"""),"KONEKTOR/JUMPER")</f>
        <v>KONEKTOR/JUMPER</v>
      </c>
      <c r="Q1199" s="4">
        <f>IFERROR(__xludf.DUMMYFUNCTION("""COMPUTED_VALUE"""),21.0)</f>
        <v>21</v>
      </c>
      <c r="R1199" s="4">
        <f>IFERROR(__xludf.DUMMYFUNCTION("""COMPUTED_VALUE"""),20.0)</f>
        <v>20</v>
      </c>
      <c r="S1199" s="4">
        <f>IFERROR(__xludf.DUMMYFUNCTION("""COMPUTED_VALUE"""),20.0)</f>
        <v>20</v>
      </c>
      <c r="T1199" s="4"/>
      <c r="U1199" s="4" t="str">
        <f>IFERROR(__xludf.DUMMYFUNCTION("""COMPUTED_VALUE"""),"BAIK")</f>
        <v>BAIK</v>
      </c>
      <c r="V1199" s="4" t="str">
        <f>IFERROR(__xludf.DUMMYFUNCTION("""COMPUTED_VALUE"""),"Tidak Ada")</f>
        <v>Tidak Ada</v>
      </c>
      <c r="W1199" s="4"/>
      <c r="X1199" s="4"/>
      <c r="Y1199" s="4"/>
      <c r="Z1199" s="4"/>
      <c r="AA1199" s="4"/>
      <c r="AB1199" s="4"/>
      <c r="AC1199" s="4" t="str">
        <f>IFERROR(__xludf.DUMMYFUNCTION("""COMPUTED_VALUE"""),"INSPEKSI SUTM - T2_Images/c649428e.FOTO.141228.jpg")</f>
        <v>INSPEKSI SUTM - T2_Images/c649428e.FOTO.141228.jpg</v>
      </c>
      <c r="AD1199" s="4"/>
      <c r="AE1199" s="4"/>
      <c r="AF1199" s="4" t="str">
        <f>IFERROR(__xludf.DUMMYFUNCTION("""COMPUTED_VALUE"""),"BELUM")</f>
        <v>BELUM</v>
      </c>
      <c r="AG1199" s="6">
        <f>IFERROR(__xludf.DUMMYFUNCTION("""COMPUTED_VALUE"""),46140.0)</f>
        <v>46140</v>
      </c>
      <c r="AH1199" s="4"/>
      <c r="AI1199" s="4"/>
    </row>
    <row r="1200" ht="15.75" customHeight="1">
      <c r="A1200" s="4" t="str">
        <f>IFERROR(__xludf.DUMMYFUNCTION("""COMPUTED_VALUE"""),"19bce33e")</f>
        <v>19bce33e</v>
      </c>
      <c r="B1200" s="5">
        <f>IFERROR(__xludf.DUMMYFUNCTION("""COMPUTED_VALUE"""),46140.88386574074)</f>
        <v>46140.88387</v>
      </c>
      <c r="C1200" s="4" t="str">
        <f>IFERROR(__xludf.DUMMYFUNCTION("""COMPUTED_VALUE"""),"-6.925794, 107.737974")</f>
        <v>-6.925794, 107.737974</v>
      </c>
      <c r="D1200" s="4" t="str">
        <f>IFERROR(__xludf.DUMMYFUNCTION("""COMPUTED_VALUE"""),"Canra heeu")</f>
        <v>Canra heeu</v>
      </c>
      <c r="E1200" s="4" t="str">
        <f>IFERROR(__xludf.DUMMYFUNCTION("""COMPUTED_VALUE"""),"BANDUNG")</f>
        <v>BANDUNG</v>
      </c>
      <c r="F1200" s="4" t="str">
        <f>IFERROR(__xludf.DUMMYFUNCTION("""COMPUTED_VALUE"""),"UJUNGBERUNG")</f>
        <v>UJUNGBERUNG</v>
      </c>
      <c r="G1200" s="4" t="str">
        <f>IFERROR(__xludf.DUMMYFUNCTION("""COMPUTED_VALUE"""),"UJUNGBERUNG")</f>
        <v>UJUNGBERUNG</v>
      </c>
      <c r="H1200" s="4" t="str">
        <f>IFERROR(__xludf.DUMMYFUNCTION("""COMPUTED_VALUE"""),"CLNI")</f>
        <v>CLNI</v>
      </c>
      <c r="I1200" s="4" t="str">
        <f>IFERROR(__xludf.DUMMYFUNCTION("""COMPUTED_VALUE"""),"REC. CBL - LBS CLNB")</f>
        <v>REC. CBL - LBS CLNB</v>
      </c>
      <c r="J1200" s="4" t="str">
        <f>IFERROR(__xludf.DUMMYFUNCTION("""COMPUTED_VALUE"""),"ZONA 2")</f>
        <v>ZONA 2</v>
      </c>
      <c r="K1200" s="4" t="str">
        <f>IFERROR(__xludf.DUMMYFUNCTION("""COMPUTED_VALUE"""),"038")</f>
        <v>038</v>
      </c>
      <c r="L1200" s="4" t="str">
        <f>IFERROR(__xludf.DUMMYFUNCTION("""COMPUTED_VALUE"""),"TM - 8B/H (Percabangan)")</f>
        <v>TM - 8B/H (Percabangan)</v>
      </c>
      <c r="M1200" s="4" t="str">
        <f>IFERROR(__xludf.DUMMYFUNCTION("""COMPUTED_VALUE"""),"Tidak Ada")</f>
        <v>Tidak Ada</v>
      </c>
      <c r="N1200" s="4"/>
      <c r="O1200" s="4" t="str">
        <f>IFERROR(__xludf.DUMMYFUNCTION("""COMPUTED_VALUE"""),"PEMBANDING SEJENIS")</f>
        <v>PEMBANDING SEJENIS</v>
      </c>
      <c r="P1200" s="4" t="str">
        <f>IFERROR(__xludf.DUMMYFUNCTION("""COMPUTED_VALUE"""),"KONEKTOR/JUMPER")</f>
        <v>KONEKTOR/JUMPER</v>
      </c>
      <c r="Q1200" s="4">
        <f>IFERROR(__xludf.DUMMYFUNCTION("""COMPUTED_VALUE"""),21.0)</f>
        <v>21</v>
      </c>
      <c r="R1200" s="4">
        <f>IFERROR(__xludf.DUMMYFUNCTION("""COMPUTED_VALUE"""),20.0)</f>
        <v>20</v>
      </c>
      <c r="S1200" s="4">
        <f>IFERROR(__xludf.DUMMYFUNCTION("""COMPUTED_VALUE"""),23.0)</f>
        <v>23</v>
      </c>
      <c r="T1200" s="4"/>
      <c r="U1200" s="4" t="str">
        <f>IFERROR(__xludf.DUMMYFUNCTION("""COMPUTED_VALUE"""),"CUKUP")</f>
        <v>CUKUP</v>
      </c>
      <c r="V1200" s="4" t="str">
        <f>IFERROR(__xludf.DUMMYFUNCTION("""COMPUTED_VALUE"""),"Tidak Ada")</f>
        <v>Tidak Ada</v>
      </c>
      <c r="W1200" s="4"/>
      <c r="X1200" s="4"/>
      <c r="Y1200" s="4"/>
      <c r="Z1200" s="4"/>
      <c r="AA1200" s="4"/>
      <c r="AB1200" s="4"/>
      <c r="AC1200" s="4" t="str">
        <f>IFERROR(__xludf.DUMMYFUNCTION("""COMPUTED_VALUE"""),"INSPEKSI SUTM - T2_Images/19bce33e.FOTO.141336.jpg")</f>
        <v>INSPEKSI SUTM - T2_Images/19bce33e.FOTO.141336.jpg</v>
      </c>
      <c r="AD1200" s="4"/>
      <c r="AE1200" s="4"/>
      <c r="AF1200" s="4" t="str">
        <f>IFERROR(__xludf.DUMMYFUNCTION("""COMPUTED_VALUE"""),"BELUM")</f>
        <v>BELUM</v>
      </c>
      <c r="AG1200" s="6">
        <f>IFERROR(__xludf.DUMMYFUNCTION("""COMPUTED_VALUE"""),46140.0)</f>
        <v>46140</v>
      </c>
      <c r="AH1200" s="4"/>
      <c r="AI1200" s="4"/>
    </row>
    <row r="1201" ht="15.75" customHeight="1">
      <c r="A1201" s="4" t="str">
        <f>IFERROR(__xludf.DUMMYFUNCTION("""COMPUTED_VALUE"""),"e65b7e5a")</f>
        <v>e65b7e5a</v>
      </c>
      <c r="B1201" s="5">
        <f>IFERROR(__xludf.DUMMYFUNCTION("""COMPUTED_VALUE"""),46140.88501157407)</f>
        <v>46140.88501</v>
      </c>
      <c r="C1201" s="4" t="str">
        <f>IFERROR(__xludf.DUMMYFUNCTION("""COMPUTED_VALUE"""),"-6.925514, 107.738131")</f>
        <v>-6.925514, 107.738131</v>
      </c>
      <c r="D1201" s="4" t="str">
        <f>IFERROR(__xludf.DUMMYFUNCTION("""COMPUTED_VALUE"""),"Canra heei")</f>
        <v>Canra heei</v>
      </c>
      <c r="E1201" s="4" t="str">
        <f>IFERROR(__xludf.DUMMYFUNCTION("""COMPUTED_VALUE"""),"BANDUNG")</f>
        <v>BANDUNG</v>
      </c>
      <c r="F1201" s="4" t="str">
        <f>IFERROR(__xludf.DUMMYFUNCTION("""COMPUTED_VALUE"""),"UJUNGBERUNG")</f>
        <v>UJUNGBERUNG</v>
      </c>
      <c r="G1201" s="4" t="str">
        <f>IFERROR(__xludf.DUMMYFUNCTION("""COMPUTED_VALUE"""),"UJUNGBERUNG")</f>
        <v>UJUNGBERUNG</v>
      </c>
      <c r="H1201" s="4" t="str">
        <f>IFERROR(__xludf.DUMMYFUNCTION("""COMPUTED_VALUE"""),"CLNI")</f>
        <v>CLNI</v>
      </c>
      <c r="I1201" s="4" t="str">
        <f>IFERROR(__xludf.DUMMYFUNCTION("""COMPUTED_VALUE"""),"REC. CBL - LBS CLNB")</f>
        <v>REC. CBL - LBS CLNB</v>
      </c>
      <c r="J1201" s="4" t="str">
        <f>IFERROR(__xludf.DUMMYFUNCTION("""COMPUTED_VALUE"""),"ZONA 2")</f>
        <v>ZONA 2</v>
      </c>
      <c r="K1201" s="4" t="str">
        <f>IFERROR(__xludf.DUMMYFUNCTION("""COMPUTED_VALUE"""),"038R01")</f>
        <v>038R01</v>
      </c>
      <c r="L1201" s="4" t="str">
        <f>IFERROR(__xludf.DUMMYFUNCTION("""COMPUTED_VALUE"""),"TM - 13B/H (Kabel Naik Pada Tiang Tumpu)")</f>
        <v>TM - 13B/H (Kabel Naik Pada Tiang Tumpu)</v>
      </c>
      <c r="M1201" s="4" t="str">
        <f>IFERROR(__xludf.DUMMYFUNCTION("""COMPUTED_VALUE"""),"Gardu")</f>
        <v>Gardu</v>
      </c>
      <c r="N1201" s="4" t="str">
        <f>IFERROR(__xludf.DUMMYFUNCTION("""COMPUTED_VALUE"""),"Cbla")</f>
        <v>Cbla</v>
      </c>
      <c r="O1201" s="4" t="str">
        <f>IFERROR(__xludf.DUMMYFUNCTION("""COMPUTED_VALUE"""),"PEMBANDING SEJENIS")</f>
        <v>PEMBANDING SEJENIS</v>
      </c>
      <c r="P1201" s="4" t="str">
        <f>IFERROR(__xludf.DUMMYFUNCTION("""COMPUTED_VALUE"""),"TERMINASI")</f>
        <v>TERMINASI</v>
      </c>
      <c r="Q1201" s="4">
        <f>IFERROR(__xludf.DUMMYFUNCTION("""COMPUTED_VALUE"""),24.0)</f>
        <v>24</v>
      </c>
      <c r="R1201" s="4">
        <f>IFERROR(__xludf.DUMMYFUNCTION("""COMPUTED_VALUE"""),24.0)</f>
        <v>24</v>
      </c>
      <c r="S1201" s="4">
        <f>IFERROR(__xludf.DUMMYFUNCTION("""COMPUTED_VALUE"""),20.0)</f>
        <v>20</v>
      </c>
      <c r="T1201" s="4"/>
      <c r="U1201" s="4" t="str">
        <f>IFERROR(__xludf.DUMMYFUNCTION("""COMPUTED_VALUE"""),"CUKUP")</f>
        <v>CUKUP</v>
      </c>
      <c r="V1201" s="4" t="str">
        <f>IFERROR(__xludf.DUMMYFUNCTION("""COMPUTED_VALUE"""),"Tidak Ada")</f>
        <v>Tidak Ada</v>
      </c>
      <c r="W1201" s="4"/>
      <c r="X1201" s="4"/>
      <c r="Y1201" s="4"/>
      <c r="Z1201" s="4"/>
      <c r="AA1201" s="4"/>
      <c r="AB1201" s="4"/>
      <c r="AC1201" s="4" t="str">
        <f>IFERROR(__xludf.DUMMYFUNCTION("""COMPUTED_VALUE"""),"INSPEKSI SUTM - T2_Images/e65b7e5a.FOTO.141518.jpg")</f>
        <v>INSPEKSI SUTM - T2_Images/e65b7e5a.FOTO.141518.jpg</v>
      </c>
      <c r="AD1201" s="4"/>
      <c r="AE1201" s="4"/>
      <c r="AF1201" s="4" t="str">
        <f>IFERROR(__xludf.DUMMYFUNCTION("""COMPUTED_VALUE"""),"BELUM")</f>
        <v>BELUM</v>
      </c>
      <c r="AG1201" s="6">
        <f>IFERROR(__xludf.DUMMYFUNCTION("""COMPUTED_VALUE"""),46140.0)</f>
        <v>46140</v>
      </c>
      <c r="AH1201" s="4"/>
      <c r="AI1201" s="4"/>
    </row>
    <row r="1202" ht="15.75" customHeight="1">
      <c r="A1202" s="4" t="str">
        <f>IFERROR(__xludf.DUMMYFUNCTION("""COMPUTED_VALUE"""),"81cc588b")</f>
        <v>81cc588b</v>
      </c>
      <c r="B1202" s="5">
        <f>IFERROR(__xludf.DUMMYFUNCTION("""COMPUTED_VALUE"""),46140.956296296295)</f>
        <v>46140.9563</v>
      </c>
      <c r="C1202" s="4" t="str">
        <f>IFERROR(__xludf.DUMMYFUNCTION("""COMPUTED_VALUE"""),"-6.899174, 107.645298")</f>
        <v>-6.899174, 107.645298</v>
      </c>
      <c r="D1202" s="4" t="str">
        <f>IFERROR(__xludf.DUMMYFUNCTION("""COMPUTED_VALUE"""),"Nugi firman")</f>
        <v>Nugi firman</v>
      </c>
      <c r="E1202" s="4" t="str">
        <f>IFERROR(__xludf.DUMMYFUNCTION("""COMPUTED_VALUE"""),"BANDUNG")</f>
        <v>BANDUNG</v>
      </c>
      <c r="F1202" s="4" t="str">
        <f>IFERROR(__xludf.DUMMYFUNCTION("""COMPUTED_VALUE"""),"BANDUNG SELATAN")</f>
        <v>BANDUNG SELATAN</v>
      </c>
      <c r="G1202" s="4" t="str">
        <f>IFERROR(__xludf.DUMMYFUNCTION("""COMPUTED_VALUE"""),"GI DAYEUHKOLOT")</f>
        <v>GI DAYEUHKOLOT</v>
      </c>
      <c r="H1202" s="4" t="str">
        <f>IFERROR(__xludf.DUMMYFUNCTION("""COMPUTED_VALUE"""),"DYPI")</f>
        <v>DYPI</v>
      </c>
      <c r="I1202" s="4" t="str">
        <f>IFERROR(__xludf.DUMMYFUNCTION("""COMPUTED_VALUE"""),"KP.PLI - LBS BJSF")</f>
        <v>KP.PLI - LBS BJSF</v>
      </c>
      <c r="J1202" s="4" t="str">
        <f>IFERROR(__xludf.DUMMYFUNCTION("""COMPUTED_VALUE"""),"ZONA 2")</f>
        <v>ZONA 2</v>
      </c>
      <c r="K1202" s="4" t="str">
        <f>IFERROR(__xludf.DUMMYFUNCTION("""COMPUTED_VALUE"""),"045")</f>
        <v>045</v>
      </c>
      <c r="L1202" s="4" t="str">
        <f>IFERROR(__xludf.DUMMYFUNCTION("""COMPUTED_VALUE"""),"TM - 11B/H (Kabel Naik)")</f>
        <v>TM - 11B/H (Kabel Naik)</v>
      </c>
      <c r="M1202" s="4" t="str">
        <f>IFERROR(__xludf.DUMMYFUNCTION("""COMPUTED_VALUE"""),"Tidak Ada")</f>
        <v>Tidak Ada</v>
      </c>
      <c r="N1202" s="4"/>
      <c r="O1202" s="4" t="str">
        <f>IFERROR(__xludf.DUMMYFUNCTION("""COMPUTED_VALUE"""),"PEMBANDING SEJENIS")</f>
        <v>PEMBANDING SEJENIS</v>
      </c>
      <c r="P1202" s="4" t="str">
        <f>IFERROR(__xludf.DUMMYFUNCTION("""COMPUTED_VALUE"""),"TERMINASI")</f>
        <v>TERMINASI</v>
      </c>
      <c r="Q1202" s="4">
        <f>IFERROR(__xludf.DUMMYFUNCTION("""COMPUTED_VALUE"""),30.0)</f>
        <v>30</v>
      </c>
      <c r="R1202" s="4">
        <f>IFERROR(__xludf.DUMMYFUNCTION("""COMPUTED_VALUE"""),30.0)</f>
        <v>30</v>
      </c>
      <c r="S1202" s="4">
        <f>IFERROR(__xludf.DUMMYFUNCTION("""COMPUTED_VALUE"""),30.0)</f>
        <v>30</v>
      </c>
      <c r="T1202" s="4"/>
      <c r="U1202" s="4" t="str">
        <f>IFERROR(__xludf.DUMMYFUNCTION("""COMPUTED_VALUE"""),"BAIK")</f>
        <v>BAIK</v>
      </c>
      <c r="V1202" s="4" t="str">
        <f>IFERROR(__xludf.DUMMYFUNCTION("""COMPUTED_VALUE"""),"Tidak Ada")</f>
        <v>Tidak Ada</v>
      </c>
      <c r="W1202" s="4"/>
      <c r="X1202" s="4"/>
      <c r="Y1202" s="4"/>
      <c r="Z1202" s="4"/>
      <c r="AA1202" s="4"/>
      <c r="AB1202" s="4"/>
      <c r="AC1202" s="4" t="str">
        <f>IFERROR(__xludf.DUMMYFUNCTION("""COMPUTED_VALUE"""),"INSPEKSI SUTM - T2_Images/81cc588b.FOTO.160156.jpg")</f>
        <v>INSPEKSI SUTM - T2_Images/81cc588b.FOTO.160156.jpg</v>
      </c>
      <c r="AD1202" s="4"/>
      <c r="AE1202" s="4"/>
      <c r="AF1202" s="4" t="str">
        <f>IFERROR(__xludf.DUMMYFUNCTION("""COMPUTED_VALUE"""),"BELUM")</f>
        <v>BELUM</v>
      </c>
      <c r="AG1202" s="6">
        <f>IFERROR(__xludf.DUMMYFUNCTION("""COMPUTED_VALUE"""),46140.0)</f>
        <v>46140</v>
      </c>
      <c r="AH1202" s="4"/>
      <c r="AI1202" s="4"/>
    </row>
    <row r="1203" ht="15.75" customHeight="1">
      <c r="A1203" s="4" t="str">
        <f>IFERROR(__xludf.DUMMYFUNCTION("""COMPUTED_VALUE"""),"1688d4e2")</f>
        <v>1688d4e2</v>
      </c>
      <c r="B1203" s="5">
        <f>IFERROR(__xludf.DUMMYFUNCTION("""COMPUTED_VALUE"""),46140.95989583333)</f>
        <v>46140.9599</v>
      </c>
      <c r="C1203" s="4" t="str">
        <f>IFERROR(__xludf.DUMMYFUNCTION("""COMPUTED_VALUE"""),"-6.899175, 107.645371")</f>
        <v>-6.899175, 107.645371</v>
      </c>
      <c r="D1203" s="4" t="str">
        <f>IFERROR(__xludf.DUMMYFUNCTION("""COMPUTED_VALUE"""),"Nugi firman")</f>
        <v>Nugi firman</v>
      </c>
      <c r="E1203" s="4" t="str">
        <f>IFERROR(__xludf.DUMMYFUNCTION("""COMPUTED_VALUE"""),"BANDUNG")</f>
        <v>BANDUNG</v>
      </c>
      <c r="F1203" s="4" t="str">
        <f>IFERROR(__xludf.DUMMYFUNCTION("""COMPUTED_VALUE"""),"BANDUNG SELATAN")</f>
        <v>BANDUNG SELATAN</v>
      </c>
      <c r="G1203" s="4" t="str">
        <f>IFERROR(__xludf.DUMMYFUNCTION("""COMPUTED_VALUE"""),"GI DAYEUHKOLOT")</f>
        <v>GI DAYEUHKOLOT</v>
      </c>
      <c r="H1203" s="4" t="str">
        <f>IFERROR(__xludf.DUMMYFUNCTION("""COMPUTED_VALUE"""),"DYPI")</f>
        <v>DYPI</v>
      </c>
      <c r="I1203" s="4" t="str">
        <f>IFERROR(__xludf.DUMMYFUNCTION("""COMPUTED_VALUE"""),"KP.PLI - LBS BJSF")</f>
        <v>KP.PLI - LBS BJSF</v>
      </c>
      <c r="J1203" s="4" t="str">
        <f>IFERROR(__xludf.DUMMYFUNCTION("""COMPUTED_VALUE"""),"ZONA 2")</f>
        <v>ZONA 2</v>
      </c>
      <c r="K1203" s="4" t="str">
        <f>IFERROR(__xludf.DUMMYFUNCTION("""COMPUTED_VALUE"""),"048")</f>
        <v>048</v>
      </c>
      <c r="L1203" s="4" t="str">
        <f>IFERROR(__xludf.DUMMYFUNCTION("""COMPUTED_VALUE"""),"TM - 1B/H (Tumpu)")</f>
        <v>TM - 1B/H (Tumpu)</v>
      </c>
      <c r="M1203" s="4" t="str">
        <f>IFERROR(__xludf.DUMMYFUNCTION("""COMPUTED_VALUE"""),"Tidak Ada")</f>
        <v>Tidak Ada</v>
      </c>
      <c r="N1203" s="4"/>
      <c r="O1203" s="4" t="str">
        <f>IFERROR(__xludf.DUMMYFUNCTION("""COMPUTED_VALUE"""),"PEMBANDING SEJENIS")</f>
        <v>PEMBANDING SEJENIS</v>
      </c>
      <c r="P1203" s="4" t="str">
        <f>IFERROR(__xludf.DUMMYFUNCTION("""COMPUTED_VALUE"""),"ARRESTER")</f>
        <v>ARRESTER</v>
      </c>
      <c r="Q1203" s="4">
        <f>IFERROR(__xludf.DUMMYFUNCTION("""COMPUTED_VALUE"""),26.0)</f>
        <v>26</v>
      </c>
      <c r="R1203" s="4">
        <f>IFERROR(__xludf.DUMMYFUNCTION("""COMPUTED_VALUE"""),26.0)</f>
        <v>26</v>
      </c>
      <c r="S1203" s="4">
        <f>IFERROR(__xludf.DUMMYFUNCTION("""COMPUTED_VALUE"""),26.0)</f>
        <v>26</v>
      </c>
      <c r="T1203" s="4"/>
      <c r="U1203" s="4" t="str">
        <f>IFERROR(__xludf.DUMMYFUNCTION("""COMPUTED_VALUE"""),"BAIK")</f>
        <v>BAIK</v>
      </c>
      <c r="V1203" s="4" t="str">
        <f>IFERROR(__xludf.DUMMYFUNCTION("""COMPUTED_VALUE"""),"Tidak Ada")</f>
        <v>Tidak Ada</v>
      </c>
      <c r="W1203" s="4"/>
      <c r="X1203" s="4"/>
      <c r="Y1203" s="4"/>
      <c r="Z1203" s="4"/>
      <c r="AA1203" s="4"/>
      <c r="AB1203" s="4"/>
      <c r="AC1203" s="4" t="str">
        <f>IFERROR(__xludf.DUMMYFUNCTION("""COMPUTED_VALUE"""),"INSPEKSI SUTM - T2_Images/1688d4e2.FOTO.160259.jpg")</f>
        <v>INSPEKSI SUTM - T2_Images/1688d4e2.FOTO.160259.jpg</v>
      </c>
      <c r="AD1203" s="4"/>
      <c r="AE1203" s="4"/>
      <c r="AF1203" s="4" t="str">
        <f>IFERROR(__xludf.DUMMYFUNCTION("""COMPUTED_VALUE"""),"BELUM")</f>
        <v>BELUM</v>
      </c>
      <c r="AG1203" s="6">
        <f>IFERROR(__xludf.DUMMYFUNCTION("""COMPUTED_VALUE"""),46140.0)</f>
        <v>46140</v>
      </c>
      <c r="AH1203" s="4"/>
      <c r="AI1203" s="4"/>
    </row>
    <row r="1204" ht="15.75" customHeight="1">
      <c r="A1204" s="4" t="str">
        <f>IFERROR(__xludf.DUMMYFUNCTION("""COMPUTED_VALUE"""),"2d0df6a3")</f>
        <v>2d0df6a3</v>
      </c>
      <c r="B1204" s="5">
        <f>IFERROR(__xludf.DUMMYFUNCTION("""COMPUTED_VALUE"""),46140.96042824074)</f>
        <v>46140.96043</v>
      </c>
      <c r="C1204" s="4" t="str">
        <f>IFERROR(__xludf.DUMMYFUNCTION("""COMPUTED_VALUE"""),"-6.899175, 107.645371")</f>
        <v>-6.899175, 107.645371</v>
      </c>
      <c r="D1204" s="4" t="str">
        <f>IFERROR(__xludf.DUMMYFUNCTION("""COMPUTED_VALUE"""),"Nugi firman")</f>
        <v>Nugi firman</v>
      </c>
      <c r="E1204" s="4" t="str">
        <f>IFERROR(__xludf.DUMMYFUNCTION("""COMPUTED_VALUE"""),"BANDUNG")</f>
        <v>BANDUNG</v>
      </c>
      <c r="F1204" s="4" t="str">
        <f>IFERROR(__xludf.DUMMYFUNCTION("""COMPUTED_VALUE"""),"BANDUNG SELATAN")</f>
        <v>BANDUNG SELATAN</v>
      </c>
      <c r="G1204" s="4" t="str">
        <f>IFERROR(__xludf.DUMMYFUNCTION("""COMPUTED_VALUE"""),"GI DAYEUHKOLOT")</f>
        <v>GI DAYEUHKOLOT</v>
      </c>
      <c r="H1204" s="4" t="str">
        <f>IFERROR(__xludf.DUMMYFUNCTION("""COMPUTED_VALUE"""),"DYPI")</f>
        <v>DYPI</v>
      </c>
      <c r="I1204" s="4" t="str">
        <f>IFERROR(__xludf.DUMMYFUNCTION("""COMPUTED_VALUE"""),"KP.PLI - LBS BJSF")</f>
        <v>KP.PLI - LBS BJSF</v>
      </c>
      <c r="J1204" s="4" t="str">
        <f>IFERROR(__xludf.DUMMYFUNCTION("""COMPUTED_VALUE"""),"ZONA 2")</f>
        <v>ZONA 2</v>
      </c>
      <c r="K1204" s="4" t="str">
        <f>IFERROR(__xludf.DUMMYFUNCTION("""COMPUTED_VALUE"""),"049")</f>
        <v>049</v>
      </c>
      <c r="L1204" s="4" t="str">
        <f>IFERROR(__xludf.DUMMYFUNCTION("""COMPUTED_VALUE"""),"TM - 4B/H (Afspan)")</f>
        <v>TM - 4B/H (Afspan)</v>
      </c>
      <c r="M1204" s="4" t="str">
        <f>IFERROR(__xludf.DUMMYFUNCTION("""COMPUTED_VALUE"""),"Tidak Ada")</f>
        <v>Tidak Ada</v>
      </c>
      <c r="N1204" s="4"/>
      <c r="O1204" s="4" t="str">
        <f>IFERROR(__xludf.DUMMYFUNCTION("""COMPUTED_VALUE"""),"PEMBANDING SEJENIS")</f>
        <v>PEMBANDING SEJENIS</v>
      </c>
      <c r="P1204" s="4" t="str">
        <f>IFERROR(__xludf.DUMMYFUNCTION("""COMPUTED_VALUE"""),"KONEKTOR/JUMPER")</f>
        <v>KONEKTOR/JUMPER</v>
      </c>
      <c r="Q1204" s="4">
        <f>IFERROR(__xludf.DUMMYFUNCTION("""COMPUTED_VALUE"""),28.0)</f>
        <v>28</v>
      </c>
      <c r="R1204" s="4">
        <f>IFERROR(__xludf.DUMMYFUNCTION("""COMPUTED_VALUE"""),28.0)</f>
        <v>28</v>
      </c>
      <c r="S1204" s="4">
        <f>IFERROR(__xludf.DUMMYFUNCTION("""COMPUTED_VALUE"""),28.0)</f>
        <v>28</v>
      </c>
      <c r="T1204" s="4"/>
      <c r="U1204" s="4" t="str">
        <f>IFERROR(__xludf.DUMMYFUNCTION("""COMPUTED_VALUE"""),"BAIK")</f>
        <v>BAIK</v>
      </c>
      <c r="V1204" s="4" t="str">
        <f>IFERROR(__xludf.DUMMYFUNCTION("""COMPUTED_VALUE"""),"Tidak Ada")</f>
        <v>Tidak Ada</v>
      </c>
      <c r="W1204" s="4"/>
      <c r="X1204" s="4"/>
      <c r="Y1204" s="4"/>
      <c r="Z1204" s="4"/>
      <c r="AA1204" s="4"/>
      <c r="AB1204" s="4"/>
      <c r="AC1204" s="4" t="str">
        <f>IFERROR(__xludf.DUMMYFUNCTION("""COMPUTED_VALUE"""),"INSPEKSI SUTM - T2_Images/2d0df6a3.FOTO.160344.jpg")</f>
        <v>INSPEKSI SUTM - T2_Images/2d0df6a3.FOTO.160344.jpg</v>
      </c>
      <c r="AD1204" s="4"/>
      <c r="AE1204" s="4"/>
      <c r="AF1204" s="4" t="str">
        <f>IFERROR(__xludf.DUMMYFUNCTION("""COMPUTED_VALUE"""),"BELUM")</f>
        <v>BELUM</v>
      </c>
      <c r="AG1204" s="6">
        <f>IFERROR(__xludf.DUMMYFUNCTION("""COMPUTED_VALUE"""),46140.0)</f>
        <v>46140</v>
      </c>
      <c r="AH1204" s="4"/>
      <c r="AI1204" s="4"/>
    </row>
    <row r="1205" ht="15.75" customHeight="1">
      <c r="A1205" s="4" t="str">
        <f>IFERROR(__xludf.DUMMYFUNCTION("""COMPUTED_VALUE"""),"b95a4c64")</f>
        <v>b95a4c64</v>
      </c>
      <c r="B1205" s="5">
        <f>IFERROR(__xludf.DUMMYFUNCTION("""COMPUTED_VALUE"""),46140.96046296296)</f>
        <v>46140.96046</v>
      </c>
      <c r="C1205" s="4" t="str">
        <f>IFERROR(__xludf.DUMMYFUNCTION("""COMPUTED_VALUE"""),"-6.954108, 107.640469")</f>
        <v>-6.954108, 107.640469</v>
      </c>
      <c r="D1205" s="4" t="str">
        <f>IFERROR(__xludf.DUMMYFUNCTION("""COMPUTED_VALUE"""),"Jihan kiki")</f>
        <v>Jihan kiki</v>
      </c>
      <c r="E1205" s="4" t="str">
        <f>IFERROR(__xludf.DUMMYFUNCTION("""COMPUTED_VALUE"""),"BANDUNG")</f>
        <v>BANDUNG</v>
      </c>
      <c r="F1205" s="4" t="str">
        <f>IFERROR(__xludf.DUMMYFUNCTION("""COMPUTED_VALUE"""),"CIJAWURA")</f>
        <v>CIJAWURA</v>
      </c>
      <c r="G1205" s="4" t="str">
        <f>IFERROR(__xludf.DUMMYFUNCTION("""COMPUTED_VALUE"""),"GIS KIARACONDONG")</f>
        <v>GIS KIARACONDONG</v>
      </c>
      <c r="H1205" s="4" t="str">
        <f>IFERROR(__xludf.DUMMYFUNCTION("""COMPUTED_VALUE"""),"KMO")</f>
        <v>KMO</v>
      </c>
      <c r="I1205" s="4" t="str">
        <f>IFERROR(__xludf.DUMMYFUNCTION("""COMPUTED_VALUE"""),"DS ATBA - REC.BMCA")</f>
        <v>DS ATBA - REC.BMCA</v>
      </c>
      <c r="J1205" s="4" t="str">
        <f>IFERROR(__xludf.DUMMYFUNCTION("""COMPUTED_VALUE"""),"ZONA 2")</f>
        <v>ZONA 2</v>
      </c>
      <c r="K1205" s="4" t="str">
        <f>IFERROR(__xludf.DUMMYFUNCTION("""COMPUTED_VALUE"""),"001")</f>
        <v>001</v>
      </c>
      <c r="L1205" s="4" t="str">
        <f>IFERROR(__xludf.DUMMYFUNCTION("""COMPUTED_VALUE"""),"TM - 11B/H (Kabel Naik)")</f>
        <v>TM - 11B/H (Kabel Naik)</v>
      </c>
      <c r="M1205" s="4" t="str">
        <f>IFERROR(__xludf.DUMMYFUNCTION("""COMPUTED_VALUE"""),"Tidak Ada")</f>
        <v>Tidak Ada</v>
      </c>
      <c r="N1205" s="4"/>
      <c r="O1205" s="4" t="str">
        <f>IFERROR(__xludf.DUMMYFUNCTION("""COMPUTED_VALUE"""),"PEMBANDING SEJENIS")</f>
        <v>PEMBANDING SEJENIS</v>
      </c>
      <c r="P1205" s="4" t="str">
        <f>IFERROR(__xludf.DUMMYFUNCTION("""COMPUTED_VALUE"""),"KONEKTOR/JUMPER")</f>
        <v>KONEKTOR/JUMPER</v>
      </c>
      <c r="Q1205" s="4">
        <f>IFERROR(__xludf.DUMMYFUNCTION("""COMPUTED_VALUE"""),28.0)</f>
        <v>28</v>
      </c>
      <c r="R1205" s="4">
        <f>IFERROR(__xludf.DUMMYFUNCTION("""COMPUTED_VALUE"""),23.0)</f>
        <v>23</v>
      </c>
      <c r="S1205" s="4">
        <f>IFERROR(__xludf.DUMMYFUNCTION("""COMPUTED_VALUE"""),25.0)</f>
        <v>25</v>
      </c>
      <c r="T1205" s="4"/>
      <c r="U1205" s="4" t="str">
        <f>IFERROR(__xludf.DUMMYFUNCTION("""COMPUTED_VALUE"""),"CUKUP")</f>
        <v>CUKUP</v>
      </c>
      <c r="V1205" s="4" t="str">
        <f>IFERROR(__xludf.DUMMYFUNCTION("""COMPUTED_VALUE"""),"Tidak Ada")</f>
        <v>Tidak Ada</v>
      </c>
      <c r="W1205" s="4"/>
      <c r="X1205" s="4"/>
      <c r="Y1205" s="4"/>
      <c r="Z1205" s="4"/>
      <c r="AA1205" s="4"/>
      <c r="AB1205" s="4"/>
      <c r="AC1205" s="4" t="str">
        <f>IFERROR(__xludf.DUMMYFUNCTION("""COMPUTED_VALUE"""),"INSPEKSI SUTM - T2_Images/b95a4c64.FOTO.160357.jpg")</f>
        <v>INSPEKSI SUTM - T2_Images/b95a4c64.FOTO.160357.jpg</v>
      </c>
      <c r="AD1205" s="4"/>
      <c r="AE1205" s="4"/>
      <c r="AF1205" s="4" t="str">
        <f>IFERROR(__xludf.DUMMYFUNCTION("""COMPUTED_VALUE"""),"BELUM")</f>
        <v>BELUM</v>
      </c>
      <c r="AG1205" s="6">
        <f>IFERROR(__xludf.DUMMYFUNCTION("""COMPUTED_VALUE"""),46140.0)</f>
        <v>46140</v>
      </c>
      <c r="AH1205" s="4"/>
      <c r="AI1205" s="4"/>
    </row>
    <row r="1206" ht="15.75" customHeight="1">
      <c r="A1206" s="4" t="str">
        <f>IFERROR(__xludf.DUMMYFUNCTION("""COMPUTED_VALUE"""),"d61ed8cb")</f>
        <v>d61ed8cb</v>
      </c>
      <c r="B1206" s="5">
        <f>IFERROR(__xludf.DUMMYFUNCTION("""COMPUTED_VALUE"""),46140.96094907408)</f>
        <v>46140.96095</v>
      </c>
      <c r="C1206" s="4" t="str">
        <f>IFERROR(__xludf.DUMMYFUNCTION("""COMPUTED_VALUE"""),"-6.899175, 107.645371")</f>
        <v>-6.899175, 107.645371</v>
      </c>
      <c r="D1206" s="4" t="str">
        <f>IFERROR(__xludf.DUMMYFUNCTION("""COMPUTED_VALUE"""),"Nygi firman")</f>
        <v>Nygi firman</v>
      </c>
      <c r="E1206" s="4" t="str">
        <f>IFERROR(__xludf.DUMMYFUNCTION("""COMPUTED_VALUE"""),"BANDUNG")</f>
        <v>BANDUNG</v>
      </c>
      <c r="F1206" s="4" t="str">
        <f>IFERROR(__xludf.DUMMYFUNCTION("""COMPUTED_VALUE"""),"BANDUNG SELATAN")</f>
        <v>BANDUNG SELATAN</v>
      </c>
      <c r="G1206" s="4" t="str">
        <f>IFERROR(__xludf.DUMMYFUNCTION("""COMPUTED_VALUE"""),"GI DAYEUHKOLOT")</f>
        <v>GI DAYEUHKOLOT</v>
      </c>
      <c r="H1206" s="4" t="str">
        <f>IFERROR(__xludf.DUMMYFUNCTION("""COMPUTED_VALUE"""),"DYPI")</f>
        <v>DYPI</v>
      </c>
      <c r="I1206" s="4" t="str">
        <f>IFERROR(__xludf.DUMMYFUNCTION("""COMPUTED_VALUE"""),"KP.PLI - LBS BJSF")</f>
        <v>KP.PLI - LBS BJSF</v>
      </c>
      <c r="J1206" s="4" t="str">
        <f>IFERROR(__xludf.DUMMYFUNCTION("""COMPUTED_VALUE"""),"ZONA 2")</f>
        <v>ZONA 2</v>
      </c>
      <c r="K1206" s="4" t="str">
        <f>IFERROR(__xludf.DUMMYFUNCTION("""COMPUTED_VALUE"""),"052")</f>
        <v>052</v>
      </c>
      <c r="L1206" s="4" t="str">
        <f>IFERROR(__xludf.DUMMYFUNCTION("""COMPUTED_VALUE"""),"TM - 1B/H (Tumpu)")</f>
        <v>TM - 1B/H (Tumpu)</v>
      </c>
      <c r="M1206" s="4" t="str">
        <f>IFERROR(__xludf.DUMMYFUNCTION("""COMPUTED_VALUE"""),"Tidak Ada")</f>
        <v>Tidak Ada</v>
      </c>
      <c r="N1206" s="4"/>
      <c r="O1206" s="4" t="str">
        <f>IFERROR(__xludf.DUMMYFUNCTION("""COMPUTED_VALUE"""),"PEMBANDING SEJENIS")</f>
        <v>PEMBANDING SEJENIS</v>
      </c>
      <c r="P1206" s="4" t="str">
        <f>IFERROR(__xludf.DUMMYFUNCTION("""COMPUTED_VALUE"""),"ARRESTER")</f>
        <v>ARRESTER</v>
      </c>
      <c r="Q1206" s="4">
        <f>IFERROR(__xludf.DUMMYFUNCTION("""COMPUTED_VALUE"""),26.0)</f>
        <v>26</v>
      </c>
      <c r="R1206" s="4">
        <f>IFERROR(__xludf.DUMMYFUNCTION("""COMPUTED_VALUE"""),26.0)</f>
        <v>26</v>
      </c>
      <c r="S1206" s="4">
        <f>IFERROR(__xludf.DUMMYFUNCTION("""COMPUTED_VALUE"""),26.0)</f>
        <v>26</v>
      </c>
      <c r="T1206" s="4"/>
      <c r="U1206" s="4" t="str">
        <f>IFERROR(__xludf.DUMMYFUNCTION("""COMPUTED_VALUE"""),"BAIK")</f>
        <v>BAIK</v>
      </c>
      <c r="V1206" s="4" t="str">
        <f>IFERROR(__xludf.DUMMYFUNCTION("""COMPUTED_VALUE"""),"Tidak Ada")</f>
        <v>Tidak Ada</v>
      </c>
      <c r="W1206" s="4"/>
      <c r="X1206" s="4"/>
      <c r="Y1206" s="4"/>
      <c r="Z1206" s="4"/>
      <c r="AA1206" s="4"/>
      <c r="AB1206" s="4"/>
      <c r="AC1206" s="4" t="str">
        <f>IFERROR(__xludf.DUMMYFUNCTION("""COMPUTED_VALUE"""),"INSPEKSI SUTM - T2_Images/d61ed8cb.FOTO.160421.jpg")</f>
        <v>INSPEKSI SUTM - T2_Images/d61ed8cb.FOTO.160421.jpg</v>
      </c>
      <c r="AD1206" s="4"/>
      <c r="AE1206" s="4"/>
      <c r="AF1206" s="4" t="str">
        <f>IFERROR(__xludf.DUMMYFUNCTION("""COMPUTED_VALUE"""),"BELUM")</f>
        <v>BELUM</v>
      </c>
      <c r="AG1206" s="6">
        <f>IFERROR(__xludf.DUMMYFUNCTION("""COMPUTED_VALUE"""),46140.0)</f>
        <v>46140</v>
      </c>
      <c r="AH1206" s="4"/>
      <c r="AI1206" s="4"/>
    </row>
    <row r="1207" ht="15.75" customHeight="1">
      <c r="A1207" s="4" t="str">
        <f>IFERROR(__xludf.DUMMYFUNCTION("""COMPUTED_VALUE"""),"0b7dba6e")</f>
        <v>0b7dba6e</v>
      </c>
      <c r="B1207" s="5">
        <f>IFERROR(__xludf.DUMMYFUNCTION("""COMPUTED_VALUE"""),46140.96125)</f>
        <v>46140.96125</v>
      </c>
      <c r="C1207" s="4" t="str">
        <f>IFERROR(__xludf.DUMMYFUNCTION("""COMPUTED_VALUE"""),"-6.954812, 107.643793")</f>
        <v>-6.954812, 107.643793</v>
      </c>
      <c r="D1207" s="4" t="str">
        <f>IFERROR(__xludf.DUMMYFUNCTION("""COMPUTED_VALUE"""),"Jihan kiki")</f>
        <v>Jihan kiki</v>
      </c>
      <c r="E1207" s="4" t="str">
        <f>IFERROR(__xludf.DUMMYFUNCTION("""COMPUTED_VALUE"""),"BANDUNG")</f>
        <v>BANDUNG</v>
      </c>
      <c r="F1207" s="4" t="str">
        <f>IFERROR(__xludf.DUMMYFUNCTION("""COMPUTED_VALUE"""),"CIJAWURA")</f>
        <v>CIJAWURA</v>
      </c>
      <c r="G1207" s="4" t="str">
        <f>IFERROR(__xludf.DUMMYFUNCTION("""COMPUTED_VALUE"""),"GIS KIARACONDONG")</f>
        <v>GIS KIARACONDONG</v>
      </c>
      <c r="H1207" s="4" t="str">
        <f>IFERROR(__xludf.DUMMYFUNCTION("""COMPUTED_VALUE"""),"KMO")</f>
        <v>KMO</v>
      </c>
      <c r="I1207" s="4" t="str">
        <f>IFERROR(__xludf.DUMMYFUNCTION("""COMPUTED_VALUE"""),"DS ATBA - REC.BMCA")</f>
        <v>DS ATBA - REC.BMCA</v>
      </c>
      <c r="J1207" s="4" t="str">
        <f>IFERROR(__xludf.DUMMYFUNCTION("""COMPUTED_VALUE"""),"ZONA 2")</f>
        <v>ZONA 2</v>
      </c>
      <c r="K1207" s="4" t="str">
        <f>IFERROR(__xludf.DUMMYFUNCTION("""COMPUTED_VALUE"""),"009")</f>
        <v>009</v>
      </c>
      <c r="L1207" s="4" t="str">
        <f>IFERROR(__xludf.DUMMYFUNCTION("""COMPUTED_VALUE"""),"TM - 10B/H (Dua Percabangan)")</f>
        <v>TM - 10B/H (Dua Percabangan)</v>
      </c>
      <c r="M1207" s="4" t="str">
        <f>IFERROR(__xludf.DUMMYFUNCTION("""COMPUTED_VALUE"""),"Tidak Ada")</f>
        <v>Tidak Ada</v>
      </c>
      <c r="N1207" s="4"/>
      <c r="O1207" s="4" t="str">
        <f>IFERROR(__xludf.DUMMYFUNCTION("""COMPUTED_VALUE"""),"PEMBANDING SEJENIS")</f>
        <v>PEMBANDING SEJENIS</v>
      </c>
      <c r="P1207" s="4" t="str">
        <f>IFERROR(__xludf.DUMMYFUNCTION("""COMPUTED_VALUE"""),"KONEKTOR/JUMPER")</f>
        <v>KONEKTOR/JUMPER</v>
      </c>
      <c r="Q1207" s="4">
        <f>IFERROR(__xludf.DUMMYFUNCTION("""COMPUTED_VALUE"""),31.0)</f>
        <v>31</v>
      </c>
      <c r="R1207" s="4">
        <f>IFERROR(__xludf.DUMMYFUNCTION("""COMPUTED_VALUE"""),24.0)</f>
        <v>24</v>
      </c>
      <c r="S1207" s="4">
        <f>IFERROR(__xludf.DUMMYFUNCTION("""COMPUTED_VALUE"""),24.0)</f>
        <v>24</v>
      </c>
      <c r="T1207" s="4"/>
      <c r="U1207" s="4" t="str">
        <f>IFERROR(__xludf.DUMMYFUNCTION("""COMPUTED_VALUE"""),"CUKUP")</f>
        <v>CUKUP</v>
      </c>
      <c r="V1207" s="4" t="str">
        <f>IFERROR(__xludf.DUMMYFUNCTION("""COMPUTED_VALUE"""),"Tidak Ada")</f>
        <v>Tidak Ada</v>
      </c>
      <c r="W1207" s="4"/>
      <c r="X1207" s="4"/>
      <c r="Y1207" s="4"/>
      <c r="Z1207" s="4"/>
      <c r="AA1207" s="4"/>
      <c r="AB1207" s="4"/>
      <c r="AC1207" s="4" t="str">
        <f>IFERROR(__xludf.DUMMYFUNCTION("""COMPUTED_VALUE"""),"INSPEKSI SUTM - T2_Images/0b7dba6e.FOTO.160452.jpg")</f>
        <v>INSPEKSI SUTM - T2_Images/0b7dba6e.FOTO.160452.jpg</v>
      </c>
      <c r="AD1207" s="4"/>
      <c r="AE1207" s="4"/>
      <c r="AF1207" s="4" t="str">
        <f>IFERROR(__xludf.DUMMYFUNCTION("""COMPUTED_VALUE"""),"BELUM")</f>
        <v>BELUM</v>
      </c>
      <c r="AG1207" s="6">
        <f>IFERROR(__xludf.DUMMYFUNCTION("""COMPUTED_VALUE"""),46140.0)</f>
        <v>46140</v>
      </c>
      <c r="AH1207" s="4"/>
      <c r="AI1207" s="4"/>
    </row>
    <row r="1208" ht="15.75" customHeight="1">
      <c r="A1208" s="4" t="str">
        <f>IFERROR(__xludf.DUMMYFUNCTION("""COMPUTED_VALUE"""),"e2c658d9")</f>
        <v>e2c658d9</v>
      </c>
      <c r="B1208" s="5">
        <f>IFERROR(__xludf.DUMMYFUNCTION("""COMPUTED_VALUE"""),46140.961388888885)</f>
        <v>46140.96139</v>
      </c>
      <c r="C1208" s="4" t="str">
        <f>IFERROR(__xludf.DUMMYFUNCTION("""COMPUTED_VALUE"""),"-6.899175, 107.645371")</f>
        <v>-6.899175, 107.645371</v>
      </c>
      <c r="D1208" s="4" t="str">
        <f>IFERROR(__xludf.DUMMYFUNCTION("""COMPUTED_VALUE"""),"Nugi firman")</f>
        <v>Nugi firman</v>
      </c>
      <c r="E1208" s="4" t="str">
        <f>IFERROR(__xludf.DUMMYFUNCTION("""COMPUTED_VALUE"""),"BANDUNG")</f>
        <v>BANDUNG</v>
      </c>
      <c r="F1208" s="4" t="str">
        <f>IFERROR(__xludf.DUMMYFUNCTION("""COMPUTED_VALUE"""),"BANDUNG SELATAN")</f>
        <v>BANDUNG SELATAN</v>
      </c>
      <c r="G1208" s="4" t="str">
        <f>IFERROR(__xludf.DUMMYFUNCTION("""COMPUTED_VALUE"""),"GI DAYEUHKOLOT")</f>
        <v>GI DAYEUHKOLOT</v>
      </c>
      <c r="H1208" s="4" t="str">
        <f>IFERROR(__xludf.DUMMYFUNCTION("""COMPUTED_VALUE"""),"DYPI")</f>
        <v>DYPI</v>
      </c>
      <c r="I1208" s="4" t="str">
        <f>IFERROR(__xludf.DUMMYFUNCTION("""COMPUTED_VALUE"""),"KP.PLI - LBS BJSF")</f>
        <v>KP.PLI - LBS BJSF</v>
      </c>
      <c r="J1208" s="4" t="str">
        <f>IFERROR(__xludf.DUMMYFUNCTION("""COMPUTED_VALUE"""),"ZONA 2")</f>
        <v>ZONA 2</v>
      </c>
      <c r="K1208" s="4" t="str">
        <f>IFERROR(__xludf.DUMMYFUNCTION("""COMPUTED_VALUE"""),"057")</f>
        <v>057</v>
      </c>
      <c r="L1208" s="4" t="str">
        <f>IFERROR(__xludf.DUMMYFUNCTION("""COMPUTED_VALUE"""),"TM - 4B/H (Afspan)")</f>
        <v>TM - 4B/H (Afspan)</v>
      </c>
      <c r="M1208" s="4" t="str">
        <f>IFERROR(__xludf.DUMMYFUNCTION("""COMPUTED_VALUE"""),"Tidak Ada")</f>
        <v>Tidak Ada</v>
      </c>
      <c r="N1208" s="4"/>
      <c r="O1208" s="4" t="str">
        <f>IFERROR(__xludf.DUMMYFUNCTION("""COMPUTED_VALUE"""),"PEMBANDING SEJENIS")</f>
        <v>PEMBANDING SEJENIS</v>
      </c>
      <c r="P1208" s="4" t="str">
        <f>IFERROR(__xludf.DUMMYFUNCTION("""COMPUTED_VALUE"""),"KONEKTOR/JUMPER")</f>
        <v>KONEKTOR/JUMPER</v>
      </c>
      <c r="Q1208" s="4">
        <f>IFERROR(__xludf.DUMMYFUNCTION("""COMPUTED_VALUE"""),26.0)</f>
        <v>26</v>
      </c>
      <c r="R1208" s="4">
        <f>IFERROR(__xludf.DUMMYFUNCTION("""COMPUTED_VALUE"""),26.0)</f>
        <v>26</v>
      </c>
      <c r="S1208" s="4">
        <f>IFERROR(__xludf.DUMMYFUNCTION("""COMPUTED_VALUE"""),27.0)</f>
        <v>27</v>
      </c>
      <c r="T1208" s="4"/>
      <c r="U1208" s="4" t="str">
        <f>IFERROR(__xludf.DUMMYFUNCTION("""COMPUTED_VALUE"""),"BAIK")</f>
        <v>BAIK</v>
      </c>
      <c r="V1208" s="4" t="str">
        <f>IFERROR(__xludf.DUMMYFUNCTION("""COMPUTED_VALUE"""),"Tidak Ada")</f>
        <v>Tidak Ada</v>
      </c>
      <c r="W1208" s="4"/>
      <c r="X1208" s="4"/>
      <c r="Y1208" s="4"/>
      <c r="Z1208" s="4"/>
      <c r="AA1208" s="4"/>
      <c r="AB1208" s="4"/>
      <c r="AC1208" s="4" t="str">
        <f>IFERROR(__xludf.DUMMYFUNCTION("""COMPUTED_VALUE"""),"INSPEKSI SUTM - T2_Images/e2c658d9.FOTO.160500.jpg")</f>
        <v>INSPEKSI SUTM - T2_Images/e2c658d9.FOTO.160500.jpg</v>
      </c>
      <c r="AD1208" s="4"/>
      <c r="AE1208" s="4"/>
      <c r="AF1208" s="4" t="str">
        <f>IFERROR(__xludf.DUMMYFUNCTION("""COMPUTED_VALUE"""),"BELUM")</f>
        <v>BELUM</v>
      </c>
      <c r="AG1208" s="6">
        <f>IFERROR(__xludf.DUMMYFUNCTION("""COMPUTED_VALUE"""),46140.0)</f>
        <v>46140</v>
      </c>
      <c r="AH1208" s="4"/>
      <c r="AI1208" s="4"/>
    </row>
    <row r="1209" ht="15.75" customHeight="1">
      <c r="A1209" s="4" t="str">
        <f>IFERROR(__xludf.DUMMYFUNCTION("""COMPUTED_VALUE"""),"17267005")</f>
        <v>17267005</v>
      </c>
      <c r="B1209" s="5">
        <f>IFERROR(__xludf.DUMMYFUNCTION("""COMPUTED_VALUE"""),46140.96184027778)</f>
        <v>46140.96184</v>
      </c>
      <c r="C1209" s="4" t="str">
        <f>IFERROR(__xludf.DUMMYFUNCTION("""COMPUTED_VALUE"""),"-6.899175, 107.645371")</f>
        <v>-6.899175, 107.645371</v>
      </c>
      <c r="D1209" s="4" t="str">
        <f>IFERROR(__xludf.DUMMYFUNCTION("""COMPUTED_VALUE"""),"Nugi firman")</f>
        <v>Nugi firman</v>
      </c>
      <c r="E1209" s="4" t="str">
        <f>IFERROR(__xludf.DUMMYFUNCTION("""COMPUTED_VALUE"""),"BANDUNG")</f>
        <v>BANDUNG</v>
      </c>
      <c r="F1209" s="4" t="str">
        <f>IFERROR(__xludf.DUMMYFUNCTION("""COMPUTED_VALUE"""),"BANDUNG SELATAN")</f>
        <v>BANDUNG SELATAN</v>
      </c>
      <c r="G1209" s="4" t="str">
        <f>IFERROR(__xludf.DUMMYFUNCTION("""COMPUTED_VALUE"""),"GI DAYEUHKOLOT")</f>
        <v>GI DAYEUHKOLOT</v>
      </c>
      <c r="H1209" s="4" t="str">
        <f>IFERROR(__xludf.DUMMYFUNCTION("""COMPUTED_VALUE"""),"DYPI")</f>
        <v>DYPI</v>
      </c>
      <c r="I1209" s="4" t="str">
        <f>IFERROR(__xludf.DUMMYFUNCTION("""COMPUTED_VALUE"""),"KP.PLI - LBS BJSF")</f>
        <v>KP.PLI - LBS BJSF</v>
      </c>
      <c r="J1209" s="4" t="str">
        <f>IFERROR(__xludf.DUMMYFUNCTION("""COMPUTED_VALUE"""),"ZONA 2")</f>
        <v>ZONA 2</v>
      </c>
      <c r="K1209" s="4" t="str">
        <f>IFERROR(__xludf.DUMMYFUNCTION("""COMPUTED_VALUE"""),"058")</f>
        <v>058</v>
      </c>
      <c r="L1209" s="4" t="str">
        <f>IFERROR(__xludf.DUMMYFUNCTION("""COMPUTED_VALUE"""),"TM - 8BC/HC (Percabangan dengan CO)")</f>
        <v>TM - 8BC/HC (Percabangan dengan CO)</v>
      </c>
      <c r="M1209" s="4" t="str">
        <f>IFERROR(__xludf.DUMMYFUNCTION("""COMPUTED_VALUE"""),"FCO")</f>
        <v>FCO</v>
      </c>
      <c r="N1209" s="4" t="str">
        <f>IFERROR(__xludf.DUMMYFUNCTION("""COMPUTED_VALUE"""),"Adkf")</f>
        <v>Adkf</v>
      </c>
      <c r="O1209" s="4" t="str">
        <f>IFERROR(__xludf.DUMMYFUNCTION("""COMPUTED_VALUE"""),"PEMBANDING SEJENIS")</f>
        <v>PEMBANDING SEJENIS</v>
      </c>
      <c r="P1209" s="4" t="str">
        <f>IFERROR(__xludf.DUMMYFUNCTION("""COMPUTED_VALUE"""),"FCO")</f>
        <v>FCO</v>
      </c>
      <c r="Q1209" s="4">
        <f>IFERROR(__xludf.DUMMYFUNCTION("""COMPUTED_VALUE"""),26.0)</f>
        <v>26</v>
      </c>
      <c r="R1209" s="4">
        <f>IFERROR(__xludf.DUMMYFUNCTION("""COMPUTED_VALUE"""),26.0)</f>
        <v>26</v>
      </c>
      <c r="S1209" s="4">
        <f>IFERROR(__xludf.DUMMYFUNCTION("""COMPUTED_VALUE"""),26.0)</f>
        <v>26</v>
      </c>
      <c r="T1209" s="4"/>
      <c r="U1209" s="4" t="str">
        <f>IFERROR(__xludf.DUMMYFUNCTION("""COMPUTED_VALUE"""),"BAIK")</f>
        <v>BAIK</v>
      </c>
      <c r="V1209" s="4" t="str">
        <f>IFERROR(__xludf.DUMMYFUNCTION("""COMPUTED_VALUE"""),"Tidak Ada")</f>
        <v>Tidak Ada</v>
      </c>
      <c r="W1209" s="4"/>
      <c r="X1209" s="4"/>
      <c r="Y1209" s="4"/>
      <c r="Z1209" s="4"/>
      <c r="AA1209" s="4"/>
      <c r="AB1209" s="4"/>
      <c r="AC1209" s="4" t="str">
        <f>IFERROR(__xludf.DUMMYFUNCTION("""COMPUTED_VALUE"""),"INSPEKSI SUTM - T2_Images/17267005.FOTO.160545.jpg")</f>
        <v>INSPEKSI SUTM - T2_Images/17267005.FOTO.160545.jpg</v>
      </c>
      <c r="AD1209" s="4"/>
      <c r="AE1209" s="4"/>
      <c r="AF1209" s="4" t="str">
        <f>IFERROR(__xludf.DUMMYFUNCTION("""COMPUTED_VALUE"""),"BELUM")</f>
        <v>BELUM</v>
      </c>
      <c r="AG1209" s="6">
        <f>IFERROR(__xludf.DUMMYFUNCTION("""COMPUTED_VALUE"""),46140.0)</f>
        <v>46140</v>
      </c>
      <c r="AH1209" s="4"/>
      <c r="AI1209" s="4"/>
    </row>
    <row r="1210" ht="15.75" customHeight="1">
      <c r="A1210" s="4" t="str">
        <f>IFERROR(__xludf.DUMMYFUNCTION("""COMPUTED_VALUE"""),"6821f10d")</f>
        <v>6821f10d</v>
      </c>
      <c r="B1210" s="5">
        <f>IFERROR(__xludf.DUMMYFUNCTION("""COMPUTED_VALUE"""),46140.961863425924)</f>
        <v>46140.96186</v>
      </c>
      <c r="C1210" s="4" t="str">
        <f>IFERROR(__xludf.DUMMYFUNCTION("""COMPUTED_VALUE"""),"-6.954951, 107.645475")</f>
        <v>-6.954951, 107.645475</v>
      </c>
      <c r="D1210" s="4" t="str">
        <f>IFERROR(__xludf.DUMMYFUNCTION("""COMPUTED_VALUE"""),"Jihan kiki")</f>
        <v>Jihan kiki</v>
      </c>
      <c r="E1210" s="4" t="str">
        <f>IFERROR(__xludf.DUMMYFUNCTION("""COMPUTED_VALUE"""),"BANDUNG")</f>
        <v>BANDUNG</v>
      </c>
      <c r="F1210" s="4" t="str">
        <f>IFERROR(__xludf.DUMMYFUNCTION("""COMPUTED_VALUE"""),"CIJAWURA")</f>
        <v>CIJAWURA</v>
      </c>
      <c r="G1210" s="4" t="str">
        <f>IFERROR(__xludf.DUMMYFUNCTION("""COMPUTED_VALUE"""),"GIS KIARACONDONG")</f>
        <v>GIS KIARACONDONG</v>
      </c>
      <c r="H1210" s="4" t="str">
        <f>IFERROR(__xludf.DUMMYFUNCTION("""COMPUTED_VALUE"""),"KMO")</f>
        <v>KMO</v>
      </c>
      <c r="I1210" s="4" t="str">
        <f>IFERROR(__xludf.DUMMYFUNCTION("""COMPUTED_VALUE"""),"DS ATBA - REC.BMCA")</f>
        <v>DS ATBA - REC.BMCA</v>
      </c>
      <c r="J1210" s="4" t="str">
        <f>IFERROR(__xludf.DUMMYFUNCTION("""COMPUTED_VALUE"""),"ZONA 2")</f>
        <v>ZONA 2</v>
      </c>
      <c r="K1210" s="4" t="str">
        <f>IFERROR(__xludf.DUMMYFUNCTION("""COMPUTED_VALUE"""),"009R04")</f>
        <v>009R04</v>
      </c>
      <c r="L1210" s="4" t="str">
        <f>IFERROR(__xludf.DUMMYFUNCTION("""COMPUTED_VALUE"""),"TM - 11B/H (Kabel Naik)")</f>
        <v>TM - 11B/H (Kabel Naik)</v>
      </c>
      <c r="M1210" s="4" t="str">
        <f>IFERROR(__xludf.DUMMYFUNCTION("""COMPUTED_VALUE"""),"Tidak Ada")</f>
        <v>Tidak Ada</v>
      </c>
      <c r="N1210" s="4"/>
      <c r="O1210" s="4" t="str">
        <f>IFERROR(__xludf.DUMMYFUNCTION("""COMPUTED_VALUE"""),"PEMBANDING SEJENIS")</f>
        <v>PEMBANDING SEJENIS</v>
      </c>
      <c r="P1210" s="4" t="str">
        <f>IFERROR(__xludf.DUMMYFUNCTION("""COMPUTED_VALUE"""),"KONEKTOR/JUMPER")</f>
        <v>KONEKTOR/JUMPER</v>
      </c>
      <c r="Q1210" s="4">
        <f>IFERROR(__xludf.DUMMYFUNCTION("""COMPUTED_VALUE"""),21.0)</f>
        <v>21</v>
      </c>
      <c r="R1210" s="4">
        <f>IFERROR(__xludf.DUMMYFUNCTION("""COMPUTED_VALUE"""),23.0)</f>
        <v>23</v>
      </c>
      <c r="S1210" s="4">
        <f>IFERROR(__xludf.DUMMYFUNCTION("""COMPUTED_VALUE"""),23.0)</f>
        <v>23</v>
      </c>
      <c r="T1210" s="4"/>
      <c r="U1210" s="4" t="str">
        <f>IFERROR(__xludf.DUMMYFUNCTION("""COMPUTED_VALUE"""),"BAIK")</f>
        <v>BAIK</v>
      </c>
      <c r="V1210" s="4" t="str">
        <f>IFERROR(__xludf.DUMMYFUNCTION("""COMPUTED_VALUE"""),"Tidak Ada")</f>
        <v>Tidak Ada</v>
      </c>
      <c r="W1210" s="4"/>
      <c r="X1210" s="4"/>
      <c r="Y1210" s="4"/>
      <c r="Z1210" s="4"/>
      <c r="AA1210" s="4"/>
      <c r="AB1210" s="4"/>
      <c r="AC1210" s="4" t="str">
        <f>IFERROR(__xludf.DUMMYFUNCTION("""COMPUTED_VALUE"""),"INSPEKSI SUTM - T2_Images/6821f10d.FOTO.160550.jpg")</f>
        <v>INSPEKSI SUTM - T2_Images/6821f10d.FOTO.160550.jpg</v>
      </c>
      <c r="AD1210" s="4"/>
      <c r="AE1210" s="4"/>
      <c r="AF1210" s="4" t="str">
        <f>IFERROR(__xludf.DUMMYFUNCTION("""COMPUTED_VALUE"""),"BELUM")</f>
        <v>BELUM</v>
      </c>
      <c r="AG1210" s="6">
        <f>IFERROR(__xludf.DUMMYFUNCTION("""COMPUTED_VALUE"""),46140.0)</f>
        <v>46140</v>
      </c>
      <c r="AH1210" s="4"/>
      <c r="AI1210" s="4"/>
    </row>
    <row r="1211" ht="15.75" customHeight="1">
      <c r="A1211" s="4" t="str">
        <f>IFERROR(__xludf.DUMMYFUNCTION("""COMPUTED_VALUE"""),"e01ec57c")</f>
        <v>e01ec57c</v>
      </c>
      <c r="B1211" s="5">
        <f>IFERROR(__xludf.DUMMYFUNCTION("""COMPUTED_VALUE"""),46140.96234953704)</f>
        <v>46140.96235</v>
      </c>
      <c r="C1211" s="4" t="str">
        <f>IFERROR(__xludf.DUMMYFUNCTION("""COMPUTED_VALUE"""),"-6.954943, 107.645470")</f>
        <v>-6.954943, 107.645470</v>
      </c>
      <c r="D1211" s="4" t="str">
        <f>IFERROR(__xludf.DUMMYFUNCTION("""COMPUTED_VALUE"""),"Jihan kiki")</f>
        <v>Jihan kiki</v>
      </c>
      <c r="E1211" s="4" t="str">
        <f>IFERROR(__xludf.DUMMYFUNCTION("""COMPUTED_VALUE"""),"BANDUNG")</f>
        <v>BANDUNG</v>
      </c>
      <c r="F1211" s="4" t="str">
        <f>IFERROR(__xludf.DUMMYFUNCTION("""COMPUTED_VALUE"""),"CIJAWURA")</f>
        <v>CIJAWURA</v>
      </c>
      <c r="G1211" s="4" t="str">
        <f>IFERROR(__xludf.DUMMYFUNCTION("""COMPUTED_VALUE"""),"GIS KIARACONDONG")</f>
        <v>GIS KIARACONDONG</v>
      </c>
      <c r="H1211" s="4" t="str">
        <f>IFERROR(__xludf.DUMMYFUNCTION("""COMPUTED_VALUE"""),"KMO")</f>
        <v>KMO</v>
      </c>
      <c r="I1211" s="4" t="str">
        <f>IFERROR(__xludf.DUMMYFUNCTION("""COMPUTED_VALUE"""),"DS ATBA - REC.BMCA")</f>
        <v>DS ATBA - REC.BMCA</v>
      </c>
      <c r="J1211" s="4" t="str">
        <f>IFERROR(__xludf.DUMMYFUNCTION("""COMPUTED_VALUE"""),"ZONA 2")</f>
        <v>ZONA 2</v>
      </c>
      <c r="K1211" s="4" t="str">
        <f>IFERROR(__xludf.DUMMYFUNCTION("""COMPUTED_VALUE"""),"009R05")</f>
        <v>009R05</v>
      </c>
      <c r="L1211" s="4" t="str">
        <f>IFERROR(__xludf.DUMMYFUNCTION("""COMPUTED_VALUE"""),"TM - 11B/H (Kabel Naik)")</f>
        <v>TM - 11B/H (Kabel Naik)</v>
      </c>
      <c r="M1211" s="4" t="str">
        <f>IFERROR(__xludf.DUMMYFUNCTION("""COMPUTED_VALUE"""),"Tidak Ada")</f>
        <v>Tidak Ada</v>
      </c>
      <c r="N1211" s="4"/>
      <c r="O1211" s="4" t="str">
        <f>IFERROR(__xludf.DUMMYFUNCTION("""COMPUTED_VALUE"""),"PEMBANDING SEJENIS")</f>
        <v>PEMBANDING SEJENIS</v>
      </c>
      <c r="P1211" s="4" t="str">
        <f>IFERROR(__xludf.DUMMYFUNCTION("""COMPUTED_VALUE"""),"KONEKTOR/JUMPER")</f>
        <v>KONEKTOR/JUMPER</v>
      </c>
      <c r="Q1211" s="4">
        <f>IFERROR(__xludf.DUMMYFUNCTION("""COMPUTED_VALUE"""),25.0)</f>
        <v>25</v>
      </c>
      <c r="R1211" s="4">
        <f>IFERROR(__xludf.DUMMYFUNCTION("""COMPUTED_VALUE"""),25.0)</f>
        <v>25</v>
      </c>
      <c r="S1211" s="4">
        <f>IFERROR(__xludf.DUMMYFUNCTION("""COMPUTED_VALUE"""),25.0)</f>
        <v>25</v>
      </c>
      <c r="T1211" s="4"/>
      <c r="U1211" s="4" t="str">
        <f>IFERROR(__xludf.DUMMYFUNCTION("""COMPUTED_VALUE"""),"BAIK")</f>
        <v>BAIK</v>
      </c>
      <c r="V1211" s="4" t="str">
        <f>IFERROR(__xludf.DUMMYFUNCTION("""COMPUTED_VALUE"""),"Tidak Ada")</f>
        <v>Tidak Ada</v>
      </c>
      <c r="W1211" s="4"/>
      <c r="X1211" s="4"/>
      <c r="Y1211" s="4"/>
      <c r="Z1211" s="4"/>
      <c r="AA1211" s="4"/>
      <c r="AB1211" s="4"/>
      <c r="AC1211" s="4" t="str">
        <f>IFERROR(__xludf.DUMMYFUNCTION("""COMPUTED_VALUE"""),"INSPEKSI SUTM - T2_Images/e01ec57c.FOTO.160625.jpg")</f>
        <v>INSPEKSI SUTM - T2_Images/e01ec57c.FOTO.160625.jpg</v>
      </c>
      <c r="AD1211" s="4"/>
      <c r="AE1211" s="4"/>
      <c r="AF1211" s="4" t="str">
        <f>IFERROR(__xludf.DUMMYFUNCTION("""COMPUTED_VALUE"""),"BELUM")</f>
        <v>BELUM</v>
      </c>
      <c r="AG1211" s="6">
        <f>IFERROR(__xludf.DUMMYFUNCTION("""COMPUTED_VALUE"""),46140.0)</f>
        <v>46140</v>
      </c>
      <c r="AH1211" s="4"/>
      <c r="AI1211" s="4"/>
    </row>
    <row r="1212" ht="15.75" customHeight="1">
      <c r="A1212" s="4" t="str">
        <f>IFERROR(__xludf.DUMMYFUNCTION("""COMPUTED_VALUE"""),"bf1650b7")</f>
        <v>bf1650b7</v>
      </c>
      <c r="B1212" s="5">
        <f>IFERROR(__xludf.DUMMYFUNCTION("""COMPUTED_VALUE"""),46140.96244212963)</f>
        <v>46140.96244</v>
      </c>
      <c r="C1212" s="4" t="str">
        <f>IFERROR(__xludf.DUMMYFUNCTION("""COMPUTED_VALUE"""),"-6.899175, 107.645371")</f>
        <v>-6.899175, 107.645371</v>
      </c>
      <c r="D1212" s="4" t="str">
        <f>IFERROR(__xludf.DUMMYFUNCTION("""COMPUTED_VALUE"""),"Nugi firman")</f>
        <v>Nugi firman</v>
      </c>
      <c r="E1212" s="4" t="str">
        <f>IFERROR(__xludf.DUMMYFUNCTION("""COMPUTED_VALUE"""),"BANDUNG")</f>
        <v>BANDUNG</v>
      </c>
      <c r="F1212" s="4" t="str">
        <f>IFERROR(__xludf.DUMMYFUNCTION("""COMPUTED_VALUE"""),"BANDUNG SELATAN")</f>
        <v>BANDUNG SELATAN</v>
      </c>
      <c r="G1212" s="4" t="str">
        <f>IFERROR(__xludf.DUMMYFUNCTION("""COMPUTED_VALUE"""),"GI DAYEUHKOLOT")</f>
        <v>GI DAYEUHKOLOT</v>
      </c>
      <c r="H1212" s="4" t="str">
        <f>IFERROR(__xludf.DUMMYFUNCTION("""COMPUTED_VALUE"""),"DYPI")</f>
        <v>DYPI</v>
      </c>
      <c r="I1212" s="4" t="str">
        <f>IFERROR(__xludf.DUMMYFUNCTION("""COMPUTED_VALUE"""),"FCO ADKF - UJUNG")</f>
        <v>FCO ADKF - UJUNG</v>
      </c>
      <c r="J1212" s="4" t="str">
        <f>IFERROR(__xludf.DUMMYFUNCTION("""COMPUTED_VALUE"""),"ZONA 2")</f>
        <v>ZONA 2</v>
      </c>
      <c r="K1212" s="4" t="str">
        <f>IFERROR(__xludf.DUMMYFUNCTION("""COMPUTED_VALUE"""),"058L01")</f>
        <v>058L01</v>
      </c>
      <c r="L1212" s="4" t="str">
        <f>IFERROR(__xludf.DUMMYFUNCTION("""COMPUTED_VALUE"""),"TM - 2B/H (Double Tumpu)")</f>
        <v>TM - 2B/H (Double Tumpu)</v>
      </c>
      <c r="M1212" s="4" t="str">
        <f>IFERROR(__xludf.DUMMYFUNCTION("""COMPUTED_VALUE"""),"Tidak Ada")</f>
        <v>Tidak Ada</v>
      </c>
      <c r="N1212" s="4"/>
      <c r="O1212" s="4" t="str">
        <f>IFERROR(__xludf.DUMMYFUNCTION("""COMPUTED_VALUE"""),"PEMBANDING SEJENIS")</f>
        <v>PEMBANDING SEJENIS</v>
      </c>
      <c r="P1212" s="4" t="str">
        <f>IFERROR(__xludf.DUMMYFUNCTION("""COMPUTED_VALUE"""),"ARRESTER")</f>
        <v>ARRESTER</v>
      </c>
      <c r="Q1212" s="4">
        <f>IFERROR(__xludf.DUMMYFUNCTION("""COMPUTED_VALUE"""),25.0)</f>
        <v>25</v>
      </c>
      <c r="R1212" s="4">
        <f>IFERROR(__xludf.DUMMYFUNCTION("""COMPUTED_VALUE"""),25.0)</f>
        <v>25</v>
      </c>
      <c r="S1212" s="4">
        <f>IFERROR(__xludf.DUMMYFUNCTION("""COMPUTED_VALUE"""),25.0)</f>
        <v>25</v>
      </c>
      <c r="T1212" s="4"/>
      <c r="U1212" s="4" t="str">
        <f>IFERROR(__xludf.DUMMYFUNCTION("""COMPUTED_VALUE"""),"BAIK")</f>
        <v>BAIK</v>
      </c>
      <c r="V1212" s="4" t="str">
        <f>IFERROR(__xludf.DUMMYFUNCTION("""COMPUTED_VALUE"""),"Tidak Ada")</f>
        <v>Tidak Ada</v>
      </c>
      <c r="W1212" s="4"/>
      <c r="X1212" s="4"/>
      <c r="Y1212" s="4"/>
      <c r="Z1212" s="4"/>
      <c r="AA1212" s="4"/>
      <c r="AB1212" s="4"/>
      <c r="AC1212" s="4" t="str">
        <f>IFERROR(__xludf.DUMMYFUNCTION("""COMPUTED_VALUE"""),"INSPEKSI SUTM - T2_Images/bf1650b7.FOTO.160644.jpg")</f>
        <v>INSPEKSI SUTM - T2_Images/bf1650b7.FOTO.160644.jpg</v>
      </c>
      <c r="AD1212" s="4"/>
      <c r="AE1212" s="4"/>
      <c r="AF1212" s="4" t="str">
        <f>IFERROR(__xludf.DUMMYFUNCTION("""COMPUTED_VALUE"""),"BELUM")</f>
        <v>BELUM</v>
      </c>
      <c r="AG1212" s="6">
        <f>IFERROR(__xludf.DUMMYFUNCTION("""COMPUTED_VALUE"""),46140.0)</f>
        <v>46140</v>
      </c>
      <c r="AH1212" s="4"/>
      <c r="AI1212" s="4"/>
    </row>
    <row r="1213" ht="15.75" customHeight="1">
      <c r="A1213" s="4" t="str">
        <f>IFERROR(__xludf.DUMMYFUNCTION("""COMPUTED_VALUE"""),"ce150678")</f>
        <v>ce150678</v>
      </c>
      <c r="B1213" s="5">
        <f>IFERROR(__xludf.DUMMYFUNCTION("""COMPUTED_VALUE"""),46140.96303240741)</f>
        <v>46140.96303</v>
      </c>
      <c r="C1213" s="4" t="str">
        <f>IFERROR(__xludf.DUMMYFUNCTION("""COMPUTED_VALUE"""),"-6.899175, 107.645371")</f>
        <v>-6.899175, 107.645371</v>
      </c>
      <c r="D1213" s="4" t="str">
        <f>IFERROR(__xludf.DUMMYFUNCTION("""COMPUTED_VALUE"""),"Nugi firman")</f>
        <v>Nugi firman</v>
      </c>
      <c r="E1213" s="4" t="str">
        <f>IFERROR(__xludf.DUMMYFUNCTION("""COMPUTED_VALUE"""),"BANDUNG")</f>
        <v>BANDUNG</v>
      </c>
      <c r="F1213" s="4" t="str">
        <f>IFERROR(__xludf.DUMMYFUNCTION("""COMPUTED_VALUE"""),"BANDUNG SELATAN")</f>
        <v>BANDUNG SELATAN</v>
      </c>
      <c r="G1213" s="4" t="str">
        <f>IFERROR(__xludf.DUMMYFUNCTION("""COMPUTED_VALUE"""),"GI DAYEUHKOLOT")</f>
        <v>GI DAYEUHKOLOT</v>
      </c>
      <c r="H1213" s="4" t="str">
        <f>IFERROR(__xludf.DUMMYFUNCTION("""COMPUTED_VALUE"""),"DYPI")</f>
        <v>DYPI</v>
      </c>
      <c r="I1213" s="4" t="str">
        <f>IFERROR(__xludf.DUMMYFUNCTION("""COMPUTED_VALUE"""),"FCO ADKF - UJUNG")</f>
        <v>FCO ADKF - UJUNG</v>
      </c>
      <c r="J1213" s="4" t="str">
        <f>IFERROR(__xludf.DUMMYFUNCTION("""COMPUTED_VALUE"""),"ZONA 2")</f>
        <v>ZONA 2</v>
      </c>
      <c r="K1213" s="4" t="str">
        <f>IFERROR(__xludf.DUMMYFUNCTION("""COMPUTED_VALUE"""),"058L12")</f>
        <v>058L12</v>
      </c>
      <c r="L1213" s="4" t="str">
        <f>IFERROR(__xludf.DUMMYFUNCTION("""COMPUTED_VALUE"""),"TM - 4B/H (Afspan)")</f>
        <v>TM - 4B/H (Afspan)</v>
      </c>
      <c r="M1213" s="4" t="str">
        <f>IFERROR(__xludf.DUMMYFUNCTION("""COMPUTED_VALUE"""),"Tidak Ada")</f>
        <v>Tidak Ada</v>
      </c>
      <c r="N1213" s="4"/>
      <c r="O1213" s="4" t="str">
        <f>IFERROR(__xludf.DUMMYFUNCTION("""COMPUTED_VALUE"""),"PEMBANDING SEJENIS")</f>
        <v>PEMBANDING SEJENIS</v>
      </c>
      <c r="P1213" s="4" t="str">
        <f>IFERROR(__xludf.DUMMYFUNCTION("""COMPUTED_VALUE"""),"KONEKTOR/JUMPER")</f>
        <v>KONEKTOR/JUMPER</v>
      </c>
      <c r="Q1213" s="4">
        <f>IFERROR(__xludf.DUMMYFUNCTION("""COMPUTED_VALUE"""),26.0)</f>
        <v>26</v>
      </c>
      <c r="R1213" s="4">
        <f>IFERROR(__xludf.DUMMYFUNCTION("""COMPUTED_VALUE"""),26.0)</f>
        <v>26</v>
      </c>
      <c r="S1213" s="4">
        <f>IFERROR(__xludf.DUMMYFUNCTION("""COMPUTED_VALUE"""),27.0)</f>
        <v>27</v>
      </c>
      <c r="T1213" s="4"/>
      <c r="U1213" s="4" t="str">
        <f>IFERROR(__xludf.DUMMYFUNCTION("""COMPUTED_VALUE"""),"BAIK")</f>
        <v>BAIK</v>
      </c>
      <c r="V1213" s="4" t="str">
        <f>IFERROR(__xludf.DUMMYFUNCTION("""COMPUTED_VALUE"""),"Tidak Ada")</f>
        <v>Tidak Ada</v>
      </c>
      <c r="W1213" s="4"/>
      <c r="X1213" s="4"/>
      <c r="Y1213" s="4"/>
      <c r="Z1213" s="4"/>
      <c r="AA1213" s="4"/>
      <c r="AB1213" s="4"/>
      <c r="AC1213" s="4" t="str">
        <f>IFERROR(__xludf.DUMMYFUNCTION("""COMPUTED_VALUE"""),"INSPEKSI SUTM - T2_Images/ce150678.FOTO.160723.jpg")</f>
        <v>INSPEKSI SUTM - T2_Images/ce150678.FOTO.160723.jpg</v>
      </c>
      <c r="AD1213" s="4"/>
      <c r="AE1213" s="4"/>
      <c r="AF1213" s="4" t="str">
        <f>IFERROR(__xludf.DUMMYFUNCTION("""COMPUTED_VALUE"""),"BELUM")</f>
        <v>BELUM</v>
      </c>
      <c r="AG1213" s="6">
        <f>IFERROR(__xludf.DUMMYFUNCTION("""COMPUTED_VALUE"""),46140.0)</f>
        <v>46140</v>
      </c>
      <c r="AH1213" s="4"/>
      <c r="AI1213" s="4"/>
    </row>
    <row r="1214" ht="15.75" customHeight="1">
      <c r="A1214" s="4" t="str">
        <f>IFERROR(__xludf.DUMMYFUNCTION("""COMPUTED_VALUE"""),"eb939823")</f>
        <v>eb939823</v>
      </c>
      <c r="B1214" s="5">
        <f>IFERROR(__xludf.DUMMYFUNCTION("""COMPUTED_VALUE"""),46140.96318287037)</f>
        <v>46140.96318</v>
      </c>
      <c r="C1214" s="4" t="str">
        <f>IFERROR(__xludf.DUMMYFUNCTION("""COMPUTED_VALUE"""),"-6.956077, 107.643791")</f>
        <v>-6.956077, 107.643791</v>
      </c>
      <c r="D1214" s="4" t="str">
        <f>IFERROR(__xludf.DUMMYFUNCTION("""COMPUTED_VALUE"""),"Jihan kiki")</f>
        <v>Jihan kiki</v>
      </c>
      <c r="E1214" s="4" t="str">
        <f>IFERROR(__xludf.DUMMYFUNCTION("""COMPUTED_VALUE"""),"BANDUNG")</f>
        <v>BANDUNG</v>
      </c>
      <c r="F1214" s="4" t="str">
        <f>IFERROR(__xludf.DUMMYFUNCTION("""COMPUTED_VALUE"""),"CIJAWURA")</f>
        <v>CIJAWURA</v>
      </c>
      <c r="G1214" s="4" t="str">
        <f>IFERROR(__xludf.DUMMYFUNCTION("""COMPUTED_VALUE"""),"GIS KIARACONDONG")</f>
        <v>GIS KIARACONDONG</v>
      </c>
      <c r="H1214" s="4" t="str">
        <f>IFERROR(__xludf.DUMMYFUNCTION("""COMPUTED_VALUE"""),"KMO")</f>
        <v>KMO</v>
      </c>
      <c r="I1214" s="4" t="str">
        <f>IFERROR(__xludf.DUMMYFUNCTION("""COMPUTED_VALUE"""),"DS ATBA - REC.BMCA")</f>
        <v>DS ATBA - REC.BMCA</v>
      </c>
      <c r="J1214" s="4" t="str">
        <f>IFERROR(__xludf.DUMMYFUNCTION("""COMPUTED_VALUE"""),"ZONA 2")</f>
        <v>ZONA 2</v>
      </c>
      <c r="K1214" s="4" t="str">
        <f>IFERROR(__xludf.DUMMYFUNCTION("""COMPUTED_VALUE"""),"012")</f>
        <v>012</v>
      </c>
      <c r="L1214" s="4" t="str">
        <f>IFERROR(__xludf.DUMMYFUNCTION("""COMPUTED_VALUE"""),"TM - 4B/H (Afspan)")</f>
        <v>TM - 4B/H (Afspan)</v>
      </c>
      <c r="M1214" s="4" t="str">
        <f>IFERROR(__xludf.DUMMYFUNCTION("""COMPUTED_VALUE"""),"Tidak Ada")</f>
        <v>Tidak Ada</v>
      </c>
      <c r="N1214" s="4"/>
      <c r="O1214" s="4" t="str">
        <f>IFERROR(__xludf.DUMMYFUNCTION("""COMPUTED_VALUE"""),"PEMBANDING SEJENIS")</f>
        <v>PEMBANDING SEJENIS</v>
      </c>
      <c r="P1214" s="4" t="str">
        <f>IFERROR(__xludf.DUMMYFUNCTION("""COMPUTED_VALUE"""),"KONEKTOR/JUMPER")</f>
        <v>KONEKTOR/JUMPER</v>
      </c>
      <c r="Q1214" s="4">
        <f>IFERROR(__xludf.DUMMYFUNCTION("""COMPUTED_VALUE"""),26.0)</f>
        <v>26</v>
      </c>
      <c r="R1214" s="4">
        <f>IFERROR(__xludf.DUMMYFUNCTION("""COMPUTED_VALUE"""),22.0)</f>
        <v>22</v>
      </c>
      <c r="S1214" s="4">
        <f>IFERROR(__xludf.DUMMYFUNCTION("""COMPUTED_VALUE"""),23.0)</f>
        <v>23</v>
      </c>
      <c r="T1214" s="4"/>
      <c r="U1214" s="4" t="str">
        <f>IFERROR(__xludf.DUMMYFUNCTION("""COMPUTED_VALUE"""),"CUKUP")</f>
        <v>CUKUP</v>
      </c>
      <c r="V1214" s="4" t="str">
        <f>IFERROR(__xludf.DUMMYFUNCTION("""COMPUTED_VALUE"""),"Tidak Ada")</f>
        <v>Tidak Ada</v>
      </c>
      <c r="W1214" s="4"/>
      <c r="X1214" s="4"/>
      <c r="Y1214" s="4"/>
      <c r="Z1214" s="4"/>
      <c r="AA1214" s="4"/>
      <c r="AB1214" s="4"/>
      <c r="AC1214" s="4" t="str">
        <f>IFERROR(__xludf.DUMMYFUNCTION("""COMPUTED_VALUE"""),"INSPEKSI SUTM - T2_Images/eb939823.FOTO.160800.jpg")</f>
        <v>INSPEKSI SUTM - T2_Images/eb939823.FOTO.160800.jpg</v>
      </c>
      <c r="AD1214" s="4"/>
      <c r="AE1214" s="4"/>
      <c r="AF1214" s="4" t="str">
        <f>IFERROR(__xludf.DUMMYFUNCTION("""COMPUTED_VALUE"""),"BELUM")</f>
        <v>BELUM</v>
      </c>
      <c r="AG1214" s="6">
        <f>IFERROR(__xludf.DUMMYFUNCTION("""COMPUTED_VALUE"""),46140.0)</f>
        <v>46140</v>
      </c>
      <c r="AH1214" s="4"/>
      <c r="AI1214" s="4"/>
    </row>
    <row r="1215" ht="15.75" customHeight="1">
      <c r="A1215" s="4" t="str">
        <f>IFERROR(__xludf.DUMMYFUNCTION("""COMPUTED_VALUE"""),"cea03962")</f>
        <v>cea03962</v>
      </c>
      <c r="B1215" s="5">
        <f>IFERROR(__xludf.DUMMYFUNCTION("""COMPUTED_VALUE"""),46140.963483796295)</f>
        <v>46140.96348</v>
      </c>
      <c r="C1215" s="4" t="str">
        <f>IFERROR(__xludf.DUMMYFUNCTION("""COMPUTED_VALUE"""),"-6.899175, 107.645371")</f>
        <v>-6.899175, 107.645371</v>
      </c>
      <c r="D1215" s="4" t="str">
        <f>IFERROR(__xludf.DUMMYFUNCTION("""COMPUTED_VALUE"""),"Nugi firman")</f>
        <v>Nugi firman</v>
      </c>
      <c r="E1215" s="4" t="str">
        <f>IFERROR(__xludf.DUMMYFUNCTION("""COMPUTED_VALUE"""),"BANDUNG")</f>
        <v>BANDUNG</v>
      </c>
      <c r="F1215" s="4" t="str">
        <f>IFERROR(__xludf.DUMMYFUNCTION("""COMPUTED_VALUE"""),"BANDUNG SELATAN")</f>
        <v>BANDUNG SELATAN</v>
      </c>
      <c r="G1215" s="4" t="str">
        <f>IFERROR(__xludf.DUMMYFUNCTION("""COMPUTED_VALUE"""),"GI DAYEUHKOLOT")</f>
        <v>GI DAYEUHKOLOT</v>
      </c>
      <c r="H1215" s="4" t="str">
        <f>IFERROR(__xludf.DUMMYFUNCTION("""COMPUTED_VALUE"""),"DYPI")</f>
        <v>DYPI</v>
      </c>
      <c r="I1215" s="4" t="str">
        <f>IFERROR(__xludf.DUMMYFUNCTION("""COMPUTED_VALUE"""),"FCO ADKF - UJUNG")</f>
        <v>FCO ADKF - UJUNG</v>
      </c>
      <c r="J1215" s="4" t="str">
        <f>IFERROR(__xludf.DUMMYFUNCTION("""COMPUTED_VALUE"""),"ZONA 2")</f>
        <v>ZONA 2</v>
      </c>
      <c r="K1215" s="4" t="str">
        <f>IFERROR(__xludf.DUMMYFUNCTION("""COMPUTED_VALUE"""),"058L13")</f>
        <v>058L13</v>
      </c>
      <c r="L1215" s="4" t="str">
        <f>IFERROR(__xludf.DUMMYFUNCTION("""COMPUTED_VALUE"""),"TM - 1B/H (Tumpu)")</f>
        <v>TM - 1B/H (Tumpu)</v>
      </c>
      <c r="M1215" s="4" t="str">
        <f>IFERROR(__xludf.DUMMYFUNCTION("""COMPUTED_VALUE"""),"Tidak Ada")</f>
        <v>Tidak Ada</v>
      </c>
      <c r="N1215" s="4"/>
      <c r="O1215" s="4" t="str">
        <f>IFERROR(__xludf.DUMMYFUNCTION("""COMPUTED_VALUE"""),"PEMBANDING SEJENIS")</f>
        <v>PEMBANDING SEJENIS</v>
      </c>
      <c r="P1215" s="4" t="str">
        <f>IFERROR(__xludf.DUMMYFUNCTION("""COMPUTED_VALUE"""),"ARRESTER")</f>
        <v>ARRESTER</v>
      </c>
      <c r="Q1215" s="4">
        <f>IFERROR(__xludf.DUMMYFUNCTION("""COMPUTED_VALUE"""),27.0)</f>
        <v>27</v>
      </c>
      <c r="R1215" s="4">
        <f>IFERROR(__xludf.DUMMYFUNCTION("""COMPUTED_VALUE"""),24.0)</f>
        <v>24</v>
      </c>
      <c r="S1215" s="4">
        <f>IFERROR(__xludf.DUMMYFUNCTION("""COMPUTED_VALUE"""),28.0)</f>
        <v>28</v>
      </c>
      <c r="T1215" s="4"/>
      <c r="U1215" s="4" t="str">
        <f>IFERROR(__xludf.DUMMYFUNCTION("""COMPUTED_VALUE"""),"CUKUP")</f>
        <v>CUKUP</v>
      </c>
      <c r="V1215" s="4" t="str">
        <f>IFERROR(__xludf.DUMMYFUNCTION("""COMPUTED_VALUE"""),"Tidak Ada")</f>
        <v>Tidak Ada</v>
      </c>
      <c r="W1215" s="4"/>
      <c r="X1215" s="4"/>
      <c r="Y1215" s="4"/>
      <c r="Z1215" s="4"/>
      <c r="AA1215" s="4"/>
      <c r="AB1215" s="4"/>
      <c r="AC1215" s="4" t="str">
        <f>IFERROR(__xludf.DUMMYFUNCTION("""COMPUTED_VALUE"""),"INSPEKSI SUTM - T2_Images/cea03962.FOTO.160806.jpg")</f>
        <v>INSPEKSI SUTM - T2_Images/cea03962.FOTO.160806.jpg</v>
      </c>
      <c r="AD1215" s="4"/>
      <c r="AE1215" s="4"/>
      <c r="AF1215" s="4" t="str">
        <f>IFERROR(__xludf.DUMMYFUNCTION("""COMPUTED_VALUE"""),"BELUM")</f>
        <v>BELUM</v>
      </c>
      <c r="AG1215" s="6">
        <f>IFERROR(__xludf.DUMMYFUNCTION("""COMPUTED_VALUE"""),46140.0)</f>
        <v>46140</v>
      </c>
      <c r="AH1215" s="4"/>
      <c r="AI1215" s="4"/>
    </row>
    <row r="1216" ht="15.75" customHeight="1">
      <c r="A1216" s="4" t="str">
        <f>IFERROR(__xludf.DUMMYFUNCTION("""COMPUTED_VALUE"""),"f25c8e8d")</f>
        <v>f25c8e8d</v>
      </c>
      <c r="B1216" s="5">
        <f>IFERROR(__xludf.DUMMYFUNCTION("""COMPUTED_VALUE"""),46140.96399305556)</f>
        <v>46140.96399</v>
      </c>
      <c r="C1216" s="4" t="str">
        <f>IFERROR(__xludf.DUMMYFUNCTION("""COMPUTED_VALUE"""),"-6.899175, 107.645371")</f>
        <v>-6.899175, 107.645371</v>
      </c>
      <c r="D1216" s="4" t="str">
        <f>IFERROR(__xludf.DUMMYFUNCTION("""COMPUTED_VALUE"""),"Nugi firman")</f>
        <v>Nugi firman</v>
      </c>
      <c r="E1216" s="4" t="str">
        <f>IFERROR(__xludf.DUMMYFUNCTION("""COMPUTED_VALUE"""),"BANDUNG")</f>
        <v>BANDUNG</v>
      </c>
      <c r="F1216" s="4" t="str">
        <f>IFERROR(__xludf.DUMMYFUNCTION("""COMPUTED_VALUE"""),"BANDUNG SELATAN")</f>
        <v>BANDUNG SELATAN</v>
      </c>
      <c r="G1216" s="4" t="str">
        <f>IFERROR(__xludf.DUMMYFUNCTION("""COMPUTED_VALUE"""),"GI DAYEUHKOLOT")</f>
        <v>GI DAYEUHKOLOT</v>
      </c>
      <c r="H1216" s="4" t="str">
        <f>IFERROR(__xludf.DUMMYFUNCTION("""COMPUTED_VALUE"""),"DYPI")</f>
        <v>DYPI</v>
      </c>
      <c r="I1216" s="4" t="str">
        <f>IFERROR(__xludf.DUMMYFUNCTION("""COMPUTED_VALUE"""),"FCO ADKF - UJUNG")</f>
        <v>FCO ADKF - UJUNG</v>
      </c>
      <c r="J1216" s="4" t="str">
        <f>IFERROR(__xludf.DUMMYFUNCTION("""COMPUTED_VALUE"""),"ZONA 2")</f>
        <v>ZONA 2</v>
      </c>
      <c r="K1216" s="4" t="str">
        <f>IFERROR(__xludf.DUMMYFUNCTION("""COMPUTED_VALUE"""),"058L22")</f>
        <v>058L22</v>
      </c>
      <c r="L1216" s="4" t="str">
        <f>IFERROR(__xludf.DUMMYFUNCTION("""COMPUTED_VALUE"""),"TM - 7B/H (Afspan 90 Derajat)")</f>
        <v>TM - 7B/H (Afspan 90 Derajat)</v>
      </c>
      <c r="M1216" s="4" t="str">
        <f>IFERROR(__xludf.DUMMYFUNCTION("""COMPUTED_VALUE"""),"Tidak Ada")</f>
        <v>Tidak Ada</v>
      </c>
      <c r="N1216" s="4"/>
      <c r="O1216" s="4" t="str">
        <f>IFERROR(__xludf.DUMMYFUNCTION("""COMPUTED_VALUE"""),"PEMBANDING SEJENIS")</f>
        <v>PEMBANDING SEJENIS</v>
      </c>
      <c r="P1216" s="4" t="str">
        <f>IFERROR(__xludf.DUMMYFUNCTION("""COMPUTED_VALUE"""),"KONEKTOR/JUMPER")</f>
        <v>KONEKTOR/JUMPER</v>
      </c>
      <c r="Q1216" s="4">
        <f>IFERROR(__xludf.DUMMYFUNCTION("""COMPUTED_VALUE"""),26.0)</f>
        <v>26</v>
      </c>
      <c r="R1216" s="4">
        <f>IFERROR(__xludf.DUMMYFUNCTION("""COMPUTED_VALUE"""),27.0)</f>
        <v>27</v>
      </c>
      <c r="S1216" s="4">
        <f>IFERROR(__xludf.DUMMYFUNCTION("""COMPUTED_VALUE"""),27.0)</f>
        <v>27</v>
      </c>
      <c r="T1216" s="4"/>
      <c r="U1216" s="4" t="str">
        <f>IFERROR(__xludf.DUMMYFUNCTION("""COMPUTED_VALUE"""),"BAIK")</f>
        <v>BAIK</v>
      </c>
      <c r="V1216" s="4" t="str">
        <f>IFERROR(__xludf.DUMMYFUNCTION("""COMPUTED_VALUE"""),"Tidak Ada")</f>
        <v>Tidak Ada</v>
      </c>
      <c r="W1216" s="4"/>
      <c r="X1216" s="4"/>
      <c r="Y1216" s="4"/>
      <c r="Z1216" s="4"/>
      <c r="AA1216" s="4"/>
      <c r="AB1216" s="4"/>
      <c r="AC1216" s="4" t="str">
        <f>IFERROR(__xludf.DUMMYFUNCTION("""COMPUTED_VALUE"""),"INSPEKSI SUTM - T2_Images/f25c8e8d.FOTO.160849.jpg")</f>
        <v>INSPEKSI SUTM - T2_Images/f25c8e8d.FOTO.160849.jpg</v>
      </c>
      <c r="AD1216" s="4"/>
      <c r="AE1216" s="4"/>
      <c r="AF1216" s="4" t="str">
        <f>IFERROR(__xludf.DUMMYFUNCTION("""COMPUTED_VALUE"""),"BELUM")</f>
        <v>BELUM</v>
      </c>
      <c r="AG1216" s="6">
        <f>IFERROR(__xludf.DUMMYFUNCTION("""COMPUTED_VALUE"""),46140.0)</f>
        <v>46140</v>
      </c>
      <c r="AH1216" s="4"/>
      <c r="AI1216" s="4"/>
    </row>
    <row r="1217" ht="15.75" customHeight="1">
      <c r="A1217" s="4" t="str">
        <f>IFERROR(__xludf.DUMMYFUNCTION("""COMPUTED_VALUE"""),"cd6a7cf1")</f>
        <v>cd6a7cf1</v>
      </c>
      <c r="B1217" s="5">
        <f>IFERROR(__xludf.DUMMYFUNCTION("""COMPUTED_VALUE"""),46140.964479166665)</f>
        <v>46140.96448</v>
      </c>
      <c r="C1217" s="4" t="str">
        <f>IFERROR(__xludf.DUMMYFUNCTION("""COMPUTED_VALUE"""),"-6.899175, 107.645371")</f>
        <v>-6.899175, 107.645371</v>
      </c>
      <c r="D1217" s="4" t="str">
        <f>IFERROR(__xludf.DUMMYFUNCTION("""COMPUTED_VALUE"""),"Nugi firman")</f>
        <v>Nugi firman</v>
      </c>
      <c r="E1217" s="4" t="str">
        <f>IFERROR(__xludf.DUMMYFUNCTION("""COMPUTED_VALUE"""),"BANDUNG")</f>
        <v>BANDUNG</v>
      </c>
      <c r="F1217" s="4" t="str">
        <f>IFERROR(__xludf.DUMMYFUNCTION("""COMPUTED_VALUE"""),"BANDUNG SELATAN")</f>
        <v>BANDUNG SELATAN</v>
      </c>
      <c r="G1217" s="4" t="str">
        <f>IFERROR(__xludf.DUMMYFUNCTION("""COMPUTED_VALUE"""),"GI DAYEUHKOLOT")</f>
        <v>GI DAYEUHKOLOT</v>
      </c>
      <c r="H1217" s="4" t="str">
        <f>IFERROR(__xludf.DUMMYFUNCTION("""COMPUTED_VALUE"""),"DYPI")</f>
        <v>DYPI</v>
      </c>
      <c r="I1217" s="4" t="str">
        <f>IFERROR(__xludf.DUMMYFUNCTION("""COMPUTED_VALUE"""),"FCO ADKF - UJUNG")</f>
        <v>FCO ADKF - UJUNG</v>
      </c>
      <c r="J1217" s="4" t="str">
        <f>IFERROR(__xludf.DUMMYFUNCTION("""COMPUTED_VALUE"""),"ZONA 2")</f>
        <v>ZONA 2</v>
      </c>
      <c r="K1217" s="4" t="str">
        <f>IFERROR(__xludf.DUMMYFUNCTION("""COMPUTED_VALUE"""),"058L24")</f>
        <v>058L24</v>
      </c>
      <c r="L1217" s="4" t="str">
        <f>IFERROR(__xludf.DUMMYFUNCTION("""COMPUTED_VALUE"""),"TM - 7B/H (Afspan 90 Derajat)")</f>
        <v>TM - 7B/H (Afspan 90 Derajat)</v>
      </c>
      <c r="M1217" s="4" t="str">
        <f>IFERROR(__xludf.DUMMYFUNCTION("""COMPUTED_VALUE"""),"Tidak Ada")</f>
        <v>Tidak Ada</v>
      </c>
      <c r="N1217" s="4"/>
      <c r="O1217" s="4" t="str">
        <f>IFERROR(__xludf.DUMMYFUNCTION("""COMPUTED_VALUE"""),"PEMBANDING SEJENIS")</f>
        <v>PEMBANDING SEJENIS</v>
      </c>
      <c r="P1217" s="4" t="str">
        <f>IFERROR(__xludf.DUMMYFUNCTION("""COMPUTED_VALUE"""),"KONEKTOR/JUMPER")</f>
        <v>KONEKTOR/JUMPER</v>
      </c>
      <c r="Q1217" s="4">
        <f>IFERROR(__xludf.DUMMYFUNCTION("""COMPUTED_VALUE"""),28.0)</f>
        <v>28</v>
      </c>
      <c r="R1217" s="4">
        <f>IFERROR(__xludf.DUMMYFUNCTION("""COMPUTED_VALUE"""),28.0)</f>
        <v>28</v>
      </c>
      <c r="S1217" s="4">
        <f>IFERROR(__xludf.DUMMYFUNCTION("""COMPUTED_VALUE"""),28.0)</f>
        <v>28</v>
      </c>
      <c r="T1217" s="4"/>
      <c r="U1217" s="4" t="str">
        <f>IFERROR(__xludf.DUMMYFUNCTION("""COMPUTED_VALUE"""),"BAIK")</f>
        <v>BAIK</v>
      </c>
      <c r="V1217" s="4" t="str">
        <f>IFERROR(__xludf.DUMMYFUNCTION("""COMPUTED_VALUE"""),"Tidak Ada")</f>
        <v>Tidak Ada</v>
      </c>
      <c r="W1217" s="4"/>
      <c r="X1217" s="4"/>
      <c r="Y1217" s="4"/>
      <c r="Z1217" s="4"/>
      <c r="AA1217" s="4"/>
      <c r="AB1217" s="4"/>
      <c r="AC1217" s="4" t="str">
        <f>IFERROR(__xludf.DUMMYFUNCTION("""COMPUTED_VALUE"""),"INSPEKSI SUTM - T2_Images/cd6a7cf1.FOTO.160933.jpg")</f>
        <v>INSPEKSI SUTM - T2_Images/cd6a7cf1.FOTO.160933.jpg</v>
      </c>
      <c r="AD1217" s="4"/>
      <c r="AE1217" s="4"/>
      <c r="AF1217" s="4" t="str">
        <f>IFERROR(__xludf.DUMMYFUNCTION("""COMPUTED_VALUE"""),"BELUM")</f>
        <v>BELUM</v>
      </c>
      <c r="AG1217" s="6">
        <f>IFERROR(__xludf.DUMMYFUNCTION("""COMPUTED_VALUE"""),46140.0)</f>
        <v>46140</v>
      </c>
      <c r="AH1217" s="4"/>
      <c r="AI1217" s="4"/>
    </row>
    <row r="1218" ht="15.75" customHeight="1">
      <c r="A1218" s="4" t="str">
        <f>IFERROR(__xludf.DUMMYFUNCTION("""COMPUTED_VALUE"""),"9d960faa")</f>
        <v>9d960faa</v>
      </c>
      <c r="B1218" s="5">
        <f>IFERROR(__xludf.DUMMYFUNCTION("""COMPUTED_VALUE"""),46140.96498842593)</f>
        <v>46140.96499</v>
      </c>
      <c r="C1218" s="4" t="str">
        <f>IFERROR(__xludf.DUMMYFUNCTION("""COMPUTED_VALUE"""),"-6.899175, 107.645371")</f>
        <v>-6.899175, 107.645371</v>
      </c>
      <c r="D1218" s="4" t="str">
        <f>IFERROR(__xludf.DUMMYFUNCTION("""COMPUTED_VALUE"""),"Nugi firman")</f>
        <v>Nugi firman</v>
      </c>
      <c r="E1218" s="4" t="str">
        <f>IFERROR(__xludf.DUMMYFUNCTION("""COMPUTED_VALUE"""),"BANDUNG")</f>
        <v>BANDUNG</v>
      </c>
      <c r="F1218" s="4" t="str">
        <f>IFERROR(__xludf.DUMMYFUNCTION("""COMPUTED_VALUE"""),"BANDUNG SELATAN")</f>
        <v>BANDUNG SELATAN</v>
      </c>
      <c r="G1218" s="4" t="str">
        <f>IFERROR(__xludf.DUMMYFUNCTION("""COMPUTED_VALUE"""),"GI DAYEUHKOLOT")</f>
        <v>GI DAYEUHKOLOT</v>
      </c>
      <c r="H1218" s="4" t="str">
        <f>IFERROR(__xludf.DUMMYFUNCTION("""COMPUTED_VALUE"""),"DYPI")</f>
        <v>DYPI</v>
      </c>
      <c r="I1218" s="4" t="str">
        <f>IFERROR(__xludf.DUMMYFUNCTION("""COMPUTED_VALUE"""),"FCO ADKF - UJUNG")</f>
        <v>FCO ADKF - UJUNG</v>
      </c>
      <c r="J1218" s="4" t="str">
        <f>IFERROR(__xludf.DUMMYFUNCTION("""COMPUTED_VALUE"""),"ZONA 2")</f>
        <v>ZONA 2</v>
      </c>
      <c r="K1218" s="4" t="str">
        <f>IFERROR(__xludf.DUMMYFUNCTION("""COMPUTED_VALUE"""),"058L28")</f>
        <v>058L28</v>
      </c>
      <c r="L1218" s="4" t="str">
        <f>IFERROR(__xludf.DUMMYFUNCTION("""COMPUTED_VALUE"""),"TM - 14B/H (Akhir)")</f>
        <v>TM - 14B/H (Akhir)</v>
      </c>
      <c r="M1218" s="4" t="str">
        <f>IFERROR(__xludf.DUMMYFUNCTION("""COMPUTED_VALUE"""),"Tidak Ada")</f>
        <v>Tidak Ada</v>
      </c>
      <c r="N1218" s="4"/>
      <c r="O1218" s="4" t="str">
        <f>IFERROR(__xludf.DUMMYFUNCTION("""COMPUTED_VALUE"""),"PEMBANDING SEJENIS")</f>
        <v>PEMBANDING SEJENIS</v>
      </c>
      <c r="P1218" s="4" t="str">
        <f>IFERROR(__xludf.DUMMYFUNCTION("""COMPUTED_VALUE"""),"TERMINASI")</f>
        <v>TERMINASI</v>
      </c>
      <c r="Q1218" s="4">
        <f>IFERROR(__xludf.DUMMYFUNCTION("""COMPUTED_VALUE"""),26.0)</f>
        <v>26</v>
      </c>
      <c r="R1218" s="4">
        <f>IFERROR(__xludf.DUMMYFUNCTION("""COMPUTED_VALUE"""),26.0)</f>
        <v>26</v>
      </c>
      <c r="S1218" s="4">
        <f>IFERROR(__xludf.DUMMYFUNCTION("""COMPUTED_VALUE"""),26.0)</f>
        <v>26</v>
      </c>
      <c r="T1218" s="4"/>
      <c r="U1218" s="4" t="str">
        <f>IFERROR(__xludf.DUMMYFUNCTION("""COMPUTED_VALUE"""),"BAIK")</f>
        <v>BAIK</v>
      </c>
      <c r="V1218" s="4" t="str">
        <f>IFERROR(__xludf.DUMMYFUNCTION("""COMPUTED_VALUE"""),"Tidak Ada")</f>
        <v>Tidak Ada</v>
      </c>
      <c r="W1218" s="4"/>
      <c r="X1218" s="4"/>
      <c r="Y1218" s="4"/>
      <c r="Z1218" s="4"/>
      <c r="AA1218" s="4"/>
      <c r="AB1218" s="4"/>
      <c r="AC1218" s="4" t="str">
        <f>IFERROR(__xludf.DUMMYFUNCTION("""COMPUTED_VALUE"""),"INSPEKSI SUTM - T2_Images/9d960faa.FOTO.161014.jpg")</f>
        <v>INSPEKSI SUTM - T2_Images/9d960faa.FOTO.161014.jpg</v>
      </c>
      <c r="AD1218" s="4"/>
      <c r="AE1218" s="4"/>
      <c r="AF1218" s="4" t="str">
        <f>IFERROR(__xludf.DUMMYFUNCTION("""COMPUTED_VALUE"""),"BELUM")</f>
        <v>BELUM</v>
      </c>
      <c r="AG1218" s="6">
        <f>IFERROR(__xludf.DUMMYFUNCTION("""COMPUTED_VALUE"""),46140.0)</f>
        <v>46140</v>
      </c>
      <c r="AH1218" s="4"/>
      <c r="AI1218" s="4"/>
    </row>
    <row r="1219" ht="15.75" customHeight="1">
      <c r="A1219" s="4" t="str">
        <f>IFERROR(__xludf.DUMMYFUNCTION("""COMPUTED_VALUE"""),"cf05bfdf")</f>
        <v>cf05bfdf</v>
      </c>
      <c r="B1219" s="5">
        <f>IFERROR(__xludf.DUMMYFUNCTION("""COMPUTED_VALUE"""),46140.96569444444)</f>
        <v>46140.96569</v>
      </c>
      <c r="C1219" s="4" t="str">
        <f>IFERROR(__xludf.DUMMYFUNCTION("""COMPUTED_VALUE"""),"-6.899175, 107.645371")</f>
        <v>-6.899175, 107.645371</v>
      </c>
      <c r="D1219" s="4" t="str">
        <f>IFERROR(__xludf.DUMMYFUNCTION("""COMPUTED_VALUE"""),"Nugi firman")</f>
        <v>Nugi firman</v>
      </c>
      <c r="E1219" s="4" t="str">
        <f>IFERROR(__xludf.DUMMYFUNCTION("""COMPUTED_VALUE"""),"BANDUNG")</f>
        <v>BANDUNG</v>
      </c>
      <c r="F1219" s="4" t="str">
        <f>IFERROR(__xludf.DUMMYFUNCTION("""COMPUTED_VALUE"""),"BANDUNG SELATAN")</f>
        <v>BANDUNG SELATAN</v>
      </c>
      <c r="G1219" s="4" t="str">
        <f>IFERROR(__xludf.DUMMYFUNCTION("""COMPUTED_VALUE"""),"GI DAYEUHKOLOT")</f>
        <v>GI DAYEUHKOLOT</v>
      </c>
      <c r="H1219" s="4" t="str">
        <f>IFERROR(__xludf.DUMMYFUNCTION("""COMPUTED_VALUE"""),"DYPI")</f>
        <v>DYPI</v>
      </c>
      <c r="I1219" s="4" t="str">
        <f>IFERROR(__xludf.DUMMYFUNCTION("""COMPUTED_VALUE"""),"KP.PLI - LBS BJSF")</f>
        <v>KP.PLI - LBS BJSF</v>
      </c>
      <c r="J1219" s="4" t="str">
        <f>IFERROR(__xludf.DUMMYFUNCTION("""COMPUTED_VALUE"""),"ZONA 2")</f>
        <v>ZONA 2</v>
      </c>
      <c r="K1219" s="4" t="str">
        <f>IFERROR(__xludf.DUMMYFUNCTION("""COMPUTED_VALUE"""),"061")</f>
        <v>061</v>
      </c>
      <c r="L1219" s="4" t="str">
        <f>IFERROR(__xludf.DUMMYFUNCTION("""COMPUTED_VALUE"""),"TM - 1B/H (Tumpu)")</f>
        <v>TM - 1B/H (Tumpu)</v>
      </c>
      <c r="M1219" s="4" t="str">
        <f>IFERROR(__xludf.DUMMYFUNCTION("""COMPUTED_VALUE"""),"Tidak Ada")</f>
        <v>Tidak Ada</v>
      </c>
      <c r="N1219" s="4"/>
      <c r="O1219" s="4" t="str">
        <f>IFERROR(__xludf.DUMMYFUNCTION("""COMPUTED_VALUE"""),"PEMBANDING SEJENIS")</f>
        <v>PEMBANDING SEJENIS</v>
      </c>
      <c r="P1219" s="4" t="str">
        <f>IFERROR(__xludf.DUMMYFUNCTION("""COMPUTED_VALUE"""),"ARRESTER")</f>
        <v>ARRESTER</v>
      </c>
      <c r="Q1219" s="4">
        <f>IFERROR(__xludf.DUMMYFUNCTION("""COMPUTED_VALUE"""),25.0)</f>
        <v>25</v>
      </c>
      <c r="R1219" s="4">
        <f>IFERROR(__xludf.DUMMYFUNCTION("""COMPUTED_VALUE"""),25.0)</f>
        <v>25</v>
      </c>
      <c r="S1219" s="4">
        <f>IFERROR(__xludf.DUMMYFUNCTION("""COMPUTED_VALUE"""),25.0)</f>
        <v>25</v>
      </c>
      <c r="T1219" s="4"/>
      <c r="U1219" s="4" t="str">
        <f>IFERROR(__xludf.DUMMYFUNCTION("""COMPUTED_VALUE"""),"BAIK")</f>
        <v>BAIK</v>
      </c>
      <c r="V1219" s="4" t="str">
        <f>IFERROR(__xludf.DUMMYFUNCTION("""COMPUTED_VALUE"""),"Tidak Ada")</f>
        <v>Tidak Ada</v>
      </c>
      <c r="W1219" s="4"/>
      <c r="X1219" s="4"/>
      <c r="Y1219" s="4"/>
      <c r="Z1219" s="4"/>
      <c r="AA1219" s="4"/>
      <c r="AB1219" s="4"/>
      <c r="AC1219" s="4" t="str">
        <f>IFERROR(__xludf.DUMMYFUNCTION("""COMPUTED_VALUE"""),"INSPEKSI SUTM - T2_Images/cf05bfdf.FOTO.161120.jpg")</f>
        <v>INSPEKSI SUTM - T2_Images/cf05bfdf.FOTO.161120.jpg</v>
      </c>
      <c r="AD1219" s="4"/>
      <c r="AE1219" s="4"/>
      <c r="AF1219" s="4" t="str">
        <f>IFERROR(__xludf.DUMMYFUNCTION("""COMPUTED_VALUE"""),"BELUM")</f>
        <v>BELUM</v>
      </c>
      <c r="AG1219" s="6">
        <f>IFERROR(__xludf.DUMMYFUNCTION("""COMPUTED_VALUE"""),46140.0)</f>
        <v>46140</v>
      </c>
      <c r="AH1219" s="4"/>
      <c r="AI1219" s="4"/>
    </row>
    <row r="1220" ht="15.75" customHeight="1">
      <c r="A1220" s="4" t="str">
        <f>IFERROR(__xludf.DUMMYFUNCTION("""COMPUTED_VALUE"""),"cd56ee49")</f>
        <v>cd56ee49</v>
      </c>
      <c r="B1220" s="5">
        <f>IFERROR(__xludf.DUMMYFUNCTION("""COMPUTED_VALUE"""),46140.96622685185)</f>
        <v>46140.96623</v>
      </c>
      <c r="C1220" s="4" t="str">
        <f>IFERROR(__xludf.DUMMYFUNCTION("""COMPUTED_VALUE"""),"-6.899175, 107.645371")</f>
        <v>-6.899175, 107.645371</v>
      </c>
      <c r="D1220" s="4" t="str">
        <f>IFERROR(__xludf.DUMMYFUNCTION("""COMPUTED_VALUE"""),"Nugi firman")</f>
        <v>Nugi firman</v>
      </c>
      <c r="E1220" s="4" t="str">
        <f>IFERROR(__xludf.DUMMYFUNCTION("""COMPUTED_VALUE"""),"BANDUNG")</f>
        <v>BANDUNG</v>
      </c>
      <c r="F1220" s="4" t="str">
        <f>IFERROR(__xludf.DUMMYFUNCTION("""COMPUTED_VALUE"""),"BANDUNG SELATAN")</f>
        <v>BANDUNG SELATAN</v>
      </c>
      <c r="G1220" s="4" t="str">
        <f>IFERROR(__xludf.DUMMYFUNCTION("""COMPUTED_VALUE"""),"GI DAYEUHKOLOT")</f>
        <v>GI DAYEUHKOLOT</v>
      </c>
      <c r="H1220" s="4" t="str">
        <f>IFERROR(__xludf.DUMMYFUNCTION("""COMPUTED_VALUE"""),"DYPI")</f>
        <v>DYPI</v>
      </c>
      <c r="I1220" s="4" t="str">
        <f>IFERROR(__xludf.DUMMYFUNCTION("""COMPUTED_VALUE"""),"KP.PLI - LBS BJSF")</f>
        <v>KP.PLI - LBS BJSF</v>
      </c>
      <c r="J1220" s="4" t="str">
        <f>IFERROR(__xludf.DUMMYFUNCTION("""COMPUTED_VALUE"""),"ZONA 2")</f>
        <v>ZONA 2</v>
      </c>
      <c r="K1220" s="4" t="str">
        <f>IFERROR(__xludf.DUMMYFUNCTION("""COMPUTED_VALUE"""),"065")</f>
        <v>065</v>
      </c>
      <c r="L1220" s="4" t="str">
        <f>IFERROR(__xludf.DUMMYFUNCTION("""COMPUTED_VALUE"""),"TM - 4B/H (Afspan)")</f>
        <v>TM - 4B/H (Afspan)</v>
      </c>
      <c r="M1220" s="4" t="str">
        <f>IFERROR(__xludf.DUMMYFUNCTION("""COMPUTED_VALUE"""),"Tidak Ada")</f>
        <v>Tidak Ada</v>
      </c>
      <c r="N1220" s="4"/>
      <c r="O1220" s="4" t="str">
        <f>IFERROR(__xludf.DUMMYFUNCTION("""COMPUTED_VALUE"""),"PEMBANDING SEJENIS")</f>
        <v>PEMBANDING SEJENIS</v>
      </c>
      <c r="P1220" s="4" t="str">
        <f>IFERROR(__xludf.DUMMYFUNCTION("""COMPUTED_VALUE"""),"KONEKTOR/JUMPER")</f>
        <v>KONEKTOR/JUMPER</v>
      </c>
      <c r="Q1220" s="4">
        <f>IFERROR(__xludf.DUMMYFUNCTION("""COMPUTED_VALUE"""),24.0)</f>
        <v>24</v>
      </c>
      <c r="R1220" s="4">
        <f>IFERROR(__xludf.DUMMYFUNCTION("""COMPUTED_VALUE"""),24.0)</f>
        <v>24</v>
      </c>
      <c r="S1220" s="4">
        <f>IFERROR(__xludf.DUMMYFUNCTION("""COMPUTED_VALUE"""),22.0)</f>
        <v>22</v>
      </c>
      <c r="T1220" s="4"/>
      <c r="U1220" s="4" t="str">
        <f>IFERROR(__xludf.DUMMYFUNCTION("""COMPUTED_VALUE"""),"BAIK")</f>
        <v>BAIK</v>
      </c>
      <c r="V1220" s="4" t="str">
        <f>IFERROR(__xludf.DUMMYFUNCTION("""COMPUTED_VALUE"""),"Tidak Ada")</f>
        <v>Tidak Ada</v>
      </c>
      <c r="W1220" s="4"/>
      <c r="X1220" s="4"/>
      <c r="Y1220" s="4"/>
      <c r="Z1220" s="4"/>
      <c r="AA1220" s="4"/>
      <c r="AB1220" s="4"/>
      <c r="AC1220" s="4" t="str">
        <f>IFERROR(__xludf.DUMMYFUNCTION("""COMPUTED_VALUE"""),"INSPEKSI SUTM - T2_Images/cd56ee49.FOTO.161211.jpg")</f>
        <v>INSPEKSI SUTM - T2_Images/cd56ee49.FOTO.161211.jpg</v>
      </c>
      <c r="AD1220" s="4"/>
      <c r="AE1220" s="4"/>
      <c r="AF1220" s="4" t="str">
        <f>IFERROR(__xludf.DUMMYFUNCTION("""COMPUTED_VALUE"""),"BELUM")</f>
        <v>BELUM</v>
      </c>
      <c r="AG1220" s="6">
        <f>IFERROR(__xludf.DUMMYFUNCTION("""COMPUTED_VALUE"""),46140.0)</f>
        <v>46140</v>
      </c>
      <c r="AH1220" s="4"/>
      <c r="AI1220" s="4"/>
    </row>
    <row r="1221" ht="15.75" customHeight="1">
      <c r="A1221" s="4" t="str">
        <f>IFERROR(__xludf.DUMMYFUNCTION("""COMPUTED_VALUE"""),"23f0f0e4")</f>
        <v>23f0f0e4</v>
      </c>
      <c r="B1221" s="5">
        <f>IFERROR(__xludf.DUMMYFUNCTION("""COMPUTED_VALUE"""),46140.964050925926)</f>
        <v>46140.96405</v>
      </c>
      <c r="C1221" s="4" t="str">
        <f>IFERROR(__xludf.DUMMYFUNCTION("""COMPUTED_VALUE"""),"-6.956927, 107.643734")</f>
        <v>-6.956927, 107.643734</v>
      </c>
      <c r="D1221" s="4" t="str">
        <f>IFERROR(__xludf.DUMMYFUNCTION("""COMPUTED_VALUE"""),"Jihan kiki")</f>
        <v>Jihan kiki</v>
      </c>
      <c r="E1221" s="4" t="str">
        <f>IFERROR(__xludf.DUMMYFUNCTION("""COMPUTED_VALUE"""),"BANDUNG")</f>
        <v>BANDUNG</v>
      </c>
      <c r="F1221" s="4" t="str">
        <f>IFERROR(__xludf.DUMMYFUNCTION("""COMPUTED_VALUE"""),"CIJAWURA")</f>
        <v>CIJAWURA</v>
      </c>
      <c r="G1221" s="4" t="str">
        <f>IFERROR(__xludf.DUMMYFUNCTION("""COMPUTED_VALUE"""),"GIS KIARACONDONG")</f>
        <v>GIS KIARACONDONG</v>
      </c>
      <c r="H1221" s="4" t="str">
        <f>IFERROR(__xludf.DUMMYFUNCTION("""COMPUTED_VALUE"""),"KMO")</f>
        <v>KMO</v>
      </c>
      <c r="I1221" s="4" t="str">
        <f>IFERROR(__xludf.DUMMYFUNCTION("""COMPUTED_VALUE"""),"DS ATBA - REC.BMCA")</f>
        <v>DS ATBA - REC.BMCA</v>
      </c>
      <c r="J1221" s="4" t="str">
        <f>IFERROR(__xludf.DUMMYFUNCTION("""COMPUTED_VALUE"""),"ZONA 2")</f>
        <v>ZONA 2</v>
      </c>
      <c r="K1221" s="4" t="str">
        <f>IFERROR(__xludf.DUMMYFUNCTION("""COMPUTED_VALUE"""),"016")</f>
        <v>016</v>
      </c>
      <c r="L1221" s="4" t="str">
        <f>IFERROR(__xludf.DUMMYFUNCTION("""COMPUTED_VALUE"""),"TM - 4B/H (Afspan)")</f>
        <v>TM - 4B/H (Afspan)</v>
      </c>
      <c r="M1221" s="4" t="str">
        <f>IFERROR(__xludf.DUMMYFUNCTION("""COMPUTED_VALUE"""),"Tidak Ada")</f>
        <v>Tidak Ada</v>
      </c>
      <c r="N1221" s="4"/>
      <c r="O1221" s="4" t="str">
        <f>IFERROR(__xludf.DUMMYFUNCTION("""COMPUTED_VALUE"""),"PEMBANDING SEJENIS")</f>
        <v>PEMBANDING SEJENIS</v>
      </c>
      <c r="P1221" s="4" t="str">
        <f>IFERROR(__xludf.DUMMYFUNCTION("""COMPUTED_VALUE"""),"KONEKTOR/JUMPER")</f>
        <v>KONEKTOR/JUMPER</v>
      </c>
      <c r="Q1221" s="4">
        <f>IFERROR(__xludf.DUMMYFUNCTION("""COMPUTED_VALUE"""),23.0)</f>
        <v>23</v>
      </c>
      <c r="R1221" s="4">
        <f>IFERROR(__xludf.DUMMYFUNCTION("""COMPUTED_VALUE"""),27.0)</f>
        <v>27</v>
      </c>
      <c r="S1221" s="4">
        <f>IFERROR(__xludf.DUMMYFUNCTION("""COMPUTED_VALUE"""),24.0)</f>
        <v>24</v>
      </c>
      <c r="T1221" s="4"/>
      <c r="U1221" s="4" t="str">
        <f>IFERROR(__xludf.DUMMYFUNCTION("""COMPUTED_VALUE"""),"CUKUP")</f>
        <v>CUKUP</v>
      </c>
      <c r="V1221" s="4" t="str">
        <f>IFERROR(__xludf.DUMMYFUNCTION("""COMPUTED_VALUE"""),"Tidak Ada")</f>
        <v>Tidak Ada</v>
      </c>
      <c r="W1221" s="4"/>
      <c r="X1221" s="4"/>
      <c r="Y1221" s="4"/>
      <c r="Z1221" s="4"/>
      <c r="AA1221" s="4"/>
      <c r="AB1221" s="4"/>
      <c r="AC1221" s="4" t="str">
        <f>IFERROR(__xludf.DUMMYFUNCTION("""COMPUTED_VALUE"""),"INSPEKSI SUTM - T2_Images/23f0f0e4.FOTO.161252.jpg")</f>
        <v>INSPEKSI SUTM - T2_Images/23f0f0e4.FOTO.161252.jpg</v>
      </c>
      <c r="AD1221" s="4"/>
      <c r="AE1221" s="4"/>
      <c r="AF1221" s="4" t="str">
        <f>IFERROR(__xludf.DUMMYFUNCTION("""COMPUTED_VALUE"""),"BELUM")</f>
        <v>BELUM</v>
      </c>
      <c r="AG1221" s="6">
        <f>IFERROR(__xludf.DUMMYFUNCTION("""COMPUTED_VALUE"""),46140.0)</f>
        <v>46140</v>
      </c>
      <c r="AH1221" s="4"/>
      <c r="AI1221" s="4"/>
    </row>
    <row r="1222" ht="15.75" customHeight="1">
      <c r="A1222" s="4" t="str">
        <f>IFERROR(__xludf.DUMMYFUNCTION("""COMPUTED_VALUE"""),"2d0ffa28")</f>
        <v>2d0ffa28</v>
      </c>
      <c r="B1222" s="5">
        <f>IFERROR(__xludf.DUMMYFUNCTION("""COMPUTED_VALUE"""),46140.96471064815)</f>
        <v>46140.96471</v>
      </c>
      <c r="C1222" s="4" t="str">
        <f>IFERROR(__xludf.DUMMYFUNCTION("""COMPUTED_VALUE"""),"-6.957226, 107.643728")</f>
        <v>-6.957226, 107.643728</v>
      </c>
      <c r="D1222" s="4" t="str">
        <f>IFERROR(__xludf.DUMMYFUNCTION("""COMPUTED_VALUE"""),"Jihan kiki")</f>
        <v>Jihan kiki</v>
      </c>
      <c r="E1222" s="4" t="str">
        <f>IFERROR(__xludf.DUMMYFUNCTION("""COMPUTED_VALUE"""),"BANDUNG")</f>
        <v>BANDUNG</v>
      </c>
      <c r="F1222" s="4" t="str">
        <f>IFERROR(__xludf.DUMMYFUNCTION("""COMPUTED_VALUE"""),"CIJAWURA")</f>
        <v>CIJAWURA</v>
      </c>
      <c r="G1222" s="4" t="str">
        <f>IFERROR(__xludf.DUMMYFUNCTION("""COMPUTED_VALUE"""),"GIS KIARACONDONG")</f>
        <v>GIS KIARACONDONG</v>
      </c>
      <c r="H1222" s="4" t="str">
        <f>IFERROR(__xludf.DUMMYFUNCTION("""COMPUTED_VALUE"""),"KMO")</f>
        <v>KMO</v>
      </c>
      <c r="I1222" s="4" t="str">
        <f>IFERROR(__xludf.DUMMYFUNCTION("""COMPUTED_VALUE"""),"DS ATBA - REC.BMCA")</f>
        <v>DS ATBA - REC.BMCA</v>
      </c>
      <c r="J1222" s="4" t="str">
        <f>IFERROR(__xludf.DUMMYFUNCTION("""COMPUTED_VALUE"""),"ZONA 2")</f>
        <v>ZONA 2</v>
      </c>
      <c r="K1222" s="4" t="str">
        <f>IFERROR(__xludf.DUMMYFUNCTION("""COMPUTED_VALUE"""),"017")</f>
        <v>017</v>
      </c>
      <c r="L1222" s="4" t="str">
        <f>IFERROR(__xludf.DUMMYFUNCTION("""COMPUTED_VALUE"""),"TM - 8B/H (Percabangan)")</f>
        <v>TM - 8B/H (Percabangan)</v>
      </c>
      <c r="M1222" s="4" t="str">
        <f>IFERROR(__xludf.DUMMYFUNCTION("""COMPUTED_VALUE"""),"Tidak Ada")</f>
        <v>Tidak Ada</v>
      </c>
      <c r="N1222" s="4"/>
      <c r="O1222" s="4" t="str">
        <f>IFERROR(__xludf.DUMMYFUNCTION("""COMPUTED_VALUE"""),"PEMBANDING SEJENIS")</f>
        <v>PEMBANDING SEJENIS</v>
      </c>
      <c r="P1222" s="4" t="str">
        <f>IFERROR(__xludf.DUMMYFUNCTION("""COMPUTED_VALUE"""),"KONEKTOR/JUMPER")</f>
        <v>KONEKTOR/JUMPER</v>
      </c>
      <c r="Q1222" s="4">
        <f>IFERROR(__xludf.DUMMYFUNCTION("""COMPUTED_VALUE"""),23.0)</f>
        <v>23</v>
      </c>
      <c r="R1222" s="4">
        <f>IFERROR(__xludf.DUMMYFUNCTION("""COMPUTED_VALUE"""),22.0)</f>
        <v>22</v>
      </c>
      <c r="S1222" s="4">
        <f>IFERROR(__xludf.DUMMYFUNCTION("""COMPUTED_VALUE"""),25.0)</f>
        <v>25</v>
      </c>
      <c r="T1222" s="4"/>
      <c r="U1222" s="4" t="str">
        <f>IFERROR(__xludf.DUMMYFUNCTION("""COMPUTED_VALUE"""),"CUKUP")</f>
        <v>CUKUP</v>
      </c>
      <c r="V1222" s="4" t="str">
        <f>IFERROR(__xludf.DUMMYFUNCTION("""COMPUTED_VALUE"""),"Tidak Ada")</f>
        <v>Tidak Ada</v>
      </c>
      <c r="W1222" s="4"/>
      <c r="X1222" s="4"/>
      <c r="Y1222" s="4"/>
      <c r="Z1222" s="4"/>
      <c r="AA1222" s="4"/>
      <c r="AB1222" s="4"/>
      <c r="AC1222" s="4" t="str">
        <f>IFERROR(__xludf.DUMMYFUNCTION("""COMPUTED_VALUE"""),"INSPEKSI SUTM - T2_Images/2d0ffa28.FOTO.161303.jpg")</f>
        <v>INSPEKSI SUTM - T2_Images/2d0ffa28.FOTO.161303.jpg</v>
      </c>
      <c r="AD1222" s="4"/>
      <c r="AE1222" s="4"/>
      <c r="AF1222" s="4" t="str">
        <f>IFERROR(__xludf.DUMMYFUNCTION("""COMPUTED_VALUE"""),"BELUM")</f>
        <v>BELUM</v>
      </c>
      <c r="AG1222" s="6">
        <f>IFERROR(__xludf.DUMMYFUNCTION("""COMPUTED_VALUE"""),46140.0)</f>
        <v>46140</v>
      </c>
      <c r="AH1222" s="4"/>
      <c r="AI1222" s="4"/>
    </row>
    <row r="1223" ht="15.75" customHeight="1">
      <c r="A1223" s="4" t="str">
        <f>IFERROR(__xludf.DUMMYFUNCTION("""COMPUTED_VALUE"""),"4980cc4e")</f>
        <v>4980cc4e</v>
      </c>
      <c r="B1223" s="5">
        <f>IFERROR(__xludf.DUMMYFUNCTION("""COMPUTED_VALUE"""),46140.966828703706)</f>
        <v>46140.96683</v>
      </c>
      <c r="C1223" s="4" t="str">
        <f>IFERROR(__xludf.DUMMYFUNCTION("""COMPUTED_VALUE"""),"-6.899185, 107.645328")</f>
        <v>-6.899185, 107.645328</v>
      </c>
      <c r="D1223" s="4" t="str">
        <f>IFERROR(__xludf.DUMMYFUNCTION("""COMPUTED_VALUE"""),"Nugi firman")</f>
        <v>Nugi firman</v>
      </c>
      <c r="E1223" s="4" t="str">
        <f>IFERROR(__xludf.DUMMYFUNCTION("""COMPUTED_VALUE"""),"BANDUNG")</f>
        <v>BANDUNG</v>
      </c>
      <c r="F1223" s="4" t="str">
        <f>IFERROR(__xludf.DUMMYFUNCTION("""COMPUTED_VALUE"""),"BANDUNG SELATAN")</f>
        <v>BANDUNG SELATAN</v>
      </c>
      <c r="G1223" s="4" t="str">
        <f>IFERROR(__xludf.DUMMYFUNCTION("""COMPUTED_VALUE"""),"GI DAYEUHKOLOT")</f>
        <v>GI DAYEUHKOLOT</v>
      </c>
      <c r="H1223" s="4" t="str">
        <f>IFERROR(__xludf.DUMMYFUNCTION("""COMPUTED_VALUE"""),"DYPI")</f>
        <v>DYPI</v>
      </c>
      <c r="I1223" s="4" t="str">
        <f>IFERROR(__xludf.DUMMYFUNCTION("""COMPUTED_VALUE"""),"KP.PLI - LBS BJSF")</f>
        <v>KP.PLI - LBS BJSF</v>
      </c>
      <c r="J1223" s="4" t="str">
        <f>IFERROR(__xludf.DUMMYFUNCTION("""COMPUTED_VALUE"""),"ZONA 2")</f>
        <v>ZONA 2</v>
      </c>
      <c r="K1223" s="4" t="str">
        <f>IFERROR(__xludf.DUMMYFUNCTION("""COMPUTED_VALUE"""),"067")</f>
        <v>067</v>
      </c>
      <c r="L1223" s="4" t="str">
        <f>IFERROR(__xludf.DUMMYFUNCTION("""COMPUTED_VALUE"""),"TM - 13B/H (Kabel Naik Pada Tiang Tumpu)")</f>
        <v>TM - 13B/H (Kabel Naik Pada Tiang Tumpu)</v>
      </c>
      <c r="M1223" s="4" t="str">
        <f>IFERROR(__xludf.DUMMYFUNCTION("""COMPUTED_VALUE"""),"Tidak Ada")</f>
        <v>Tidak Ada</v>
      </c>
      <c r="N1223" s="4"/>
      <c r="O1223" s="4" t="str">
        <f>IFERROR(__xludf.DUMMYFUNCTION("""COMPUTED_VALUE"""),"PEMBANDING SEJENIS")</f>
        <v>PEMBANDING SEJENIS</v>
      </c>
      <c r="P1223" s="4" t="str">
        <f>IFERROR(__xludf.DUMMYFUNCTION("""COMPUTED_VALUE"""),"TERMINASI")</f>
        <v>TERMINASI</v>
      </c>
      <c r="Q1223" s="4">
        <f>IFERROR(__xludf.DUMMYFUNCTION("""COMPUTED_VALUE"""),26.0)</f>
        <v>26</v>
      </c>
      <c r="R1223" s="4">
        <f>IFERROR(__xludf.DUMMYFUNCTION("""COMPUTED_VALUE"""),26.0)</f>
        <v>26</v>
      </c>
      <c r="S1223" s="4">
        <f>IFERROR(__xludf.DUMMYFUNCTION("""COMPUTED_VALUE"""),26.0)</f>
        <v>26</v>
      </c>
      <c r="T1223" s="4"/>
      <c r="U1223" s="4" t="str">
        <f>IFERROR(__xludf.DUMMYFUNCTION("""COMPUTED_VALUE"""),"BAIK")</f>
        <v>BAIK</v>
      </c>
      <c r="V1223" s="4" t="str">
        <f>IFERROR(__xludf.DUMMYFUNCTION("""COMPUTED_VALUE"""),"Tidak Ada")</f>
        <v>Tidak Ada</v>
      </c>
      <c r="W1223" s="4"/>
      <c r="X1223" s="4"/>
      <c r="Y1223" s="4"/>
      <c r="Z1223" s="4"/>
      <c r="AA1223" s="4"/>
      <c r="AB1223" s="4"/>
      <c r="AC1223" s="4" t="str">
        <f>IFERROR(__xludf.DUMMYFUNCTION("""COMPUTED_VALUE"""),"INSPEKSI SUTM - T2_Images/4980cc4e.FOTO.161303.jpg")</f>
        <v>INSPEKSI SUTM - T2_Images/4980cc4e.FOTO.161303.jpg</v>
      </c>
      <c r="AD1223" s="4"/>
      <c r="AE1223" s="4"/>
      <c r="AF1223" s="4" t="str">
        <f>IFERROR(__xludf.DUMMYFUNCTION("""COMPUTED_VALUE"""),"BELUM")</f>
        <v>BELUM</v>
      </c>
      <c r="AG1223" s="6">
        <f>IFERROR(__xludf.DUMMYFUNCTION("""COMPUTED_VALUE"""),46140.0)</f>
        <v>46140</v>
      </c>
      <c r="AH1223" s="4"/>
      <c r="AI1223" s="4"/>
    </row>
    <row r="1224" ht="15.75" customHeight="1">
      <c r="A1224" s="4" t="str">
        <f>IFERROR(__xludf.DUMMYFUNCTION("""COMPUTED_VALUE"""),"9d8a9cbf")</f>
        <v>9d8a9cbf</v>
      </c>
      <c r="B1224" s="5">
        <f>IFERROR(__xludf.DUMMYFUNCTION("""COMPUTED_VALUE"""),46140.96525462963)</f>
        <v>46140.96525</v>
      </c>
      <c r="C1224" s="4" t="str">
        <f>IFERROR(__xludf.DUMMYFUNCTION("""COMPUTED_VALUE"""),"-6.958522, 107.643765")</f>
        <v>-6.958522, 107.643765</v>
      </c>
      <c r="D1224" s="4" t="str">
        <f>IFERROR(__xludf.DUMMYFUNCTION("""COMPUTED_VALUE"""),"Jihan kiki")</f>
        <v>Jihan kiki</v>
      </c>
      <c r="E1224" s="4" t="str">
        <f>IFERROR(__xludf.DUMMYFUNCTION("""COMPUTED_VALUE"""),"BANDUNG")</f>
        <v>BANDUNG</v>
      </c>
      <c r="F1224" s="4" t="str">
        <f>IFERROR(__xludf.DUMMYFUNCTION("""COMPUTED_VALUE"""),"CIJAWURA")</f>
        <v>CIJAWURA</v>
      </c>
      <c r="G1224" s="4" t="str">
        <f>IFERROR(__xludf.DUMMYFUNCTION("""COMPUTED_VALUE"""),"GIS KIARACONDONG")</f>
        <v>GIS KIARACONDONG</v>
      </c>
      <c r="H1224" s="4" t="str">
        <f>IFERROR(__xludf.DUMMYFUNCTION("""COMPUTED_VALUE"""),"KMO")</f>
        <v>KMO</v>
      </c>
      <c r="I1224" s="4" t="str">
        <f>IFERROR(__xludf.DUMMYFUNCTION("""COMPUTED_VALUE"""),"DS ATBA - REC.BMCA")</f>
        <v>DS ATBA - REC.BMCA</v>
      </c>
      <c r="J1224" s="4" t="str">
        <f>IFERROR(__xludf.DUMMYFUNCTION("""COMPUTED_VALUE"""),"ZONA 2")</f>
        <v>ZONA 2</v>
      </c>
      <c r="K1224" s="4" t="str">
        <f>IFERROR(__xludf.DUMMYFUNCTION("""COMPUTED_VALUE"""),"021")</f>
        <v>021</v>
      </c>
      <c r="L1224" s="4" t="str">
        <f>IFERROR(__xludf.DUMMYFUNCTION("""COMPUTED_VALUE"""),"TM - 7B/H (Afspan 90 Derajat)")</f>
        <v>TM - 7B/H (Afspan 90 Derajat)</v>
      </c>
      <c r="M1224" s="4" t="str">
        <f>IFERROR(__xludf.DUMMYFUNCTION("""COMPUTED_VALUE"""),"Tidak Ada")</f>
        <v>Tidak Ada</v>
      </c>
      <c r="N1224" s="4"/>
      <c r="O1224" s="4" t="str">
        <f>IFERROR(__xludf.DUMMYFUNCTION("""COMPUTED_VALUE"""),"PEMBANDING SEJENIS")</f>
        <v>PEMBANDING SEJENIS</v>
      </c>
      <c r="P1224" s="4" t="str">
        <f>IFERROR(__xludf.DUMMYFUNCTION("""COMPUTED_VALUE"""),"KONEKTOR/JUMPER")</f>
        <v>KONEKTOR/JUMPER</v>
      </c>
      <c r="Q1224" s="4">
        <f>IFERROR(__xludf.DUMMYFUNCTION("""COMPUTED_VALUE"""),21.0)</f>
        <v>21</v>
      </c>
      <c r="R1224" s="4">
        <f>IFERROR(__xludf.DUMMYFUNCTION("""COMPUTED_VALUE"""),23.0)</f>
        <v>23</v>
      </c>
      <c r="S1224" s="4">
        <f>IFERROR(__xludf.DUMMYFUNCTION("""COMPUTED_VALUE"""),22.0)</f>
        <v>22</v>
      </c>
      <c r="T1224" s="4"/>
      <c r="U1224" s="4" t="str">
        <f>IFERROR(__xludf.DUMMYFUNCTION("""COMPUTED_VALUE"""),"BAIK")</f>
        <v>BAIK</v>
      </c>
      <c r="V1224" s="4" t="str">
        <f>IFERROR(__xludf.DUMMYFUNCTION("""COMPUTED_VALUE"""),"Tidak Ada")</f>
        <v>Tidak Ada</v>
      </c>
      <c r="W1224" s="4"/>
      <c r="X1224" s="4"/>
      <c r="Y1224" s="4"/>
      <c r="Z1224" s="4"/>
      <c r="AA1224" s="4"/>
      <c r="AB1224" s="4"/>
      <c r="AC1224" s="4" t="str">
        <f>IFERROR(__xludf.DUMMYFUNCTION("""COMPUTED_VALUE"""),"INSPEKSI SUTM - T2_Images/9d8a9cbf.FOTO.161307.jpg")</f>
        <v>INSPEKSI SUTM - T2_Images/9d8a9cbf.FOTO.161307.jpg</v>
      </c>
      <c r="AD1224" s="4"/>
      <c r="AE1224" s="4"/>
      <c r="AF1224" s="4" t="str">
        <f>IFERROR(__xludf.DUMMYFUNCTION("""COMPUTED_VALUE"""),"BELUM")</f>
        <v>BELUM</v>
      </c>
      <c r="AG1224" s="6">
        <f>IFERROR(__xludf.DUMMYFUNCTION("""COMPUTED_VALUE"""),46140.0)</f>
        <v>46140</v>
      </c>
      <c r="AH1224" s="4"/>
      <c r="AI1224" s="4"/>
    </row>
    <row r="1225" ht="15.75" customHeight="1">
      <c r="A1225" s="4" t="str">
        <f>IFERROR(__xludf.DUMMYFUNCTION("""COMPUTED_VALUE"""),"ef8a1725")</f>
        <v>ef8a1725</v>
      </c>
      <c r="B1225" s="5">
        <f>IFERROR(__xludf.DUMMYFUNCTION("""COMPUTED_VALUE"""),46140.96585648148)</f>
        <v>46140.96586</v>
      </c>
      <c r="C1225" s="4" t="str">
        <f>IFERROR(__xludf.DUMMYFUNCTION("""COMPUTED_VALUE"""),"-6.958671, 107.644085")</f>
        <v>-6.958671, 107.644085</v>
      </c>
      <c r="D1225" s="4" t="str">
        <f>IFERROR(__xludf.DUMMYFUNCTION("""COMPUTED_VALUE"""),"Jihan kiki")</f>
        <v>Jihan kiki</v>
      </c>
      <c r="E1225" s="4" t="str">
        <f>IFERROR(__xludf.DUMMYFUNCTION("""COMPUTED_VALUE"""),"BANDUNG")</f>
        <v>BANDUNG</v>
      </c>
      <c r="F1225" s="4" t="str">
        <f>IFERROR(__xludf.DUMMYFUNCTION("""COMPUTED_VALUE"""),"CIJAWURA")</f>
        <v>CIJAWURA</v>
      </c>
      <c r="G1225" s="4" t="str">
        <f>IFERROR(__xludf.DUMMYFUNCTION("""COMPUTED_VALUE"""),"GIS KIARACONDONG")</f>
        <v>GIS KIARACONDONG</v>
      </c>
      <c r="H1225" s="4" t="str">
        <f>IFERROR(__xludf.DUMMYFUNCTION("""COMPUTED_VALUE"""),"KMO")</f>
        <v>KMO</v>
      </c>
      <c r="I1225" s="4" t="str">
        <f>IFERROR(__xludf.DUMMYFUNCTION("""COMPUTED_VALUE"""),"DS ATBA - REC.BMCA")</f>
        <v>DS ATBA - REC.BMCA</v>
      </c>
      <c r="J1225" s="4" t="str">
        <f>IFERROR(__xludf.DUMMYFUNCTION("""COMPUTED_VALUE"""),"ZONA 2")</f>
        <v>ZONA 2</v>
      </c>
      <c r="K1225" s="4" t="str">
        <f>IFERROR(__xludf.DUMMYFUNCTION("""COMPUTED_VALUE"""),"022")</f>
        <v>022</v>
      </c>
      <c r="L1225" s="4" t="str">
        <f>IFERROR(__xludf.DUMMYFUNCTION("""COMPUTED_VALUE"""),"TM - 7B/H (Afspan 90 Derajat)")</f>
        <v>TM - 7B/H (Afspan 90 Derajat)</v>
      </c>
      <c r="M1225" s="4" t="str">
        <f>IFERROR(__xludf.DUMMYFUNCTION("""COMPUTED_VALUE"""),"Tidak Ada")</f>
        <v>Tidak Ada</v>
      </c>
      <c r="N1225" s="4"/>
      <c r="O1225" s="4" t="str">
        <f>IFERROR(__xludf.DUMMYFUNCTION("""COMPUTED_VALUE"""),"PEMBANDING SEJENIS")</f>
        <v>PEMBANDING SEJENIS</v>
      </c>
      <c r="P1225" s="4" t="str">
        <f>IFERROR(__xludf.DUMMYFUNCTION("""COMPUTED_VALUE"""),"KONEKTOR/JUMPER")</f>
        <v>KONEKTOR/JUMPER</v>
      </c>
      <c r="Q1225" s="4">
        <f>IFERROR(__xludf.DUMMYFUNCTION("""COMPUTED_VALUE"""),24.0)</f>
        <v>24</v>
      </c>
      <c r="R1225" s="4">
        <f>IFERROR(__xludf.DUMMYFUNCTION("""COMPUTED_VALUE"""),24.0)</f>
        <v>24</v>
      </c>
      <c r="S1225" s="4">
        <f>IFERROR(__xludf.DUMMYFUNCTION("""COMPUTED_VALUE"""),23.0)</f>
        <v>23</v>
      </c>
      <c r="T1225" s="4"/>
      <c r="U1225" s="4" t="str">
        <f>IFERROR(__xludf.DUMMYFUNCTION("""COMPUTED_VALUE"""),"BAIK")</f>
        <v>BAIK</v>
      </c>
      <c r="V1225" s="4" t="str">
        <f>IFERROR(__xludf.DUMMYFUNCTION("""COMPUTED_VALUE"""),"Tidak Ada")</f>
        <v>Tidak Ada</v>
      </c>
      <c r="W1225" s="4"/>
      <c r="X1225" s="4"/>
      <c r="Y1225" s="4"/>
      <c r="Z1225" s="4"/>
      <c r="AA1225" s="4"/>
      <c r="AB1225" s="4"/>
      <c r="AC1225" s="4" t="str">
        <f>IFERROR(__xludf.DUMMYFUNCTION("""COMPUTED_VALUE"""),"INSPEKSI SUTM - T2_Images/ef8a1725.FOTO.161312.jpg")</f>
        <v>INSPEKSI SUTM - T2_Images/ef8a1725.FOTO.161312.jpg</v>
      </c>
      <c r="AD1225" s="4"/>
      <c r="AE1225" s="4"/>
      <c r="AF1225" s="4" t="str">
        <f>IFERROR(__xludf.DUMMYFUNCTION("""COMPUTED_VALUE"""),"BELUM")</f>
        <v>BELUM</v>
      </c>
      <c r="AG1225" s="6">
        <f>IFERROR(__xludf.DUMMYFUNCTION("""COMPUTED_VALUE"""),46140.0)</f>
        <v>46140</v>
      </c>
      <c r="AH1225" s="4"/>
      <c r="AI1225" s="4"/>
    </row>
    <row r="1226" ht="15.75" customHeight="1">
      <c r="A1226" s="4" t="str">
        <f>IFERROR(__xludf.DUMMYFUNCTION("""COMPUTED_VALUE"""),"a11caad5")</f>
        <v>a11caad5</v>
      </c>
      <c r="B1226" s="5">
        <f>IFERROR(__xludf.DUMMYFUNCTION("""COMPUTED_VALUE"""),46140.96640046296)</f>
        <v>46140.9664</v>
      </c>
      <c r="C1226" s="4" t="str">
        <f>IFERROR(__xludf.DUMMYFUNCTION("""COMPUTED_VALUE"""),"-6.959499, 107.644086")</f>
        <v>-6.959499, 107.644086</v>
      </c>
      <c r="D1226" s="4" t="str">
        <f>IFERROR(__xludf.DUMMYFUNCTION("""COMPUTED_VALUE"""),"Jihan kiki")</f>
        <v>Jihan kiki</v>
      </c>
      <c r="E1226" s="4" t="str">
        <f>IFERROR(__xludf.DUMMYFUNCTION("""COMPUTED_VALUE"""),"BANDUNG")</f>
        <v>BANDUNG</v>
      </c>
      <c r="F1226" s="4" t="str">
        <f>IFERROR(__xludf.DUMMYFUNCTION("""COMPUTED_VALUE"""),"CIJAWURA")</f>
        <v>CIJAWURA</v>
      </c>
      <c r="G1226" s="4" t="str">
        <f>IFERROR(__xludf.DUMMYFUNCTION("""COMPUTED_VALUE"""),"GIS KIARACONDONG")</f>
        <v>GIS KIARACONDONG</v>
      </c>
      <c r="H1226" s="4" t="str">
        <f>IFERROR(__xludf.DUMMYFUNCTION("""COMPUTED_VALUE"""),"KMO")</f>
        <v>KMO</v>
      </c>
      <c r="I1226" s="4" t="str">
        <f>IFERROR(__xludf.DUMMYFUNCTION("""COMPUTED_VALUE"""),"DS ATBA - REC.BMCA")</f>
        <v>DS ATBA - REC.BMCA</v>
      </c>
      <c r="J1226" s="4" t="str">
        <f>IFERROR(__xludf.DUMMYFUNCTION("""COMPUTED_VALUE"""),"ZONA 2")</f>
        <v>ZONA 2</v>
      </c>
      <c r="K1226" s="4" t="str">
        <f>IFERROR(__xludf.DUMMYFUNCTION("""COMPUTED_VALUE"""),"024")</f>
        <v>024</v>
      </c>
      <c r="L1226" s="4" t="str">
        <f>IFERROR(__xludf.DUMMYFUNCTION("""COMPUTED_VALUE"""),"TM - 16B/H (REC/SSO/LBS)")</f>
        <v>TM - 16B/H (REC/SSO/LBS)</v>
      </c>
      <c r="M1226" s="4" t="str">
        <f>IFERROR(__xludf.DUMMYFUNCTION("""COMPUTED_VALUE"""),"REC")</f>
        <v>REC</v>
      </c>
      <c r="N1226" s="4" t="str">
        <f>IFERROR(__xludf.DUMMYFUNCTION("""COMPUTED_VALUE"""),"BMCA")</f>
        <v>BMCA</v>
      </c>
      <c r="O1226" s="4" t="str">
        <f>IFERROR(__xludf.DUMMYFUNCTION("""COMPUTED_VALUE"""),"PEMBANDING SEJENIS")</f>
        <v>PEMBANDING SEJENIS</v>
      </c>
      <c r="P1226" s="4" t="str">
        <f>IFERROR(__xludf.DUMMYFUNCTION("""COMPUTED_VALUE"""),"TERMINAL BUSHING")</f>
        <v>TERMINAL BUSHING</v>
      </c>
      <c r="Q1226" s="4">
        <f>IFERROR(__xludf.DUMMYFUNCTION("""COMPUTED_VALUE"""),66.0)</f>
        <v>66</v>
      </c>
      <c r="R1226" s="4">
        <f>IFERROR(__xludf.DUMMYFUNCTION("""COMPUTED_VALUE"""),39.0)</f>
        <v>39</v>
      </c>
      <c r="S1226" s="4">
        <f>IFERROR(__xludf.DUMMYFUNCTION("""COMPUTED_VALUE"""),79.0)</f>
        <v>79</v>
      </c>
      <c r="T1226" s="4"/>
      <c r="U1226" s="4" t="str">
        <f>IFERROR(__xludf.DUMMYFUNCTION("""COMPUTED_VALUE"""),"BURUK")</f>
        <v>BURUK</v>
      </c>
      <c r="V1226" s="4" t="str">
        <f>IFERROR(__xludf.DUMMYFUNCTION("""COMPUTED_VALUE"""),"Tidak Ada")</f>
        <v>Tidak Ada</v>
      </c>
      <c r="W1226" s="4"/>
      <c r="X1226" s="4"/>
      <c r="Y1226" s="4"/>
      <c r="Z1226" s="4"/>
      <c r="AA1226" s="4"/>
      <c r="AB1226" s="4"/>
      <c r="AC1226" s="4" t="str">
        <f>IFERROR(__xludf.DUMMYFUNCTION("""COMPUTED_VALUE"""),"INSPEKSI SUTM - T2_Images/a11caad5.FOTO.161318.jpg")</f>
        <v>INSPEKSI SUTM - T2_Images/a11caad5.FOTO.161318.jpg</v>
      </c>
      <c r="AD1226" s="4"/>
      <c r="AE1226" s="4"/>
      <c r="AF1226" s="4" t="str">
        <f>IFERROR(__xludf.DUMMYFUNCTION("""COMPUTED_VALUE"""),"BELUM")</f>
        <v>BELUM</v>
      </c>
      <c r="AG1226" s="6">
        <f>IFERROR(__xludf.DUMMYFUNCTION("""COMPUTED_VALUE"""),46140.0)</f>
        <v>46140</v>
      </c>
      <c r="AH1226" s="4"/>
      <c r="AI1226" s="4"/>
    </row>
    <row r="1227" ht="15.75" customHeight="1">
      <c r="A1227" s="4" t="str">
        <f>IFERROR(__xludf.DUMMYFUNCTION("""COMPUTED_VALUE"""),"2a8cdb17")</f>
        <v>2a8cdb17</v>
      </c>
      <c r="B1227" s="5">
        <f>IFERROR(__xludf.DUMMYFUNCTION("""COMPUTED_VALUE"""),46140.96739583334)</f>
        <v>46140.9674</v>
      </c>
      <c r="C1227" s="4" t="str">
        <f>IFERROR(__xludf.DUMMYFUNCTION("""COMPUTED_VALUE"""),"-6.960993, 107.644169")</f>
        <v>-6.960993, 107.644169</v>
      </c>
      <c r="D1227" s="4" t="str">
        <f>IFERROR(__xludf.DUMMYFUNCTION("""COMPUTED_VALUE"""),"Jihan kiki")</f>
        <v>Jihan kiki</v>
      </c>
      <c r="E1227" s="4" t="str">
        <f>IFERROR(__xludf.DUMMYFUNCTION("""COMPUTED_VALUE"""),"BANDUNG")</f>
        <v>BANDUNG</v>
      </c>
      <c r="F1227" s="4" t="str">
        <f>IFERROR(__xludf.DUMMYFUNCTION("""COMPUTED_VALUE"""),"CIJAWURA")</f>
        <v>CIJAWURA</v>
      </c>
      <c r="G1227" s="4" t="str">
        <f>IFERROR(__xludf.DUMMYFUNCTION("""COMPUTED_VALUE"""),"GIS KIARACONDONG")</f>
        <v>GIS KIARACONDONG</v>
      </c>
      <c r="H1227" s="4" t="str">
        <f>IFERROR(__xludf.DUMMYFUNCTION("""COMPUTED_VALUE"""),"KMO")</f>
        <v>KMO</v>
      </c>
      <c r="I1227" s="4" t="str">
        <f>IFERROR(__xludf.DUMMYFUNCTION("""COMPUTED_VALUE"""),"REC. BMCA - LBS YKE")</f>
        <v>REC. BMCA - LBS YKE</v>
      </c>
      <c r="J1227" s="4" t="str">
        <f>IFERROR(__xludf.DUMMYFUNCTION("""COMPUTED_VALUE"""),"ZONA 3")</f>
        <v>ZONA 3</v>
      </c>
      <c r="K1227" s="4" t="str">
        <f>IFERROR(__xludf.DUMMYFUNCTION("""COMPUTED_VALUE"""),"028")</f>
        <v>028</v>
      </c>
      <c r="L1227" s="4" t="str">
        <f>IFERROR(__xludf.DUMMYFUNCTION("""COMPUTED_VALUE"""),"TM - 4B/H (Afspan)")</f>
        <v>TM - 4B/H (Afspan)</v>
      </c>
      <c r="M1227" s="4" t="str">
        <f>IFERROR(__xludf.DUMMYFUNCTION("""COMPUTED_VALUE"""),"Tidak Ada")</f>
        <v>Tidak Ada</v>
      </c>
      <c r="N1227" s="4"/>
      <c r="O1227" s="4" t="str">
        <f>IFERROR(__xludf.DUMMYFUNCTION("""COMPUTED_VALUE"""),"PEMBANDING SEJENIS")</f>
        <v>PEMBANDING SEJENIS</v>
      </c>
      <c r="P1227" s="4" t="str">
        <f>IFERROR(__xludf.DUMMYFUNCTION("""COMPUTED_VALUE"""),"KONEKTOR/JUMPER")</f>
        <v>KONEKTOR/JUMPER</v>
      </c>
      <c r="Q1227" s="4">
        <f>IFERROR(__xludf.DUMMYFUNCTION("""COMPUTED_VALUE"""),24.0)</f>
        <v>24</v>
      </c>
      <c r="R1227" s="4">
        <f>IFERROR(__xludf.DUMMYFUNCTION("""COMPUTED_VALUE"""),23.0)</f>
        <v>23</v>
      </c>
      <c r="S1227" s="4">
        <f>IFERROR(__xludf.DUMMYFUNCTION("""COMPUTED_VALUE"""),23.0)</f>
        <v>23</v>
      </c>
      <c r="T1227" s="4"/>
      <c r="U1227" s="4" t="str">
        <f>IFERROR(__xludf.DUMMYFUNCTION("""COMPUTED_VALUE"""),"BAIK")</f>
        <v>BAIK</v>
      </c>
      <c r="V1227" s="4" t="str">
        <f>IFERROR(__xludf.DUMMYFUNCTION("""COMPUTED_VALUE"""),"Tidak Ada")</f>
        <v>Tidak Ada</v>
      </c>
      <c r="W1227" s="4"/>
      <c r="X1227" s="4"/>
      <c r="Y1227" s="4"/>
      <c r="Z1227" s="4"/>
      <c r="AA1227" s="4"/>
      <c r="AB1227" s="4"/>
      <c r="AC1227" s="4" t="str">
        <f>IFERROR(__xludf.DUMMYFUNCTION("""COMPUTED_VALUE"""),"INSPEKSI SUTM - T2_Images/2a8cdb17.FOTO.161343.jpg")</f>
        <v>INSPEKSI SUTM - T2_Images/2a8cdb17.FOTO.161343.jpg</v>
      </c>
      <c r="AD1227" s="4"/>
      <c r="AE1227" s="4"/>
      <c r="AF1227" s="4" t="str">
        <f>IFERROR(__xludf.DUMMYFUNCTION("""COMPUTED_VALUE"""),"BELUM")</f>
        <v>BELUM</v>
      </c>
      <c r="AG1227" s="6">
        <f>IFERROR(__xludf.DUMMYFUNCTION("""COMPUTED_VALUE"""),46140.0)</f>
        <v>46140</v>
      </c>
      <c r="AH1227" s="4"/>
      <c r="AI1227" s="4"/>
    </row>
    <row r="1228" ht="15.75" customHeight="1">
      <c r="A1228" s="4" t="str">
        <f>IFERROR(__xludf.DUMMYFUNCTION("""COMPUTED_VALUE"""),"f715997d")</f>
        <v>f715997d</v>
      </c>
      <c r="B1228" s="5">
        <f>IFERROR(__xludf.DUMMYFUNCTION("""COMPUTED_VALUE"""),46140.96759259259)</f>
        <v>46140.96759</v>
      </c>
      <c r="C1228" s="4" t="str">
        <f>IFERROR(__xludf.DUMMYFUNCTION("""COMPUTED_VALUE"""),"-6.899162, 107.645295")</f>
        <v>-6.899162, 107.645295</v>
      </c>
      <c r="D1228" s="4" t="str">
        <f>IFERROR(__xludf.DUMMYFUNCTION("""COMPUTED_VALUE"""),"Nugi firman")</f>
        <v>Nugi firman</v>
      </c>
      <c r="E1228" s="4" t="str">
        <f>IFERROR(__xludf.DUMMYFUNCTION("""COMPUTED_VALUE"""),"BANDUNG")</f>
        <v>BANDUNG</v>
      </c>
      <c r="F1228" s="4" t="str">
        <f>IFERROR(__xludf.DUMMYFUNCTION("""COMPUTED_VALUE"""),"BANDUNG SELATAN")</f>
        <v>BANDUNG SELATAN</v>
      </c>
      <c r="G1228" s="4" t="str">
        <f>IFERROR(__xludf.DUMMYFUNCTION("""COMPUTED_VALUE"""),"GI DAYEUHKOLOT")</f>
        <v>GI DAYEUHKOLOT</v>
      </c>
      <c r="H1228" s="4" t="str">
        <f>IFERROR(__xludf.DUMMYFUNCTION("""COMPUTED_VALUE"""),"DYPI")</f>
        <v>DYPI</v>
      </c>
      <c r="I1228" s="4" t="str">
        <f>IFERROR(__xludf.DUMMYFUNCTION("""COMPUTED_VALUE"""),"LBS BJSF - LBS BJS")</f>
        <v>LBS BJSF - LBS BJS</v>
      </c>
      <c r="J1228" s="4" t="str">
        <f>IFERROR(__xludf.DUMMYFUNCTION("""COMPUTED_VALUE"""),"ZONA 2")</f>
        <v>ZONA 2</v>
      </c>
      <c r="K1228" s="4" t="str">
        <f>IFERROR(__xludf.DUMMYFUNCTION("""COMPUTED_VALUE"""),"068")</f>
        <v>068</v>
      </c>
      <c r="L1228" s="4" t="str">
        <f>IFERROR(__xludf.DUMMYFUNCTION("""COMPUTED_VALUE"""),"TM - 16B/H (REC/SSO/LBS)")</f>
        <v>TM - 16B/H (REC/SSO/LBS)</v>
      </c>
      <c r="M1228" s="4" t="str">
        <f>IFERROR(__xludf.DUMMYFUNCTION("""COMPUTED_VALUE"""),"LBS")</f>
        <v>LBS</v>
      </c>
      <c r="N1228" s="4" t="str">
        <f>IFERROR(__xludf.DUMMYFUNCTION("""COMPUTED_VALUE"""),"Bjsf")</f>
        <v>Bjsf</v>
      </c>
      <c r="O1228" s="4" t="str">
        <f>IFERROR(__xludf.DUMMYFUNCTION("""COMPUTED_VALUE"""),"PEMBANDING SEJENIS")</f>
        <v>PEMBANDING SEJENIS</v>
      </c>
      <c r="P1228" s="4" t="str">
        <f>IFERROR(__xludf.DUMMYFUNCTION("""COMPUTED_VALUE"""),"TERMINAL BUSHING")</f>
        <v>TERMINAL BUSHING</v>
      </c>
      <c r="Q1228" s="4">
        <f>IFERROR(__xludf.DUMMYFUNCTION("""COMPUTED_VALUE"""),26.0)</f>
        <v>26</v>
      </c>
      <c r="R1228" s="4">
        <f>IFERROR(__xludf.DUMMYFUNCTION("""COMPUTED_VALUE"""),26.0)</f>
        <v>26</v>
      </c>
      <c r="S1228" s="4">
        <f>IFERROR(__xludf.DUMMYFUNCTION("""COMPUTED_VALUE"""),26.0)</f>
        <v>26</v>
      </c>
      <c r="T1228" s="4"/>
      <c r="U1228" s="4" t="str">
        <f>IFERROR(__xludf.DUMMYFUNCTION("""COMPUTED_VALUE"""),"BAIK")</f>
        <v>BAIK</v>
      </c>
      <c r="V1228" s="4" t="str">
        <f>IFERROR(__xludf.DUMMYFUNCTION("""COMPUTED_VALUE"""),"Tidak Ada")</f>
        <v>Tidak Ada</v>
      </c>
      <c r="W1228" s="4"/>
      <c r="X1228" s="4"/>
      <c r="Y1228" s="4"/>
      <c r="Z1228" s="4"/>
      <c r="AA1228" s="4"/>
      <c r="AB1228" s="4"/>
      <c r="AC1228" s="4" t="str">
        <f>IFERROR(__xludf.DUMMYFUNCTION("""COMPUTED_VALUE"""),"INSPEKSI SUTM - T2_Images/f715997d.FOTO.161425.jpg")</f>
        <v>INSPEKSI SUTM - T2_Images/f715997d.FOTO.161425.jpg</v>
      </c>
      <c r="AD1228" s="4"/>
      <c r="AE1228" s="4"/>
      <c r="AF1228" s="4" t="str">
        <f>IFERROR(__xludf.DUMMYFUNCTION("""COMPUTED_VALUE"""),"BELUM")</f>
        <v>BELUM</v>
      </c>
      <c r="AG1228" s="6">
        <f>IFERROR(__xludf.DUMMYFUNCTION("""COMPUTED_VALUE"""),46140.0)</f>
        <v>46140</v>
      </c>
      <c r="AH1228" s="4"/>
      <c r="AI1228" s="4"/>
    </row>
    <row r="1229" ht="15.75" customHeight="1">
      <c r="A1229" s="4" t="str">
        <f>IFERROR(__xludf.DUMMYFUNCTION("""COMPUTED_VALUE"""),"81e7550b")</f>
        <v>81e7550b</v>
      </c>
      <c r="B1229" s="5">
        <f>IFERROR(__xludf.DUMMYFUNCTION("""COMPUTED_VALUE"""),46140.968136574076)</f>
        <v>46140.96814</v>
      </c>
      <c r="C1229" s="4" t="str">
        <f>IFERROR(__xludf.DUMMYFUNCTION("""COMPUTED_VALUE"""),"-6.961107, 107.644517")</f>
        <v>-6.961107, 107.644517</v>
      </c>
      <c r="D1229" s="4" t="str">
        <f>IFERROR(__xludf.DUMMYFUNCTION("""COMPUTED_VALUE"""),"Jihan kiki")</f>
        <v>Jihan kiki</v>
      </c>
      <c r="E1229" s="4" t="str">
        <f>IFERROR(__xludf.DUMMYFUNCTION("""COMPUTED_VALUE"""),"BANDUNG")</f>
        <v>BANDUNG</v>
      </c>
      <c r="F1229" s="4" t="str">
        <f>IFERROR(__xludf.DUMMYFUNCTION("""COMPUTED_VALUE"""),"CIJAWURA")</f>
        <v>CIJAWURA</v>
      </c>
      <c r="G1229" s="4" t="str">
        <f>IFERROR(__xludf.DUMMYFUNCTION("""COMPUTED_VALUE"""),"GIS KIARACONDONG")</f>
        <v>GIS KIARACONDONG</v>
      </c>
      <c r="H1229" s="4" t="str">
        <f>IFERROR(__xludf.DUMMYFUNCTION("""COMPUTED_VALUE"""),"KMO")</f>
        <v>KMO</v>
      </c>
      <c r="I1229" s="4" t="str">
        <f>IFERROR(__xludf.DUMMYFUNCTION("""COMPUTED_VALUE"""),"REC. BMCA - LBS YKE")</f>
        <v>REC. BMCA - LBS YKE</v>
      </c>
      <c r="J1229" s="4" t="str">
        <f>IFERROR(__xludf.DUMMYFUNCTION("""COMPUTED_VALUE"""),"ZONA 3")</f>
        <v>ZONA 3</v>
      </c>
      <c r="K1229" s="4" t="str">
        <f>IFERROR(__xludf.DUMMYFUNCTION("""COMPUTED_VALUE"""),"029")</f>
        <v>029</v>
      </c>
      <c r="L1229" s="4" t="str">
        <f>IFERROR(__xludf.DUMMYFUNCTION("""COMPUTED_VALUE"""),"TM - 7B/H (Afspan 90 Derajat)")</f>
        <v>TM - 7B/H (Afspan 90 Derajat)</v>
      </c>
      <c r="M1229" s="4" t="str">
        <f>IFERROR(__xludf.DUMMYFUNCTION("""COMPUTED_VALUE"""),"Tidak Ada")</f>
        <v>Tidak Ada</v>
      </c>
      <c r="N1229" s="4"/>
      <c r="O1229" s="4" t="str">
        <f>IFERROR(__xludf.DUMMYFUNCTION("""COMPUTED_VALUE"""),"PEMBANDING SEJENIS")</f>
        <v>PEMBANDING SEJENIS</v>
      </c>
      <c r="P1229" s="4" t="str">
        <f>IFERROR(__xludf.DUMMYFUNCTION("""COMPUTED_VALUE"""),"KONEKTOR/JUMPER")</f>
        <v>KONEKTOR/JUMPER</v>
      </c>
      <c r="Q1229" s="4">
        <f>IFERROR(__xludf.DUMMYFUNCTION("""COMPUTED_VALUE"""),23.0)</f>
        <v>23</v>
      </c>
      <c r="R1229" s="4">
        <f>IFERROR(__xludf.DUMMYFUNCTION("""COMPUTED_VALUE"""),24.0)</f>
        <v>24</v>
      </c>
      <c r="S1229" s="4">
        <f>IFERROR(__xludf.DUMMYFUNCTION("""COMPUTED_VALUE"""),21.0)</f>
        <v>21</v>
      </c>
      <c r="T1229" s="4"/>
      <c r="U1229" s="4" t="str">
        <f>IFERROR(__xludf.DUMMYFUNCTION("""COMPUTED_VALUE"""),"CUKUP")</f>
        <v>CUKUP</v>
      </c>
      <c r="V1229" s="4" t="str">
        <f>IFERROR(__xludf.DUMMYFUNCTION("""COMPUTED_VALUE"""),"Tidak Ada")</f>
        <v>Tidak Ada</v>
      </c>
      <c r="W1229" s="4"/>
      <c r="X1229" s="4"/>
      <c r="Y1229" s="4"/>
      <c r="Z1229" s="4"/>
      <c r="AA1229" s="4"/>
      <c r="AB1229" s="4"/>
      <c r="AC1229" s="4" t="str">
        <f>IFERROR(__xludf.DUMMYFUNCTION("""COMPUTED_VALUE"""),"INSPEKSI SUTM - T2_Images/81e7550b.FOTO.161452.jpg")</f>
        <v>INSPEKSI SUTM - T2_Images/81e7550b.FOTO.161452.jpg</v>
      </c>
      <c r="AD1229" s="4"/>
      <c r="AE1229" s="4"/>
      <c r="AF1229" s="4" t="str">
        <f>IFERROR(__xludf.DUMMYFUNCTION("""COMPUTED_VALUE"""),"BELUM")</f>
        <v>BELUM</v>
      </c>
      <c r="AG1229" s="6">
        <f>IFERROR(__xludf.DUMMYFUNCTION("""COMPUTED_VALUE"""),46140.0)</f>
        <v>46140</v>
      </c>
      <c r="AH1229" s="4"/>
      <c r="AI1229" s="4"/>
    </row>
    <row r="1230" ht="15.75" customHeight="1">
      <c r="A1230" s="4" t="str">
        <f>IFERROR(__xludf.DUMMYFUNCTION("""COMPUTED_VALUE"""),"c69bdc56")</f>
        <v>c69bdc56</v>
      </c>
      <c r="B1230" s="5">
        <f>IFERROR(__xludf.DUMMYFUNCTION("""COMPUTED_VALUE"""),46140.96836805555)</f>
        <v>46140.96837</v>
      </c>
      <c r="C1230" s="4" t="str">
        <f>IFERROR(__xludf.DUMMYFUNCTION("""COMPUTED_VALUE"""),"-6.899172, 107.645313")</f>
        <v>-6.899172, 107.645313</v>
      </c>
      <c r="D1230" s="4" t="str">
        <f>IFERROR(__xludf.DUMMYFUNCTION("""COMPUTED_VALUE"""),"Nugi firman")</f>
        <v>Nugi firman</v>
      </c>
      <c r="E1230" s="4" t="str">
        <f>IFERROR(__xludf.DUMMYFUNCTION("""COMPUTED_VALUE"""),"BANDUNG")</f>
        <v>BANDUNG</v>
      </c>
      <c r="F1230" s="4" t="str">
        <f>IFERROR(__xludf.DUMMYFUNCTION("""COMPUTED_VALUE"""),"BANDUNG SELATAN")</f>
        <v>BANDUNG SELATAN</v>
      </c>
      <c r="G1230" s="4" t="str">
        <f>IFERROR(__xludf.DUMMYFUNCTION("""COMPUTED_VALUE"""),"GI DAYEUHKOLOT")</f>
        <v>GI DAYEUHKOLOT</v>
      </c>
      <c r="H1230" s="4" t="str">
        <f>IFERROR(__xludf.DUMMYFUNCTION("""COMPUTED_VALUE"""),"DYPI")</f>
        <v>DYPI</v>
      </c>
      <c r="I1230" s="4" t="str">
        <f>IFERROR(__xludf.DUMMYFUNCTION("""COMPUTED_VALUE"""),"LBS BJSF - LBS BJS")</f>
        <v>LBS BJSF - LBS BJS</v>
      </c>
      <c r="J1230" s="4" t="str">
        <f>IFERROR(__xludf.DUMMYFUNCTION("""COMPUTED_VALUE"""),"ZONA 2")</f>
        <v>ZONA 2</v>
      </c>
      <c r="K1230" s="4" t="str">
        <f>IFERROR(__xludf.DUMMYFUNCTION("""COMPUTED_VALUE"""),"070")</f>
        <v>070</v>
      </c>
      <c r="L1230" s="4" t="str">
        <f>IFERROR(__xludf.DUMMYFUNCTION("""COMPUTED_VALUE"""),"TM - 8B/H (Percabangan)")</f>
        <v>TM - 8B/H (Percabangan)</v>
      </c>
      <c r="M1230" s="4" t="str">
        <f>IFERROR(__xludf.DUMMYFUNCTION("""COMPUTED_VALUE"""),"Tidak Ada")</f>
        <v>Tidak Ada</v>
      </c>
      <c r="N1230" s="4"/>
      <c r="O1230" s="4" t="str">
        <f>IFERROR(__xludf.DUMMYFUNCTION("""COMPUTED_VALUE"""),"PEMBANDING SEJENIS")</f>
        <v>PEMBANDING SEJENIS</v>
      </c>
      <c r="P1230" s="4" t="str">
        <f>IFERROR(__xludf.DUMMYFUNCTION("""COMPUTED_VALUE"""),"KONEKTOR/JUMPER")</f>
        <v>KONEKTOR/JUMPER</v>
      </c>
      <c r="Q1230" s="4">
        <f>IFERROR(__xludf.DUMMYFUNCTION("""COMPUTED_VALUE"""),24.0)</f>
        <v>24</v>
      </c>
      <c r="R1230" s="4">
        <f>IFERROR(__xludf.DUMMYFUNCTION("""COMPUTED_VALUE"""),23.0)</f>
        <v>23</v>
      </c>
      <c r="S1230" s="4">
        <f>IFERROR(__xludf.DUMMYFUNCTION("""COMPUTED_VALUE"""),23.0)</f>
        <v>23</v>
      </c>
      <c r="T1230" s="4"/>
      <c r="U1230" s="4" t="str">
        <f>IFERROR(__xludf.DUMMYFUNCTION("""COMPUTED_VALUE"""),"BAIK")</f>
        <v>BAIK</v>
      </c>
      <c r="V1230" s="4" t="str">
        <f>IFERROR(__xludf.DUMMYFUNCTION("""COMPUTED_VALUE"""),"Tidak Ada")</f>
        <v>Tidak Ada</v>
      </c>
      <c r="W1230" s="4"/>
      <c r="X1230" s="4"/>
      <c r="Y1230" s="4"/>
      <c r="Z1230" s="4"/>
      <c r="AA1230" s="4"/>
      <c r="AB1230" s="4"/>
      <c r="AC1230" s="4" t="str">
        <f>IFERROR(__xludf.DUMMYFUNCTION("""COMPUTED_VALUE"""),"INSPEKSI SUTM - T2_Images/c69bdc56.FOTO.161508.jpg")</f>
        <v>INSPEKSI SUTM - T2_Images/c69bdc56.FOTO.161508.jpg</v>
      </c>
      <c r="AD1230" s="4"/>
      <c r="AE1230" s="4"/>
      <c r="AF1230" s="4" t="str">
        <f>IFERROR(__xludf.DUMMYFUNCTION("""COMPUTED_VALUE"""),"BELUM")</f>
        <v>BELUM</v>
      </c>
      <c r="AG1230" s="6">
        <f>IFERROR(__xludf.DUMMYFUNCTION("""COMPUTED_VALUE"""),46140.0)</f>
        <v>46140</v>
      </c>
      <c r="AH1230" s="4"/>
      <c r="AI1230" s="4"/>
    </row>
    <row r="1231" ht="15.75" customHeight="1">
      <c r="A1231" s="4" t="str">
        <f>IFERROR(__xludf.DUMMYFUNCTION("""COMPUTED_VALUE"""),"2e5e308f")</f>
        <v>2e5e308f</v>
      </c>
      <c r="B1231" s="5">
        <f>IFERROR(__xludf.DUMMYFUNCTION("""COMPUTED_VALUE"""),46140.96873842592)</f>
        <v>46140.96874</v>
      </c>
      <c r="C1231" s="4" t="str">
        <f>IFERROR(__xludf.DUMMYFUNCTION("""COMPUTED_VALUE"""),"-6.961300, 107.644492")</f>
        <v>-6.961300, 107.644492</v>
      </c>
      <c r="D1231" s="4" t="str">
        <f>IFERROR(__xludf.DUMMYFUNCTION("""COMPUTED_VALUE"""),"Jihan kiki")</f>
        <v>Jihan kiki</v>
      </c>
      <c r="E1231" s="4" t="str">
        <f>IFERROR(__xludf.DUMMYFUNCTION("""COMPUTED_VALUE"""),"BANDUNG")</f>
        <v>BANDUNG</v>
      </c>
      <c r="F1231" s="4" t="str">
        <f>IFERROR(__xludf.DUMMYFUNCTION("""COMPUTED_VALUE"""),"CIJAWURA")</f>
        <v>CIJAWURA</v>
      </c>
      <c r="G1231" s="4" t="str">
        <f>IFERROR(__xludf.DUMMYFUNCTION("""COMPUTED_VALUE"""),"GIS KIARACONDONG")</f>
        <v>GIS KIARACONDONG</v>
      </c>
      <c r="H1231" s="4" t="str">
        <f>IFERROR(__xludf.DUMMYFUNCTION("""COMPUTED_VALUE"""),"KMO")</f>
        <v>KMO</v>
      </c>
      <c r="I1231" s="4" t="str">
        <f>IFERROR(__xludf.DUMMYFUNCTION("""COMPUTED_VALUE"""),"REC. BMCA - LBS YKE")</f>
        <v>REC. BMCA - LBS YKE</v>
      </c>
      <c r="J1231" s="4" t="str">
        <f>IFERROR(__xludf.DUMMYFUNCTION("""COMPUTED_VALUE"""),"ZONA 3")</f>
        <v>ZONA 3</v>
      </c>
      <c r="K1231" s="4" t="str">
        <f>IFERROR(__xludf.DUMMYFUNCTION("""COMPUTED_VALUE"""),"030")</f>
        <v>030</v>
      </c>
      <c r="L1231" s="4" t="str">
        <f>IFERROR(__xludf.DUMMYFUNCTION("""COMPUTED_VALUE"""),"TM - 8B/H (Percabangan)")</f>
        <v>TM - 8B/H (Percabangan)</v>
      </c>
      <c r="M1231" s="4" t="str">
        <f>IFERROR(__xludf.DUMMYFUNCTION("""COMPUTED_VALUE"""),"Tidak Ada")</f>
        <v>Tidak Ada</v>
      </c>
      <c r="N1231" s="4"/>
      <c r="O1231" s="4" t="str">
        <f>IFERROR(__xludf.DUMMYFUNCTION("""COMPUTED_VALUE"""),"PEMBANDING SEJENIS")</f>
        <v>PEMBANDING SEJENIS</v>
      </c>
      <c r="P1231" s="4" t="str">
        <f>IFERROR(__xludf.DUMMYFUNCTION("""COMPUTED_VALUE"""),"KONEKTOR/JUMPER")</f>
        <v>KONEKTOR/JUMPER</v>
      </c>
      <c r="Q1231" s="4">
        <f>IFERROR(__xludf.DUMMYFUNCTION("""COMPUTED_VALUE"""),20.0)</f>
        <v>20</v>
      </c>
      <c r="R1231" s="4">
        <f>IFERROR(__xludf.DUMMYFUNCTION("""COMPUTED_VALUE"""),22.0)</f>
        <v>22</v>
      </c>
      <c r="S1231" s="4">
        <f>IFERROR(__xludf.DUMMYFUNCTION("""COMPUTED_VALUE"""),20.0)</f>
        <v>20</v>
      </c>
      <c r="T1231" s="4"/>
      <c r="U1231" s="4" t="str">
        <f>IFERROR(__xludf.DUMMYFUNCTION("""COMPUTED_VALUE"""),"BAIK")</f>
        <v>BAIK</v>
      </c>
      <c r="V1231" s="4" t="str">
        <f>IFERROR(__xludf.DUMMYFUNCTION("""COMPUTED_VALUE"""),"Tidak Ada")</f>
        <v>Tidak Ada</v>
      </c>
      <c r="W1231" s="4"/>
      <c r="X1231" s="4"/>
      <c r="Y1231" s="4"/>
      <c r="Z1231" s="4"/>
      <c r="AA1231" s="4"/>
      <c r="AB1231" s="4"/>
      <c r="AC1231" s="4" t="str">
        <f>IFERROR(__xludf.DUMMYFUNCTION("""COMPUTED_VALUE"""),"INSPEKSI SUTM - T2_Images/2e5e308f.FOTO.161534.jpg")</f>
        <v>INSPEKSI SUTM - T2_Images/2e5e308f.FOTO.161534.jpg</v>
      </c>
      <c r="AD1231" s="4"/>
      <c r="AE1231" s="4"/>
      <c r="AF1231" s="4" t="str">
        <f>IFERROR(__xludf.DUMMYFUNCTION("""COMPUTED_VALUE"""),"BELUM")</f>
        <v>BELUM</v>
      </c>
      <c r="AG1231" s="6">
        <f>IFERROR(__xludf.DUMMYFUNCTION("""COMPUTED_VALUE"""),46140.0)</f>
        <v>46140</v>
      </c>
      <c r="AH1231" s="4"/>
      <c r="AI1231" s="4"/>
    </row>
    <row r="1232" ht="15.75" customHeight="1">
      <c r="A1232" s="4" t="str">
        <f>IFERROR(__xludf.DUMMYFUNCTION("""COMPUTED_VALUE"""),"fe21ead0")</f>
        <v>fe21ead0</v>
      </c>
      <c r="B1232" s="5">
        <f>IFERROR(__xludf.DUMMYFUNCTION("""COMPUTED_VALUE"""),46140.96886574074)</f>
        <v>46140.96887</v>
      </c>
      <c r="C1232" s="4" t="str">
        <f>IFERROR(__xludf.DUMMYFUNCTION("""COMPUTED_VALUE"""),"-6.899171, 107.645309")</f>
        <v>-6.899171, 107.645309</v>
      </c>
      <c r="D1232" s="4" t="str">
        <f>IFERROR(__xludf.DUMMYFUNCTION("""COMPUTED_VALUE"""),"Nugi firman")</f>
        <v>Nugi firman</v>
      </c>
      <c r="E1232" s="4" t="str">
        <f>IFERROR(__xludf.DUMMYFUNCTION("""COMPUTED_VALUE"""),"BANDUNG")</f>
        <v>BANDUNG</v>
      </c>
      <c r="F1232" s="4" t="str">
        <f>IFERROR(__xludf.DUMMYFUNCTION("""COMPUTED_VALUE"""),"BANDUNG SELATAN")</f>
        <v>BANDUNG SELATAN</v>
      </c>
      <c r="G1232" s="4" t="str">
        <f>IFERROR(__xludf.DUMMYFUNCTION("""COMPUTED_VALUE"""),"GI DAYEUHKOLOT")</f>
        <v>GI DAYEUHKOLOT</v>
      </c>
      <c r="H1232" s="4" t="str">
        <f>IFERROR(__xludf.DUMMYFUNCTION("""COMPUTED_VALUE"""),"DYPI")</f>
        <v>DYPI</v>
      </c>
      <c r="I1232" s="4" t="str">
        <f>IFERROR(__xludf.DUMMYFUNCTION("""COMPUTED_VALUE"""),"LBS BJSF - LBS BJS")</f>
        <v>LBS BJSF - LBS BJS</v>
      </c>
      <c r="J1232" s="4" t="str">
        <f>IFERROR(__xludf.DUMMYFUNCTION("""COMPUTED_VALUE"""),"ZONA 2")</f>
        <v>ZONA 2</v>
      </c>
      <c r="K1232" s="4" t="str">
        <f>IFERROR(__xludf.DUMMYFUNCTION("""COMPUTED_VALUE"""),"071")</f>
        <v>071</v>
      </c>
      <c r="L1232" s="4" t="str">
        <f>IFERROR(__xludf.DUMMYFUNCTION("""COMPUTED_VALUE"""),"TM - 8B/H (Percabangan)")</f>
        <v>TM - 8B/H (Percabangan)</v>
      </c>
      <c r="M1232" s="4" t="str">
        <f>IFERROR(__xludf.DUMMYFUNCTION("""COMPUTED_VALUE"""),"Tidak Ada")</f>
        <v>Tidak Ada</v>
      </c>
      <c r="N1232" s="4"/>
      <c r="O1232" s="4" t="str">
        <f>IFERROR(__xludf.DUMMYFUNCTION("""COMPUTED_VALUE"""),"PEMBANDING SEJENIS")</f>
        <v>PEMBANDING SEJENIS</v>
      </c>
      <c r="P1232" s="4" t="str">
        <f>IFERROR(__xludf.DUMMYFUNCTION("""COMPUTED_VALUE"""),"KONEKTOR/JUMPER")</f>
        <v>KONEKTOR/JUMPER</v>
      </c>
      <c r="Q1232" s="4">
        <f>IFERROR(__xludf.DUMMYFUNCTION("""COMPUTED_VALUE"""),24.0)</f>
        <v>24</v>
      </c>
      <c r="R1232" s="4">
        <f>IFERROR(__xludf.DUMMYFUNCTION("""COMPUTED_VALUE"""),24.0)</f>
        <v>24</v>
      </c>
      <c r="S1232" s="4">
        <f>IFERROR(__xludf.DUMMYFUNCTION("""COMPUTED_VALUE"""),24.0)</f>
        <v>24</v>
      </c>
      <c r="T1232" s="4"/>
      <c r="U1232" s="4" t="str">
        <f>IFERROR(__xludf.DUMMYFUNCTION("""COMPUTED_VALUE"""),"BAIK")</f>
        <v>BAIK</v>
      </c>
      <c r="V1232" s="4" t="str">
        <f>IFERROR(__xludf.DUMMYFUNCTION("""COMPUTED_VALUE"""),"Tidak Ada")</f>
        <v>Tidak Ada</v>
      </c>
      <c r="W1232" s="4"/>
      <c r="X1232" s="4"/>
      <c r="Y1232" s="4"/>
      <c r="Z1232" s="4"/>
      <c r="AA1232" s="4"/>
      <c r="AB1232" s="4"/>
      <c r="AC1232" s="4" t="str">
        <f>IFERROR(__xludf.DUMMYFUNCTION("""COMPUTED_VALUE"""),"INSPEKSI SUTM - T2_Images/fe21ead0.FOTO.161554.jpg")</f>
        <v>INSPEKSI SUTM - T2_Images/fe21ead0.FOTO.161554.jpg</v>
      </c>
      <c r="AD1232" s="4"/>
      <c r="AE1232" s="4"/>
      <c r="AF1232" s="4" t="str">
        <f>IFERROR(__xludf.DUMMYFUNCTION("""COMPUTED_VALUE"""),"BELUM")</f>
        <v>BELUM</v>
      </c>
      <c r="AG1232" s="6">
        <f>IFERROR(__xludf.DUMMYFUNCTION("""COMPUTED_VALUE"""),46140.0)</f>
        <v>46140</v>
      </c>
      <c r="AH1232" s="4"/>
      <c r="AI1232" s="4"/>
    </row>
    <row r="1233" ht="15.75" customHeight="1">
      <c r="A1233" s="4" t="str">
        <f>IFERROR(__xludf.DUMMYFUNCTION("""COMPUTED_VALUE"""),"5b6858a1")</f>
        <v>5b6858a1</v>
      </c>
      <c r="B1233" s="5">
        <f>IFERROR(__xludf.DUMMYFUNCTION("""COMPUTED_VALUE"""),46140.969351851854)</f>
        <v>46140.96935</v>
      </c>
      <c r="C1233" s="4" t="str">
        <f>IFERROR(__xludf.DUMMYFUNCTION("""COMPUTED_VALUE"""),"-6.961694, 107.646068")</f>
        <v>-6.961694, 107.646068</v>
      </c>
      <c r="D1233" s="4" t="str">
        <f>IFERROR(__xludf.DUMMYFUNCTION("""COMPUTED_VALUE"""),"Jihan kiki")</f>
        <v>Jihan kiki</v>
      </c>
      <c r="E1233" s="4" t="str">
        <f>IFERROR(__xludf.DUMMYFUNCTION("""COMPUTED_VALUE"""),"BANDUNG")</f>
        <v>BANDUNG</v>
      </c>
      <c r="F1233" s="4" t="str">
        <f>IFERROR(__xludf.DUMMYFUNCTION("""COMPUTED_VALUE"""),"CIJAWURA")</f>
        <v>CIJAWURA</v>
      </c>
      <c r="G1233" s="4" t="str">
        <f>IFERROR(__xludf.DUMMYFUNCTION("""COMPUTED_VALUE"""),"GIS KIARACONDONG")</f>
        <v>GIS KIARACONDONG</v>
      </c>
      <c r="H1233" s="4" t="str">
        <f>IFERROR(__xludf.DUMMYFUNCTION("""COMPUTED_VALUE"""),"KMO")</f>
        <v>KMO</v>
      </c>
      <c r="I1233" s="4" t="str">
        <f>IFERROR(__xludf.DUMMYFUNCTION("""COMPUTED_VALUE"""),"REC. BMCA - LBS YKE")</f>
        <v>REC. BMCA - LBS YKE</v>
      </c>
      <c r="J1233" s="4" t="str">
        <f>IFERROR(__xludf.DUMMYFUNCTION("""COMPUTED_VALUE"""),"ZONA 3")</f>
        <v>ZONA 3</v>
      </c>
      <c r="K1233" s="4" t="str">
        <f>IFERROR(__xludf.DUMMYFUNCTION("""COMPUTED_VALUE"""),"030L05")</f>
        <v>030L05</v>
      </c>
      <c r="L1233" s="4" t="str">
        <f>IFERROR(__xludf.DUMMYFUNCTION("""COMPUTED_VALUE"""),"TM - 8B/H (Percabangan)")</f>
        <v>TM - 8B/H (Percabangan)</v>
      </c>
      <c r="M1233" s="4" t="str">
        <f>IFERROR(__xludf.DUMMYFUNCTION("""COMPUTED_VALUE"""),"Tidak Ada")</f>
        <v>Tidak Ada</v>
      </c>
      <c r="N1233" s="4"/>
      <c r="O1233" s="4" t="str">
        <f>IFERROR(__xludf.DUMMYFUNCTION("""COMPUTED_VALUE"""),"PEMBANDING SEJENIS")</f>
        <v>PEMBANDING SEJENIS</v>
      </c>
      <c r="P1233" s="4" t="str">
        <f>IFERROR(__xludf.DUMMYFUNCTION("""COMPUTED_VALUE"""),"KONEKTOR/JUMPER")</f>
        <v>KONEKTOR/JUMPER</v>
      </c>
      <c r="Q1233" s="4">
        <f>IFERROR(__xludf.DUMMYFUNCTION("""COMPUTED_VALUE"""),20.0)</f>
        <v>20</v>
      </c>
      <c r="R1233" s="4">
        <f>IFERROR(__xludf.DUMMYFUNCTION("""COMPUTED_VALUE"""),20.0)</f>
        <v>20</v>
      </c>
      <c r="S1233" s="4">
        <f>IFERROR(__xludf.DUMMYFUNCTION("""COMPUTED_VALUE"""),20.0)</f>
        <v>20</v>
      </c>
      <c r="T1233" s="4"/>
      <c r="U1233" s="4" t="str">
        <f>IFERROR(__xludf.DUMMYFUNCTION("""COMPUTED_VALUE"""),"BAIK")</f>
        <v>BAIK</v>
      </c>
      <c r="V1233" s="4" t="str">
        <f>IFERROR(__xludf.DUMMYFUNCTION("""COMPUTED_VALUE"""),"Tidak Ada")</f>
        <v>Tidak Ada</v>
      </c>
      <c r="W1233" s="4"/>
      <c r="X1233" s="4"/>
      <c r="Y1233" s="4"/>
      <c r="Z1233" s="4"/>
      <c r="AA1233" s="4"/>
      <c r="AB1233" s="4"/>
      <c r="AC1233" s="4" t="str">
        <f>IFERROR(__xludf.DUMMYFUNCTION("""COMPUTED_VALUE"""),"INSPEKSI SUTM - T2_Images/5b6858a1.FOTO.161635.jpg")</f>
        <v>INSPEKSI SUTM - T2_Images/5b6858a1.FOTO.161635.jpg</v>
      </c>
      <c r="AD1233" s="4"/>
      <c r="AE1233" s="4"/>
      <c r="AF1233" s="4" t="str">
        <f>IFERROR(__xludf.DUMMYFUNCTION("""COMPUTED_VALUE"""),"BELUM")</f>
        <v>BELUM</v>
      </c>
      <c r="AG1233" s="6">
        <f>IFERROR(__xludf.DUMMYFUNCTION("""COMPUTED_VALUE"""),46140.0)</f>
        <v>46140</v>
      </c>
      <c r="AH1233" s="4"/>
      <c r="AI1233" s="4"/>
    </row>
    <row r="1234" ht="15.75" customHeight="1">
      <c r="A1234" s="4" t="str">
        <f>IFERROR(__xludf.DUMMYFUNCTION("""COMPUTED_VALUE"""),"1f9fa6fd")</f>
        <v>1f9fa6fd</v>
      </c>
      <c r="B1234" s="5">
        <f>IFERROR(__xludf.DUMMYFUNCTION("""COMPUTED_VALUE"""),46140.96962962963)</f>
        <v>46140.96963</v>
      </c>
      <c r="C1234" s="4" t="str">
        <f>IFERROR(__xludf.DUMMYFUNCTION("""COMPUTED_VALUE"""),"-6.899171, 107.645310")</f>
        <v>-6.899171, 107.645310</v>
      </c>
      <c r="D1234" s="4" t="str">
        <f>IFERROR(__xludf.DUMMYFUNCTION("""COMPUTED_VALUE"""),"Nugi firman")</f>
        <v>Nugi firman</v>
      </c>
      <c r="E1234" s="4" t="str">
        <f>IFERROR(__xludf.DUMMYFUNCTION("""COMPUTED_VALUE"""),"BANDUNG")</f>
        <v>BANDUNG</v>
      </c>
      <c r="F1234" s="4" t="str">
        <f>IFERROR(__xludf.DUMMYFUNCTION("""COMPUTED_VALUE"""),"BANDUNG SELATAN")</f>
        <v>BANDUNG SELATAN</v>
      </c>
      <c r="G1234" s="4" t="str">
        <f>IFERROR(__xludf.DUMMYFUNCTION("""COMPUTED_VALUE"""),"GI DAYEUHKOLOT")</f>
        <v>GI DAYEUHKOLOT</v>
      </c>
      <c r="H1234" s="4" t="str">
        <f>IFERROR(__xludf.DUMMYFUNCTION("""COMPUTED_VALUE"""),"DYPI")</f>
        <v>DYPI</v>
      </c>
      <c r="I1234" s="4" t="str">
        <f>IFERROR(__xludf.DUMMYFUNCTION("""COMPUTED_VALUE"""),"LBS BJS - LBS PBL")</f>
        <v>LBS BJS - LBS PBL</v>
      </c>
      <c r="J1234" s="4" t="str">
        <f>IFERROR(__xludf.DUMMYFUNCTION("""COMPUTED_VALUE"""),"ZONA 2")</f>
        <v>ZONA 2</v>
      </c>
      <c r="K1234" s="4" t="str">
        <f>IFERROR(__xludf.DUMMYFUNCTION("""COMPUTED_VALUE"""),"075")</f>
        <v>075</v>
      </c>
      <c r="L1234" s="4" t="str">
        <f>IFERROR(__xludf.DUMMYFUNCTION("""COMPUTED_VALUE"""),"TM - 16B/H (REC/SSO/LBS)")</f>
        <v>TM - 16B/H (REC/SSO/LBS)</v>
      </c>
      <c r="M1234" s="4" t="str">
        <f>IFERROR(__xludf.DUMMYFUNCTION("""COMPUTED_VALUE"""),"LBS")</f>
        <v>LBS</v>
      </c>
      <c r="N1234" s="4" t="str">
        <f>IFERROR(__xludf.DUMMYFUNCTION("""COMPUTED_VALUE"""),"Bjs")</f>
        <v>Bjs</v>
      </c>
      <c r="O1234" s="4" t="str">
        <f>IFERROR(__xludf.DUMMYFUNCTION("""COMPUTED_VALUE"""),"PEMBANDING SEJENIS")</f>
        <v>PEMBANDING SEJENIS</v>
      </c>
      <c r="P1234" s="4" t="str">
        <f>IFERROR(__xludf.DUMMYFUNCTION("""COMPUTED_VALUE"""),"TERMINAL BUSHING")</f>
        <v>TERMINAL BUSHING</v>
      </c>
      <c r="Q1234" s="4">
        <f>IFERROR(__xludf.DUMMYFUNCTION("""COMPUTED_VALUE"""),26.0)</f>
        <v>26</v>
      </c>
      <c r="R1234" s="4">
        <f>IFERROR(__xludf.DUMMYFUNCTION("""COMPUTED_VALUE"""),30.0)</f>
        <v>30</v>
      </c>
      <c r="S1234" s="4">
        <f>IFERROR(__xludf.DUMMYFUNCTION("""COMPUTED_VALUE"""),28.0)</f>
        <v>28</v>
      </c>
      <c r="T1234" s="4"/>
      <c r="U1234" s="4" t="str">
        <f>IFERROR(__xludf.DUMMYFUNCTION("""COMPUTED_VALUE"""),"CUKUP")</f>
        <v>CUKUP</v>
      </c>
      <c r="V1234" s="4" t="str">
        <f>IFERROR(__xludf.DUMMYFUNCTION("""COMPUTED_VALUE"""),"Tidak Ada")</f>
        <v>Tidak Ada</v>
      </c>
      <c r="W1234" s="4"/>
      <c r="X1234" s="4"/>
      <c r="Y1234" s="4"/>
      <c r="Z1234" s="4"/>
      <c r="AA1234" s="4"/>
      <c r="AB1234" s="4"/>
      <c r="AC1234" s="4" t="str">
        <f>IFERROR(__xludf.DUMMYFUNCTION("""COMPUTED_VALUE"""),"INSPEKSI SUTM - T2_Images/1f9fa6fd.FOTO.161721.jpg")</f>
        <v>INSPEKSI SUTM - T2_Images/1f9fa6fd.FOTO.161721.jpg</v>
      </c>
      <c r="AD1234" s="4"/>
      <c r="AE1234" s="4"/>
      <c r="AF1234" s="4" t="str">
        <f>IFERROR(__xludf.DUMMYFUNCTION("""COMPUTED_VALUE"""),"BELUM")</f>
        <v>BELUM</v>
      </c>
      <c r="AG1234" s="6">
        <f>IFERROR(__xludf.DUMMYFUNCTION("""COMPUTED_VALUE"""),46140.0)</f>
        <v>46140</v>
      </c>
      <c r="AH1234" s="4"/>
      <c r="AI1234" s="4"/>
    </row>
    <row r="1235" ht="15.75" customHeight="1">
      <c r="A1235" s="4" t="str">
        <f>IFERROR(__xludf.DUMMYFUNCTION("""COMPUTED_VALUE"""),"89951d11")</f>
        <v>89951d11</v>
      </c>
      <c r="B1235" s="5">
        <f>IFERROR(__xludf.DUMMYFUNCTION("""COMPUTED_VALUE"""),46140.97005787037)</f>
        <v>46140.97006</v>
      </c>
      <c r="C1235" s="4" t="str">
        <f>IFERROR(__xludf.DUMMYFUNCTION("""COMPUTED_VALUE"""),"-6.961897, 107.647144")</f>
        <v>-6.961897, 107.647144</v>
      </c>
      <c r="D1235" s="4" t="str">
        <f>IFERROR(__xludf.DUMMYFUNCTION("""COMPUTED_VALUE"""),"Jihan kiki")</f>
        <v>Jihan kiki</v>
      </c>
      <c r="E1235" s="4" t="str">
        <f>IFERROR(__xludf.DUMMYFUNCTION("""COMPUTED_VALUE"""),"BANDUNG")</f>
        <v>BANDUNG</v>
      </c>
      <c r="F1235" s="4" t="str">
        <f>IFERROR(__xludf.DUMMYFUNCTION("""COMPUTED_VALUE"""),"CIJAWURA")</f>
        <v>CIJAWURA</v>
      </c>
      <c r="G1235" s="4" t="str">
        <f>IFERROR(__xludf.DUMMYFUNCTION("""COMPUTED_VALUE"""),"GIS KIARACONDONG")</f>
        <v>GIS KIARACONDONG</v>
      </c>
      <c r="H1235" s="4" t="str">
        <f>IFERROR(__xludf.DUMMYFUNCTION("""COMPUTED_VALUE"""),"KMO")</f>
        <v>KMO</v>
      </c>
      <c r="I1235" s="4" t="str">
        <f>IFERROR(__xludf.DUMMYFUNCTION("""COMPUTED_VALUE"""),"REC. BMCA - LBS YKE")</f>
        <v>REC. BMCA - LBS YKE</v>
      </c>
      <c r="J1235" s="4" t="str">
        <f>IFERROR(__xludf.DUMMYFUNCTION("""COMPUTED_VALUE"""),"ZONA 3")</f>
        <v>ZONA 3</v>
      </c>
      <c r="K1235" s="4" t="str">
        <f>IFERROR(__xludf.DUMMYFUNCTION("""COMPUTED_VALUE"""),"030L08")</f>
        <v>030L08</v>
      </c>
      <c r="L1235" s="4" t="str">
        <f>IFERROR(__xludf.DUMMYFUNCTION("""COMPUTED_VALUE"""),"TM - 4B/H (Afspan)")</f>
        <v>TM - 4B/H (Afspan)</v>
      </c>
      <c r="M1235" s="4" t="str">
        <f>IFERROR(__xludf.DUMMYFUNCTION("""COMPUTED_VALUE"""),"Tidak Ada")</f>
        <v>Tidak Ada</v>
      </c>
      <c r="N1235" s="4"/>
      <c r="O1235" s="4" t="str">
        <f>IFERROR(__xludf.DUMMYFUNCTION("""COMPUTED_VALUE"""),"PEMBANDING SEJENIS")</f>
        <v>PEMBANDING SEJENIS</v>
      </c>
      <c r="P1235" s="4" t="str">
        <f>IFERROR(__xludf.DUMMYFUNCTION("""COMPUTED_VALUE"""),"KONEKTOR/JUMPER")</f>
        <v>KONEKTOR/JUMPER</v>
      </c>
      <c r="Q1235" s="4">
        <f>IFERROR(__xludf.DUMMYFUNCTION("""COMPUTED_VALUE"""),21.0)</f>
        <v>21</v>
      </c>
      <c r="R1235" s="4">
        <f>IFERROR(__xludf.DUMMYFUNCTION("""COMPUTED_VALUE"""),20.0)</f>
        <v>20</v>
      </c>
      <c r="S1235" s="4">
        <f>IFERROR(__xludf.DUMMYFUNCTION("""COMPUTED_VALUE"""),22.0)</f>
        <v>22</v>
      </c>
      <c r="T1235" s="4"/>
      <c r="U1235" s="4" t="str">
        <f>IFERROR(__xludf.DUMMYFUNCTION("""COMPUTED_VALUE"""),"BAIK")</f>
        <v>BAIK</v>
      </c>
      <c r="V1235" s="4" t="str">
        <f>IFERROR(__xludf.DUMMYFUNCTION("""COMPUTED_VALUE"""),"Tidak Ada")</f>
        <v>Tidak Ada</v>
      </c>
      <c r="W1235" s="4"/>
      <c r="X1235" s="4"/>
      <c r="Y1235" s="4"/>
      <c r="Z1235" s="4"/>
      <c r="AA1235" s="4"/>
      <c r="AB1235" s="4"/>
      <c r="AC1235" s="4" t="str">
        <f>IFERROR(__xludf.DUMMYFUNCTION("""COMPUTED_VALUE"""),"INSPEKSI SUTM - T2_Images/89951d11.FOTO.161730.jpg")</f>
        <v>INSPEKSI SUTM - T2_Images/89951d11.FOTO.161730.jpg</v>
      </c>
      <c r="AD1235" s="4"/>
      <c r="AE1235" s="4"/>
      <c r="AF1235" s="4" t="str">
        <f>IFERROR(__xludf.DUMMYFUNCTION("""COMPUTED_VALUE"""),"BELUM")</f>
        <v>BELUM</v>
      </c>
      <c r="AG1235" s="6">
        <f>IFERROR(__xludf.DUMMYFUNCTION("""COMPUTED_VALUE"""),46140.0)</f>
        <v>46140</v>
      </c>
      <c r="AH1235" s="4"/>
      <c r="AI1235" s="4"/>
    </row>
    <row r="1236" ht="15.75" customHeight="1">
      <c r="A1236" s="4" t="str">
        <f>IFERROR(__xludf.DUMMYFUNCTION("""COMPUTED_VALUE"""),"eea0877d")</f>
        <v>eea0877d</v>
      </c>
      <c r="B1236" s="5">
        <f>IFERROR(__xludf.DUMMYFUNCTION("""COMPUTED_VALUE"""),46140.97042824074)</f>
        <v>46140.97043</v>
      </c>
      <c r="C1236" s="4" t="str">
        <f>IFERROR(__xludf.DUMMYFUNCTION("""COMPUTED_VALUE"""),"-6.899168, 107.645309")</f>
        <v>-6.899168, 107.645309</v>
      </c>
      <c r="D1236" s="4" t="str">
        <f>IFERROR(__xludf.DUMMYFUNCTION("""COMPUTED_VALUE"""),"Nugi firman")</f>
        <v>Nugi firman</v>
      </c>
      <c r="E1236" s="4" t="str">
        <f>IFERROR(__xludf.DUMMYFUNCTION("""COMPUTED_VALUE"""),"BANDUNG")</f>
        <v>BANDUNG</v>
      </c>
      <c r="F1236" s="4" t="str">
        <f>IFERROR(__xludf.DUMMYFUNCTION("""COMPUTED_VALUE"""),"BANDUNG SELATAN")</f>
        <v>BANDUNG SELATAN</v>
      </c>
      <c r="G1236" s="4" t="str">
        <f>IFERROR(__xludf.DUMMYFUNCTION("""COMPUTED_VALUE"""),"GI DAYEUHKOLOT")</f>
        <v>GI DAYEUHKOLOT</v>
      </c>
      <c r="H1236" s="4" t="str">
        <f>IFERROR(__xludf.DUMMYFUNCTION("""COMPUTED_VALUE"""),"DYPI")</f>
        <v>DYPI</v>
      </c>
      <c r="I1236" s="4" t="str">
        <f>IFERROR(__xludf.DUMMYFUNCTION("""COMPUTED_VALUE"""),"LBS BJS - LBS PBL")</f>
        <v>LBS BJS - LBS PBL</v>
      </c>
      <c r="J1236" s="4" t="str">
        <f>IFERROR(__xludf.DUMMYFUNCTION("""COMPUTED_VALUE"""),"ZONA 2")</f>
        <v>ZONA 2</v>
      </c>
      <c r="K1236" s="4" t="str">
        <f>IFERROR(__xludf.DUMMYFUNCTION("""COMPUTED_VALUE"""),"082")</f>
        <v>082</v>
      </c>
      <c r="L1236" s="4" t="str">
        <f>IFERROR(__xludf.DUMMYFUNCTION("""COMPUTED_VALUE"""),"TM - 4B/H (Afspan)")</f>
        <v>TM - 4B/H (Afspan)</v>
      </c>
      <c r="M1236" s="4" t="str">
        <f>IFERROR(__xludf.DUMMYFUNCTION("""COMPUTED_VALUE"""),"Tidak Ada")</f>
        <v>Tidak Ada</v>
      </c>
      <c r="N1236" s="4"/>
      <c r="O1236" s="4" t="str">
        <f>IFERROR(__xludf.DUMMYFUNCTION("""COMPUTED_VALUE"""),"PEMBANDING SEJENIS")</f>
        <v>PEMBANDING SEJENIS</v>
      </c>
      <c r="P1236" s="4" t="str">
        <f>IFERROR(__xludf.DUMMYFUNCTION("""COMPUTED_VALUE"""),"KONEKTOR/JUMPER")</f>
        <v>KONEKTOR/JUMPER</v>
      </c>
      <c r="Q1236" s="4">
        <f>IFERROR(__xludf.DUMMYFUNCTION("""COMPUTED_VALUE"""),25.0)</f>
        <v>25</v>
      </c>
      <c r="R1236" s="4">
        <f>IFERROR(__xludf.DUMMYFUNCTION("""COMPUTED_VALUE"""),25.0)</f>
        <v>25</v>
      </c>
      <c r="S1236" s="4">
        <f>IFERROR(__xludf.DUMMYFUNCTION("""COMPUTED_VALUE"""),25.0)</f>
        <v>25</v>
      </c>
      <c r="T1236" s="4"/>
      <c r="U1236" s="4" t="str">
        <f>IFERROR(__xludf.DUMMYFUNCTION("""COMPUTED_VALUE"""),"BAIK")</f>
        <v>BAIK</v>
      </c>
      <c r="V1236" s="4" t="str">
        <f>IFERROR(__xludf.DUMMYFUNCTION("""COMPUTED_VALUE"""),"Tidak Ada")</f>
        <v>Tidak Ada</v>
      </c>
      <c r="W1236" s="4"/>
      <c r="X1236" s="4"/>
      <c r="Y1236" s="4"/>
      <c r="Z1236" s="4"/>
      <c r="AA1236" s="4"/>
      <c r="AB1236" s="4"/>
      <c r="AC1236" s="4" t="str">
        <f>IFERROR(__xludf.DUMMYFUNCTION("""COMPUTED_VALUE"""),"INSPEKSI SUTM - T2_Images/eea0877d.FOTO.161809.jpg")</f>
        <v>INSPEKSI SUTM - T2_Images/eea0877d.FOTO.161809.jpg</v>
      </c>
      <c r="AD1236" s="4"/>
      <c r="AE1236" s="4"/>
      <c r="AF1236" s="4" t="str">
        <f>IFERROR(__xludf.DUMMYFUNCTION("""COMPUTED_VALUE"""),"BELUM")</f>
        <v>BELUM</v>
      </c>
      <c r="AG1236" s="6">
        <f>IFERROR(__xludf.DUMMYFUNCTION("""COMPUTED_VALUE"""),46140.0)</f>
        <v>46140</v>
      </c>
      <c r="AH1236" s="4"/>
      <c r="AI1236" s="4"/>
    </row>
    <row r="1237" ht="15.75" customHeight="1">
      <c r="A1237" s="4" t="str">
        <f>IFERROR(__xludf.DUMMYFUNCTION("""COMPUTED_VALUE"""),"6bbfaba7")</f>
        <v>6bbfaba7</v>
      </c>
      <c r="B1237" s="5">
        <f>IFERROR(__xludf.DUMMYFUNCTION("""COMPUTED_VALUE"""),46140.97076388889)</f>
        <v>46140.97076</v>
      </c>
      <c r="C1237" s="4" t="str">
        <f>IFERROR(__xludf.DUMMYFUNCTION("""COMPUTED_VALUE"""),"-6.962101, 107.648261")</f>
        <v>-6.962101, 107.648261</v>
      </c>
      <c r="D1237" s="4" t="str">
        <f>IFERROR(__xludf.DUMMYFUNCTION("""COMPUTED_VALUE"""),"Jihan kiki")</f>
        <v>Jihan kiki</v>
      </c>
      <c r="E1237" s="4" t="str">
        <f>IFERROR(__xludf.DUMMYFUNCTION("""COMPUTED_VALUE"""),"BANDUNG")</f>
        <v>BANDUNG</v>
      </c>
      <c r="F1237" s="4" t="str">
        <f>IFERROR(__xludf.DUMMYFUNCTION("""COMPUTED_VALUE"""),"CIJAWURA")</f>
        <v>CIJAWURA</v>
      </c>
      <c r="G1237" s="4" t="str">
        <f>IFERROR(__xludf.DUMMYFUNCTION("""COMPUTED_VALUE"""),"GIS KIARACONDONG")</f>
        <v>GIS KIARACONDONG</v>
      </c>
      <c r="H1237" s="4" t="str">
        <f>IFERROR(__xludf.DUMMYFUNCTION("""COMPUTED_VALUE"""),"KMO")</f>
        <v>KMO</v>
      </c>
      <c r="I1237" s="4" t="str">
        <f>IFERROR(__xludf.DUMMYFUNCTION("""COMPUTED_VALUE"""),"REC. BMCA - LBS YKE")</f>
        <v>REC. BMCA - LBS YKE</v>
      </c>
      <c r="J1237" s="4" t="str">
        <f>IFERROR(__xludf.DUMMYFUNCTION("""COMPUTED_VALUE"""),"ZONA 3")</f>
        <v>ZONA 3</v>
      </c>
      <c r="K1237" s="4" t="str">
        <f>IFERROR(__xludf.DUMMYFUNCTION("""COMPUTED_VALUE"""),"030L12")</f>
        <v>030L12</v>
      </c>
      <c r="L1237" s="4" t="str">
        <f>IFERROR(__xludf.DUMMYFUNCTION("""COMPUTED_VALUE"""),"TM - 7B/H (Afspan 90 Derajat)")</f>
        <v>TM - 7B/H (Afspan 90 Derajat)</v>
      </c>
      <c r="M1237" s="4" t="str">
        <f>IFERROR(__xludf.DUMMYFUNCTION("""COMPUTED_VALUE"""),"Tidak Ada")</f>
        <v>Tidak Ada</v>
      </c>
      <c r="N1237" s="4"/>
      <c r="O1237" s="4" t="str">
        <f>IFERROR(__xludf.DUMMYFUNCTION("""COMPUTED_VALUE"""),"PEMBANDING SEJENIS")</f>
        <v>PEMBANDING SEJENIS</v>
      </c>
      <c r="P1237" s="4" t="str">
        <f>IFERROR(__xludf.DUMMYFUNCTION("""COMPUTED_VALUE"""),"KONEKTOR/JUMPER")</f>
        <v>KONEKTOR/JUMPER</v>
      </c>
      <c r="Q1237" s="4">
        <f>IFERROR(__xludf.DUMMYFUNCTION("""COMPUTED_VALUE"""),22.0)</f>
        <v>22</v>
      </c>
      <c r="R1237" s="4">
        <f>IFERROR(__xludf.DUMMYFUNCTION("""COMPUTED_VALUE"""),22.0)</f>
        <v>22</v>
      </c>
      <c r="S1237" s="4">
        <f>IFERROR(__xludf.DUMMYFUNCTION("""COMPUTED_VALUE"""),21.0)</f>
        <v>21</v>
      </c>
      <c r="T1237" s="4"/>
      <c r="U1237" s="4" t="str">
        <f>IFERROR(__xludf.DUMMYFUNCTION("""COMPUTED_VALUE"""),"BAIK")</f>
        <v>BAIK</v>
      </c>
      <c r="V1237" s="4" t="str">
        <f>IFERROR(__xludf.DUMMYFUNCTION("""COMPUTED_VALUE"""),"Tidak Ada")</f>
        <v>Tidak Ada</v>
      </c>
      <c r="W1237" s="4"/>
      <c r="X1237" s="4"/>
      <c r="Y1237" s="4"/>
      <c r="Z1237" s="4"/>
      <c r="AA1237" s="4"/>
      <c r="AB1237" s="4"/>
      <c r="AC1237" s="4" t="str">
        <f>IFERROR(__xludf.DUMMYFUNCTION("""COMPUTED_VALUE"""),"INSPEKSI SUTM - T2_Images/6bbfaba7.FOTO.161832.jpg")</f>
        <v>INSPEKSI SUTM - T2_Images/6bbfaba7.FOTO.161832.jpg</v>
      </c>
      <c r="AD1237" s="4"/>
      <c r="AE1237" s="4"/>
      <c r="AF1237" s="4" t="str">
        <f>IFERROR(__xludf.DUMMYFUNCTION("""COMPUTED_VALUE"""),"BELUM")</f>
        <v>BELUM</v>
      </c>
      <c r="AG1237" s="6">
        <f>IFERROR(__xludf.DUMMYFUNCTION("""COMPUTED_VALUE"""),46140.0)</f>
        <v>46140</v>
      </c>
      <c r="AH1237" s="4"/>
      <c r="AI1237" s="4"/>
    </row>
    <row r="1238" ht="15.75" customHeight="1">
      <c r="A1238" s="4" t="str">
        <f>IFERROR(__xludf.DUMMYFUNCTION("""COMPUTED_VALUE"""),"c8a7d5ce")</f>
        <v>c8a7d5ce</v>
      </c>
      <c r="B1238" s="5">
        <f>IFERROR(__xludf.DUMMYFUNCTION("""COMPUTED_VALUE"""),46140.97094907407)</f>
        <v>46140.97095</v>
      </c>
      <c r="C1238" s="4" t="str">
        <f>IFERROR(__xludf.DUMMYFUNCTION("""COMPUTED_VALUE"""),"-6.899162, 107.645302")</f>
        <v>-6.899162, 107.645302</v>
      </c>
      <c r="D1238" s="4" t="str">
        <f>IFERROR(__xludf.DUMMYFUNCTION("""COMPUTED_VALUE"""),"Nugi ffirman")</f>
        <v>Nugi ffirman</v>
      </c>
      <c r="E1238" s="4" t="str">
        <f>IFERROR(__xludf.DUMMYFUNCTION("""COMPUTED_VALUE"""),"BANDUNG")</f>
        <v>BANDUNG</v>
      </c>
      <c r="F1238" s="4" t="str">
        <f>IFERROR(__xludf.DUMMYFUNCTION("""COMPUTED_VALUE"""),"BANDUNG SELATAN")</f>
        <v>BANDUNG SELATAN</v>
      </c>
      <c r="G1238" s="4" t="str">
        <f>IFERROR(__xludf.DUMMYFUNCTION("""COMPUTED_VALUE"""),"GI DAYEUHKOLOT")</f>
        <v>GI DAYEUHKOLOT</v>
      </c>
      <c r="H1238" s="4" t="str">
        <f>IFERROR(__xludf.DUMMYFUNCTION("""COMPUTED_VALUE"""),"DYPI")</f>
        <v>DYPI</v>
      </c>
      <c r="I1238" s="4" t="str">
        <f>IFERROR(__xludf.DUMMYFUNCTION("""COMPUTED_VALUE"""),"LBS BJS - LBS PBL")</f>
        <v>LBS BJS - LBS PBL</v>
      </c>
      <c r="J1238" s="4" t="str">
        <f>IFERROR(__xludf.DUMMYFUNCTION("""COMPUTED_VALUE"""),"ZONA 2")</f>
        <v>ZONA 2</v>
      </c>
      <c r="K1238" s="4" t="str">
        <f>IFERROR(__xludf.DUMMYFUNCTION("""COMPUTED_VALUE"""),"080")</f>
        <v>080</v>
      </c>
      <c r="L1238" s="4" t="str">
        <f>IFERROR(__xludf.DUMMYFUNCTION("""COMPUTED_VALUE"""),"TM - 1B/H (Tumpu)")</f>
        <v>TM - 1B/H (Tumpu)</v>
      </c>
      <c r="M1238" s="4" t="str">
        <f>IFERROR(__xludf.DUMMYFUNCTION("""COMPUTED_VALUE"""),"Tidak Ada")</f>
        <v>Tidak Ada</v>
      </c>
      <c r="N1238" s="4"/>
      <c r="O1238" s="4" t="str">
        <f>IFERROR(__xludf.DUMMYFUNCTION("""COMPUTED_VALUE"""),"PEMBANDING SEJENIS")</f>
        <v>PEMBANDING SEJENIS</v>
      </c>
      <c r="P1238" s="4" t="str">
        <f>IFERROR(__xludf.DUMMYFUNCTION("""COMPUTED_VALUE"""),"ARRESTER")</f>
        <v>ARRESTER</v>
      </c>
      <c r="Q1238" s="4">
        <f>IFERROR(__xludf.DUMMYFUNCTION("""COMPUTED_VALUE"""),25.0)</f>
        <v>25</v>
      </c>
      <c r="R1238" s="4">
        <f>IFERROR(__xludf.DUMMYFUNCTION("""COMPUTED_VALUE"""),25.0)</f>
        <v>25</v>
      </c>
      <c r="S1238" s="4">
        <f>IFERROR(__xludf.DUMMYFUNCTION("""COMPUTED_VALUE"""),25.0)</f>
        <v>25</v>
      </c>
      <c r="T1238" s="4"/>
      <c r="U1238" s="4" t="str">
        <f>IFERROR(__xludf.DUMMYFUNCTION("""COMPUTED_VALUE"""),"BAIK")</f>
        <v>BAIK</v>
      </c>
      <c r="V1238" s="4" t="str">
        <f>IFERROR(__xludf.DUMMYFUNCTION("""COMPUTED_VALUE"""),"Tidak Ada")</f>
        <v>Tidak Ada</v>
      </c>
      <c r="W1238" s="4"/>
      <c r="X1238" s="4"/>
      <c r="Y1238" s="4"/>
      <c r="Z1238" s="4"/>
      <c r="AA1238" s="4"/>
      <c r="AB1238" s="4"/>
      <c r="AC1238" s="4" t="str">
        <f>IFERROR(__xludf.DUMMYFUNCTION("""COMPUTED_VALUE"""),"INSPEKSI SUTM - T2_Images/c8a7d5ce.FOTO.161851.jpg")</f>
        <v>INSPEKSI SUTM - T2_Images/c8a7d5ce.FOTO.161851.jpg</v>
      </c>
      <c r="AD1238" s="4"/>
      <c r="AE1238" s="4"/>
      <c r="AF1238" s="4" t="str">
        <f>IFERROR(__xludf.DUMMYFUNCTION("""COMPUTED_VALUE"""),"BELUM")</f>
        <v>BELUM</v>
      </c>
      <c r="AG1238" s="6">
        <f>IFERROR(__xludf.DUMMYFUNCTION("""COMPUTED_VALUE"""),46140.0)</f>
        <v>46140</v>
      </c>
      <c r="AH1238" s="4"/>
      <c r="AI1238" s="4"/>
    </row>
    <row r="1239" ht="15.75" customHeight="1">
      <c r="A1239" s="4" t="str">
        <f>IFERROR(__xludf.DUMMYFUNCTION("""COMPUTED_VALUE"""),"952af742")</f>
        <v>952af742</v>
      </c>
      <c r="B1239" s="5">
        <f>IFERROR(__xludf.DUMMYFUNCTION("""COMPUTED_VALUE"""),46140.971284722225)</f>
        <v>46140.97128</v>
      </c>
      <c r="C1239" s="4" t="str">
        <f>IFERROR(__xludf.DUMMYFUNCTION("""COMPUTED_VALUE"""),"-6.962605, 107.648213")</f>
        <v>-6.962605, 107.648213</v>
      </c>
      <c r="D1239" s="4" t="str">
        <f>IFERROR(__xludf.DUMMYFUNCTION("""COMPUTED_VALUE"""),"Jihan kiki")</f>
        <v>Jihan kiki</v>
      </c>
      <c r="E1239" s="4" t="str">
        <f>IFERROR(__xludf.DUMMYFUNCTION("""COMPUTED_VALUE"""),"BANDUNG")</f>
        <v>BANDUNG</v>
      </c>
      <c r="F1239" s="4" t="str">
        <f>IFERROR(__xludf.DUMMYFUNCTION("""COMPUTED_VALUE"""),"CIJAWURA")</f>
        <v>CIJAWURA</v>
      </c>
      <c r="G1239" s="4" t="str">
        <f>IFERROR(__xludf.DUMMYFUNCTION("""COMPUTED_VALUE"""),"GIS KIARACONDONG")</f>
        <v>GIS KIARACONDONG</v>
      </c>
      <c r="H1239" s="4" t="str">
        <f>IFERROR(__xludf.DUMMYFUNCTION("""COMPUTED_VALUE"""),"KMO")</f>
        <v>KMO</v>
      </c>
      <c r="I1239" s="4" t="str">
        <f>IFERROR(__xludf.DUMMYFUNCTION("""COMPUTED_VALUE"""),"REC. BMCA - LBS YKE")</f>
        <v>REC. BMCA - LBS YKE</v>
      </c>
      <c r="J1239" s="4" t="str">
        <f>IFERROR(__xludf.DUMMYFUNCTION("""COMPUTED_VALUE"""),"ZONA 3")</f>
        <v>ZONA 3</v>
      </c>
      <c r="K1239" s="4" t="str">
        <f>IFERROR(__xludf.DUMMYFUNCTION("""COMPUTED_VALUE"""),"030L14")</f>
        <v>030L14</v>
      </c>
      <c r="L1239" s="4" t="str">
        <f>IFERROR(__xludf.DUMMYFUNCTION("""COMPUTED_VALUE"""),"TM - 7B/H (Afspan 90 Derajat)")</f>
        <v>TM - 7B/H (Afspan 90 Derajat)</v>
      </c>
      <c r="M1239" s="4" t="str">
        <f>IFERROR(__xludf.DUMMYFUNCTION("""COMPUTED_VALUE"""),"Tidak Ada")</f>
        <v>Tidak Ada</v>
      </c>
      <c r="N1239" s="4"/>
      <c r="O1239" s="4" t="str">
        <f>IFERROR(__xludf.DUMMYFUNCTION("""COMPUTED_VALUE"""),"PEMBANDING SEJENIS")</f>
        <v>PEMBANDING SEJENIS</v>
      </c>
      <c r="P1239" s="4" t="str">
        <f>IFERROR(__xludf.DUMMYFUNCTION("""COMPUTED_VALUE"""),"KONEKTOR/JUMPER")</f>
        <v>KONEKTOR/JUMPER</v>
      </c>
      <c r="Q1239" s="4">
        <f>IFERROR(__xludf.DUMMYFUNCTION("""COMPUTED_VALUE"""),21.0)</f>
        <v>21</v>
      </c>
      <c r="R1239" s="4">
        <f>IFERROR(__xludf.DUMMYFUNCTION("""COMPUTED_VALUE"""),22.0)</f>
        <v>22</v>
      </c>
      <c r="S1239" s="4">
        <f>IFERROR(__xludf.DUMMYFUNCTION("""COMPUTED_VALUE"""),21.0)</f>
        <v>21</v>
      </c>
      <c r="T1239" s="4"/>
      <c r="U1239" s="4" t="str">
        <f>IFERROR(__xludf.DUMMYFUNCTION("""COMPUTED_VALUE"""),"BAIK")</f>
        <v>BAIK</v>
      </c>
      <c r="V1239" s="4" t="str">
        <f>IFERROR(__xludf.DUMMYFUNCTION("""COMPUTED_VALUE"""),"Tidak Ada")</f>
        <v>Tidak Ada</v>
      </c>
      <c r="W1239" s="4"/>
      <c r="X1239" s="4"/>
      <c r="Y1239" s="4"/>
      <c r="Z1239" s="4"/>
      <c r="AA1239" s="4"/>
      <c r="AB1239" s="4"/>
      <c r="AC1239" s="4" t="str">
        <f>IFERROR(__xludf.DUMMYFUNCTION("""COMPUTED_VALUE"""),"INSPEKSI SUTM - T2_Images/952af742.FOTO.161921.jpg")</f>
        <v>INSPEKSI SUTM - T2_Images/952af742.FOTO.161921.jpg</v>
      </c>
      <c r="AD1239" s="4"/>
      <c r="AE1239" s="4"/>
      <c r="AF1239" s="4" t="str">
        <f>IFERROR(__xludf.DUMMYFUNCTION("""COMPUTED_VALUE"""),"BELUM")</f>
        <v>BELUM</v>
      </c>
      <c r="AG1239" s="6">
        <f>IFERROR(__xludf.DUMMYFUNCTION("""COMPUTED_VALUE"""),46140.0)</f>
        <v>46140</v>
      </c>
      <c r="AH1239" s="4"/>
      <c r="AI1239" s="4"/>
    </row>
    <row r="1240" ht="15.75" customHeight="1">
      <c r="A1240" s="4" t="str">
        <f>IFERROR(__xludf.DUMMYFUNCTION("""COMPUTED_VALUE"""),"bc76cfca")</f>
        <v>bc76cfca</v>
      </c>
      <c r="B1240" s="5">
        <f>IFERROR(__xludf.DUMMYFUNCTION("""COMPUTED_VALUE"""),46140.97145833333)</f>
        <v>46140.97146</v>
      </c>
      <c r="C1240" s="4" t="str">
        <f>IFERROR(__xludf.DUMMYFUNCTION("""COMPUTED_VALUE"""),"-6.899170, 107.645301")</f>
        <v>-6.899170, 107.645301</v>
      </c>
      <c r="D1240" s="4" t="str">
        <f>IFERROR(__xludf.DUMMYFUNCTION("""COMPUTED_VALUE"""),"Nygi firman")</f>
        <v>Nygi firman</v>
      </c>
      <c r="E1240" s="4" t="str">
        <f>IFERROR(__xludf.DUMMYFUNCTION("""COMPUTED_VALUE"""),"BANDUNG")</f>
        <v>BANDUNG</v>
      </c>
      <c r="F1240" s="4" t="str">
        <f>IFERROR(__xludf.DUMMYFUNCTION("""COMPUTED_VALUE"""),"BANDUNG SELATAN")</f>
        <v>BANDUNG SELATAN</v>
      </c>
      <c r="G1240" s="4" t="str">
        <f>IFERROR(__xludf.DUMMYFUNCTION("""COMPUTED_VALUE"""),"GI DAYEUHKOLOT")</f>
        <v>GI DAYEUHKOLOT</v>
      </c>
      <c r="H1240" s="4" t="str">
        <f>IFERROR(__xludf.DUMMYFUNCTION("""COMPUTED_VALUE"""),"DYPI")</f>
        <v>DYPI</v>
      </c>
      <c r="I1240" s="4" t="str">
        <f>IFERROR(__xludf.DUMMYFUNCTION("""COMPUTED_VALUE"""),"LBS BJS - LBS PBL")</f>
        <v>LBS BJS - LBS PBL</v>
      </c>
      <c r="J1240" s="4" t="str">
        <f>IFERROR(__xludf.DUMMYFUNCTION("""COMPUTED_VALUE"""),"ZONA 2")</f>
        <v>ZONA 2</v>
      </c>
      <c r="K1240" s="4" t="str">
        <f>IFERROR(__xludf.DUMMYFUNCTION("""COMPUTED_VALUE"""),"083")</f>
        <v>083</v>
      </c>
      <c r="L1240" s="4" t="str">
        <f>IFERROR(__xludf.DUMMYFUNCTION("""COMPUTED_VALUE"""),"TM - 8B/H (Percabangan)")</f>
        <v>TM - 8B/H (Percabangan)</v>
      </c>
      <c r="M1240" s="4" t="str">
        <f>IFERROR(__xludf.DUMMYFUNCTION("""COMPUTED_VALUE"""),"Tidak Ada")</f>
        <v>Tidak Ada</v>
      </c>
      <c r="N1240" s="4"/>
      <c r="O1240" s="4" t="str">
        <f>IFERROR(__xludf.DUMMYFUNCTION("""COMPUTED_VALUE"""),"PEMBANDING SEJENIS")</f>
        <v>PEMBANDING SEJENIS</v>
      </c>
      <c r="P1240" s="4" t="str">
        <f>IFERROR(__xludf.DUMMYFUNCTION("""COMPUTED_VALUE"""),"KONEKTOR/JUMPER")</f>
        <v>KONEKTOR/JUMPER</v>
      </c>
      <c r="Q1240" s="4">
        <f>IFERROR(__xludf.DUMMYFUNCTION("""COMPUTED_VALUE"""),25.0)</f>
        <v>25</v>
      </c>
      <c r="R1240" s="4">
        <f>IFERROR(__xludf.DUMMYFUNCTION("""COMPUTED_VALUE"""),25.0)</f>
        <v>25</v>
      </c>
      <c r="S1240" s="4">
        <f>IFERROR(__xludf.DUMMYFUNCTION("""COMPUTED_VALUE"""),25.0)</f>
        <v>25</v>
      </c>
      <c r="T1240" s="4"/>
      <c r="U1240" s="4" t="str">
        <f>IFERROR(__xludf.DUMMYFUNCTION("""COMPUTED_VALUE"""),"BAIK")</f>
        <v>BAIK</v>
      </c>
      <c r="V1240" s="4" t="str">
        <f>IFERROR(__xludf.DUMMYFUNCTION("""COMPUTED_VALUE"""),"Tidak Ada")</f>
        <v>Tidak Ada</v>
      </c>
      <c r="W1240" s="4"/>
      <c r="X1240" s="4"/>
      <c r="Y1240" s="4"/>
      <c r="Z1240" s="4"/>
      <c r="AA1240" s="4"/>
      <c r="AB1240" s="4"/>
      <c r="AC1240" s="4" t="str">
        <f>IFERROR(__xludf.DUMMYFUNCTION("""COMPUTED_VALUE"""),"INSPEKSI SUTM - T2_Images/bc76cfca.FOTO.161948.jpg")</f>
        <v>INSPEKSI SUTM - T2_Images/bc76cfca.FOTO.161948.jpg</v>
      </c>
      <c r="AD1240" s="4"/>
      <c r="AE1240" s="4"/>
      <c r="AF1240" s="4" t="str">
        <f>IFERROR(__xludf.DUMMYFUNCTION("""COMPUTED_VALUE"""),"BELUM")</f>
        <v>BELUM</v>
      </c>
      <c r="AG1240" s="6">
        <f>IFERROR(__xludf.DUMMYFUNCTION("""COMPUTED_VALUE"""),46140.0)</f>
        <v>46140</v>
      </c>
      <c r="AH1240" s="4"/>
      <c r="AI1240" s="4"/>
    </row>
    <row r="1241" ht="15.75" customHeight="1">
      <c r="A1241" s="4" t="str">
        <f>IFERROR(__xludf.DUMMYFUNCTION("""COMPUTED_VALUE"""),"bebc0b59")</f>
        <v>bebc0b59</v>
      </c>
      <c r="B1241" s="5">
        <f>IFERROR(__xludf.DUMMYFUNCTION("""COMPUTED_VALUE"""),46140.97189814815)</f>
        <v>46140.9719</v>
      </c>
      <c r="C1241" s="4" t="str">
        <f>IFERROR(__xludf.DUMMYFUNCTION("""COMPUTED_VALUE"""),"-6.962786, 107.649135")</f>
        <v>-6.962786, 107.649135</v>
      </c>
      <c r="D1241" s="4" t="str">
        <f>IFERROR(__xludf.DUMMYFUNCTION("""COMPUTED_VALUE"""),"Jihan kiki")</f>
        <v>Jihan kiki</v>
      </c>
      <c r="E1241" s="4" t="str">
        <f>IFERROR(__xludf.DUMMYFUNCTION("""COMPUTED_VALUE"""),"BANDUNG")</f>
        <v>BANDUNG</v>
      </c>
      <c r="F1241" s="4" t="str">
        <f>IFERROR(__xludf.DUMMYFUNCTION("""COMPUTED_VALUE"""),"CIJAWURA")</f>
        <v>CIJAWURA</v>
      </c>
      <c r="G1241" s="4" t="str">
        <f>IFERROR(__xludf.DUMMYFUNCTION("""COMPUTED_VALUE"""),"GIS KIARACONDONG")</f>
        <v>GIS KIARACONDONG</v>
      </c>
      <c r="H1241" s="4" t="str">
        <f>IFERROR(__xludf.DUMMYFUNCTION("""COMPUTED_VALUE"""),"KMO")</f>
        <v>KMO</v>
      </c>
      <c r="I1241" s="4" t="str">
        <f>IFERROR(__xludf.DUMMYFUNCTION("""COMPUTED_VALUE"""),"REC. BMCA - LBS YKE")</f>
        <v>REC. BMCA - LBS YKE</v>
      </c>
      <c r="J1241" s="4" t="str">
        <f>IFERROR(__xludf.DUMMYFUNCTION("""COMPUTED_VALUE"""),"ZONA 3")</f>
        <v>ZONA 3</v>
      </c>
      <c r="K1241" s="4" t="str">
        <f>IFERROR(__xludf.DUMMYFUNCTION("""COMPUTED_VALUE"""),"030L17")</f>
        <v>030L17</v>
      </c>
      <c r="L1241" s="4" t="str">
        <f>IFERROR(__xludf.DUMMYFUNCTION("""COMPUTED_VALUE"""),"TM - 4B/H (Afspan)")</f>
        <v>TM - 4B/H (Afspan)</v>
      </c>
      <c r="M1241" s="4" t="str">
        <f>IFERROR(__xludf.DUMMYFUNCTION("""COMPUTED_VALUE"""),"Tidak Ada")</f>
        <v>Tidak Ada</v>
      </c>
      <c r="N1241" s="4"/>
      <c r="O1241" s="4" t="str">
        <f>IFERROR(__xludf.DUMMYFUNCTION("""COMPUTED_VALUE"""),"PEMBANDING SEJENIS")</f>
        <v>PEMBANDING SEJENIS</v>
      </c>
      <c r="P1241" s="4" t="str">
        <f>IFERROR(__xludf.DUMMYFUNCTION("""COMPUTED_VALUE"""),"KONEKTOR/JUMPER")</f>
        <v>KONEKTOR/JUMPER</v>
      </c>
      <c r="Q1241" s="4">
        <f>IFERROR(__xludf.DUMMYFUNCTION("""COMPUTED_VALUE"""),20.0)</f>
        <v>20</v>
      </c>
      <c r="R1241" s="4">
        <f>IFERROR(__xludf.DUMMYFUNCTION("""COMPUTED_VALUE"""),22.0)</f>
        <v>22</v>
      </c>
      <c r="S1241" s="4">
        <f>IFERROR(__xludf.DUMMYFUNCTION("""COMPUTED_VALUE"""),20.0)</f>
        <v>20</v>
      </c>
      <c r="T1241" s="4"/>
      <c r="U1241" s="4" t="str">
        <f>IFERROR(__xludf.DUMMYFUNCTION("""COMPUTED_VALUE"""),"BAIK")</f>
        <v>BAIK</v>
      </c>
      <c r="V1241" s="4" t="str">
        <f>IFERROR(__xludf.DUMMYFUNCTION("""COMPUTED_VALUE"""),"Tidak Ada")</f>
        <v>Tidak Ada</v>
      </c>
      <c r="W1241" s="4"/>
      <c r="X1241" s="4"/>
      <c r="Y1241" s="4"/>
      <c r="Z1241" s="4"/>
      <c r="AA1241" s="4"/>
      <c r="AB1241" s="4"/>
      <c r="AC1241" s="4" t="str">
        <f>IFERROR(__xludf.DUMMYFUNCTION("""COMPUTED_VALUE"""),"INSPEKSI SUTM - T2_Images/bebc0b59.FOTO.162008.jpg")</f>
        <v>INSPEKSI SUTM - T2_Images/bebc0b59.FOTO.162008.jpg</v>
      </c>
      <c r="AD1241" s="4"/>
      <c r="AE1241" s="4"/>
      <c r="AF1241" s="4" t="str">
        <f>IFERROR(__xludf.DUMMYFUNCTION("""COMPUTED_VALUE"""),"BELUM")</f>
        <v>BELUM</v>
      </c>
      <c r="AG1241" s="6">
        <f>IFERROR(__xludf.DUMMYFUNCTION("""COMPUTED_VALUE"""),46140.0)</f>
        <v>46140</v>
      </c>
      <c r="AH1241" s="4"/>
      <c r="AI1241" s="4"/>
    </row>
    <row r="1242" ht="15.75" customHeight="1">
      <c r="A1242" s="4" t="str">
        <f>IFERROR(__xludf.DUMMYFUNCTION("""COMPUTED_VALUE"""),"ff465b2f")</f>
        <v>ff465b2f</v>
      </c>
      <c r="B1242" s="5">
        <f>IFERROR(__xludf.DUMMYFUNCTION("""COMPUTED_VALUE"""),46140.97211805556)</f>
        <v>46140.97212</v>
      </c>
      <c r="C1242" s="4" t="str">
        <f>IFERROR(__xludf.DUMMYFUNCTION("""COMPUTED_VALUE"""),"-6.899154, 107.645322")</f>
        <v>-6.899154, 107.645322</v>
      </c>
      <c r="D1242" s="4" t="str">
        <f>IFERROR(__xludf.DUMMYFUNCTION("""COMPUTED_VALUE"""),"Nugi firman")</f>
        <v>Nugi firman</v>
      </c>
      <c r="E1242" s="4" t="str">
        <f>IFERROR(__xludf.DUMMYFUNCTION("""COMPUTED_VALUE"""),"BANDUNG")</f>
        <v>BANDUNG</v>
      </c>
      <c r="F1242" s="4" t="str">
        <f>IFERROR(__xludf.DUMMYFUNCTION("""COMPUTED_VALUE"""),"BANDUNG SELATAN")</f>
        <v>BANDUNG SELATAN</v>
      </c>
      <c r="G1242" s="4" t="str">
        <f>IFERROR(__xludf.DUMMYFUNCTION("""COMPUTED_VALUE"""),"GI DAYEUHKOLOT")</f>
        <v>GI DAYEUHKOLOT</v>
      </c>
      <c r="H1242" s="4" t="str">
        <f>IFERROR(__xludf.DUMMYFUNCTION("""COMPUTED_VALUE"""),"DYPI")</f>
        <v>DYPI</v>
      </c>
      <c r="I1242" s="4" t="str">
        <f>IFERROR(__xludf.DUMMYFUNCTION("""COMPUTED_VALUE"""),"LBS BJS - LBS PBL")</f>
        <v>LBS BJS - LBS PBL</v>
      </c>
      <c r="J1242" s="4" t="str">
        <f>IFERROR(__xludf.DUMMYFUNCTION("""COMPUTED_VALUE"""),"ZONA 2")</f>
        <v>ZONA 2</v>
      </c>
      <c r="K1242" s="4" t="str">
        <f>IFERROR(__xludf.DUMMYFUNCTION("""COMPUTED_VALUE"""),"087")</f>
        <v>087</v>
      </c>
      <c r="L1242" s="4" t="str">
        <f>IFERROR(__xludf.DUMMYFUNCTION("""COMPUTED_VALUE"""),"TM - 16B/H (REC/SSO/LBS)")</f>
        <v>TM - 16B/H (REC/SSO/LBS)</v>
      </c>
      <c r="M1242" s="4" t="str">
        <f>IFERROR(__xludf.DUMMYFUNCTION("""COMPUTED_VALUE"""),"LBS")</f>
        <v>LBS</v>
      </c>
      <c r="N1242" s="4" t="str">
        <f>IFERROR(__xludf.DUMMYFUNCTION("""COMPUTED_VALUE"""),"Pbl")</f>
        <v>Pbl</v>
      </c>
      <c r="O1242" s="4" t="str">
        <f>IFERROR(__xludf.DUMMYFUNCTION("""COMPUTED_VALUE"""),"PEMBANDING SEJENIS")</f>
        <v>PEMBANDING SEJENIS</v>
      </c>
      <c r="P1242" s="4" t="str">
        <f>IFERROR(__xludf.DUMMYFUNCTION("""COMPUTED_VALUE"""),"KONEKTOR/JUMPER")</f>
        <v>KONEKTOR/JUMPER</v>
      </c>
      <c r="Q1242" s="4">
        <f>IFERROR(__xludf.DUMMYFUNCTION("""COMPUTED_VALUE"""),25.0)</f>
        <v>25</v>
      </c>
      <c r="R1242" s="4">
        <f>IFERROR(__xludf.DUMMYFUNCTION("""COMPUTED_VALUE"""),25.0)</f>
        <v>25</v>
      </c>
      <c r="S1242" s="4">
        <f>IFERROR(__xludf.DUMMYFUNCTION("""COMPUTED_VALUE"""),26.0)</f>
        <v>26</v>
      </c>
      <c r="T1242" s="4"/>
      <c r="U1242" s="4" t="str">
        <f>IFERROR(__xludf.DUMMYFUNCTION("""COMPUTED_VALUE"""),"BAIK")</f>
        <v>BAIK</v>
      </c>
      <c r="V1242" s="4" t="str">
        <f>IFERROR(__xludf.DUMMYFUNCTION("""COMPUTED_VALUE"""),"Tidak Ada")</f>
        <v>Tidak Ada</v>
      </c>
      <c r="W1242" s="4"/>
      <c r="X1242" s="4"/>
      <c r="Y1242" s="4"/>
      <c r="Z1242" s="4"/>
      <c r="AA1242" s="4"/>
      <c r="AB1242" s="4"/>
      <c r="AC1242" s="4" t="str">
        <f>IFERROR(__xludf.DUMMYFUNCTION("""COMPUTED_VALUE"""),"INSPEKSI SUTM - T2_Images/ff465b2f.FOTO.162048.jpg")</f>
        <v>INSPEKSI SUTM - T2_Images/ff465b2f.FOTO.162048.jpg</v>
      </c>
      <c r="AD1242" s="4"/>
      <c r="AE1242" s="4"/>
      <c r="AF1242" s="4" t="str">
        <f>IFERROR(__xludf.DUMMYFUNCTION("""COMPUTED_VALUE"""),"BELUM")</f>
        <v>BELUM</v>
      </c>
      <c r="AG1242" s="6">
        <f>IFERROR(__xludf.DUMMYFUNCTION("""COMPUTED_VALUE"""),46140.0)</f>
        <v>46140</v>
      </c>
      <c r="AH1242" s="4"/>
      <c r="AI1242" s="4"/>
    </row>
    <row r="1243" ht="15.75" customHeight="1">
      <c r="A1243" s="4" t="str">
        <f>IFERROR(__xludf.DUMMYFUNCTION("""COMPUTED_VALUE"""),"e647253d")</f>
        <v>e647253d</v>
      </c>
      <c r="B1243" s="5">
        <f>IFERROR(__xludf.DUMMYFUNCTION("""COMPUTED_VALUE"""),46140.97244212963)</f>
        <v>46140.97244</v>
      </c>
      <c r="C1243" s="4" t="str">
        <f>IFERROR(__xludf.DUMMYFUNCTION("""COMPUTED_VALUE"""),"-6.962727, 107.649340")</f>
        <v>-6.962727, 107.649340</v>
      </c>
      <c r="D1243" s="4" t="str">
        <f>IFERROR(__xludf.DUMMYFUNCTION("""COMPUTED_VALUE"""),"Jihan kiki")</f>
        <v>Jihan kiki</v>
      </c>
      <c r="E1243" s="4" t="str">
        <f>IFERROR(__xludf.DUMMYFUNCTION("""COMPUTED_VALUE"""),"BANDUNG")</f>
        <v>BANDUNG</v>
      </c>
      <c r="F1243" s="4" t="str">
        <f>IFERROR(__xludf.DUMMYFUNCTION("""COMPUTED_VALUE"""),"CIJAWURA")</f>
        <v>CIJAWURA</v>
      </c>
      <c r="G1243" s="4" t="str">
        <f>IFERROR(__xludf.DUMMYFUNCTION("""COMPUTED_VALUE"""),"GIS KIARACONDONG")</f>
        <v>GIS KIARACONDONG</v>
      </c>
      <c r="H1243" s="4" t="str">
        <f>IFERROR(__xludf.DUMMYFUNCTION("""COMPUTED_VALUE"""),"KMO")</f>
        <v>KMO</v>
      </c>
      <c r="I1243" s="4" t="str">
        <f>IFERROR(__xludf.DUMMYFUNCTION("""COMPUTED_VALUE"""),"REC. BMCA - LBS YKE")</f>
        <v>REC. BMCA - LBS YKE</v>
      </c>
      <c r="J1243" s="4" t="str">
        <f>IFERROR(__xludf.DUMMYFUNCTION("""COMPUTED_VALUE"""),"ZONA 3")</f>
        <v>ZONA 3</v>
      </c>
      <c r="K1243" s="4" t="str">
        <f>IFERROR(__xludf.DUMMYFUNCTION("""COMPUTED_VALUE"""),"030L18")</f>
        <v>030L18</v>
      </c>
      <c r="L1243" s="4" t="str">
        <f>IFERROR(__xludf.DUMMYFUNCTION("""COMPUTED_VALUE"""),"TM - 8B/H (Percabangan)")</f>
        <v>TM - 8B/H (Percabangan)</v>
      </c>
      <c r="M1243" s="4" t="str">
        <f>IFERROR(__xludf.DUMMYFUNCTION("""COMPUTED_VALUE"""),"Tidak Ada")</f>
        <v>Tidak Ada</v>
      </c>
      <c r="N1243" s="4"/>
      <c r="O1243" s="4" t="str">
        <f>IFERROR(__xludf.DUMMYFUNCTION("""COMPUTED_VALUE"""),"PEMBANDING SEJENIS")</f>
        <v>PEMBANDING SEJENIS</v>
      </c>
      <c r="P1243" s="4" t="str">
        <f>IFERROR(__xludf.DUMMYFUNCTION("""COMPUTED_VALUE"""),"KONEKTOR/JUMPER")</f>
        <v>KONEKTOR/JUMPER</v>
      </c>
      <c r="Q1243" s="4">
        <f>IFERROR(__xludf.DUMMYFUNCTION("""COMPUTED_VALUE"""),23.0)</f>
        <v>23</v>
      </c>
      <c r="R1243" s="4">
        <f>IFERROR(__xludf.DUMMYFUNCTION("""COMPUTED_VALUE"""),22.0)</f>
        <v>22</v>
      </c>
      <c r="S1243" s="4">
        <f>IFERROR(__xludf.DUMMYFUNCTION("""COMPUTED_VALUE"""),20.0)</f>
        <v>20</v>
      </c>
      <c r="T1243" s="4"/>
      <c r="U1243" s="4" t="str">
        <f>IFERROR(__xludf.DUMMYFUNCTION("""COMPUTED_VALUE"""),"CUKUP")</f>
        <v>CUKUP</v>
      </c>
      <c r="V1243" s="4" t="str">
        <f>IFERROR(__xludf.DUMMYFUNCTION("""COMPUTED_VALUE"""),"Tidak Ada")</f>
        <v>Tidak Ada</v>
      </c>
      <c r="W1243" s="4"/>
      <c r="X1243" s="4"/>
      <c r="Y1243" s="4"/>
      <c r="Z1243" s="4"/>
      <c r="AA1243" s="4"/>
      <c r="AB1243" s="4"/>
      <c r="AC1243" s="4" t="str">
        <f>IFERROR(__xludf.DUMMYFUNCTION("""COMPUTED_VALUE"""),"INSPEKSI SUTM - T2_Images/e647253d.FOTO.162058.jpg")</f>
        <v>INSPEKSI SUTM - T2_Images/e647253d.FOTO.162058.jpg</v>
      </c>
      <c r="AD1243" s="4"/>
      <c r="AE1243" s="4"/>
      <c r="AF1243" s="4" t="str">
        <f>IFERROR(__xludf.DUMMYFUNCTION("""COMPUTED_VALUE"""),"BELUM")</f>
        <v>BELUM</v>
      </c>
      <c r="AG1243" s="6">
        <f>IFERROR(__xludf.DUMMYFUNCTION("""COMPUTED_VALUE"""),46140.0)</f>
        <v>46140</v>
      </c>
      <c r="AH1243" s="4"/>
      <c r="AI1243" s="4"/>
    </row>
    <row r="1244" ht="15.75" customHeight="1">
      <c r="A1244" s="4" t="str">
        <f>IFERROR(__xludf.DUMMYFUNCTION("""COMPUTED_VALUE"""),"e5d69991")</f>
        <v>e5d69991</v>
      </c>
      <c r="B1244" s="5">
        <f>IFERROR(__xludf.DUMMYFUNCTION("""COMPUTED_VALUE"""),46140.973287037035)</f>
        <v>46140.97329</v>
      </c>
      <c r="C1244" s="4" t="str">
        <f>IFERROR(__xludf.DUMMYFUNCTION("""COMPUTED_VALUE"""),"-6.963197, 107.649294")</f>
        <v>-6.963197, 107.649294</v>
      </c>
      <c r="D1244" s="4" t="str">
        <f>IFERROR(__xludf.DUMMYFUNCTION("""COMPUTED_VALUE"""),"Jihan kiki")</f>
        <v>Jihan kiki</v>
      </c>
      <c r="E1244" s="4" t="str">
        <f>IFERROR(__xludf.DUMMYFUNCTION("""COMPUTED_VALUE"""),"BANDUNG")</f>
        <v>BANDUNG</v>
      </c>
      <c r="F1244" s="4" t="str">
        <f>IFERROR(__xludf.DUMMYFUNCTION("""COMPUTED_VALUE"""),"CIJAWURA")</f>
        <v>CIJAWURA</v>
      </c>
      <c r="G1244" s="4" t="str">
        <f>IFERROR(__xludf.DUMMYFUNCTION("""COMPUTED_VALUE"""),"GIS KIARACONDONG")</f>
        <v>GIS KIARACONDONG</v>
      </c>
      <c r="H1244" s="4" t="str">
        <f>IFERROR(__xludf.DUMMYFUNCTION("""COMPUTED_VALUE"""),"KMO")</f>
        <v>KMO</v>
      </c>
      <c r="I1244" s="4" t="str">
        <f>IFERROR(__xludf.DUMMYFUNCTION("""COMPUTED_VALUE"""),"REC. BMCA - LBS YKE")</f>
        <v>REC. BMCA - LBS YKE</v>
      </c>
      <c r="J1244" s="4" t="str">
        <f>IFERROR(__xludf.DUMMYFUNCTION("""COMPUTED_VALUE"""),"ZONA 3")</f>
        <v>ZONA 3</v>
      </c>
      <c r="K1244" s="4" t="str">
        <f>IFERROR(__xludf.DUMMYFUNCTION("""COMPUTED_VALUE"""),"030L18R02")</f>
        <v>030L18R02</v>
      </c>
      <c r="L1244" s="4" t="str">
        <f>IFERROR(__xludf.DUMMYFUNCTION("""COMPUTED_VALUE"""),"TM - 7B/H (Afspan 90 Derajat)")</f>
        <v>TM - 7B/H (Afspan 90 Derajat)</v>
      </c>
      <c r="M1244" s="4" t="str">
        <f>IFERROR(__xludf.DUMMYFUNCTION("""COMPUTED_VALUE"""),"Tidak Ada")</f>
        <v>Tidak Ada</v>
      </c>
      <c r="N1244" s="4"/>
      <c r="O1244" s="4" t="str">
        <f>IFERROR(__xludf.DUMMYFUNCTION("""COMPUTED_VALUE"""),"PEMBANDING SEJENIS")</f>
        <v>PEMBANDING SEJENIS</v>
      </c>
      <c r="P1244" s="4" t="str">
        <f>IFERROR(__xludf.DUMMYFUNCTION("""COMPUTED_VALUE"""),"KONEKTOR/JUMPER")</f>
        <v>KONEKTOR/JUMPER</v>
      </c>
      <c r="Q1244" s="4">
        <f>IFERROR(__xludf.DUMMYFUNCTION("""COMPUTED_VALUE"""),22.0)</f>
        <v>22</v>
      </c>
      <c r="R1244" s="4">
        <f>IFERROR(__xludf.DUMMYFUNCTION("""COMPUTED_VALUE"""),23.0)</f>
        <v>23</v>
      </c>
      <c r="S1244" s="4">
        <f>IFERROR(__xludf.DUMMYFUNCTION("""COMPUTED_VALUE"""),22.0)</f>
        <v>22</v>
      </c>
      <c r="T1244" s="4"/>
      <c r="U1244" s="4" t="str">
        <f>IFERROR(__xludf.DUMMYFUNCTION("""COMPUTED_VALUE"""),"BAIK")</f>
        <v>BAIK</v>
      </c>
      <c r="V1244" s="4" t="str">
        <f>IFERROR(__xludf.DUMMYFUNCTION("""COMPUTED_VALUE"""),"Tidak Ada")</f>
        <v>Tidak Ada</v>
      </c>
      <c r="W1244" s="4"/>
      <c r="X1244" s="4"/>
      <c r="Y1244" s="4"/>
      <c r="Z1244" s="4"/>
      <c r="AA1244" s="4"/>
      <c r="AB1244" s="4"/>
      <c r="AC1244" s="4" t="str">
        <f>IFERROR(__xludf.DUMMYFUNCTION("""COMPUTED_VALUE"""),"INSPEKSI SUTM - T2_Images/e5d69991.FOTO.162215.jpg")</f>
        <v>INSPEKSI SUTM - T2_Images/e5d69991.FOTO.162215.jpg</v>
      </c>
      <c r="AD1244" s="4"/>
      <c r="AE1244" s="4"/>
      <c r="AF1244" s="4" t="str">
        <f>IFERROR(__xludf.DUMMYFUNCTION("""COMPUTED_VALUE"""),"BELUM")</f>
        <v>BELUM</v>
      </c>
      <c r="AG1244" s="6">
        <f>IFERROR(__xludf.DUMMYFUNCTION("""COMPUTED_VALUE"""),46140.0)</f>
        <v>46140</v>
      </c>
      <c r="AH1244" s="4"/>
      <c r="AI1244" s="4"/>
    </row>
    <row r="1245" ht="15.75" customHeight="1">
      <c r="A1245" s="4" t="str">
        <f>IFERROR(__xludf.DUMMYFUNCTION("""COMPUTED_VALUE"""),"34cf32db")</f>
        <v>34cf32db</v>
      </c>
      <c r="B1245" s="5">
        <f>IFERROR(__xludf.DUMMYFUNCTION("""COMPUTED_VALUE"""),46140.97388888889)</f>
        <v>46140.97389</v>
      </c>
      <c r="C1245" s="4" t="str">
        <f>IFERROR(__xludf.DUMMYFUNCTION("""COMPUTED_VALUE"""),"-6.963142, 107.648903")</f>
        <v>-6.963142, 107.648903</v>
      </c>
      <c r="D1245" s="4" t="str">
        <f>IFERROR(__xludf.DUMMYFUNCTION("""COMPUTED_VALUE"""),"Jihan kiki")</f>
        <v>Jihan kiki</v>
      </c>
      <c r="E1245" s="4" t="str">
        <f>IFERROR(__xludf.DUMMYFUNCTION("""COMPUTED_VALUE"""),"BANDUNG")</f>
        <v>BANDUNG</v>
      </c>
      <c r="F1245" s="4" t="str">
        <f>IFERROR(__xludf.DUMMYFUNCTION("""COMPUTED_VALUE"""),"CIJAWURA")</f>
        <v>CIJAWURA</v>
      </c>
      <c r="G1245" s="4" t="str">
        <f>IFERROR(__xludf.DUMMYFUNCTION("""COMPUTED_VALUE"""),"GIS KIARACONDONG")</f>
        <v>GIS KIARACONDONG</v>
      </c>
      <c r="H1245" s="4" t="str">
        <f>IFERROR(__xludf.DUMMYFUNCTION("""COMPUTED_VALUE"""),"KMO")</f>
        <v>KMO</v>
      </c>
      <c r="I1245" s="4" t="str">
        <f>IFERROR(__xludf.DUMMYFUNCTION("""COMPUTED_VALUE"""),"REC. BMCA - LBS YKE")</f>
        <v>REC. BMCA - LBS YKE</v>
      </c>
      <c r="J1245" s="4" t="str">
        <f>IFERROR(__xludf.DUMMYFUNCTION("""COMPUTED_VALUE"""),"ZONA 3")</f>
        <v>ZONA 3</v>
      </c>
      <c r="K1245" s="4" t="str">
        <f>IFERROR(__xludf.DUMMYFUNCTION("""COMPUTED_VALUE"""),"030L18R04")</f>
        <v>030L18R04</v>
      </c>
      <c r="L1245" s="4" t="str">
        <f>IFERROR(__xludf.DUMMYFUNCTION("""COMPUTED_VALUE"""),"TM - 14B/H (Akhir)")</f>
        <v>TM - 14B/H (Akhir)</v>
      </c>
      <c r="M1245" s="4" t="str">
        <f>IFERROR(__xludf.DUMMYFUNCTION("""COMPUTED_VALUE"""),"Tidak Ada")</f>
        <v>Tidak Ada</v>
      </c>
      <c r="N1245" s="4"/>
      <c r="O1245" s="4" t="str">
        <f>IFERROR(__xludf.DUMMYFUNCTION("""COMPUTED_VALUE"""),"PEMBANDING SEJENIS")</f>
        <v>PEMBANDING SEJENIS</v>
      </c>
      <c r="P1245" s="4" t="str">
        <f>IFERROR(__xludf.DUMMYFUNCTION("""COMPUTED_VALUE"""),"KONEKTOR/JUMPER")</f>
        <v>KONEKTOR/JUMPER</v>
      </c>
      <c r="Q1245" s="4">
        <f>IFERROR(__xludf.DUMMYFUNCTION("""COMPUTED_VALUE"""),20.0)</f>
        <v>20</v>
      </c>
      <c r="R1245" s="4">
        <f>IFERROR(__xludf.DUMMYFUNCTION("""COMPUTED_VALUE"""),21.0)</f>
        <v>21</v>
      </c>
      <c r="S1245" s="4">
        <f>IFERROR(__xludf.DUMMYFUNCTION("""COMPUTED_VALUE"""),25.0)</f>
        <v>25</v>
      </c>
      <c r="T1245" s="4"/>
      <c r="U1245" s="4" t="str">
        <f>IFERROR(__xludf.DUMMYFUNCTION("""COMPUTED_VALUE"""),"CUKUP")</f>
        <v>CUKUP</v>
      </c>
      <c r="V1245" s="4" t="str">
        <f>IFERROR(__xludf.DUMMYFUNCTION("""COMPUTED_VALUE"""),"Tidak Ada")</f>
        <v>Tidak Ada</v>
      </c>
      <c r="W1245" s="4"/>
      <c r="X1245" s="4"/>
      <c r="Y1245" s="4"/>
      <c r="Z1245" s="4"/>
      <c r="AA1245" s="4"/>
      <c r="AB1245" s="4"/>
      <c r="AC1245" s="4" t="str">
        <f>IFERROR(__xludf.DUMMYFUNCTION("""COMPUTED_VALUE"""),"INSPEKSI SUTM - T2_Images/34cf32db.FOTO.162307.jpg")</f>
        <v>INSPEKSI SUTM - T2_Images/34cf32db.FOTO.162307.jpg</v>
      </c>
      <c r="AD1245" s="4"/>
      <c r="AE1245" s="4"/>
      <c r="AF1245" s="4" t="str">
        <f>IFERROR(__xludf.DUMMYFUNCTION("""COMPUTED_VALUE"""),"BELUM")</f>
        <v>BELUM</v>
      </c>
      <c r="AG1245" s="6">
        <f>IFERROR(__xludf.DUMMYFUNCTION("""COMPUTED_VALUE"""),46140.0)</f>
        <v>46140</v>
      </c>
      <c r="AH1245" s="4"/>
      <c r="AI1245" s="4"/>
    </row>
    <row r="1246" ht="15.75" customHeight="1">
      <c r="A1246" s="4" t="str">
        <f>IFERROR(__xludf.DUMMYFUNCTION("""COMPUTED_VALUE"""),"cba09685")</f>
        <v>cba09685</v>
      </c>
      <c r="B1246" s="5">
        <f>IFERROR(__xludf.DUMMYFUNCTION("""COMPUTED_VALUE"""),46140.973807870374)</f>
        <v>46140.97381</v>
      </c>
      <c r="C1246" s="4" t="str">
        <f>IFERROR(__xludf.DUMMYFUNCTION("""COMPUTED_VALUE"""),"-6.899142, 107.645322")</f>
        <v>-6.899142, 107.645322</v>
      </c>
      <c r="D1246" s="4" t="str">
        <f>IFERROR(__xludf.DUMMYFUNCTION("""COMPUTED_VALUE"""),"Nygi firman")</f>
        <v>Nygi firman</v>
      </c>
      <c r="E1246" s="4" t="str">
        <f>IFERROR(__xludf.DUMMYFUNCTION("""COMPUTED_VALUE"""),"BANDUNG")</f>
        <v>BANDUNG</v>
      </c>
      <c r="F1246" s="4" t="str">
        <f>IFERROR(__xludf.DUMMYFUNCTION("""COMPUTED_VALUE"""),"KOPO")</f>
        <v>KOPO</v>
      </c>
      <c r="G1246" s="4" t="str">
        <f>IFERROR(__xludf.DUMMYFUNCTION("""COMPUTED_VALUE"""),"CIGERELENG")</f>
        <v>CIGERELENG</v>
      </c>
      <c r="H1246" s="4" t="str">
        <f>IFERROR(__xludf.DUMMYFUNCTION("""COMPUTED_VALUE"""),"CKM")</f>
        <v>CKM</v>
      </c>
      <c r="I1246" s="4" t="str">
        <f>IFERROR(__xludf.DUMMYFUNCTION("""COMPUTED_VALUE"""),"LBS KPL - YHS")</f>
        <v>LBS KPL - YHS</v>
      </c>
      <c r="J1246" s="4" t="str">
        <f>IFERROR(__xludf.DUMMYFUNCTION("""COMPUTED_VALUE"""),"ZONA 2")</f>
        <v>ZONA 2</v>
      </c>
      <c r="K1246" s="4" t="str">
        <f>IFERROR(__xludf.DUMMYFUNCTION("""COMPUTED_VALUE"""),"027R02")</f>
        <v>027R02</v>
      </c>
      <c r="L1246" s="4" t="str">
        <f>IFERROR(__xludf.DUMMYFUNCTION("""COMPUTED_VALUE"""),"TM - 16B/H (REC/SSO/LBS)")</f>
        <v>TM - 16B/H (REC/SSO/LBS)</v>
      </c>
      <c r="M1246" s="4" t="str">
        <f>IFERROR(__xludf.DUMMYFUNCTION("""COMPUTED_VALUE"""),"LBS")</f>
        <v>LBS</v>
      </c>
      <c r="N1246" s="4" t="str">
        <f>IFERROR(__xludf.DUMMYFUNCTION("""COMPUTED_VALUE"""),"Kpl")</f>
        <v>Kpl</v>
      </c>
      <c r="O1246" s="4" t="str">
        <f>IFERROR(__xludf.DUMMYFUNCTION("""COMPUTED_VALUE"""),"PEMBANDING SEJENIS")</f>
        <v>PEMBANDING SEJENIS</v>
      </c>
      <c r="P1246" s="4" t="str">
        <f>IFERROR(__xludf.DUMMYFUNCTION("""COMPUTED_VALUE"""),"KONEKTOR/JUMPER")</f>
        <v>KONEKTOR/JUMPER</v>
      </c>
      <c r="Q1246" s="4">
        <f>IFERROR(__xludf.DUMMYFUNCTION("""COMPUTED_VALUE"""),19.0)</f>
        <v>19</v>
      </c>
      <c r="R1246" s="4">
        <f>IFERROR(__xludf.DUMMYFUNCTION("""COMPUTED_VALUE"""),20.0)</f>
        <v>20</v>
      </c>
      <c r="S1246" s="4">
        <f>IFERROR(__xludf.DUMMYFUNCTION("""COMPUTED_VALUE"""),18.0)</f>
        <v>18</v>
      </c>
      <c r="T1246" s="4"/>
      <c r="U1246" s="4" t="str">
        <f>IFERROR(__xludf.DUMMYFUNCTION("""COMPUTED_VALUE"""),"BAIK")</f>
        <v>BAIK</v>
      </c>
      <c r="V1246" s="4" t="str">
        <f>IFERROR(__xludf.DUMMYFUNCTION("""COMPUTED_VALUE"""),"Tidak Ada")</f>
        <v>Tidak Ada</v>
      </c>
      <c r="W1246" s="4"/>
      <c r="X1246" s="4"/>
      <c r="Y1246" s="4"/>
      <c r="Z1246" s="4"/>
      <c r="AA1246" s="4"/>
      <c r="AB1246" s="4"/>
      <c r="AC1246" s="4" t="str">
        <f>IFERROR(__xludf.DUMMYFUNCTION("""COMPUTED_VALUE"""),"INSPEKSI SUTM - T2_Images/cba09685.FOTO.162348.jpg")</f>
        <v>INSPEKSI SUTM - T2_Images/cba09685.FOTO.162348.jpg</v>
      </c>
      <c r="AD1246" s="4"/>
      <c r="AE1246" s="4"/>
      <c r="AF1246" s="4" t="str">
        <f>IFERROR(__xludf.DUMMYFUNCTION("""COMPUTED_VALUE"""),"BELUM")</f>
        <v>BELUM</v>
      </c>
      <c r="AG1246" s="6">
        <f>IFERROR(__xludf.DUMMYFUNCTION("""COMPUTED_VALUE"""),46140.0)</f>
        <v>46140</v>
      </c>
      <c r="AH1246" s="4"/>
      <c r="AI1246" s="4"/>
    </row>
    <row r="1247" ht="15.75" customHeight="1">
      <c r="A1247" s="4" t="str">
        <f>IFERROR(__xludf.DUMMYFUNCTION("""COMPUTED_VALUE"""),"273def2a")</f>
        <v>273def2a</v>
      </c>
      <c r="B1247" s="5">
        <f>IFERROR(__xludf.DUMMYFUNCTION("""COMPUTED_VALUE"""),46140.9747337963)</f>
        <v>46140.97473</v>
      </c>
      <c r="C1247" s="4" t="str">
        <f>IFERROR(__xludf.DUMMYFUNCTION("""COMPUTED_VALUE"""),"-6.962945, 107.650937")</f>
        <v>-6.962945, 107.650937</v>
      </c>
      <c r="D1247" s="4" t="str">
        <f>IFERROR(__xludf.DUMMYFUNCTION("""COMPUTED_VALUE"""),"Jihan kiki")</f>
        <v>Jihan kiki</v>
      </c>
      <c r="E1247" s="4" t="str">
        <f>IFERROR(__xludf.DUMMYFUNCTION("""COMPUTED_VALUE"""),"BANDUNG")</f>
        <v>BANDUNG</v>
      </c>
      <c r="F1247" s="4" t="str">
        <f>IFERROR(__xludf.DUMMYFUNCTION("""COMPUTED_VALUE"""),"CIJAWURA")</f>
        <v>CIJAWURA</v>
      </c>
      <c r="G1247" s="4" t="str">
        <f>IFERROR(__xludf.DUMMYFUNCTION("""COMPUTED_VALUE"""),"GIS KIARACONDONG")</f>
        <v>GIS KIARACONDONG</v>
      </c>
      <c r="H1247" s="4" t="str">
        <f>IFERROR(__xludf.DUMMYFUNCTION("""COMPUTED_VALUE"""),"KMO")</f>
        <v>KMO</v>
      </c>
      <c r="I1247" s="4" t="str">
        <f>IFERROR(__xludf.DUMMYFUNCTION("""COMPUTED_VALUE"""),"REC. BMCA - LBS YKE")</f>
        <v>REC. BMCA - LBS YKE</v>
      </c>
      <c r="J1247" s="4" t="str">
        <f>IFERROR(__xludf.DUMMYFUNCTION("""COMPUTED_VALUE"""),"ZONA 3")</f>
        <v>ZONA 3</v>
      </c>
      <c r="K1247" s="4" t="str">
        <f>IFERROR(__xludf.DUMMYFUNCTION("""COMPUTED_VALUE"""),"030L22")</f>
        <v>030L22</v>
      </c>
      <c r="L1247" s="4" t="str">
        <f>IFERROR(__xludf.DUMMYFUNCTION("""COMPUTED_VALUE"""),"TM - 7B/H (Afspan 90 Derajat)")</f>
        <v>TM - 7B/H (Afspan 90 Derajat)</v>
      </c>
      <c r="M1247" s="4" t="str">
        <f>IFERROR(__xludf.DUMMYFUNCTION("""COMPUTED_VALUE"""),"Tidak Ada")</f>
        <v>Tidak Ada</v>
      </c>
      <c r="N1247" s="4"/>
      <c r="O1247" s="4" t="str">
        <f>IFERROR(__xludf.DUMMYFUNCTION("""COMPUTED_VALUE"""),"PEMBANDING SEJENIS")</f>
        <v>PEMBANDING SEJENIS</v>
      </c>
      <c r="P1247" s="4" t="str">
        <f>IFERROR(__xludf.DUMMYFUNCTION("""COMPUTED_VALUE"""),"KONEKTOR/JUMPER")</f>
        <v>KONEKTOR/JUMPER</v>
      </c>
      <c r="Q1247" s="4">
        <f>IFERROR(__xludf.DUMMYFUNCTION("""COMPUTED_VALUE"""),22.0)</f>
        <v>22</v>
      </c>
      <c r="R1247" s="4">
        <f>IFERROR(__xludf.DUMMYFUNCTION("""COMPUTED_VALUE"""),20.0)</f>
        <v>20</v>
      </c>
      <c r="S1247" s="4">
        <f>IFERROR(__xludf.DUMMYFUNCTION("""COMPUTED_VALUE"""),22.0)</f>
        <v>22</v>
      </c>
      <c r="T1247" s="4"/>
      <c r="U1247" s="4" t="str">
        <f>IFERROR(__xludf.DUMMYFUNCTION("""COMPUTED_VALUE"""),"BAIK")</f>
        <v>BAIK</v>
      </c>
      <c r="V1247" s="4" t="str">
        <f>IFERROR(__xludf.DUMMYFUNCTION("""COMPUTED_VALUE"""),"Tidak Ada")</f>
        <v>Tidak Ada</v>
      </c>
      <c r="W1247" s="4"/>
      <c r="X1247" s="4"/>
      <c r="Y1247" s="4"/>
      <c r="Z1247" s="4"/>
      <c r="AA1247" s="4"/>
      <c r="AB1247" s="4"/>
      <c r="AC1247" s="4" t="str">
        <f>IFERROR(__xludf.DUMMYFUNCTION("""COMPUTED_VALUE"""),"INSPEKSI SUTM - T2_Images/273def2a.FOTO.162413.jpg")</f>
        <v>INSPEKSI SUTM - T2_Images/273def2a.FOTO.162413.jpg</v>
      </c>
      <c r="AD1247" s="4"/>
      <c r="AE1247" s="4"/>
      <c r="AF1247" s="4" t="str">
        <f>IFERROR(__xludf.DUMMYFUNCTION("""COMPUTED_VALUE"""),"BELUM")</f>
        <v>BELUM</v>
      </c>
      <c r="AG1247" s="6">
        <f>IFERROR(__xludf.DUMMYFUNCTION("""COMPUTED_VALUE"""),46140.0)</f>
        <v>46140</v>
      </c>
      <c r="AH1247" s="4"/>
      <c r="AI1247" s="4"/>
    </row>
    <row r="1248" ht="15.75" customHeight="1">
      <c r="A1248" s="4" t="str">
        <f>IFERROR(__xludf.DUMMYFUNCTION("""COMPUTED_VALUE"""),"6cbccbe3")</f>
        <v>6cbccbe3</v>
      </c>
      <c r="B1248" s="5">
        <f>IFERROR(__xludf.DUMMYFUNCTION("""COMPUTED_VALUE"""),46140.97487268518)</f>
        <v>46140.97487</v>
      </c>
      <c r="C1248" s="4" t="str">
        <f>IFERROR(__xludf.DUMMYFUNCTION("""COMPUTED_VALUE"""),"-6.899149, 107.645329")</f>
        <v>-6.899149, 107.645329</v>
      </c>
      <c r="D1248" s="4" t="str">
        <f>IFERROR(__xludf.DUMMYFUNCTION("""COMPUTED_VALUE"""),"Nugi firman")</f>
        <v>Nugi firman</v>
      </c>
      <c r="E1248" s="4" t="str">
        <f>IFERROR(__xludf.DUMMYFUNCTION("""COMPUTED_VALUE"""),"BANDUNG")</f>
        <v>BANDUNG</v>
      </c>
      <c r="F1248" s="4" t="str">
        <f>IFERROR(__xludf.DUMMYFUNCTION("""COMPUTED_VALUE"""),"KOPO")</f>
        <v>KOPO</v>
      </c>
      <c r="G1248" s="4" t="str">
        <f>IFERROR(__xludf.DUMMYFUNCTION("""COMPUTED_VALUE"""),"CIGERELENG")</f>
        <v>CIGERELENG</v>
      </c>
      <c r="H1248" s="4" t="str">
        <f>IFERROR(__xludf.DUMMYFUNCTION("""COMPUTED_VALUE"""),"CKM")</f>
        <v>CKM</v>
      </c>
      <c r="I1248" s="4" t="str">
        <f>IFERROR(__xludf.DUMMYFUNCTION("""COMPUTED_VALUE"""),"LBS KPL - YHS")</f>
        <v>LBS KPL - YHS</v>
      </c>
      <c r="J1248" s="4" t="str">
        <f>IFERROR(__xludf.DUMMYFUNCTION("""COMPUTED_VALUE"""),"ZONA 2")</f>
        <v>ZONA 2</v>
      </c>
      <c r="K1248" s="4" t="str">
        <f>IFERROR(__xludf.DUMMYFUNCTION("""COMPUTED_VALUE"""),"027R03")</f>
        <v>027R03</v>
      </c>
      <c r="L1248" s="4" t="str">
        <f>IFERROR(__xludf.DUMMYFUNCTION("""COMPUTED_VALUE"""),"TM - 8B/H (Percabangan)")</f>
        <v>TM - 8B/H (Percabangan)</v>
      </c>
      <c r="M1248" s="4" t="str">
        <f>IFERROR(__xludf.DUMMYFUNCTION("""COMPUTED_VALUE"""),"Tidak Ada")</f>
        <v>Tidak Ada</v>
      </c>
      <c r="N1248" s="4"/>
      <c r="O1248" s="4" t="str">
        <f>IFERROR(__xludf.DUMMYFUNCTION("""COMPUTED_VALUE"""),"PEMBANDING SEJENIS")</f>
        <v>PEMBANDING SEJENIS</v>
      </c>
      <c r="P1248" s="4" t="str">
        <f>IFERROR(__xludf.DUMMYFUNCTION("""COMPUTED_VALUE"""),"KONEKTOR/JUMPER")</f>
        <v>KONEKTOR/JUMPER</v>
      </c>
      <c r="Q1248" s="4">
        <f>IFERROR(__xludf.DUMMYFUNCTION("""COMPUTED_VALUE"""),19.0)</f>
        <v>19</v>
      </c>
      <c r="R1248" s="4">
        <f>IFERROR(__xludf.DUMMYFUNCTION("""COMPUTED_VALUE"""),19.0)</f>
        <v>19</v>
      </c>
      <c r="S1248" s="4">
        <f>IFERROR(__xludf.DUMMYFUNCTION("""COMPUTED_VALUE"""),20.0)</f>
        <v>20</v>
      </c>
      <c r="T1248" s="4"/>
      <c r="U1248" s="4" t="str">
        <f>IFERROR(__xludf.DUMMYFUNCTION("""COMPUTED_VALUE"""),"BAIK")</f>
        <v>BAIK</v>
      </c>
      <c r="V1248" s="4" t="str">
        <f>IFERROR(__xludf.DUMMYFUNCTION("""COMPUTED_VALUE"""),"Tidak Ada")</f>
        <v>Tidak Ada</v>
      </c>
      <c r="W1248" s="4"/>
      <c r="X1248" s="4"/>
      <c r="Y1248" s="4"/>
      <c r="Z1248" s="4"/>
      <c r="AA1248" s="4"/>
      <c r="AB1248" s="4"/>
      <c r="AC1248" s="4" t="str">
        <f>IFERROR(__xludf.DUMMYFUNCTION("""COMPUTED_VALUE"""),"INSPEKSI SUTM - T2_Images/6cbccbe3.FOTO.162436.jpg")</f>
        <v>INSPEKSI SUTM - T2_Images/6cbccbe3.FOTO.162436.jpg</v>
      </c>
      <c r="AD1248" s="4"/>
      <c r="AE1248" s="4"/>
      <c r="AF1248" s="4" t="str">
        <f>IFERROR(__xludf.DUMMYFUNCTION("""COMPUTED_VALUE"""),"BELUM")</f>
        <v>BELUM</v>
      </c>
      <c r="AG1248" s="6">
        <f>IFERROR(__xludf.DUMMYFUNCTION("""COMPUTED_VALUE"""),46140.0)</f>
        <v>46140</v>
      </c>
      <c r="AH1248" s="4"/>
      <c r="AI1248" s="4"/>
    </row>
    <row r="1249" ht="15.75" customHeight="1">
      <c r="A1249" s="4" t="str">
        <f>IFERROR(__xludf.DUMMYFUNCTION("""COMPUTED_VALUE"""),"4f0abf24")</f>
        <v>4f0abf24</v>
      </c>
      <c r="B1249" s="5">
        <f>IFERROR(__xludf.DUMMYFUNCTION("""COMPUTED_VALUE"""),46140.97525462963)</f>
        <v>46140.97525</v>
      </c>
      <c r="C1249" s="4" t="str">
        <f>IFERROR(__xludf.DUMMYFUNCTION("""COMPUTED_VALUE"""),"-6.961864, 107.650926")</f>
        <v>-6.961864, 107.650926</v>
      </c>
      <c r="D1249" s="4" t="str">
        <f>IFERROR(__xludf.DUMMYFUNCTION("""COMPUTED_VALUE"""),"Jihan kiki")</f>
        <v>Jihan kiki</v>
      </c>
      <c r="E1249" s="4" t="str">
        <f>IFERROR(__xludf.DUMMYFUNCTION("""COMPUTED_VALUE"""),"BANDUNG")</f>
        <v>BANDUNG</v>
      </c>
      <c r="F1249" s="4" t="str">
        <f>IFERROR(__xludf.DUMMYFUNCTION("""COMPUTED_VALUE"""),"CIJAWURA")</f>
        <v>CIJAWURA</v>
      </c>
      <c r="G1249" s="4" t="str">
        <f>IFERROR(__xludf.DUMMYFUNCTION("""COMPUTED_VALUE"""),"GIS KIARACONDONG")</f>
        <v>GIS KIARACONDONG</v>
      </c>
      <c r="H1249" s="4" t="str">
        <f>IFERROR(__xludf.DUMMYFUNCTION("""COMPUTED_VALUE"""),"KMO")</f>
        <v>KMO</v>
      </c>
      <c r="I1249" s="4" t="str">
        <f>IFERROR(__xludf.DUMMYFUNCTION("""COMPUTED_VALUE"""),"REC. BMCA - LBS YKE")</f>
        <v>REC. BMCA - LBS YKE</v>
      </c>
      <c r="J1249" s="4" t="str">
        <f>IFERROR(__xludf.DUMMYFUNCTION("""COMPUTED_VALUE"""),"ZONA 3")</f>
        <v>ZONA 3</v>
      </c>
      <c r="K1249" s="4" t="str">
        <f>IFERROR(__xludf.DUMMYFUNCTION("""COMPUTED_VALUE"""),"030L25")</f>
        <v>030L25</v>
      </c>
      <c r="L1249" s="4" t="str">
        <f>IFERROR(__xludf.DUMMYFUNCTION("""COMPUTED_VALUE"""),"TM - 8B/H (Percabangan)")</f>
        <v>TM - 8B/H (Percabangan)</v>
      </c>
      <c r="M1249" s="4" t="str">
        <f>IFERROR(__xludf.DUMMYFUNCTION("""COMPUTED_VALUE"""),"Tidak Ada")</f>
        <v>Tidak Ada</v>
      </c>
      <c r="N1249" s="4"/>
      <c r="O1249" s="4" t="str">
        <f>IFERROR(__xludf.DUMMYFUNCTION("""COMPUTED_VALUE"""),"PEMBANDING SEJENIS")</f>
        <v>PEMBANDING SEJENIS</v>
      </c>
      <c r="P1249" s="4" t="str">
        <f>IFERROR(__xludf.DUMMYFUNCTION("""COMPUTED_VALUE"""),"KONEKTOR/JUMPER")</f>
        <v>KONEKTOR/JUMPER</v>
      </c>
      <c r="Q1249" s="4">
        <f>IFERROR(__xludf.DUMMYFUNCTION("""COMPUTED_VALUE"""),20.0)</f>
        <v>20</v>
      </c>
      <c r="R1249" s="4">
        <f>IFERROR(__xludf.DUMMYFUNCTION("""COMPUTED_VALUE"""),19.0)</f>
        <v>19</v>
      </c>
      <c r="S1249" s="4">
        <f>IFERROR(__xludf.DUMMYFUNCTION("""COMPUTED_VALUE"""),20.0)</f>
        <v>20</v>
      </c>
      <c r="T1249" s="4"/>
      <c r="U1249" s="4" t="str">
        <f>IFERROR(__xludf.DUMMYFUNCTION("""COMPUTED_VALUE"""),"BAIK")</f>
        <v>BAIK</v>
      </c>
      <c r="V1249" s="4" t="str">
        <f>IFERROR(__xludf.DUMMYFUNCTION("""COMPUTED_VALUE"""),"Tidak Ada")</f>
        <v>Tidak Ada</v>
      </c>
      <c r="W1249" s="4"/>
      <c r="X1249" s="4"/>
      <c r="Y1249" s="4"/>
      <c r="Z1249" s="4"/>
      <c r="AA1249" s="4"/>
      <c r="AB1249" s="4"/>
      <c r="AC1249" s="4" t="str">
        <f>IFERROR(__xludf.DUMMYFUNCTION("""COMPUTED_VALUE"""),"INSPEKSI SUTM - T2_Images/4f0abf24.FOTO.162501.jpg")</f>
        <v>INSPEKSI SUTM - T2_Images/4f0abf24.FOTO.162501.jpg</v>
      </c>
      <c r="AD1249" s="4"/>
      <c r="AE1249" s="4"/>
      <c r="AF1249" s="4" t="str">
        <f>IFERROR(__xludf.DUMMYFUNCTION("""COMPUTED_VALUE"""),"BELUM")</f>
        <v>BELUM</v>
      </c>
      <c r="AG1249" s="6">
        <f>IFERROR(__xludf.DUMMYFUNCTION("""COMPUTED_VALUE"""),46140.0)</f>
        <v>46140</v>
      </c>
      <c r="AH1249" s="4"/>
      <c r="AI1249" s="4"/>
    </row>
    <row r="1250" ht="15.75" customHeight="1">
      <c r="A1250" s="4" t="str">
        <f>IFERROR(__xludf.DUMMYFUNCTION("""COMPUTED_VALUE"""),"23a11a6f")</f>
        <v>23a11a6f</v>
      </c>
      <c r="B1250" s="5">
        <f>IFERROR(__xludf.DUMMYFUNCTION("""COMPUTED_VALUE"""),46140.97555555555)</f>
        <v>46140.97556</v>
      </c>
      <c r="C1250" s="4" t="str">
        <f>IFERROR(__xludf.DUMMYFUNCTION("""COMPUTED_VALUE"""),"-6.899165, 107.645314")</f>
        <v>-6.899165, 107.645314</v>
      </c>
      <c r="D1250" s="4" t="str">
        <f>IFERROR(__xludf.DUMMYFUNCTION("""COMPUTED_VALUE"""),"Nugi firman")</f>
        <v>Nugi firman</v>
      </c>
      <c r="E1250" s="4" t="str">
        <f>IFERROR(__xludf.DUMMYFUNCTION("""COMPUTED_VALUE"""),"BANDUNG")</f>
        <v>BANDUNG</v>
      </c>
      <c r="F1250" s="4" t="str">
        <f>IFERROR(__xludf.DUMMYFUNCTION("""COMPUTED_VALUE"""),"KOPO")</f>
        <v>KOPO</v>
      </c>
      <c r="G1250" s="4" t="str">
        <f>IFERROR(__xludf.DUMMYFUNCTION("""COMPUTED_VALUE"""),"CIGERELENG")</f>
        <v>CIGERELENG</v>
      </c>
      <c r="H1250" s="4" t="str">
        <f>IFERROR(__xludf.DUMMYFUNCTION("""COMPUTED_VALUE"""),"CKM")</f>
        <v>CKM</v>
      </c>
      <c r="I1250" s="4" t="str">
        <f>IFERROR(__xludf.DUMMYFUNCTION("""COMPUTED_VALUE"""),"LBS KPL - YHS")</f>
        <v>LBS KPL - YHS</v>
      </c>
      <c r="J1250" s="4" t="str">
        <f>IFERROR(__xludf.DUMMYFUNCTION("""COMPUTED_VALUE"""),"ZONA 2")</f>
        <v>ZONA 2</v>
      </c>
      <c r="K1250" s="4" t="str">
        <f>IFERROR(__xludf.DUMMYFUNCTION("""COMPUTED_VALUE"""),"027R05")</f>
        <v>027R05</v>
      </c>
      <c r="L1250" s="4" t="str">
        <f>IFERROR(__xludf.DUMMYFUNCTION("""COMPUTED_VALUE"""),"TM - 11B/H (Kabel Naik)")</f>
        <v>TM - 11B/H (Kabel Naik)</v>
      </c>
      <c r="M1250" s="4" t="str">
        <f>IFERROR(__xludf.DUMMYFUNCTION("""COMPUTED_VALUE"""),"Tidak Ada")</f>
        <v>Tidak Ada</v>
      </c>
      <c r="N1250" s="4"/>
      <c r="O1250" s="4" t="str">
        <f>IFERROR(__xludf.DUMMYFUNCTION("""COMPUTED_VALUE"""),"PEMBANDING SEJENIS")</f>
        <v>PEMBANDING SEJENIS</v>
      </c>
      <c r="P1250" s="4" t="str">
        <f>IFERROR(__xludf.DUMMYFUNCTION("""COMPUTED_VALUE"""),"TERMINASI")</f>
        <v>TERMINASI</v>
      </c>
      <c r="Q1250" s="4">
        <f>IFERROR(__xludf.DUMMYFUNCTION("""COMPUTED_VALUE"""),20.0)</f>
        <v>20</v>
      </c>
      <c r="R1250" s="4">
        <f>IFERROR(__xludf.DUMMYFUNCTION("""COMPUTED_VALUE"""),20.0)</f>
        <v>20</v>
      </c>
      <c r="S1250" s="4">
        <f>IFERROR(__xludf.DUMMYFUNCTION("""COMPUTED_VALUE"""),21.0)</f>
        <v>21</v>
      </c>
      <c r="T1250" s="4"/>
      <c r="U1250" s="4" t="str">
        <f>IFERROR(__xludf.DUMMYFUNCTION("""COMPUTED_VALUE"""),"BAIK")</f>
        <v>BAIK</v>
      </c>
      <c r="V1250" s="4" t="str">
        <f>IFERROR(__xludf.DUMMYFUNCTION("""COMPUTED_VALUE"""),"Tidak Ada")</f>
        <v>Tidak Ada</v>
      </c>
      <c r="W1250" s="4"/>
      <c r="X1250" s="4"/>
      <c r="Y1250" s="4"/>
      <c r="Z1250" s="4"/>
      <c r="AA1250" s="4"/>
      <c r="AB1250" s="4"/>
      <c r="AC1250" s="4" t="str">
        <f>IFERROR(__xludf.DUMMYFUNCTION("""COMPUTED_VALUE"""),"INSPEKSI SUTM - T2_Images/23a11a6f.FOTO.162541.jpg")</f>
        <v>INSPEKSI SUTM - T2_Images/23a11a6f.FOTO.162541.jpg</v>
      </c>
      <c r="AD1250" s="4"/>
      <c r="AE1250" s="4"/>
      <c r="AF1250" s="4" t="str">
        <f>IFERROR(__xludf.DUMMYFUNCTION("""COMPUTED_VALUE"""),"BELUM")</f>
        <v>BELUM</v>
      </c>
      <c r="AG1250" s="6">
        <f>IFERROR(__xludf.DUMMYFUNCTION("""COMPUTED_VALUE"""),46140.0)</f>
        <v>46140</v>
      </c>
      <c r="AH1250" s="4"/>
      <c r="AI1250" s="4"/>
    </row>
    <row r="1251" ht="15.75" customHeight="1">
      <c r="A1251" s="4" t="str">
        <f>IFERROR(__xludf.DUMMYFUNCTION("""COMPUTED_VALUE"""),"446b1a55")</f>
        <v>446b1a55</v>
      </c>
      <c r="B1251" s="5">
        <f>IFERROR(__xludf.DUMMYFUNCTION("""COMPUTED_VALUE"""),46140.97620370371)</f>
        <v>46140.9762</v>
      </c>
      <c r="C1251" s="4" t="str">
        <f>IFERROR(__xludf.DUMMYFUNCTION("""COMPUTED_VALUE"""),"-6.899152, 107.645310")</f>
        <v>-6.899152, 107.645310</v>
      </c>
      <c r="D1251" s="4" t="str">
        <f>IFERROR(__xludf.DUMMYFUNCTION("""COMPUTED_VALUE"""),"Nugi firman")</f>
        <v>Nugi firman</v>
      </c>
      <c r="E1251" s="4" t="str">
        <f>IFERROR(__xludf.DUMMYFUNCTION("""COMPUTED_VALUE"""),"BANDUNG")</f>
        <v>BANDUNG</v>
      </c>
      <c r="F1251" s="4" t="str">
        <f>IFERROR(__xludf.DUMMYFUNCTION("""COMPUTED_VALUE"""),"KOPO")</f>
        <v>KOPO</v>
      </c>
      <c r="G1251" s="4" t="str">
        <f>IFERROR(__xludf.DUMMYFUNCTION("""COMPUTED_VALUE"""),"CIGERELENG")</f>
        <v>CIGERELENG</v>
      </c>
      <c r="H1251" s="4" t="str">
        <f>IFERROR(__xludf.DUMMYFUNCTION("""COMPUTED_VALUE"""),"CKM")</f>
        <v>CKM</v>
      </c>
      <c r="I1251" s="4" t="str">
        <f>IFERROR(__xludf.DUMMYFUNCTION("""COMPUTED_VALUE"""),"LBS KPL - YHS")</f>
        <v>LBS KPL - YHS</v>
      </c>
      <c r="J1251" s="4" t="str">
        <f>IFERROR(__xludf.DUMMYFUNCTION("""COMPUTED_VALUE"""),"ZONA 2")</f>
        <v>ZONA 2</v>
      </c>
      <c r="K1251" s="4" t="str">
        <f>IFERROR(__xludf.DUMMYFUNCTION("""COMPUTED_VALUE"""),"027R06")</f>
        <v>027R06</v>
      </c>
      <c r="L1251" s="4" t="str">
        <f>IFERROR(__xludf.DUMMYFUNCTION("""COMPUTED_VALUE"""),"TM - 11B/H (Kabel Naik)")</f>
        <v>TM - 11B/H (Kabel Naik)</v>
      </c>
      <c r="M1251" s="4" t="str">
        <f>IFERROR(__xludf.DUMMYFUNCTION("""COMPUTED_VALUE"""),"Tidak Ada")</f>
        <v>Tidak Ada</v>
      </c>
      <c r="N1251" s="4"/>
      <c r="O1251" s="4" t="str">
        <f>IFERROR(__xludf.DUMMYFUNCTION("""COMPUTED_VALUE"""),"PEMBANDING SEJENIS")</f>
        <v>PEMBANDING SEJENIS</v>
      </c>
      <c r="P1251" s="4" t="str">
        <f>IFERROR(__xludf.DUMMYFUNCTION("""COMPUTED_VALUE"""),"TERMINASI")</f>
        <v>TERMINASI</v>
      </c>
      <c r="Q1251" s="4">
        <f>IFERROR(__xludf.DUMMYFUNCTION("""COMPUTED_VALUE"""),22.0)</f>
        <v>22</v>
      </c>
      <c r="R1251" s="4">
        <f>IFERROR(__xludf.DUMMYFUNCTION("""COMPUTED_VALUE"""),22.0)</f>
        <v>22</v>
      </c>
      <c r="S1251" s="4">
        <f>IFERROR(__xludf.DUMMYFUNCTION("""COMPUTED_VALUE"""),22.0)</f>
        <v>22</v>
      </c>
      <c r="T1251" s="4"/>
      <c r="U1251" s="4" t="str">
        <f>IFERROR(__xludf.DUMMYFUNCTION("""COMPUTED_VALUE"""),"BAIK")</f>
        <v>BAIK</v>
      </c>
      <c r="V1251" s="4" t="str">
        <f>IFERROR(__xludf.DUMMYFUNCTION("""COMPUTED_VALUE"""),"Tidak Ada")</f>
        <v>Tidak Ada</v>
      </c>
      <c r="W1251" s="4"/>
      <c r="X1251" s="4"/>
      <c r="Y1251" s="4"/>
      <c r="Z1251" s="4"/>
      <c r="AA1251" s="4"/>
      <c r="AB1251" s="4"/>
      <c r="AC1251" s="4" t="str">
        <f>IFERROR(__xludf.DUMMYFUNCTION("""COMPUTED_VALUE"""),"INSPEKSI SUTM - T2_Images/446b1a55.FOTO.162645.jpg")</f>
        <v>INSPEKSI SUTM - T2_Images/446b1a55.FOTO.162645.jpg</v>
      </c>
      <c r="AD1251" s="4"/>
      <c r="AE1251" s="4"/>
      <c r="AF1251" s="4" t="str">
        <f>IFERROR(__xludf.DUMMYFUNCTION("""COMPUTED_VALUE"""),"BELUM")</f>
        <v>BELUM</v>
      </c>
      <c r="AG1251" s="6">
        <f>IFERROR(__xludf.DUMMYFUNCTION("""COMPUTED_VALUE"""),46140.0)</f>
        <v>46140</v>
      </c>
      <c r="AH1251" s="4"/>
      <c r="AI1251" s="4"/>
    </row>
    <row r="1252" ht="15.75" customHeight="1">
      <c r="A1252" s="4" t="str">
        <f>IFERROR(__xludf.DUMMYFUNCTION("""COMPUTED_VALUE"""),"c1124f4a")</f>
        <v>c1124f4a</v>
      </c>
      <c r="B1252" s="5">
        <f>IFERROR(__xludf.DUMMYFUNCTION("""COMPUTED_VALUE"""),46140.97696759259)</f>
        <v>46140.97697</v>
      </c>
      <c r="C1252" s="4" t="str">
        <f>IFERROR(__xludf.DUMMYFUNCTION("""COMPUTED_VALUE"""),"-6.899162, 107.645308")</f>
        <v>-6.899162, 107.645308</v>
      </c>
      <c r="D1252" s="4" t="str">
        <f>IFERROR(__xludf.DUMMYFUNCTION("""COMPUTED_VALUE"""),"Nugi firman")</f>
        <v>Nugi firman</v>
      </c>
      <c r="E1252" s="4" t="str">
        <f>IFERROR(__xludf.DUMMYFUNCTION("""COMPUTED_VALUE"""),"BANDUNG")</f>
        <v>BANDUNG</v>
      </c>
      <c r="F1252" s="4" t="str">
        <f>IFERROR(__xludf.DUMMYFUNCTION("""COMPUTED_VALUE"""),"KOPO")</f>
        <v>KOPO</v>
      </c>
      <c r="G1252" s="4" t="str">
        <f>IFERROR(__xludf.DUMMYFUNCTION("""COMPUTED_VALUE"""),"CIGERELENG")</f>
        <v>CIGERELENG</v>
      </c>
      <c r="H1252" s="4" t="str">
        <f>IFERROR(__xludf.DUMMYFUNCTION("""COMPUTED_VALUE"""),"CKM")</f>
        <v>CKM</v>
      </c>
      <c r="I1252" s="4" t="str">
        <f>IFERROR(__xludf.DUMMYFUNCTION("""COMPUTED_VALUE"""),"LBS KPL - YHS")</f>
        <v>LBS KPL - YHS</v>
      </c>
      <c r="J1252" s="4" t="str">
        <f>IFERROR(__xludf.DUMMYFUNCTION("""COMPUTED_VALUE"""),"ZONA 2")</f>
        <v>ZONA 2</v>
      </c>
      <c r="K1252" s="4" t="str">
        <f>IFERROR(__xludf.DUMMYFUNCTION("""COMPUTED_VALUE"""),"027R11")</f>
        <v>027R11</v>
      </c>
      <c r="L1252" s="4" t="str">
        <f>IFERROR(__xludf.DUMMYFUNCTION("""COMPUTED_VALUE"""),"TM - 8BC/HC (Percabangan dengan CO)")</f>
        <v>TM - 8BC/HC (Percabangan dengan CO)</v>
      </c>
      <c r="M1252" s="4" t="str">
        <f>IFERROR(__xludf.DUMMYFUNCTION("""COMPUTED_VALUE"""),"FCO")</f>
        <v>FCO</v>
      </c>
      <c r="N1252" s="4" t="str">
        <f>IFERROR(__xludf.DUMMYFUNCTION("""COMPUTED_VALUE"""),"Kpld")</f>
        <v>Kpld</v>
      </c>
      <c r="O1252" s="4" t="str">
        <f>IFERROR(__xludf.DUMMYFUNCTION("""COMPUTED_VALUE"""),"PEMBANDING SEJENIS")</f>
        <v>PEMBANDING SEJENIS</v>
      </c>
      <c r="P1252" s="4" t="str">
        <f>IFERROR(__xludf.DUMMYFUNCTION("""COMPUTED_VALUE"""),"KONEKTOR/JUMPER")</f>
        <v>KONEKTOR/JUMPER</v>
      </c>
      <c r="Q1252" s="4">
        <f>IFERROR(__xludf.DUMMYFUNCTION("""COMPUTED_VALUE"""),19.0)</f>
        <v>19</v>
      </c>
      <c r="R1252" s="4">
        <f>IFERROR(__xludf.DUMMYFUNCTION("""COMPUTED_VALUE"""),19.0)</f>
        <v>19</v>
      </c>
      <c r="S1252" s="4">
        <f>IFERROR(__xludf.DUMMYFUNCTION("""COMPUTED_VALUE"""),17.0)</f>
        <v>17</v>
      </c>
      <c r="T1252" s="4"/>
      <c r="U1252" s="4" t="str">
        <f>IFERROR(__xludf.DUMMYFUNCTION("""COMPUTED_VALUE"""),"BAIK")</f>
        <v>BAIK</v>
      </c>
      <c r="V1252" s="4" t="str">
        <f>IFERROR(__xludf.DUMMYFUNCTION("""COMPUTED_VALUE"""),"Tidak Ada")</f>
        <v>Tidak Ada</v>
      </c>
      <c r="W1252" s="4"/>
      <c r="X1252" s="4"/>
      <c r="Y1252" s="4"/>
      <c r="Z1252" s="4"/>
      <c r="AA1252" s="4"/>
      <c r="AB1252" s="4"/>
      <c r="AC1252" s="4" t="str">
        <f>IFERROR(__xludf.DUMMYFUNCTION("""COMPUTED_VALUE"""),"INSPEKSI SUTM - T2_Images/c1124f4a.FOTO.162805.jpg")</f>
        <v>INSPEKSI SUTM - T2_Images/c1124f4a.FOTO.162805.jpg</v>
      </c>
      <c r="AD1252" s="4"/>
      <c r="AE1252" s="4"/>
      <c r="AF1252" s="4" t="str">
        <f>IFERROR(__xludf.DUMMYFUNCTION("""COMPUTED_VALUE"""),"BELUM")</f>
        <v>BELUM</v>
      </c>
      <c r="AG1252" s="6">
        <f>IFERROR(__xludf.DUMMYFUNCTION("""COMPUTED_VALUE"""),46140.0)</f>
        <v>46140</v>
      </c>
      <c r="AH1252" s="4"/>
      <c r="AI1252" s="4"/>
    </row>
    <row r="1253" ht="15.75" customHeight="1">
      <c r="A1253" s="4" t="str">
        <f>IFERROR(__xludf.DUMMYFUNCTION("""COMPUTED_VALUE"""),"48784ef2")</f>
        <v>48784ef2</v>
      </c>
      <c r="B1253" s="5">
        <f>IFERROR(__xludf.DUMMYFUNCTION("""COMPUTED_VALUE"""),46140.97822916666)</f>
        <v>46140.97823</v>
      </c>
      <c r="C1253" s="4" t="str">
        <f>IFERROR(__xludf.DUMMYFUNCTION("""COMPUTED_VALUE"""),"-6.899160, 107.645314")</f>
        <v>-6.899160, 107.645314</v>
      </c>
      <c r="D1253" s="4" t="str">
        <f>IFERROR(__xludf.DUMMYFUNCTION("""COMPUTED_VALUE"""),"Nugi firman")</f>
        <v>Nugi firman</v>
      </c>
      <c r="E1253" s="4" t="str">
        <f>IFERROR(__xludf.DUMMYFUNCTION("""COMPUTED_VALUE"""),"BANDUNG")</f>
        <v>BANDUNG</v>
      </c>
      <c r="F1253" s="4" t="str">
        <f>IFERROR(__xludf.DUMMYFUNCTION("""COMPUTED_VALUE"""),"KOPO")</f>
        <v>KOPO</v>
      </c>
      <c r="G1253" s="4" t="str">
        <f>IFERROR(__xludf.DUMMYFUNCTION("""COMPUTED_VALUE"""),"CIGERELENG")</f>
        <v>CIGERELENG</v>
      </c>
      <c r="H1253" s="4" t="str">
        <f>IFERROR(__xludf.DUMMYFUNCTION("""COMPUTED_VALUE"""),"CKM")</f>
        <v>CKM</v>
      </c>
      <c r="I1253" s="4" t="str">
        <f>IFERROR(__xludf.DUMMYFUNCTION("""COMPUTED_VALUE"""),"LBS KPL - YHS")</f>
        <v>LBS KPL - YHS</v>
      </c>
      <c r="J1253" s="4" t="str">
        <f>IFERROR(__xludf.DUMMYFUNCTION("""COMPUTED_VALUE"""),"ZONA 2")</f>
        <v>ZONA 2</v>
      </c>
      <c r="K1253" s="4" t="str">
        <f>IFERROR(__xludf.DUMMYFUNCTION("""COMPUTED_VALUE"""),"027R11R03")</f>
        <v>027R11R03</v>
      </c>
      <c r="L1253" s="4" t="str">
        <f>IFERROR(__xludf.DUMMYFUNCTION("""COMPUTED_VALUE"""),"TM - 8B/H (Percabangan)")</f>
        <v>TM - 8B/H (Percabangan)</v>
      </c>
      <c r="M1253" s="4" t="str">
        <f>IFERROR(__xludf.DUMMYFUNCTION("""COMPUTED_VALUE"""),"Tidak Ada")</f>
        <v>Tidak Ada</v>
      </c>
      <c r="N1253" s="4"/>
      <c r="O1253" s="4" t="str">
        <f>IFERROR(__xludf.DUMMYFUNCTION("""COMPUTED_VALUE"""),"PEMBANDING SEJENIS")</f>
        <v>PEMBANDING SEJENIS</v>
      </c>
      <c r="P1253" s="4" t="str">
        <f>IFERROR(__xludf.DUMMYFUNCTION("""COMPUTED_VALUE"""),"KONEKTOR/JUMPER")</f>
        <v>KONEKTOR/JUMPER</v>
      </c>
      <c r="Q1253" s="4">
        <f>IFERROR(__xludf.DUMMYFUNCTION("""COMPUTED_VALUE"""),17.0)</f>
        <v>17</v>
      </c>
      <c r="R1253" s="4">
        <f>IFERROR(__xludf.DUMMYFUNCTION("""COMPUTED_VALUE"""),16.0)</f>
        <v>16</v>
      </c>
      <c r="S1253" s="4">
        <f>IFERROR(__xludf.DUMMYFUNCTION("""COMPUTED_VALUE"""),16.0)</f>
        <v>16</v>
      </c>
      <c r="T1253" s="4"/>
      <c r="U1253" s="4" t="str">
        <f>IFERROR(__xludf.DUMMYFUNCTION("""COMPUTED_VALUE"""),"BAIK")</f>
        <v>BAIK</v>
      </c>
      <c r="V1253" s="4" t="str">
        <f>IFERROR(__xludf.DUMMYFUNCTION("""COMPUTED_VALUE"""),"Tidak Ada")</f>
        <v>Tidak Ada</v>
      </c>
      <c r="W1253" s="4"/>
      <c r="X1253" s="4"/>
      <c r="Y1253" s="4"/>
      <c r="Z1253" s="4"/>
      <c r="AA1253" s="4"/>
      <c r="AB1253" s="4"/>
      <c r="AC1253" s="4" t="str">
        <f>IFERROR(__xludf.DUMMYFUNCTION("""COMPUTED_VALUE"""),"INSPEKSI SUTM - T2_Images/48784ef2.FOTO.162955.jpg")</f>
        <v>INSPEKSI SUTM - T2_Images/48784ef2.FOTO.162955.jpg</v>
      </c>
      <c r="AD1253" s="4"/>
      <c r="AE1253" s="4"/>
      <c r="AF1253" s="4" t="str">
        <f>IFERROR(__xludf.DUMMYFUNCTION("""COMPUTED_VALUE"""),"BELUM")</f>
        <v>BELUM</v>
      </c>
      <c r="AG1253" s="6">
        <f>IFERROR(__xludf.DUMMYFUNCTION("""COMPUTED_VALUE"""),46140.0)</f>
        <v>46140</v>
      </c>
      <c r="AH1253" s="4"/>
      <c r="AI1253" s="4"/>
    </row>
    <row r="1254" ht="15.75" customHeight="1">
      <c r="A1254" s="4" t="str">
        <f>IFERROR(__xludf.DUMMYFUNCTION("""COMPUTED_VALUE"""),"af7f69db")</f>
        <v>af7f69db</v>
      </c>
      <c r="B1254" s="5">
        <f>IFERROR(__xludf.DUMMYFUNCTION("""COMPUTED_VALUE"""),46140.97655092592)</f>
        <v>46140.97655</v>
      </c>
      <c r="C1254" s="4" t="str">
        <f>IFERROR(__xludf.DUMMYFUNCTION("""COMPUTED_VALUE"""),"-6.961989, 107.652824")</f>
        <v>-6.961989, 107.652824</v>
      </c>
      <c r="D1254" s="4" t="str">
        <f>IFERROR(__xludf.DUMMYFUNCTION("""COMPUTED_VALUE"""),"Jihan kiki")</f>
        <v>Jihan kiki</v>
      </c>
      <c r="E1254" s="4" t="str">
        <f>IFERROR(__xludf.DUMMYFUNCTION("""COMPUTED_VALUE"""),"BANDUNG")</f>
        <v>BANDUNG</v>
      </c>
      <c r="F1254" s="4" t="str">
        <f>IFERROR(__xludf.DUMMYFUNCTION("""COMPUTED_VALUE"""),"CIJAWURA")</f>
        <v>CIJAWURA</v>
      </c>
      <c r="G1254" s="4" t="str">
        <f>IFERROR(__xludf.DUMMYFUNCTION("""COMPUTED_VALUE"""),"GIS KIARACONDONG")</f>
        <v>GIS KIARACONDONG</v>
      </c>
      <c r="H1254" s="4" t="str">
        <f>IFERROR(__xludf.DUMMYFUNCTION("""COMPUTED_VALUE"""),"KMO")</f>
        <v>KMO</v>
      </c>
      <c r="I1254" s="4" t="str">
        <f>IFERROR(__xludf.DUMMYFUNCTION("""COMPUTED_VALUE"""),"REC. BMCA - LBS YKE")</f>
        <v>REC. BMCA - LBS YKE</v>
      </c>
      <c r="J1254" s="4" t="str">
        <f>IFERROR(__xludf.DUMMYFUNCTION("""COMPUTED_VALUE"""),"ZONA 3")</f>
        <v>ZONA 3</v>
      </c>
      <c r="K1254" s="4" t="str">
        <f>IFERROR(__xludf.DUMMYFUNCTION("""COMPUTED_VALUE"""),"030L31")</f>
        <v>030L31</v>
      </c>
      <c r="L1254" s="4" t="str">
        <f>IFERROR(__xludf.DUMMYFUNCTION("""COMPUTED_VALUE"""),"TM - 7B/H (Afspan 90 Derajat)")</f>
        <v>TM - 7B/H (Afspan 90 Derajat)</v>
      </c>
      <c r="M1254" s="4" t="str">
        <f>IFERROR(__xludf.DUMMYFUNCTION("""COMPUTED_VALUE"""),"Tidak Ada")</f>
        <v>Tidak Ada</v>
      </c>
      <c r="N1254" s="4"/>
      <c r="O1254" s="4" t="str">
        <f>IFERROR(__xludf.DUMMYFUNCTION("""COMPUTED_VALUE"""),"PEMBANDING SEJENIS")</f>
        <v>PEMBANDING SEJENIS</v>
      </c>
      <c r="P1254" s="4" t="str">
        <f>IFERROR(__xludf.DUMMYFUNCTION("""COMPUTED_VALUE"""),"KONEKTOR/JUMPER")</f>
        <v>KONEKTOR/JUMPER</v>
      </c>
      <c r="Q1254" s="4">
        <f>IFERROR(__xludf.DUMMYFUNCTION("""COMPUTED_VALUE"""),22.0)</f>
        <v>22</v>
      </c>
      <c r="R1254" s="4">
        <f>IFERROR(__xludf.DUMMYFUNCTION("""COMPUTED_VALUE"""),20.0)</f>
        <v>20</v>
      </c>
      <c r="S1254" s="4">
        <f>IFERROR(__xludf.DUMMYFUNCTION("""COMPUTED_VALUE"""),20.0)</f>
        <v>20</v>
      </c>
      <c r="T1254" s="4"/>
      <c r="U1254" s="4" t="str">
        <f>IFERROR(__xludf.DUMMYFUNCTION("""COMPUTED_VALUE"""),"BAIK")</f>
        <v>BAIK</v>
      </c>
      <c r="V1254" s="4" t="str">
        <f>IFERROR(__xludf.DUMMYFUNCTION("""COMPUTED_VALUE"""),"Tidak Ada")</f>
        <v>Tidak Ada</v>
      </c>
      <c r="W1254" s="4"/>
      <c r="X1254" s="4"/>
      <c r="Y1254" s="4"/>
      <c r="Z1254" s="4"/>
      <c r="AA1254" s="4"/>
      <c r="AB1254" s="4"/>
      <c r="AC1254" s="4" t="str">
        <f>IFERROR(__xludf.DUMMYFUNCTION("""COMPUTED_VALUE"""),"INSPEKSI SUTM - T2_Images/af7f69db.FOTO.163002.jpg")</f>
        <v>INSPEKSI SUTM - T2_Images/af7f69db.FOTO.163002.jpg</v>
      </c>
      <c r="AD1254" s="4"/>
      <c r="AE1254" s="4"/>
      <c r="AF1254" s="4" t="str">
        <f>IFERROR(__xludf.DUMMYFUNCTION("""COMPUTED_VALUE"""),"BELUM")</f>
        <v>BELUM</v>
      </c>
      <c r="AG1254" s="6">
        <f>IFERROR(__xludf.DUMMYFUNCTION("""COMPUTED_VALUE"""),46140.0)</f>
        <v>46140</v>
      </c>
      <c r="AH1254" s="4"/>
      <c r="AI1254" s="4"/>
    </row>
    <row r="1255" ht="15.75" customHeight="1">
      <c r="A1255" s="4" t="str">
        <f>IFERROR(__xludf.DUMMYFUNCTION("""COMPUTED_VALUE"""),"730d1c73")</f>
        <v>730d1c73</v>
      </c>
      <c r="B1255" s="5">
        <f>IFERROR(__xludf.DUMMYFUNCTION("""COMPUTED_VALUE"""),46140.977060185185)</f>
        <v>46140.97706</v>
      </c>
      <c r="C1255" s="4" t="str">
        <f>IFERROR(__xludf.DUMMYFUNCTION("""COMPUTED_VALUE"""),"-6.961241, 107.652813")</f>
        <v>-6.961241, 107.652813</v>
      </c>
      <c r="D1255" s="4" t="str">
        <f>IFERROR(__xludf.DUMMYFUNCTION("""COMPUTED_VALUE"""),"Jihan kiki")</f>
        <v>Jihan kiki</v>
      </c>
      <c r="E1255" s="4" t="str">
        <f>IFERROR(__xludf.DUMMYFUNCTION("""COMPUTED_VALUE"""),"BANDUNG")</f>
        <v>BANDUNG</v>
      </c>
      <c r="F1255" s="4" t="str">
        <f>IFERROR(__xludf.DUMMYFUNCTION("""COMPUTED_VALUE"""),"CIJAWURA")</f>
        <v>CIJAWURA</v>
      </c>
      <c r="G1255" s="4" t="str">
        <f>IFERROR(__xludf.DUMMYFUNCTION("""COMPUTED_VALUE"""),"GIS KIARACONDONG")</f>
        <v>GIS KIARACONDONG</v>
      </c>
      <c r="H1255" s="4" t="str">
        <f>IFERROR(__xludf.DUMMYFUNCTION("""COMPUTED_VALUE"""),"KMO")</f>
        <v>KMO</v>
      </c>
      <c r="I1255" s="4" t="str">
        <f>IFERROR(__xludf.DUMMYFUNCTION("""COMPUTED_VALUE"""),"REC. BMCA - LBS YKE")</f>
        <v>REC. BMCA - LBS YKE</v>
      </c>
      <c r="J1255" s="4" t="str">
        <f>IFERROR(__xludf.DUMMYFUNCTION("""COMPUTED_VALUE"""),"ZONA 3")</f>
        <v>ZONA 3</v>
      </c>
      <c r="K1255" s="4" t="str">
        <f>IFERROR(__xludf.DUMMYFUNCTION("""COMPUTED_VALUE"""),"030L33")</f>
        <v>030L33</v>
      </c>
      <c r="L1255" s="4" t="str">
        <f>IFERROR(__xludf.DUMMYFUNCTION("""COMPUTED_VALUE"""),"TM - 14B/H (Akhir)")</f>
        <v>TM - 14B/H (Akhir)</v>
      </c>
      <c r="M1255" s="4" t="str">
        <f>IFERROR(__xludf.DUMMYFUNCTION("""COMPUTED_VALUE"""),"Tidak Ada")</f>
        <v>Tidak Ada</v>
      </c>
      <c r="N1255" s="4"/>
      <c r="O1255" s="4" t="str">
        <f>IFERROR(__xludf.DUMMYFUNCTION("""COMPUTED_VALUE"""),"PEMBANDING SEJENIS")</f>
        <v>PEMBANDING SEJENIS</v>
      </c>
      <c r="P1255" s="4" t="str">
        <f>IFERROR(__xludf.DUMMYFUNCTION("""COMPUTED_VALUE"""),"KONEKTOR/JUMPER")</f>
        <v>KONEKTOR/JUMPER</v>
      </c>
      <c r="Q1255" s="4">
        <f>IFERROR(__xludf.DUMMYFUNCTION("""COMPUTED_VALUE"""),20.0)</f>
        <v>20</v>
      </c>
      <c r="R1255" s="4">
        <f>IFERROR(__xludf.DUMMYFUNCTION("""COMPUTED_VALUE"""),23.0)</f>
        <v>23</v>
      </c>
      <c r="S1255" s="4">
        <f>IFERROR(__xludf.DUMMYFUNCTION("""COMPUTED_VALUE"""),24.0)</f>
        <v>24</v>
      </c>
      <c r="T1255" s="4"/>
      <c r="U1255" s="4" t="str">
        <f>IFERROR(__xludf.DUMMYFUNCTION("""COMPUTED_VALUE"""),"CUKUP")</f>
        <v>CUKUP</v>
      </c>
      <c r="V1255" s="4" t="str">
        <f>IFERROR(__xludf.DUMMYFUNCTION("""COMPUTED_VALUE"""),"Tidak Ada")</f>
        <v>Tidak Ada</v>
      </c>
      <c r="W1255" s="4"/>
      <c r="X1255" s="4"/>
      <c r="Y1255" s="4"/>
      <c r="Z1255" s="4"/>
      <c r="AA1255" s="4"/>
      <c r="AB1255" s="4"/>
      <c r="AC1255" s="4" t="str">
        <f>IFERROR(__xludf.DUMMYFUNCTION("""COMPUTED_VALUE"""),"INSPEKSI SUTM - T2_Images/730d1c73.FOTO.163007.jpg")</f>
        <v>INSPEKSI SUTM - T2_Images/730d1c73.FOTO.163007.jpg</v>
      </c>
      <c r="AD1255" s="4"/>
      <c r="AE1255" s="4"/>
      <c r="AF1255" s="4" t="str">
        <f>IFERROR(__xludf.DUMMYFUNCTION("""COMPUTED_VALUE"""),"BELUM")</f>
        <v>BELUM</v>
      </c>
      <c r="AG1255" s="6">
        <f>IFERROR(__xludf.DUMMYFUNCTION("""COMPUTED_VALUE"""),46140.0)</f>
        <v>46140</v>
      </c>
      <c r="AH1255" s="4"/>
      <c r="AI1255" s="4"/>
    </row>
    <row r="1256" ht="15.75" customHeight="1">
      <c r="A1256" s="4" t="str">
        <f>IFERROR(__xludf.DUMMYFUNCTION("""COMPUTED_VALUE"""),"aa6691b4")</f>
        <v>aa6691b4</v>
      </c>
      <c r="B1256" s="5">
        <f>IFERROR(__xludf.DUMMYFUNCTION("""COMPUTED_VALUE"""),46140.97787037037)</f>
        <v>46140.97787</v>
      </c>
      <c r="C1256" s="4" t="str">
        <f>IFERROR(__xludf.DUMMYFUNCTION("""COMPUTED_VALUE"""),"-6.965425, 107.647246")</f>
        <v>-6.965425, 107.647246</v>
      </c>
      <c r="D1256" s="4" t="str">
        <f>IFERROR(__xludf.DUMMYFUNCTION("""COMPUTED_VALUE"""),"Jihan kiki")</f>
        <v>Jihan kiki</v>
      </c>
      <c r="E1256" s="4" t="str">
        <f>IFERROR(__xludf.DUMMYFUNCTION("""COMPUTED_VALUE"""),"BANDUNG")</f>
        <v>BANDUNG</v>
      </c>
      <c r="F1256" s="4" t="str">
        <f>IFERROR(__xludf.DUMMYFUNCTION("""COMPUTED_VALUE"""),"CIJAWURA")</f>
        <v>CIJAWURA</v>
      </c>
      <c r="G1256" s="4" t="str">
        <f>IFERROR(__xludf.DUMMYFUNCTION("""COMPUTED_VALUE"""),"GIS KIARACONDONG")</f>
        <v>GIS KIARACONDONG</v>
      </c>
      <c r="H1256" s="4" t="str">
        <f>IFERROR(__xludf.DUMMYFUNCTION("""COMPUTED_VALUE"""),"KMO")</f>
        <v>KMO</v>
      </c>
      <c r="I1256" s="4" t="str">
        <f>IFERROR(__xludf.DUMMYFUNCTION("""COMPUTED_VALUE"""),"REC. BMCA - LBS YKE")</f>
        <v>REC. BMCA - LBS YKE</v>
      </c>
      <c r="J1256" s="4" t="str">
        <f>IFERROR(__xludf.DUMMYFUNCTION("""COMPUTED_VALUE"""),"ZONA 3")</f>
        <v>ZONA 3</v>
      </c>
      <c r="K1256" s="4" t="str">
        <f>IFERROR(__xludf.DUMMYFUNCTION("""COMPUTED_VALUE"""),"035")</f>
        <v>035</v>
      </c>
      <c r="L1256" s="4" t="str">
        <f>IFERROR(__xludf.DUMMYFUNCTION("""COMPUTED_VALUE"""),"TM - 12B/H (KABEL Kabel Naik Dua Saluran)")</f>
        <v>TM - 12B/H (KABEL Kabel Naik Dua Saluran)</v>
      </c>
      <c r="M1256" s="4" t="str">
        <f>IFERROR(__xludf.DUMMYFUNCTION("""COMPUTED_VALUE"""),"Tidak Ada")</f>
        <v>Tidak Ada</v>
      </c>
      <c r="N1256" s="4"/>
      <c r="O1256" s="4" t="str">
        <f>IFERROR(__xludf.DUMMYFUNCTION("""COMPUTED_VALUE"""),"PEMBANDING SEJENIS")</f>
        <v>PEMBANDING SEJENIS</v>
      </c>
      <c r="P1256" s="4" t="str">
        <f>IFERROR(__xludf.DUMMYFUNCTION("""COMPUTED_VALUE"""),"KONEKTOR/JUMPER")</f>
        <v>KONEKTOR/JUMPER</v>
      </c>
      <c r="Q1256" s="4">
        <f>IFERROR(__xludf.DUMMYFUNCTION("""COMPUTED_VALUE"""),23.0)</f>
        <v>23</v>
      </c>
      <c r="R1256" s="4">
        <f>IFERROR(__xludf.DUMMYFUNCTION("""COMPUTED_VALUE"""),22.0)</f>
        <v>22</v>
      </c>
      <c r="S1256" s="4">
        <f>IFERROR(__xludf.DUMMYFUNCTION("""COMPUTED_VALUE"""),25.0)</f>
        <v>25</v>
      </c>
      <c r="T1256" s="4"/>
      <c r="U1256" s="4" t="str">
        <f>IFERROR(__xludf.DUMMYFUNCTION("""COMPUTED_VALUE"""),"CUKUP")</f>
        <v>CUKUP</v>
      </c>
      <c r="V1256" s="4" t="str">
        <f>IFERROR(__xludf.DUMMYFUNCTION("""COMPUTED_VALUE"""),"Tidak Ada")</f>
        <v>Tidak Ada</v>
      </c>
      <c r="W1256" s="4"/>
      <c r="X1256" s="4"/>
      <c r="Y1256" s="4"/>
      <c r="Z1256" s="4"/>
      <c r="AA1256" s="4"/>
      <c r="AB1256" s="4"/>
      <c r="AC1256" s="4" t="str">
        <f>IFERROR(__xludf.DUMMYFUNCTION("""COMPUTED_VALUE"""),"INSPEKSI SUTM - T2_Images/aa6691b4.FOTO.163011.jpg")</f>
        <v>INSPEKSI SUTM - T2_Images/aa6691b4.FOTO.163011.jpg</v>
      </c>
      <c r="AD1256" s="4"/>
      <c r="AE1256" s="4"/>
      <c r="AF1256" s="4" t="str">
        <f>IFERROR(__xludf.DUMMYFUNCTION("""COMPUTED_VALUE"""),"BELUM")</f>
        <v>BELUM</v>
      </c>
      <c r="AG1256" s="6">
        <f>IFERROR(__xludf.DUMMYFUNCTION("""COMPUTED_VALUE"""),46140.0)</f>
        <v>46140</v>
      </c>
      <c r="AH1256" s="4"/>
      <c r="AI1256" s="4"/>
    </row>
    <row r="1257" ht="15.75" customHeight="1">
      <c r="A1257" s="4" t="str">
        <f>IFERROR(__xludf.DUMMYFUNCTION("""COMPUTED_VALUE"""),"d2fc4709")</f>
        <v>d2fc4709</v>
      </c>
      <c r="B1257" s="5">
        <f>IFERROR(__xludf.DUMMYFUNCTION("""COMPUTED_VALUE"""),46140.978483796294)</f>
        <v>46140.97848</v>
      </c>
      <c r="C1257" s="4" t="str">
        <f>IFERROR(__xludf.DUMMYFUNCTION("""COMPUTED_VALUE"""),"-6.965511, 107.647764")</f>
        <v>-6.965511, 107.647764</v>
      </c>
      <c r="D1257" s="4" t="str">
        <f>IFERROR(__xludf.DUMMYFUNCTION("""COMPUTED_VALUE"""),"Jihan kiki")</f>
        <v>Jihan kiki</v>
      </c>
      <c r="E1257" s="4" t="str">
        <f>IFERROR(__xludf.DUMMYFUNCTION("""COMPUTED_VALUE"""),"BANDUNG")</f>
        <v>BANDUNG</v>
      </c>
      <c r="F1257" s="4" t="str">
        <f>IFERROR(__xludf.DUMMYFUNCTION("""COMPUTED_VALUE"""),"CIJAWURA")</f>
        <v>CIJAWURA</v>
      </c>
      <c r="G1257" s="4" t="str">
        <f>IFERROR(__xludf.DUMMYFUNCTION("""COMPUTED_VALUE"""),"GIS KIARACONDONG")</f>
        <v>GIS KIARACONDONG</v>
      </c>
      <c r="H1257" s="4" t="str">
        <f>IFERROR(__xludf.DUMMYFUNCTION("""COMPUTED_VALUE"""),"KMO")</f>
        <v>KMO</v>
      </c>
      <c r="I1257" s="4" t="str">
        <f>IFERROR(__xludf.DUMMYFUNCTION("""COMPUTED_VALUE"""),"REC. BMCA - LBS YKE")</f>
        <v>REC. BMCA - LBS YKE</v>
      </c>
      <c r="J1257" s="4" t="str">
        <f>IFERROR(__xludf.DUMMYFUNCTION("""COMPUTED_VALUE"""),"ZONA 3")</f>
        <v>ZONA 3</v>
      </c>
      <c r="K1257" s="4" t="str">
        <f>IFERROR(__xludf.DUMMYFUNCTION("""COMPUTED_VALUE"""),"038")</f>
        <v>038</v>
      </c>
      <c r="L1257" s="4" t="str">
        <f>IFERROR(__xludf.DUMMYFUNCTION("""COMPUTED_VALUE"""),"TM - 16B/H (REC/SSO/LBS)")</f>
        <v>TM - 16B/H (REC/SSO/LBS)</v>
      </c>
      <c r="M1257" s="4" t="str">
        <f>IFERROR(__xludf.DUMMYFUNCTION("""COMPUTED_VALUE"""),"LBS")</f>
        <v>LBS</v>
      </c>
      <c r="N1257" s="4" t="str">
        <f>IFERROR(__xludf.DUMMYFUNCTION("""COMPUTED_VALUE"""),"YKE")</f>
        <v>YKE</v>
      </c>
      <c r="O1257" s="4" t="str">
        <f>IFERROR(__xludf.DUMMYFUNCTION("""COMPUTED_VALUE"""),"PEMBANDING SEJENIS")</f>
        <v>PEMBANDING SEJENIS</v>
      </c>
      <c r="P1257" s="4" t="str">
        <f>IFERROR(__xludf.DUMMYFUNCTION("""COMPUTED_VALUE"""),"TERMINAL BUSHING")</f>
        <v>TERMINAL BUSHING</v>
      </c>
      <c r="Q1257" s="4">
        <f>IFERROR(__xludf.DUMMYFUNCTION("""COMPUTED_VALUE"""),25.0)</f>
        <v>25</v>
      </c>
      <c r="R1257" s="4">
        <f>IFERROR(__xludf.DUMMYFUNCTION("""COMPUTED_VALUE"""),26.0)</f>
        <v>26</v>
      </c>
      <c r="S1257" s="4">
        <f>IFERROR(__xludf.DUMMYFUNCTION("""COMPUTED_VALUE"""),28.0)</f>
        <v>28</v>
      </c>
      <c r="T1257" s="4"/>
      <c r="U1257" s="4" t="str">
        <f>IFERROR(__xludf.DUMMYFUNCTION("""COMPUTED_VALUE"""),"CUKUP")</f>
        <v>CUKUP</v>
      </c>
      <c r="V1257" s="4" t="str">
        <f>IFERROR(__xludf.DUMMYFUNCTION("""COMPUTED_VALUE"""),"Tidak Ada")</f>
        <v>Tidak Ada</v>
      </c>
      <c r="W1257" s="4"/>
      <c r="X1257" s="4"/>
      <c r="Y1257" s="4"/>
      <c r="Z1257" s="4"/>
      <c r="AA1257" s="4"/>
      <c r="AB1257" s="4"/>
      <c r="AC1257" s="4" t="str">
        <f>IFERROR(__xludf.DUMMYFUNCTION("""COMPUTED_VALUE"""),"INSPEKSI SUTM - T2_Images/d2fc4709.FOTO.163016.jpg")</f>
        <v>INSPEKSI SUTM - T2_Images/d2fc4709.FOTO.163016.jpg</v>
      </c>
      <c r="AD1257" s="4"/>
      <c r="AE1257" s="4"/>
      <c r="AF1257" s="4" t="str">
        <f>IFERROR(__xludf.DUMMYFUNCTION("""COMPUTED_VALUE"""),"BELUM")</f>
        <v>BELUM</v>
      </c>
      <c r="AG1257" s="6">
        <f>IFERROR(__xludf.DUMMYFUNCTION("""COMPUTED_VALUE"""),46140.0)</f>
        <v>46140</v>
      </c>
      <c r="AH1257" s="4"/>
      <c r="AI1257" s="4"/>
    </row>
    <row r="1258" ht="15.75" customHeight="1">
      <c r="A1258" s="4" t="str">
        <f>IFERROR(__xludf.DUMMYFUNCTION("""COMPUTED_VALUE"""),"2a97a78a")</f>
        <v>2a97a78a</v>
      </c>
      <c r="B1258" s="5">
        <f>IFERROR(__xludf.DUMMYFUNCTION("""COMPUTED_VALUE"""),46140.97914351852)</f>
        <v>46140.97914</v>
      </c>
      <c r="C1258" s="4" t="str">
        <f>IFERROR(__xludf.DUMMYFUNCTION("""COMPUTED_VALUE"""),"-6.965604, 107.648753")</f>
        <v>-6.965604, 107.648753</v>
      </c>
      <c r="D1258" s="4" t="str">
        <f>IFERROR(__xludf.DUMMYFUNCTION("""COMPUTED_VALUE"""),"Jihan kiki")</f>
        <v>Jihan kiki</v>
      </c>
      <c r="E1258" s="4" t="str">
        <f>IFERROR(__xludf.DUMMYFUNCTION("""COMPUTED_VALUE"""),"BANDUNG")</f>
        <v>BANDUNG</v>
      </c>
      <c r="F1258" s="4" t="str">
        <f>IFERROR(__xludf.DUMMYFUNCTION("""COMPUTED_VALUE"""),"CIJAWURA")</f>
        <v>CIJAWURA</v>
      </c>
      <c r="G1258" s="4" t="str">
        <f>IFERROR(__xludf.DUMMYFUNCTION("""COMPUTED_VALUE"""),"GIS KIARACONDONG")</f>
        <v>GIS KIARACONDONG</v>
      </c>
      <c r="H1258" s="4" t="str">
        <f>IFERROR(__xludf.DUMMYFUNCTION("""COMPUTED_VALUE"""),"KMO")</f>
        <v>KMO</v>
      </c>
      <c r="I1258" s="4" t="str">
        <f>IFERROR(__xludf.DUMMYFUNCTION("""COMPUTED_VALUE"""),"REC. BMCA - LBS YKE")</f>
        <v>REC. BMCA - LBS YKE</v>
      </c>
      <c r="J1258" s="4" t="str">
        <f>IFERROR(__xludf.DUMMYFUNCTION("""COMPUTED_VALUE"""),"ZONA 3")</f>
        <v>ZONA 3</v>
      </c>
      <c r="K1258" s="4" t="str">
        <f>IFERROR(__xludf.DUMMYFUNCTION("""COMPUTED_VALUE"""),"041")</f>
        <v>041</v>
      </c>
      <c r="L1258" s="4" t="str">
        <f>IFERROR(__xludf.DUMMYFUNCTION("""COMPUTED_VALUE"""),"TM - 11B/H (Kabel Naik)")</f>
        <v>TM - 11B/H (Kabel Naik)</v>
      </c>
      <c r="M1258" s="4" t="str">
        <f>IFERROR(__xludf.DUMMYFUNCTION("""COMPUTED_VALUE"""),"Tidak Ada")</f>
        <v>Tidak Ada</v>
      </c>
      <c r="N1258" s="4"/>
      <c r="O1258" s="4" t="str">
        <f>IFERROR(__xludf.DUMMYFUNCTION("""COMPUTED_VALUE"""),"PEMBANDING SEJENIS")</f>
        <v>PEMBANDING SEJENIS</v>
      </c>
      <c r="P1258" s="4" t="str">
        <f>IFERROR(__xludf.DUMMYFUNCTION("""COMPUTED_VALUE"""),"KONEKTOR/JUMPER")</f>
        <v>KONEKTOR/JUMPER</v>
      </c>
      <c r="Q1258" s="4">
        <f>IFERROR(__xludf.DUMMYFUNCTION("""COMPUTED_VALUE"""),23.0)</f>
        <v>23</v>
      </c>
      <c r="R1258" s="4">
        <f>IFERROR(__xludf.DUMMYFUNCTION("""COMPUTED_VALUE"""),24.0)</f>
        <v>24</v>
      </c>
      <c r="S1258" s="4">
        <f>IFERROR(__xludf.DUMMYFUNCTION("""COMPUTED_VALUE"""),27.0)</f>
        <v>27</v>
      </c>
      <c r="T1258" s="4"/>
      <c r="U1258" s="4" t="str">
        <f>IFERROR(__xludf.DUMMYFUNCTION("""COMPUTED_VALUE"""),"CUKUP")</f>
        <v>CUKUP</v>
      </c>
      <c r="V1258" s="4" t="str">
        <f>IFERROR(__xludf.DUMMYFUNCTION("""COMPUTED_VALUE"""),"Tidak Ada")</f>
        <v>Tidak Ada</v>
      </c>
      <c r="W1258" s="4"/>
      <c r="X1258" s="4"/>
      <c r="Y1258" s="4"/>
      <c r="Z1258" s="4"/>
      <c r="AA1258" s="4"/>
      <c r="AB1258" s="4"/>
      <c r="AC1258" s="4" t="str">
        <f>IFERROR(__xludf.DUMMYFUNCTION("""COMPUTED_VALUE"""),"INSPEKSI SUTM - T2_Images/2a97a78a.FOTO.163035.jpg")</f>
        <v>INSPEKSI SUTM - T2_Images/2a97a78a.FOTO.163035.jpg</v>
      </c>
      <c r="AD1258" s="4"/>
      <c r="AE1258" s="4"/>
      <c r="AF1258" s="4" t="str">
        <f>IFERROR(__xludf.DUMMYFUNCTION("""COMPUTED_VALUE"""),"BELUM")</f>
        <v>BELUM</v>
      </c>
      <c r="AG1258" s="6">
        <f>IFERROR(__xludf.DUMMYFUNCTION("""COMPUTED_VALUE"""),46140.0)</f>
        <v>46140</v>
      </c>
      <c r="AH1258" s="4"/>
      <c r="AI1258" s="4"/>
    </row>
    <row r="1259" ht="15.75" customHeight="1">
      <c r="A1259" s="4" t="str">
        <f>IFERROR(__xludf.DUMMYFUNCTION("""COMPUTED_VALUE"""),"8a00443d")</f>
        <v>8a00443d</v>
      </c>
      <c r="B1259" s="5">
        <f>IFERROR(__xludf.DUMMYFUNCTION("""COMPUTED_VALUE"""),46140.97913194444)</f>
        <v>46140.97913</v>
      </c>
      <c r="C1259" s="4" t="str">
        <f>IFERROR(__xludf.DUMMYFUNCTION("""COMPUTED_VALUE"""),"-6.899167, 107.645299")</f>
        <v>-6.899167, 107.645299</v>
      </c>
      <c r="D1259" s="4" t="str">
        <f>IFERROR(__xludf.DUMMYFUNCTION("""COMPUTED_VALUE"""),"Nygi firman")</f>
        <v>Nygi firman</v>
      </c>
      <c r="E1259" s="4" t="str">
        <f>IFERROR(__xludf.DUMMYFUNCTION("""COMPUTED_VALUE"""),"BANDUNG")</f>
        <v>BANDUNG</v>
      </c>
      <c r="F1259" s="4" t="str">
        <f>IFERROR(__xludf.DUMMYFUNCTION("""COMPUTED_VALUE"""),"KOPO")</f>
        <v>KOPO</v>
      </c>
      <c r="G1259" s="4" t="str">
        <f>IFERROR(__xludf.DUMMYFUNCTION("""COMPUTED_VALUE"""),"CIGERELENG")</f>
        <v>CIGERELENG</v>
      </c>
      <c r="H1259" s="4" t="str">
        <f>IFERROR(__xludf.DUMMYFUNCTION("""COMPUTED_VALUE"""),"CKM")</f>
        <v>CKM</v>
      </c>
      <c r="I1259" s="4" t="str">
        <f>IFERROR(__xludf.DUMMYFUNCTION("""COMPUTED_VALUE"""),"LBS KPL - YHS")</f>
        <v>LBS KPL - YHS</v>
      </c>
      <c r="J1259" s="4" t="str">
        <f>IFERROR(__xludf.DUMMYFUNCTION("""COMPUTED_VALUE"""),"ZONA 2")</f>
        <v>ZONA 2</v>
      </c>
      <c r="K1259" s="4" t="str">
        <f>IFERROR(__xludf.DUMMYFUNCTION("""COMPUTED_VALUE"""),"027R11R01")</f>
        <v>027R11R01</v>
      </c>
      <c r="L1259" s="4" t="str">
        <f>IFERROR(__xludf.DUMMYFUNCTION("""COMPUTED_VALUE"""),"TM - 4B/H (Afspan)")</f>
        <v>TM - 4B/H (Afspan)</v>
      </c>
      <c r="M1259" s="4" t="str">
        <f>IFERROR(__xludf.DUMMYFUNCTION("""COMPUTED_VALUE"""),"Tidak Ada")</f>
        <v>Tidak Ada</v>
      </c>
      <c r="N1259" s="4"/>
      <c r="O1259" s="4" t="str">
        <f>IFERROR(__xludf.DUMMYFUNCTION("""COMPUTED_VALUE"""),"PEMBANDING SEJENIS")</f>
        <v>PEMBANDING SEJENIS</v>
      </c>
      <c r="P1259" s="4" t="str">
        <f>IFERROR(__xludf.DUMMYFUNCTION("""COMPUTED_VALUE"""),"KONEKTOR/JUMPER")</f>
        <v>KONEKTOR/JUMPER</v>
      </c>
      <c r="Q1259" s="4">
        <f>IFERROR(__xludf.DUMMYFUNCTION("""COMPUTED_VALUE"""),21.0)</f>
        <v>21</v>
      </c>
      <c r="R1259" s="4">
        <f>IFERROR(__xludf.DUMMYFUNCTION("""COMPUTED_VALUE"""),21.0)</f>
        <v>21</v>
      </c>
      <c r="S1259" s="4">
        <f>IFERROR(__xludf.DUMMYFUNCTION("""COMPUTED_VALUE"""),21.0)</f>
        <v>21</v>
      </c>
      <c r="T1259" s="4"/>
      <c r="U1259" s="4" t="str">
        <f>IFERROR(__xludf.DUMMYFUNCTION("""COMPUTED_VALUE"""),"BAIK")</f>
        <v>BAIK</v>
      </c>
      <c r="V1259" s="4" t="str">
        <f>IFERROR(__xludf.DUMMYFUNCTION("""COMPUTED_VALUE"""),"Tidak Ada")</f>
        <v>Tidak Ada</v>
      </c>
      <c r="W1259" s="4"/>
      <c r="X1259" s="4"/>
      <c r="Y1259" s="4"/>
      <c r="Z1259" s="4"/>
      <c r="AA1259" s="4"/>
      <c r="AB1259" s="4"/>
      <c r="AC1259" s="4" t="str">
        <f>IFERROR(__xludf.DUMMYFUNCTION("""COMPUTED_VALUE"""),"INSPEKSI SUTM - T2_Images/8a00443d.FOTO.163109.jpg")</f>
        <v>INSPEKSI SUTM - T2_Images/8a00443d.FOTO.163109.jpg</v>
      </c>
      <c r="AD1259" s="4"/>
      <c r="AE1259" s="4"/>
      <c r="AF1259" s="4" t="str">
        <f>IFERROR(__xludf.DUMMYFUNCTION("""COMPUTED_VALUE"""),"BELUM")</f>
        <v>BELUM</v>
      </c>
      <c r="AG1259" s="6">
        <f>IFERROR(__xludf.DUMMYFUNCTION("""COMPUTED_VALUE"""),46140.0)</f>
        <v>46140</v>
      </c>
      <c r="AH1259" s="4"/>
      <c r="AI1259" s="4"/>
    </row>
    <row r="1260" ht="15.75" customHeight="1">
      <c r="A1260" s="4" t="str">
        <f>IFERROR(__xludf.DUMMYFUNCTION("""COMPUTED_VALUE"""),"8eac7e6f")</f>
        <v>8eac7e6f</v>
      </c>
      <c r="B1260" s="5">
        <f>IFERROR(__xludf.DUMMYFUNCTION("""COMPUTED_VALUE"""),46140.97990740741)</f>
        <v>46140.97991</v>
      </c>
      <c r="C1260" s="4" t="str">
        <f>IFERROR(__xludf.DUMMYFUNCTION("""COMPUTED_VALUE"""),"-6.966177, 107.649360")</f>
        <v>-6.966177, 107.649360</v>
      </c>
      <c r="D1260" s="4" t="str">
        <f>IFERROR(__xludf.DUMMYFUNCTION("""COMPUTED_VALUE"""),"Jihan kiki")</f>
        <v>Jihan kiki</v>
      </c>
      <c r="E1260" s="4" t="str">
        <f>IFERROR(__xludf.DUMMYFUNCTION("""COMPUTED_VALUE"""),"BANDUNG")</f>
        <v>BANDUNG</v>
      </c>
      <c r="F1260" s="4" t="str">
        <f>IFERROR(__xludf.DUMMYFUNCTION("""COMPUTED_VALUE"""),"CIJAWURA")</f>
        <v>CIJAWURA</v>
      </c>
      <c r="G1260" s="4" t="str">
        <f>IFERROR(__xludf.DUMMYFUNCTION("""COMPUTED_VALUE"""),"GIS KIARACONDONG")</f>
        <v>GIS KIARACONDONG</v>
      </c>
      <c r="H1260" s="4" t="str">
        <f>IFERROR(__xludf.DUMMYFUNCTION("""COMPUTED_VALUE"""),"KMO")</f>
        <v>KMO</v>
      </c>
      <c r="I1260" s="4" t="str">
        <f>IFERROR(__xludf.DUMMYFUNCTION("""COMPUTED_VALUE"""),"REC. BMCA - LBS YKE")</f>
        <v>REC. BMCA - LBS YKE</v>
      </c>
      <c r="J1260" s="4" t="str">
        <f>IFERROR(__xludf.DUMMYFUNCTION("""COMPUTED_VALUE"""),"ZONA 3")</f>
        <v>ZONA 3</v>
      </c>
      <c r="K1260" s="4" t="str">
        <f>IFERROR(__xludf.DUMMYFUNCTION("""COMPUTED_VALUE"""),"042")</f>
        <v>042</v>
      </c>
      <c r="L1260" s="4" t="str">
        <f>IFERROR(__xludf.DUMMYFUNCTION("""COMPUTED_VALUE"""),"TM - 11B/H (Kabel Naik)")</f>
        <v>TM - 11B/H (Kabel Naik)</v>
      </c>
      <c r="M1260" s="4" t="str">
        <f>IFERROR(__xludf.DUMMYFUNCTION("""COMPUTED_VALUE"""),"Tidak Ada")</f>
        <v>Tidak Ada</v>
      </c>
      <c r="N1260" s="4"/>
      <c r="O1260" s="4" t="str">
        <f>IFERROR(__xludf.DUMMYFUNCTION("""COMPUTED_VALUE"""),"PEMBANDING SEJENIS")</f>
        <v>PEMBANDING SEJENIS</v>
      </c>
      <c r="P1260" s="4" t="str">
        <f>IFERROR(__xludf.DUMMYFUNCTION("""COMPUTED_VALUE"""),"KONEKTOR/JUMPER")</f>
        <v>KONEKTOR/JUMPER</v>
      </c>
      <c r="Q1260" s="4">
        <f>IFERROR(__xludf.DUMMYFUNCTION("""COMPUTED_VALUE"""),22.0)</f>
        <v>22</v>
      </c>
      <c r="R1260" s="4">
        <f>IFERROR(__xludf.DUMMYFUNCTION("""COMPUTED_VALUE"""),21.0)</f>
        <v>21</v>
      </c>
      <c r="S1260" s="4">
        <f>IFERROR(__xludf.DUMMYFUNCTION("""COMPUTED_VALUE"""),24.0)</f>
        <v>24</v>
      </c>
      <c r="T1260" s="4"/>
      <c r="U1260" s="4" t="str">
        <f>IFERROR(__xludf.DUMMYFUNCTION("""COMPUTED_VALUE"""),"CUKUP")</f>
        <v>CUKUP</v>
      </c>
      <c r="V1260" s="4" t="str">
        <f>IFERROR(__xludf.DUMMYFUNCTION("""COMPUTED_VALUE"""),"Tidak Ada")</f>
        <v>Tidak Ada</v>
      </c>
      <c r="W1260" s="4"/>
      <c r="X1260" s="4"/>
      <c r="Y1260" s="4"/>
      <c r="Z1260" s="4"/>
      <c r="AA1260" s="4"/>
      <c r="AB1260" s="4"/>
      <c r="AC1260" s="4" t="str">
        <f>IFERROR(__xludf.DUMMYFUNCTION("""COMPUTED_VALUE"""),"INSPEKSI SUTM - T2_Images/8eac7e6f.FOTO.163150.jpg")</f>
        <v>INSPEKSI SUTM - T2_Images/8eac7e6f.FOTO.163150.jpg</v>
      </c>
      <c r="AD1260" s="4"/>
      <c r="AE1260" s="4"/>
      <c r="AF1260" s="4" t="str">
        <f>IFERROR(__xludf.DUMMYFUNCTION("""COMPUTED_VALUE"""),"BELUM")</f>
        <v>BELUM</v>
      </c>
      <c r="AG1260" s="6">
        <f>IFERROR(__xludf.DUMMYFUNCTION("""COMPUTED_VALUE"""),46140.0)</f>
        <v>46140</v>
      </c>
      <c r="AH1260" s="4"/>
      <c r="AI1260" s="4"/>
    </row>
    <row r="1261" ht="15.75" customHeight="1">
      <c r="A1261" s="4" t="str">
        <f>IFERROR(__xludf.DUMMYFUNCTION("""COMPUTED_VALUE"""),"f95b311b")</f>
        <v>f95b311b</v>
      </c>
      <c r="B1261" s="5">
        <f>IFERROR(__xludf.DUMMYFUNCTION("""COMPUTED_VALUE"""),46140.98002314815)</f>
        <v>46140.98002</v>
      </c>
      <c r="C1261" s="4" t="str">
        <f>IFERROR(__xludf.DUMMYFUNCTION("""COMPUTED_VALUE"""),"-6.899156, 107.645290")</f>
        <v>-6.899156, 107.645290</v>
      </c>
      <c r="D1261" s="4" t="str">
        <f>IFERROR(__xludf.DUMMYFUNCTION("""COMPUTED_VALUE"""),"Nugi firman")</f>
        <v>Nugi firman</v>
      </c>
      <c r="E1261" s="4" t="str">
        <f>IFERROR(__xludf.DUMMYFUNCTION("""COMPUTED_VALUE"""),"BANDUNG")</f>
        <v>BANDUNG</v>
      </c>
      <c r="F1261" s="4" t="str">
        <f>IFERROR(__xludf.DUMMYFUNCTION("""COMPUTED_VALUE"""),"KOPO")</f>
        <v>KOPO</v>
      </c>
      <c r="G1261" s="4" t="str">
        <f>IFERROR(__xludf.DUMMYFUNCTION("""COMPUTED_VALUE"""),"CIGERELENG")</f>
        <v>CIGERELENG</v>
      </c>
      <c r="H1261" s="4" t="str">
        <f>IFERROR(__xludf.DUMMYFUNCTION("""COMPUTED_VALUE"""),"CKM")</f>
        <v>CKM</v>
      </c>
      <c r="I1261" s="4" t="str">
        <f>IFERROR(__xludf.DUMMYFUNCTION("""COMPUTED_VALUE"""),"LBS KPL - YHS")</f>
        <v>LBS KPL - YHS</v>
      </c>
      <c r="J1261" s="4" t="str">
        <f>IFERROR(__xludf.DUMMYFUNCTION("""COMPUTED_VALUE"""),"ZONA 2")</f>
        <v>ZONA 2</v>
      </c>
      <c r="K1261" s="4" t="str">
        <f>IFERROR(__xludf.DUMMYFUNCTION("""COMPUTED_VALUE"""),"027R11R05")</f>
        <v>027R11R05</v>
      </c>
      <c r="L1261" s="4" t="str">
        <f>IFERROR(__xludf.DUMMYFUNCTION("""COMPUTED_VALUE"""),"TM - 8B/H (Percabangan)")</f>
        <v>TM - 8B/H (Percabangan)</v>
      </c>
      <c r="M1261" s="4" t="str">
        <f>IFERROR(__xludf.DUMMYFUNCTION("""COMPUTED_VALUE"""),"Tidak Ada")</f>
        <v>Tidak Ada</v>
      </c>
      <c r="N1261" s="4"/>
      <c r="O1261" s="4" t="str">
        <f>IFERROR(__xludf.DUMMYFUNCTION("""COMPUTED_VALUE"""),"PEMBANDING SEJENIS")</f>
        <v>PEMBANDING SEJENIS</v>
      </c>
      <c r="P1261" s="4" t="str">
        <f>IFERROR(__xludf.DUMMYFUNCTION("""COMPUTED_VALUE"""),"KONEKTOR/JUMPER")</f>
        <v>KONEKTOR/JUMPER</v>
      </c>
      <c r="Q1261" s="4">
        <f>IFERROR(__xludf.DUMMYFUNCTION("""COMPUTED_VALUE"""),18.0)</f>
        <v>18</v>
      </c>
      <c r="R1261" s="4">
        <f>IFERROR(__xludf.DUMMYFUNCTION("""COMPUTED_VALUE"""),18.0)</f>
        <v>18</v>
      </c>
      <c r="S1261" s="4">
        <f>IFERROR(__xludf.DUMMYFUNCTION("""COMPUTED_VALUE"""),18.0)</f>
        <v>18</v>
      </c>
      <c r="T1261" s="4"/>
      <c r="U1261" s="4" t="str">
        <f>IFERROR(__xludf.DUMMYFUNCTION("""COMPUTED_VALUE"""),"BAIK")</f>
        <v>BAIK</v>
      </c>
      <c r="V1261" s="4" t="str">
        <f>IFERROR(__xludf.DUMMYFUNCTION("""COMPUTED_VALUE"""),"Tidak Ada")</f>
        <v>Tidak Ada</v>
      </c>
      <c r="W1261" s="4"/>
      <c r="X1261" s="4"/>
      <c r="Y1261" s="4"/>
      <c r="Z1261" s="4"/>
      <c r="AA1261" s="4"/>
      <c r="AB1261" s="4"/>
      <c r="AC1261" s="4" t="str">
        <f>IFERROR(__xludf.DUMMYFUNCTION("""COMPUTED_VALUE"""),"INSPEKSI SUTM - T2_Images/f95b311b.FOTO.163221.jpg")</f>
        <v>INSPEKSI SUTM - T2_Images/f95b311b.FOTO.163221.jpg</v>
      </c>
      <c r="AD1261" s="4"/>
      <c r="AE1261" s="4"/>
      <c r="AF1261" s="4" t="str">
        <f>IFERROR(__xludf.DUMMYFUNCTION("""COMPUTED_VALUE"""),"BELUM")</f>
        <v>BELUM</v>
      </c>
      <c r="AG1261" s="6">
        <f>IFERROR(__xludf.DUMMYFUNCTION("""COMPUTED_VALUE"""),46140.0)</f>
        <v>46140</v>
      </c>
      <c r="AH1261" s="4"/>
      <c r="AI1261" s="4"/>
    </row>
    <row r="1262" ht="15.75" customHeight="1">
      <c r="A1262" s="4" t="str">
        <f>IFERROR(__xludf.DUMMYFUNCTION("""COMPUTED_VALUE"""),"b138d51e")</f>
        <v>b138d51e</v>
      </c>
      <c r="B1262" s="5">
        <f>IFERROR(__xludf.DUMMYFUNCTION("""COMPUTED_VALUE"""),46140.980520833335)</f>
        <v>46140.98052</v>
      </c>
      <c r="C1262" s="4" t="str">
        <f>IFERROR(__xludf.DUMMYFUNCTION("""COMPUTED_VALUE"""),"-6.966253, 107.649612")</f>
        <v>-6.966253, 107.649612</v>
      </c>
      <c r="D1262" s="4" t="str">
        <f>IFERROR(__xludf.DUMMYFUNCTION("""COMPUTED_VALUE"""),"Jihan kiki")</f>
        <v>Jihan kiki</v>
      </c>
      <c r="E1262" s="4" t="str">
        <f>IFERROR(__xludf.DUMMYFUNCTION("""COMPUTED_VALUE"""),"BANDUNG")</f>
        <v>BANDUNG</v>
      </c>
      <c r="F1262" s="4" t="str">
        <f>IFERROR(__xludf.DUMMYFUNCTION("""COMPUTED_VALUE"""),"CIJAWURA")</f>
        <v>CIJAWURA</v>
      </c>
      <c r="G1262" s="4" t="str">
        <f>IFERROR(__xludf.DUMMYFUNCTION("""COMPUTED_VALUE"""),"GIS KIARACONDONG")</f>
        <v>GIS KIARACONDONG</v>
      </c>
      <c r="H1262" s="4" t="str">
        <f>IFERROR(__xludf.DUMMYFUNCTION("""COMPUTED_VALUE"""),"KMO")</f>
        <v>KMO</v>
      </c>
      <c r="I1262" s="4" t="str">
        <f>IFERROR(__xludf.DUMMYFUNCTION("""COMPUTED_VALUE"""),"REC. BMCA - LBS YKE")</f>
        <v>REC. BMCA - LBS YKE</v>
      </c>
      <c r="J1262" s="4" t="str">
        <f>IFERROR(__xludf.DUMMYFUNCTION("""COMPUTED_VALUE"""),"ZONA 3")</f>
        <v>ZONA 3</v>
      </c>
      <c r="K1262" s="4" t="str">
        <f>IFERROR(__xludf.DUMMYFUNCTION("""COMPUTED_VALUE"""),"043")</f>
        <v>043</v>
      </c>
      <c r="L1262" s="4" t="str">
        <f>IFERROR(__xludf.DUMMYFUNCTION("""COMPUTED_VALUE"""),"TM - 13B/H (Kabel Naik Pada Tiang Tumpu)")</f>
        <v>TM - 13B/H (Kabel Naik Pada Tiang Tumpu)</v>
      </c>
      <c r="M1262" s="4" t="str">
        <f>IFERROR(__xludf.DUMMYFUNCTION("""COMPUTED_VALUE"""),"Tidak Ada")</f>
        <v>Tidak Ada</v>
      </c>
      <c r="N1262" s="4"/>
      <c r="O1262" s="4" t="str">
        <f>IFERROR(__xludf.DUMMYFUNCTION("""COMPUTED_VALUE"""),"PEMBANDING SEJENIS")</f>
        <v>PEMBANDING SEJENIS</v>
      </c>
      <c r="P1262" s="4" t="str">
        <f>IFERROR(__xludf.DUMMYFUNCTION("""COMPUTED_VALUE"""),"KONEKTOR/JUMPER")</f>
        <v>KONEKTOR/JUMPER</v>
      </c>
      <c r="Q1262" s="4">
        <f>IFERROR(__xludf.DUMMYFUNCTION("""COMPUTED_VALUE"""),22.0)</f>
        <v>22</v>
      </c>
      <c r="R1262" s="4">
        <f>IFERROR(__xludf.DUMMYFUNCTION("""COMPUTED_VALUE"""),22.0)</f>
        <v>22</v>
      </c>
      <c r="S1262" s="4">
        <f>IFERROR(__xludf.DUMMYFUNCTION("""COMPUTED_VALUE"""),20.0)</f>
        <v>20</v>
      </c>
      <c r="T1262" s="4"/>
      <c r="U1262" s="4" t="str">
        <f>IFERROR(__xludf.DUMMYFUNCTION("""COMPUTED_VALUE"""),"BAIK")</f>
        <v>BAIK</v>
      </c>
      <c r="V1262" s="4" t="str">
        <f>IFERROR(__xludf.DUMMYFUNCTION("""COMPUTED_VALUE"""),"Tidak Ada")</f>
        <v>Tidak Ada</v>
      </c>
      <c r="W1262" s="4"/>
      <c r="X1262" s="4"/>
      <c r="Y1262" s="4"/>
      <c r="Z1262" s="4"/>
      <c r="AA1262" s="4"/>
      <c r="AB1262" s="4"/>
      <c r="AC1262" s="4" t="str">
        <f>IFERROR(__xludf.DUMMYFUNCTION("""COMPUTED_VALUE"""),"INSPEKSI SUTM - T2_Images/b138d51e.FOTO.163237.jpg")</f>
        <v>INSPEKSI SUTM - T2_Images/b138d51e.FOTO.163237.jpg</v>
      </c>
      <c r="AD1262" s="4"/>
      <c r="AE1262" s="4"/>
      <c r="AF1262" s="4" t="str">
        <f>IFERROR(__xludf.DUMMYFUNCTION("""COMPUTED_VALUE"""),"BELUM")</f>
        <v>BELUM</v>
      </c>
      <c r="AG1262" s="6">
        <f>IFERROR(__xludf.DUMMYFUNCTION("""COMPUTED_VALUE"""),46140.0)</f>
        <v>46140</v>
      </c>
      <c r="AH1262" s="4"/>
      <c r="AI1262" s="4"/>
    </row>
    <row r="1263" ht="15.75" customHeight="1">
      <c r="A1263" s="4" t="str">
        <f>IFERROR(__xludf.DUMMYFUNCTION("""COMPUTED_VALUE"""),"df82c017")</f>
        <v>df82c017</v>
      </c>
      <c r="B1263" s="5">
        <f>IFERROR(__xludf.DUMMYFUNCTION("""COMPUTED_VALUE"""),46140.98193287037)</f>
        <v>46140.98193</v>
      </c>
      <c r="C1263" s="4" t="str">
        <f>IFERROR(__xludf.DUMMYFUNCTION("""COMPUTED_VALUE"""),"-6.899189, 107.645302")</f>
        <v>-6.899189, 107.645302</v>
      </c>
      <c r="D1263" s="4" t="str">
        <f>IFERROR(__xludf.DUMMYFUNCTION("""COMPUTED_VALUE"""),"Nygi firman")</f>
        <v>Nygi firman</v>
      </c>
      <c r="E1263" s="4" t="str">
        <f>IFERROR(__xludf.DUMMYFUNCTION("""COMPUTED_VALUE"""),"BANDUNG")</f>
        <v>BANDUNG</v>
      </c>
      <c r="F1263" s="4" t="str">
        <f>IFERROR(__xludf.DUMMYFUNCTION("""COMPUTED_VALUE"""),"KOPO")</f>
        <v>KOPO</v>
      </c>
      <c r="G1263" s="4" t="str">
        <f>IFERROR(__xludf.DUMMYFUNCTION("""COMPUTED_VALUE"""),"CIGERELENG")</f>
        <v>CIGERELENG</v>
      </c>
      <c r="H1263" s="4" t="str">
        <f>IFERROR(__xludf.DUMMYFUNCTION("""COMPUTED_VALUE"""),"CKM")</f>
        <v>CKM</v>
      </c>
      <c r="I1263" s="4" t="str">
        <f>IFERROR(__xludf.DUMMYFUNCTION("""COMPUTED_VALUE"""),"LBS KPL - YHS")</f>
        <v>LBS KPL - YHS</v>
      </c>
      <c r="J1263" s="4" t="str">
        <f>IFERROR(__xludf.DUMMYFUNCTION("""COMPUTED_VALUE"""),"ZONA 2")</f>
        <v>ZONA 2</v>
      </c>
      <c r="K1263" s="4" t="str">
        <f>IFERROR(__xludf.DUMMYFUNCTION("""COMPUTED_VALUE"""),"027R11R10")</f>
        <v>027R11R10</v>
      </c>
      <c r="L1263" s="4" t="str">
        <f>IFERROR(__xludf.DUMMYFUNCTION("""COMPUTED_VALUE"""),"TM - 14B/H (Akhir)")</f>
        <v>TM - 14B/H (Akhir)</v>
      </c>
      <c r="M1263" s="4" t="str">
        <f>IFERROR(__xludf.DUMMYFUNCTION("""COMPUTED_VALUE"""),"Tidak Ada")</f>
        <v>Tidak Ada</v>
      </c>
      <c r="N1263" s="4"/>
      <c r="O1263" s="4" t="str">
        <f>IFERROR(__xludf.DUMMYFUNCTION("""COMPUTED_VALUE"""),"PEMBANDING SEJENIS")</f>
        <v>PEMBANDING SEJENIS</v>
      </c>
      <c r="P1263" s="4" t="str">
        <f>IFERROR(__xludf.DUMMYFUNCTION("""COMPUTED_VALUE"""),"KONEKTOR/JUMPER")</f>
        <v>KONEKTOR/JUMPER</v>
      </c>
      <c r="Q1263" s="4">
        <f>IFERROR(__xludf.DUMMYFUNCTION("""COMPUTED_VALUE"""),19.0)</f>
        <v>19</v>
      </c>
      <c r="R1263" s="4">
        <f>IFERROR(__xludf.DUMMYFUNCTION("""COMPUTED_VALUE"""),16.0)</f>
        <v>16</v>
      </c>
      <c r="S1263" s="4">
        <f>IFERROR(__xludf.DUMMYFUNCTION("""COMPUTED_VALUE"""),19.0)</f>
        <v>19</v>
      </c>
      <c r="T1263" s="4"/>
      <c r="U1263" s="4" t="str">
        <f>IFERROR(__xludf.DUMMYFUNCTION("""COMPUTED_VALUE"""),"CUKUP")</f>
        <v>CUKUP</v>
      </c>
      <c r="V1263" s="4" t="str">
        <f>IFERROR(__xludf.DUMMYFUNCTION("""COMPUTED_VALUE"""),"Tidak Ada")</f>
        <v>Tidak Ada</v>
      </c>
      <c r="W1263" s="4"/>
      <c r="X1263" s="4"/>
      <c r="Y1263" s="4"/>
      <c r="Z1263" s="4"/>
      <c r="AA1263" s="4"/>
      <c r="AB1263" s="4"/>
      <c r="AC1263" s="4" t="str">
        <f>IFERROR(__xludf.DUMMYFUNCTION("""COMPUTED_VALUE"""),"INSPEKSI SUTM - T2_Images/df82c017.FOTO.163446.jpg")</f>
        <v>INSPEKSI SUTM - T2_Images/df82c017.FOTO.163446.jpg</v>
      </c>
      <c r="AD1263" s="4"/>
      <c r="AE1263" s="4"/>
      <c r="AF1263" s="4" t="str">
        <f>IFERROR(__xludf.DUMMYFUNCTION("""COMPUTED_VALUE"""),"BELUM")</f>
        <v>BELUM</v>
      </c>
      <c r="AG1263" s="6">
        <f>IFERROR(__xludf.DUMMYFUNCTION("""COMPUTED_VALUE"""),46140.0)</f>
        <v>46140</v>
      </c>
      <c r="AH1263" s="4"/>
      <c r="AI1263" s="4"/>
    </row>
    <row r="1264" ht="15.75" customHeight="1">
      <c r="A1264" s="4" t="str">
        <f>IFERROR(__xludf.DUMMYFUNCTION("""COMPUTED_VALUE"""),"3acd4117")</f>
        <v>3acd4117</v>
      </c>
      <c r="B1264" s="5">
        <f>IFERROR(__xludf.DUMMYFUNCTION("""COMPUTED_VALUE"""),46140.981469907405)</f>
        <v>46140.98147</v>
      </c>
      <c r="C1264" s="4" t="str">
        <f>IFERROR(__xludf.DUMMYFUNCTION("""COMPUTED_VALUE"""),"-6.967850, 107.654737")</f>
        <v>-6.967850, 107.654737</v>
      </c>
      <c r="D1264" s="4" t="str">
        <f>IFERROR(__xludf.DUMMYFUNCTION("""COMPUTED_VALUE"""),"Jihan kiki")</f>
        <v>Jihan kiki</v>
      </c>
      <c r="E1264" s="4" t="str">
        <f>IFERROR(__xludf.DUMMYFUNCTION("""COMPUTED_VALUE"""),"BANDUNG")</f>
        <v>BANDUNG</v>
      </c>
      <c r="F1264" s="4" t="str">
        <f>IFERROR(__xludf.DUMMYFUNCTION("""COMPUTED_VALUE"""),"CIJAWURA")</f>
        <v>CIJAWURA</v>
      </c>
      <c r="G1264" s="4" t="str">
        <f>IFERROR(__xludf.DUMMYFUNCTION("""COMPUTED_VALUE"""),"GIS KIARACONDONG")</f>
        <v>GIS KIARACONDONG</v>
      </c>
      <c r="H1264" s="4" t="str">
        <f>IFERROR(__xludf.DUMMYFUNCTION("""COMPUTED_VALUE"""),"KMO")</f>
        <v>KMO</v>
      </c>
      <c r="I1264" s="4" t="str">
        <f>IFERROR(__xludf.DUMMYFUNCTION("""COMPUTED_VALUE"""),"LBS PDH - UJUNG")</f>
        <v>LBS PDH - UJUNG</v>
      </c>
      <c r="J1264" s="4" t="str">
        <f>IFERROR(__xludf.DUMMYFUNCTION("""COMPUTED_VALUE"""),"ZONA 3")</f>
        <v>ZONA 3</v>
      </c>
      <c r="K1264" s="4" t="str">
        <f>IFERROR(__xludf.DUMMYFUNCTION("""COMPUTED_VALUE"""),"047L01")</f>
        <v>047L01</v>
      </c>
      <c r="L1264" s="4" t="str">
        <f>IFERROR(__xludf.DUMMYFUNCTION("""COMPUTED_VALUE"""),"TM - 11B/H (Kabel Naik)")</f>
        <v>TM - 11B/H (Kabel Naik)</v>
      </c>
      <c r="M1264" s="4" t="str">
        <f>IFERROR(__xludf.DUMMYFUNCTION("""COMPUTED_VALUE"""),"Tidak Ada")</f>
        <v>Tidak Ada</v>
      </c>
      <c r="N1264" s="4"/>
      <c r="O1264" s="4" t="str">
        <f>IFERROR(__xludf.DUMMYFUNCTION("""COMPUTED_VALUE"""),"PEMBANDING SEJENIS")</f>
        <v>PEMBANDING SEJENIS</v>
      </c>
      <c r="P1264" s="4" t="str">
        <f>IFERROR(__xludf.DUMMYFUNCTION("""COMPUTED_VALUE"""),"KONEKTOR/JUMPER")</f>
        <v>KONEKTOR/JUMPER</v>
      </c>
      <c r="Q1264" s="4">
        <f>IFERROR(__xludf.DUMMYFUNCTION("""COMPUTED_VALUE"""),21.0)</f>
        <v>21</v>
      </c>
      <c r="R1264" s="4">
        <f>IFERROR(__xludf.DUMMYFUNCTION("""COMPUTED_VALUE"""),21.0)</f>
        <v>21</v>
      </c>
      <c r="S1264" s="4">
        <f>IFERROR(__xludf.DUMMYFUNCTION("""COMPUTED_VALUE"""),22.0)</f>
        <v>22</v>
      </c>
      <c r="T1264" s="4"/>
      <c r="U1264" s="4" t="str">
        <f>IFERROR(__xludf.DUMMYFUNCTION("""COMPUTED_VALUE"""),"BAIK")</f>
        <v>BAIK</v>
      </c>
      <c r="V1264" s="4" t="str">
        <f>IFERROR(__xludf.DUMMYFUNCTION("""COMPUTED_VALUE"""),"Tidak Ada")</f>
        <v>Tidak Ada</v>
      </c>
      <c r="W1264" s="4"/>
      <c r="X1264" s="4"/>
      <c r="Y1264" s="4"/>
      <c r="Z1264" s="4"/>
      <c r="AA1264" s="4"/>
      <c r="AB1264" s="4"/>
      <c r="AC1264" s="4" t="str">
        <f>IFERROR(__xludf.DUMMYFUNCTION("""COMPUTED_VALUE"""),"INSPEKSI SUTM - T2_Images/3acd4117.FOTO.163501.jpg")</f>
        <v>INSPEKSI SUTM - T2_Images/3acd4117.FOTO.163501.jpg</v>
      </c>
      <c r="AD1264" s="4"/>
      <c r="AE1264" s="4"/>
      <c r="AF1264" s="4" t="str">
        <f>IFERROR(__xludf.DUMMYFUNCTION("""COMPUTED_VALUE"""),"BELUM")</f>
        <v>BELUM</v>
      </c>
      <c r="AG1264" s="6">
        <f>IFERROR(__xludf.DUMMYFUNCTION("""COMPUTED_VALUE"""),46140.0)</f>
        <v>46140</v>
      </c>
      <c r="AH1264" s="4"/>
      <c r="AI1264" s="4"/>
    </row>
    <row r="1265" ht="15.75" customHeight="1">
      <c r="A1265" s="4" t="str">
        <f>IFERROR(__xludf.DUMMYFUNCTION("""COMPUTED_VALUE"""),"7cedd12c")</f>
        <v>7cedd12c</v>
      </c>
      <c r="B1265" s="5">
        <f>IFERROR(__xludf.DUMMYFUNCTION("""COMPUTED_VALUE"""),46140.98200231481)</f>
        <v>46140.982</v>
      </c>
      <c r="C1265" s="4" t="str">
        <f>IFERROR(__xludf.DUMMYFUNCTION("""COMPUTED_VALUE"""),"-6.967871, 107.655055")</f>
        <v>-6.967871, 107.655055</v>
      </c>
      <c r="D1265" s="4" t="str">
        <f>IFERROR(__xludf.DUMMYFUNCTION("""COMPUTED_VALUE"""),"Jihan kiki")</f>
        <v>Jihan kiki</v>
      </c>
      <c r="E1265" s="4" t="str">
        <f>IFERROR(__xludf.DUMMYFUNCTION("""COMPUTED_VALUE"""),"BANDUNG")</f>
        <v>BANDUNG</v>
      </c>
      <c r="F1265" s="4" t="str">
        <f>IFERROR(__xludf.DUMMYFUNCTION("""COMPUTED_VALUE"""),"CIJAWURA")</f>
        <v>CIJAWURA</v>
      </c>
      <c r="G1265" s="4" t="str">
        <f>IFERROR(__xludf.DUMMYFUNCTION("""COMPUTED_VALUE"""),"GIS KIARACONDONG")</f>
        <v>GIS KIARACONDONG</v>
      </c>
      <c r="H1265" s="4" t="str">
        <f>IFERROR(__xludf.DUMMYFUNCTION("""COMPUTED_VALUE"""),"KMO")</f>
        <v>KMO</v>
      </c>
      <c r="I1265" s="4" t="str">
        <f>IFERROR(__xludf.DUMMYFUNCTION("""COMPUTED_VALUE"""),"LBS PDH - UJUNG")</f>
        <v>LBS PDH - UJUNG</v>
      </c>
      <c r="J1265" s="4" t="str">
        <f>IFERROR(__xludf.DUMMYFUNCTION("""COMPUTED_VALUE"""),"ZONA 3")</f>
        <v>ZONA 3</v>
      </c>
      <c r="K1265" s="4" t="str">
        <f>IFERROR(__xludf.DUMMYFUNCTION("""COMPUTED_VALUE"""),"047L02")</f>
        <v>047L02</v>
      </c>
      <c r="L1265" s="4" t="str">
        <f>IFERROR(__xludf.DUMMYFUNCTION("""COMPUTED_VALUE"""),"TM - 16B/H (REC/SSO/LBS)")</f>
        <v>TM - 16B/H (REC/SSO/LBS)</v>
      </c>
      <c r="M1265" s="4" t="str">
        <f>IFERROR(__xludf.DUMMYFUNCTION("""COMPUTED_VALUE"""),"LBS")</f>
        <v>LBS</v>
      </c>
      <c r="N1265" s="4" t="str">
        <f>IFERROR(__xludf.DUMMYFUNCTION("""COMPUTED_VALUE"""),"PDH")</f>
        <v>PDH</v>
      </c>
      <c r="O1265" s="4" t="str">
        <f>IFERROR(__xludf.DUMMYFUNCTION("""COMPUTED_VALUE"""),"PEMBANDING SEJENIS")</f>
        <v>PEMBANDING SEJENIS</v>
      </c>
      <c r="P1265" s="4" t="str">
        <f>IFERROR(__xludf.DUMMYFUNCTION("""COMPUTED_VALUE"""),"TERMINAL BUSHING")</f>
        <v>TERMINAL BUSHING</v>
      </c>
      <c r="Q1265" s="4">
        <f>IFERROR(__xludf.DUMMYFUNCTION("""COMPUTED_VALUE"""),23.0)</f>
        <v>23</v>
      </c>
      <c r="R1265" s="4">
        <f>IFERROR(__xludf.DUMMYFUNCTION("""COMPUTED_VALUE"""),24.0)</f>
        <v>24</v>
      </c>
      <c r="S1265" s="4">
        <f>IFERROR(__xludf.DUMMYFUNCTION("""COMPUTED_VALUE"""),32.0)</f>
        <v>32</v>
      </c>
      <c r="T1265" s="4"/>
      <c r="U1265" s="4" t="str">
        <f>IFERROR(__xludf.DUMMYFUNCTION("""COMPUTED_VALUE"""),"CUKUP")</f>
        <v>CUKUP</v>
      </c>
      <c r="V1265" s="4" t="str">
        <f>IFERROR(__xludf.DUMMYFUNCTION("""COMPUTED_VALUE"""),"Tidak Ada")</f>
        <v>Tidak Ada</v>
      </c>
      <c r="W1265" s="4"/>
      <c r="X1265" s="4"/>
      <c r="Y1265" s="4"/>
      <c r="Z1265" s="4"/>
      <c r="AA1265" s="4"/>
      <c r="AB1265" s="4"/>
      <c r="AC1265" s="4" t="str">
        <f>IFERROR(__xludf.DUMMYFUNCTION("""COMPUTED_VALUE"""),"INSPEKSI SUTM - T2_Images/7cedd12c.FOTO.163505.jpg")</f>
        <v>INSPEKSI SUTM - T2_Images/7cedd12c.FOTO.163505.jpg</v>
      </c>
      <c r="AD1265" s="4"/>
      <c r="AE1265" s="4"/>
      <c r="AF1265" s="4" t="str">
        <f>IFERROR(__xludf.DUMMYFUNCTION("""COMPUTED_VALUE"""),"BELUM")</f>
        <v>BELUM</v>
      </c>
      <c r="AG1265" s="6">
        <f>IFERROR(__xludf.DUMMYFUNCTION("""COMPUTED_VALUE"""),46140.0)</f>
        <v>46140</v>
      </c>
      <c r="AH1265" s="4"/>
      <c r="AI1265" s="4"/>
    </row>
    <row r="1266" ht="15.75" customHeight="1">
      <c r="A1266" s="4" t="str">
        <f>IFERROR(__xludf.DUMMYFUNCTION("""COMPUTED_VALUE"""),"8703f83f")</f>
        <v>8703f83f</v>
      </c>
      <c r="B1266" s="5">
        <f>IFERROR(__xludf.DUMMYFUNCTION("""COMPUTED_VALUE"""),46140.983136574076)</f>
        <v>46140.98314</v>
      </c>
      <c r="C1266" s="4" t="str">
        <f>IFERROR(__xludf.DUMMYFUNCTION("""COMPUTED_VALUE"""),"-6.899152, 107.645322")</f>
        <v>-6.899152, 107.645322</v>
      </c>
      <c r="D1266" s="4" t="str">
        <f>IFERROR(__xludf.DUMMYFUNCTION("""COMPUTED_VALUE"""),"Nugi firman")</f>
        <v>Nugi firman</v>
      </c>
      <c r="E1266" s="4" t="str">
        <f>IFERROR(__xludf.DUMMYFUNCTION("""COMPUTED_VALUE"""),"BANDUNG")</f>
        <v>BANDUNG</v>
      </c>
      <c r="F1266" s="4" t="str">
        <f>IFERROR(__xludf.DUMMYFUNCTION("""COMPUTED_VALUE"""),"KOPO")</f>
        <v>KOPO</v>
      </c>
      <c r="G1266" s="4" t="str">
        <f>IFERROR(__xludf.DUMMYFUNCTION("""COMPUTED_VALUE"""),"CIGERELENG")</f>
        <v>CIGERELENG</v>
      </c>
      <c r="H1266" s="4" t="str">
        <f>IFERROR(__xludf.DUMMYFUNCTION("""COMPUTED_VALUE"""),"CKM")</f>
        <v>CKM</v>
      </c>
      <c r="I1266" s="4" t="str">
        <f>IFERROR(__xludf.DUMMYFUNCTION("""COMPUTED_VALUE"""),"LBS KPL - YHS")</f>
        <v>LBS KPL - YHS</v>
      </c>
      <c r="J1266" s="4" t="str">
        <f>IFERROR(__xludf.DUMMYFUNCTION("""COMPUTED_VALUE"""),"ZONA 2")</f>
        <v>ZONA 2</v>
      </c>
      <c r="K1266" s="4" t="str">
        <f>IFERROR(__xludf.DUMMYFUNCTION("""COMPUTED_VALUE"""),"027R11A")</f>
        <v>027R11A</v>
      </c>
      <c r="L1266" s="4" t="str">
        <f>IFERROR(__xludf.DUMMYFUNCTION("""COMPUTED_VALUE"""),"TM - 13B/H (Kabel Naik Pada Tiang Tumpu)")</f>
        <v>TM - 13B/H (Kabel Naik Pada Tiang Tumpu)</v>
      </c>
      <c r="M1266" s="4" t="str">
        <f>IFERROR(__xludf.DUMMYFUNCTION("""COMPUTED_VALUE"""),"Tidak Ada")</f>
        <v>Tidak Ada</v>
      </c>
      <c r="N1266" s="4"/>
      <c r="O1266" s="4" t="str">
        <f>IFERROR(__xludf.DUMMYFUNCTION("""COMPUTED_VALUE"""),"PEMBANDING SEJENIS")</f>
        <v>PEMBANDING SEJENIS</v>
      </c>
      <c r="P1266" s="4" t="str">
        <f>IFERROR(__xludf.DUMMYFUNCTION("""COMPUTED_VALUE"""),"TERMINASI")</f>
        <v>TERMINASI</v>
      </c>
      <c r="Q1266" s="4">
        <f>IFERROR(__xludf.DUMMYFUNCTION("""COMPUTED_VALUE"""),22.0)</f>
        <v>22</v>
      </c>
      <c r="R1266" s="4">
        <f>IFERROR(__xludf.DUMMYFUNCTION("""COMPUTED_VALUE"""),22.0)</f>
        <v>22</v>
      </c>
      <c r="S1266" s="4">
        <f>IFERROR(__xludf.DUMMYFUNCTION("""COMPUTED_VALUE"""),21.0)</f>
        <v>21</v>
      </c>
      <c r="T1266" s="4"/>
      <c r="U1266" s="4" t="str">
        <f>IFERROR(__xludf.DUMMYFUNCTION("""COMPUTED_VALUE"""),"BAIK")</f>
        <v>BAIK</v>
      </c>
      <c r="V1266" s="4" t="str">
        <f>IFERROR(__xludf.DUMMYFUNCTION("""COMPUTED_VALUE"""),"Tidak Ada")</f>
        <v>Tidak Ada</v>
      </c>
      <c r="W1266" s="4"/>
      <c r="X1266" s="4"/>
      <c r="Y1266" s="4"/>
      <c r="Z1266" s="4"/>
      <c r="AA1266" s="4"/>
      <c r="AB1266" s="4"/>
      <c r="AC1266" s="4" t="str">
        <f>IFERROR(__xludf.DUMMYFUNCTION("""COMPUTED_VALUE"""),"INSPEKSI SUTM - T2_Images/8703f83f.FOTO.163636.jpg")</f>
        <v>INSPEKSI SUTM - T2_Images/8703f83f.FOTO.163636.jpg</v>
      </c>
      <c r="AD1266" s="4"/>
      <c r="AE1266" s="4"/>
      <c r="AF1266" s="4" t="str">
        <f>IFERROR(__xludf.DUMMYFUNCTION("""COMPUTED_VALUE"""),"BELUM")</f>
        <v>BELUM</v>
      </c>
      <c r="AG1266" s="6">
        <f>IFERROR(__xludf.DUMMYFUNCTION("""COMPUTED_VALUE"""),46140.0)</f>
        <v>46140</v>
      </c>
      <c r="AH1266" s="4"/>
      <c r="AI1266" s="4"/>
    </row>
    <row r="1267" ht="15.75" customHeight="1">
      <c r="A1267" s="4" t="str">
        <f>IFERROR(__xludf.DUMMYFUNCTION("""COMPUTED_VALUE"""),"745cf57d")</f>
        <v>745cf57d</v>
      </c>
      <c r="B1267" s="5">
        <f>IFERROR(__xludf.DUMMYFUNCTION("""COMPUTED_VALUE"""),46140.98386574074)</f>
        <v>46140.98387</v>
      </c>
      <c r="C1267" s="4" t="str">
        <f>IFERROR(__xludf.DUMMYFUNCTION("""COMPUTED_VALUE"""),"-6.899170, 107.645331")</f>
        <v>-6.899170, 107.645331</v>
      </c>
      <c r="D1267" s="4" t="str">
        <f>IFERROR(__xludf.DUMMYFUNCTION("""COMPUTED_VALUE"""),"Nugi firman")</f>
        <v>Nugi firman</v>
      </c>
      <c r="E1267" s="4" t="str">
        <f>IFERROR(__xludf.DUMMYFUNCTION("""COMPUTED_VALUE"""),"BANDUNG")</f>
        <v>BANDUNG</v>
      </c>
      <c r="F1267" s="4" t="str">
        <f>IFERROR(__xludf.DUMMYFUNCTION("""COMPUTED_VALUE"""),"KOPO")</f>
        <v>KOPO</v>
      </c>
      <c r="G1267" s="4" t="str">
        <f>IFERROR(__xludf.DUMMYFUNCTION("""COMPUTED_VALUE"""),"CIGERELENG")</f>
        <v>CIGERELENG</v>
      </c>
      <c r="H1267" s="4" t="str">
        <f>IFERROR(__xludf.DUMMYFUNCTION("""COMPUTED_VALUE"""),"CKM")</f>
        <v>CKM</v>
      </c>
      <c r="I1267" s="4" t="str">
        <f>IFERROR(__xludf.DUMMYFUNCTION("""COMPUTED_VALUE"""),"LBS KPL - YHS")</f>
        <v>LBS KPL - YHS</v>
      </c>
      <c r="J1267" s="4" t="str">
        <f>IFERROR(__xludf.DUMMYFUNCTION("""COMPUTED_VALUE"""),"ZONA 2")</f>
        <v>ZONA 2</v>
      </c>
      <c r="K1267" s="4" t="str">
        <f>IFERROR(__xludf.DUMMYFUNCTION("""COMPUTED_VALUE"""),"027R12")</f>
        <v>027R12</v>
      </c>
      <c r="L1267" s="4" t="str">
        <f>IFERROR(__xludf.DUMMYFUNCTION("""COMPUTED_VALUE"""),"TM - 8B/H (Percabangan)")</f>
        <v>TM - 8B/H (Percabangan)</v>
      </c>
      <c r="M1267" s="4" t="str">
        <f>IFERROR(__xludf.DUMMYFUNCTION("""COMPUTED_VALUE"""),"Tidak Ada")</f>
        <v>Tidak Ada</v>
      </c>
      <c r="N1267" s="4"/>
      <c r="O1267" s="4" t="str">
        <f>IFERROR(__xludf.DUMMYFUNCTION("""COMPUTED_VALUE"""),"PEMBANDING SEJENIS")</f>
        <v>PEMBANDING SEJENIS</v>
      </c>
      <c r="P1267" s="4" t="str">
        <f>IFERROR(__xludf.DUMMYFUNCTION("""COMPUTED_VALUE"""),"KONEKTOR/JUMPER")</f>
        <v>KONEKTOR/JUMPER</v>
      </c>
      <c r="Q1267" s="4">
        <f>IFERROR(__xludf.DUMMYFUNCTION("""COMPUTED_VALUE"""),18.0)</f>
        <v>18</v>
      </c>
      <c r="R1267" s="4">
        <f>IFERROR(__xludf.DUMMYFUNCTION("""COMPUTED_VALUE"""),19.0)</f>
        <v>19</v>
      </c>
      <c r="S1267" s="4">
        <f>IFERROR(__xludf.DUMMYFUNCTION("""COMPUTED_VALUE"""),17.0)</f>
        <v>17</v>
      </c>
      <c r="T1267" s="4"/>
      <c r="U1267" s="4" t="str">
        <f>IFERROR(__xludf.DUMMYFUNCTION("""COMPUTED_VALUE"""),"BAIK")</f>
        <v>BAIK</v>
      </c>
      <c r="V1267" s="4" t="str">
        <f>IFERROR(__xludf.DUMMYFUNCTION("""COMPUTED_VALUE"""),"Tidak Ada")</f>
        <v>Tidak Ada</v>
      </c>
      <c r="W1267" s="4"/>
      <c r="X1267" s="4"/>
      <c r="Y1267" s="4"/>
      <c r="Z1267" s="4"/>
      <c r="AA1267" s="4"/>
      <c r="AB1267" s="4"/>
      <c r="AC1267" s="4" t="str">
        <f>IFERROR(__xludf.DUMMYFUNCTION("""COMPUTED_VALUE"""),"INSPEKSI SUTM - T2_Images/745cf57d.FOTO.163735.jpg")</f>
        <v>INSPEKSI SUTM - T2_Images/745cf57d.FOTO.163735.jpg</v>
      </c>
      <c r="AD1267" s="4"/>
      <c r="AE1267" s="4"/>
      <c r="AF1267" s="4" t="str">
        <f>IFERROR(__xludf.DUMMYFUNCTION("""COMPUTED_VALUE"""),"BELUM")</f>
        <v>BELUM</v>
      </c>
      <c r="AG1267" s="6">
        <f>IFERROR(__xludf.DUMMYFUNCTION("""COMPUTED_VALUE"""),46140.0)</f>
        <v>46140</v>
      </c>
      <c r="AH1267" s="4"/>
      <c r="AI1267" s="4"/>
    </row>
    <row r="1268" ht="15.75" customHeight="1">
      <c r="A1268" s="4" t="str">
        <f>IFERROR(__xludf.DUMMYFUNCTION("""COMPUTED_VALUE"""),"ca47b152")</f>
        <v>ca47b152</v>
      </c>
      <c r="B1268" s="5">
        <f>IFERROR(__xludf.DUMMYFUNCTION("""COMPUTED_VALUE"""),46140.98446759259)</f>
        <v>46140.98447</v>
      </c>
      <c r="C1268" s="4" t="str">
        <f>IFERROR(__xludf.DUMMYFUNCTION("""COMPUTED_VALUE"""),"-6.899213, 107.645235")</f>
        <v>-6.899213, 107.645235</v>
      </c>
      <c r="D1268" s="4" t="str">
        <f>IFERROR(__xludf.DUMMYFUNCTION("""COMPUTED_VALUE"""),"Nugi firman")</f>
        <v>Nugi firman</v>
      </c>
      <c r="E1268" s="4" t="str">
        <f>IFERROR(__xludf.DUMMYFUNCTION("""COMPUTED_VALUE"""),"BANDUNG")</f>
        <v>BANDUNG</v>
      </c>
      <c r="F1268" s="4" t="str">
        <f>IFERROR(__xludf.DUMMYFUNCTION("""COMPUTED_VALUE"""),"KOPO")</f>
        <v>KOPO</v>
      </c>
      <c r="G1268" s="4" t="str">
        <f>IFERROR(__xludf.DUMMYFUNCTION("""COMPUTED_VALUE"""),"CIGERELENG")</f>
        <v>CIGERELENG</v>
      </c>
      <c r="H1268" s="4" t="str">
        <f>IFERROR(__xludf.DUMMYFUNCTION("""COMPUTED_VALUE"""),"CKM")</f>
        <v>CKM</v>
      </c>
      <c r="I1268" s="4" t="str">
        <f>IFERROR(__xludf.DUMMYFUNCTION("""COMPUTED_VALUE"""),"LBS KPL - YHS")</f>
        <v>LBS KPL - YHS</v>
      </c>
      <c r="J1268" s="4" t="str">
        <f>IFERROR(__xludf.DUMMYFUNCTION("""COMPUTED_VALUE"""),"ZONA 2")</f>
        <v>ZONA 2</v>
      </c>
      <c r="K1268" s="4" t="str">
        <f>IFERROR(__xludf.DUMMYFUNCTION("""COMPUTED_VALUE"""),"027R12R01")</f>
        <v>027R12R01</v>
      </c>
      <c r="L1268" s="4" t="str">
        <f>IFERROR(__xludf.DUMMYFUNCTION("""COMPUTED_VALUE"""),"TM - 13B/H (Kabel Naik Pada Tiang Tumpu)")</f>
        <v>TM - 13B/H (Kabel Naik Pada Tiang Tumpu)</v>
      </c>
      <c r="M1268" s="4" t="str">
        <f>IFERROR(__xludf.DUMMYFUNCTION("""COMPUTED_VALUE"""),"Tidak Ada")</f>
        <v>Tidak Ada</v>
      </c>
      <c r="N1268" s="4"/>
      <c r="O1268" s="4" t="str">
        <f>IFERROR(__xludf.DUMMYFUNCTION("""COMPUTED_VALUE"""),"PEMBANDING SEJENIS")</f>
        <v>PEMBANDING SEJENIS</v>
      </c>
      <c r="P1268" s="4" t="str">
        <f>IFERROR(__xludf.DUMMYFUNCTION("""COMPUTED_VALUE"""),"TERMINASI")</f>
        <v>TERMINASI</v>
      </c>
      <c r="Q1268" s="4">
        <f>IFERROR(__xludf.DUMMYFUNCTION("""COMPUTED_VALUE"""),20.0)</f>
        <v>20</v>
      </c>
      <c r="R1268" s="4">
        <f>IFERROR(__xludf.DUMMYFUNCTION("""COMPUTED_VALUE"""),21.0)</f>
        <v>21</v>
      </c>
      <c r="S1268" s="4">
        <f>IFERROR(__xludf.DUMMYFUNCTION("""COMPUTED_VALUE"""),22.0)</f>
        <v>22</v>
      </c>
      <c r="T1268" s="4"/>
      <c r="U1268" s="4" t="str">
        <f>IFERROR(__xludf.DUMMYFUNCTION("""COMPUTED_VALUE"""),"BAIK")</f>
        <v>BAIK</v>
      </c>
      <c r="V1268" s="4" t="str">
        <f>IFERROR(__xludf.DUMMYFUNCTION("""COMPUTED_VALUE"""),"Tidak Ada")</f>
        <v>Tidak Ada</v>
      </c>
      <c r="W1268" s="4"/>
      <c r="X1268" s="4"/>
      <c r="Y1268" s="4"/>
      <c r="Z1268" s="4"/>
      <c r="AA1268" s="4"/>
      <c r="AB1268" s="4"/>
      <c r="AC1268" s="4" t="str">
        <f>IFERROR(__xludf.DUMMYFUNCTION("""COMPUTED_VALUE"""),"INSPEKSI SUTM - T2_Images/ca47b152.FOTO.163838.jpg")</f>
        <v>INSPEKSI SUTM - T2_Images/ca47b152.FOTO.163838.jpg</v>
      </c>
      <c r="AD1268" s="4"/>
      <c r="AE1268" s="4"/>
      <c r="AF1268" s="4" t="str">
        <f>IFERROR(__xludf.DUMMYFUNCTION("""COMPUTED_VALUE"""),"BELUM")</f>
        <v>BELUM</v>
      </c>
      <c r="AG1268" s="6">
        <f>IFERROR(__xludf.DUMMYFUNCTION("""COMPUTED_VALUE"""),46140.0)</f>
        <v>46140</v>
      </c>
      <c r="AH1268" s="4"/>
      <c r="AI1268" s="4"/>
    </row>
    <row r="1269" ht="15.75" customHeight="1">
      <c r="A1269" s="4" t="str">
        <f>IFERROR(__xludf.DUMMYFUNCTION("""COMPUTED_VALUE"""),"0f1ea055")</f>
        <v>0f1ea055</v>
      </c>
      <c r="B1269" s="5">
        <f>IFERROR(__xludf.DUMMYFUNCTION("""COMPUTED_VALUE"""),46140.985185185185)</f>
        <v>46140.98519</v>
      </c>
      <c r="C1269" s="4" t="str">
        <f>IFERROR(__xludf.DUMMYFUNCTION("""COMPUTED_VALUE"""),"-6.899168, 107.645316")</f>
        <v>-6.899168, 107.645316</v>
      </c>
      <c r="D1269" s="4" t="str">
        <f>IFERROR(__xludf.DUMMYFUNCTION("""COMPUTED_VALUE"""),"Nugi firman")</f>
        <v>Nugi firman</v>
      </c>
      <c r="E1269" s="4" t="str">
        <f>IFERROR(__xludf.DUMMYFUNCTION("""COMPUTED_VALUE"""),"BANDUNG")</f>
        <v>BANDUNG</v>
      </c>
      <c r="F1269" s="4" t="str">
        <f>IFERROR(__xludf.DUMMYFUNCTION("""COMPUTED_VALUE"""),"KOPO")</f>
        <v>KOPO</v>
      </c>
      <c r="G1269" s="4" t="str">
        <f>IFERROR(__xludf.DUMMYFUNCTION("""COMPUTED_VALUE"""),"CIGERELENG")</f>
        <v>CIGERELENG</v>
      </c>
      <c r="H1269" s="4" t="str">
        <f>IFERROR(__xludf.DUMMYFUNCTION("""COMPUTED_VALUE"""),"CKM")</f>
        <v>CKM</v>
      </c>
      <c r="I1269" s="4" t="str">
        <f>IFERROR(__xludf.DUMMYFUNCTION("""COMPUTED_VALUE"""),"LBS KPL - YHS")</f>
        <v>LBS KPL - YHS</v>
      </c>
      <c r="J1269" s="4" t="str">
        <f>IFERROR(__xludf.DUMMYFUNCTION("""COMPUTED_VALUE"""),"ZONA 2")</f>
        <v>ZONA 2</v>
      </c>
      <c r="K1269" s="4" t="str">
        <f>IFERROR(__xludf.DUMMYFUNCTION("""COMPUTED_VALUE"""),"027R12R02")</f>
        <v>027R12R02</v>
      </c>
      <c r="L1269" s="4" t="str">
        <f>IFERROR(__xludf.DUMMYFUNCTION("""COMPUTED_VALUE"""),"TM - 8B/H (Percabangan)")</f>
        <v>TM - 8B/H (Percabangan)</v>
      </c>
      <c r="M1269" s="4" t="str">
        <f>IFERROR(__xludf.DUMMYFUNCTION("""COMPUTED_VALUE"""),"Tidak Ada")</f>
        <v>Tidak Ada</v>
      </c>
      <c r="N1269" s="4"/>
      <c r="O1269" s="4" t="str">
        <f>IFERROR(__xludf.DUMMYFUNCTION("""COMPUTED_VALUE"""),"PEMBANDING SEJENIS")</f>
        <v>PEMBANDING SEJENIS</v>
      </c>
      <c r="P1269" s="4" t="str">
        <f>IFERROR(__xludf.DUMMYFUNCTION("""COMPUTED_VALUE"""),"KONEKTOR/JUMPER")</f>
        <v>KONEKTOR/JUMPER</v>
      </c>
      <c r="Q1269" s="4">
        <f>IFERROR(__xludf.DUMMYFUNCTION("""COMPUTED_VALUE"""),17.0)</f>
        <v>17</v>
      </c>
      <c r="R1269" s="4">
        <f>IFERROR(__xludf.DUMMYFUNCTION("""COMPUTED_VALUE"""),19.0)</f>
        <v>19</v>
      </c>
      <c r="S1269" s="4">
        <f>IFERROR(__xludf.DUMMYFUNCTION("""COMPUTED_VALUE"""),18.0)</f>
        <v>18</v>
      </c>
      <c r="T1269" s="4"/>
      <c r="U1269" s="4" t="str">
        <f>IFERROR(__xludf.DUMMYFUNCTION("""COMPUTED_VALUE"""),"BAIK")</f>
        <v>BAIK</v>
      </c>
      <c r="V1269" s="4" t="str">
        <f>IFERROR(__xludf.DUMMYFUNCTION("""COMPUTED_VALUE"""),"Tidak Ada")</f>
        <v>Tidak Ada</v>
      </c>
      <c r="W1269" s="4"/>
      <c r="X1269" s="4"/>
      <c r="Y1269" s="4"/>
      <c r="Z1269" s="4"/>
      <c r="AA1269" s="4"/>
      <c r="AB1269" s="4"/>
      <c r="AC1269" s="4" t="str">
        <f>IFERROR(__xludf.DUMMYFUNCTION("""COMPUTED_VALUE"""),"INSPEKSI SUTM - T2_Images/0f1ea055.FOTO.163957.jpg")</f>
        <v>INSPEKSI SUTM - T2_Images/0f1ea055.FOTO.163957.jpg</v>
      </c>
      <c r="AD1269" s="4"/>
      <c r="AE1269" s="4"/>
      <c r="AF1269" s="4" t="str">
        <f>IFERROR(__xludf.DUMMYFUNCTION("""COMPUTED_VALUE"""),"BELUM")</f>
        <v>BELUM</v>
      </c>
      <c r="AG1269" s="6">
        <f>IFERROR(__xludf.DUMMYFUNCTION("""COMPUTED_VALUE"""),46140.0)</f>
        <v>46140</v>
      </c>
      <c r="AH1269" s="4"/>
      <c r="AI1269" s="4"/>
    </row>
    <row r="1270" ht="15.75" customHeight="1">
      <c r="A1270" s="4" t="str">
        <f>IFERROR(__xludf.DUMMYFUNCTION("""COMPUTED_VALUE"""),"ae675e1b")</f>
        <v>ae675e1b</v>
      </c>
      <c r="B1270" s="5">
        <f>IFERROR(__xludf.DUMMYFUNCTION("""COMPUTED_VALUE"""),46140.986180555556)</f>
        <v>46140.98618</v>
      </c>
      <c r="C1270" s="4" t="str">
        <f>IFERROR(__xludf.DUMMYFUNCTION("""COMPUTED_VALUE"""),"-6.899161, 107.645310")</f>
        <v>-6.899161, 107.645310</v>
      </c>
      <c r="D1270" s="4" t="str">
        <f>IFERROR(__xludf.DUMMYFUNCTION("""COMPUTED_VALUE"""),"Nugi firman")</f>
        <v>Nugi firman</v>
      </c>
      <c r="E1270" s="4" t="str">
        <f>IFERROR(__xludf.DUMMYFUNCTION("""COMPUTED_VALUE"""),"BANDUNG")</f>
        <v>BANDUNG</v>
      </c>
      <c r="F1270" s="4" t="str">
        <f>IFERROR(__xludf.DUMMYFUNCTION("""COMPUTED_VALUE"""),"KOPO")</f>
        <v>KOPO</v>
      </c>
      <c r="G1270" s="4" t="str">
        <f>IFERROR(__xludf.DUMMYFUNCTION("""COMPUTED_VALUE"""),"CIGERELENG")</f>
        <v>CIGERELENG</v>
      </c>
      <c r="H1270" s="4" t="str">
        <f>IFERROR(__xludf.DUMMYFUNCTION("""COMPUTED_VALUE"""),"CKM")</f>
        <v>CKM</v>
      </c>
      <c r="I1270" s="4" t="str">
        <f>IFERROR(__xludf.DUMMYFUNCTION("""COMPUTED_VALUE"""),"LBS KPL - YHS")</f>
        <v>LBS KPL - YHS</v>
      </c>
      <c r="J1270" s="4" t="str">
        <f>IFERROR(__xludf.DUMMYFUNCTION("""COMPUTED_VALUE"""),"ZONA 2")</f>
        <v>ZONA 2</v>
      </c>
      <c r="K1270" s="4" t="str">
        <f>IFERROR(__xludf.DUMMYFUNCTION("""COMPUTED_VALUE"""),"027R12R03")</f>
        <v>027R12R03</v>
      </c>
      <c r="L1270" s="4" t="str">
        <f>IFERROR(__xludf.DUMMYFUNCTION("""COMPUTED_VALUE"""),"TM - 7B/H (Afspan 90 Derajat)")</f>
        <v>TM - 7B/H (Afspan 90 Derajat)</v>
      </c>
      <c r="M1270" s="4" t="str">
        <f>IFERROR(__xludf.DUMMYFUNCTION("""COMPUTED_VALUE"""),"Tidak Ada")</f>
        <v>Tidak Ada</v>
      </c>
      <c r="N1270" s="4"/>
      <c r="O1270" s="4" t="str">
        <f>IFERROR(__xludf.DUMMYFUNCTION("""COMPUTED_VALUE"""),"PEMBANDING SEJENIS")</f>
        <v>PEMBANDING SEJENIS</v>
      </c>
      <c r="P1270" s="4" t="str">
        <f>IFERROR(__xludf.DUMMYFUNCTION("""COMPUTED_VALUE"""),"KONEKTOR/JUMPER")</f>
        <v>KONEKTOR/JUMPER</v>
      </c>
      <c r="Q1270" s="4">
        <f>IFERROR(__xludf.DUMMYFUNCTION("""COMPUTED_VALUE"""),19.0)</f>
        <v>19</v>
      </c>
      <c r="R1270" s="4">
        <f>IFERROR(__xludf.DUMMYFUNCTION("""COMPUTED_VALUE"""),19.0)</f>
        <v>19</v>
      </c>
      <c r="S1270" s="4">
        <f>IFERROR(__xludf.DUMMYFUNCTION("""COMPUTED_VALUE"""),19.0)</f>
        <v>19</v>
      </c>
      <c r="T1270" s="4"/>
      <c r="U1270" s="4" t="str">
        <f>IFERROR(__xludf.DUMMYFUNCTION("""COMPUTED_VALUE"""),"BAIK")</f>
        <v>BAIK</v>
      </c>
      <c r="V1270" s="4" t="str">
        <f>IFERROR(__xludf.DUMMYFUNCTION("""COMPUTED_VALUE"""),"Tidak Ada")</f>
        <v>Tidak Ada</v>
      </c>
      <c r="W1270" s="4"/>
      <c r="X1270" s="4"/>
      <c r="Y1270" s="4"/>
      <c r="Z1270" s="4"/>
      <c r="AA1270" s="4"/>
      <c r="AB1270" s="4"/>
      <c r="AC1270" s="4" t="str">
        <f>IFERROR(__xludf.DUMMYFUNCTION("""COMPUTED_VALUE"""),"INSPEKSI SUTM - T2_Images/ae675e1b.FOTO.164117.jpg")</f>
        <v>INSPEKSI SUTM - T2_Images/ae675e1b.FOTO.164117.jpg</v>
      </c>
      <c r="AD1270" s="4"/>
      <c r="AE1270" s="4"/>
      <c r="AF1270" s="4" t="str">
        <f>IFERROR(__xludf.DUMMYFUNCTION("""COMPUTED_VALUE"""),"BELUM")</f>
        <v>BELUM</v>
      </c>
      <c r="AG1270" s="6">
        <f>IFERROR(__xludf.DUMMYFUNCTION("""COMPUTED_VALUE"""),46140.0)</f>
        <v>46140</v>
      </c>
      <c r="AH1270" s="4"/>
      <c r="AI1270" s="4"/>
    </row>
    <row r="1271" ht="15.75" customHeight="1">
      <c r="A1271" s="4" t="str">
        <f>IFERROR(__xludf.DUMMYFUNCTION("""COMPUTED_VALUE"""),"0fd9ef83")</f>
        <v>0fd9ef83</v>
      </c>
      <c r="B1271" s="5">
        <f>IFERROR(__xludf.DUMMYFUNCTION("""COMPUTED_VALUE"""),46140.98708333333)</f>
        <v>46140.98708</v>
      </c>
      <c r="C1271" s="4" t="str">
        <f>IFERROR(__xludf.DUMMYFUNCTION("""COMPUTED_VALUE"""),"-6.899160, 107.645313")</f>
        <v>-6.899160, 107.645313</v>
      </c>
      <c r="D1271" s="4" t="str">
        <f>IFERROR(__xludf.DUMMYFUNCTION("""COMPUTED_VALUE"""),"Nugi firman")</f>
        <v>Nugi firman</v>
      </c>
      <c r="E1271" s="4" t="str">
        <f>IFERROR(__xludf.DUMMYFUNCTION("""COMPUTED_VALUE"""),"BANDUNG")</f>
        <v>BANDUNG</v>
      </c>
      <c r="F1271" s="4" t="str">
        <f>IFERROR(__xludf.DUMMYFUNCTION("""COMPUTED_VALUE"""),"KOPO")</f>
        <v>KOPO</v>
      </c>
      <c r="G1271" s="4" t="str">
        <f>IFERROR(__xludf.DUMMYFUNCTION("""COMPUTED_VALUE"""),"CIGERELENG")</f>
        <v>CIGERELENG</v>
      </c>
      <c r="H1271" s="4" t="str">
        <f>IFERROR(__xludf.DUMMYFUNCTION("""COMPUTED_VALUE"""),"CKM")</f>
        <v>CKM</v>
      </c>
      <c r="I1271" s="4" t="str">
        <f>IFERROR(__xludf.DUMMYFUNCTION("""COMPUTED_VALUE"""),"LBS KPL - YHS")</f>
        <v>LBS KPL - YHS</v>
      </c>
      <c r="J1271" s="4" t="str">
        <f>IFERROR(__xludf.DUMMYFUNCTION("""COMPUTED_VALUE"""),"ZONA 2")</f>
        <v>ZONA 2</v>
      </c>
      <c r="K1271" s="4" t="str">
        <f>IFERROR(__xludf.DUMMYFUNCTION("""COMPUTED_VALUE"""),"027R17")</f>
        <v>027R17</v>
      </c>
      <c r="L1271" s="4" t="str">
        <f>IFERROR(__xludf.DUMMYFUNCTION("""COMPUTED_VALUE"""),"TM - 7B/H (Afspan 90 Derajat)")</f>
        <v>TM - 7B/H (Afspan 90 Derajat)</v>
      </c>
      <c r="M1271" s="4" t="str">
        <f>IFERROR(__xludf.DUMMYFUNCTION("""COMPUTED_VALUE"""),"Tidak Ada")</f>
        <v>Tidak Ada</v>
      </c>
      <c r="N1271" s="4"/>
      <c r="O1271" s="4" t="str">
        <f>IFERROR(__xludf.DUMMYFUNCTION("""COMPUTED_VALUE"""),"PEMBANDING SEJENIS")</f>
        <v>PEMBANDING SEJENIS</v>
      </c>
      <c r="P1271" s="4" t="str">
        <f>IFERROR(__xludf.DUMMYFUNCTION("""COMPUTED_VALUE"""),"KONEKTOR/JUMPER")</f>
        <v>KONEKTOR/JUMPER</v>
      </c>
      <c r="Q1271" s="4">
        <f>IFERROR(__xludf.DUMMYFUNCTION("""COMPUTED_VALUE"""),19.0)</f>
        <v>19</v>
      </c>
      <c r="R1271" s="4">
        <f>IFERROR(__xludf.DUMMYFUNCTION("""COMPUTED_VALUE"""),19.0)</f>
        <v>19</v>
      </c>
      <c r="S1271" s="4">
        <f>IFERROR(__xludf.DUMMYFUNCTION("""COMPUTED_VALUE"""),21.0)</f>
        <v>21</v>
      </c>
      <c r="T1271" s="4"/>
      <c r="U1271" s="4" t="str">
        <f>IFERROR(__xludf.DUMMYFUNCTION("""COMPUTED_VALUE"""),"BAIK")</f>
        <v>BAIK</v>
      </c>
      <c r="V1271" s="4" t="str">
        <f>IFERROR(__xludf.DUMMYFUNCTION("""COMPUTED_VALUE"""),"Tidak Ada")</f>
        <v>Tidak Ada</v>
      </c>
      <c r="W1271" s="4"/>
      <c r="X1271" s="4"/>
      <c r="Y1271" s="4"/>
      <c r="Z1271" s="4"/>
      <c r="AA1271" s="4"/>
      <c r="AB1271" s="4"/>
      <c r="AC1271" s="4" t="str">
        <f>IFERROR(__xludf.DUMMYFUNCTION("""COMPUTED_VALUE"""),"INSPEKSI SUTM - T2_Images/0fd9ef83.FOTO.164215.jpg")</f>
        <v>INSPEKSI SUTM - T2_Images/0fd9ef83.FOTO.164215.jpg</v>
      </c>
      <c r="AD1271" s="4"/>
      <c r="AE1271" s="4"/>
      <c r="AF1271" s="4" t="str">
        <f>IFERROR(__xludf.DUMMYFUNCTION("""COMPUTED_VALUE"""),"BELUM")</f>
        <v>BELUM</v>
      </c>
      <c r="AG1271" s="6">
        <f>IFERROR(__xludf.DUMMYFUNCTION("""COMPUTED_VALUE"""),46140.0)</f>
        <v>46140</v>
      </c>
      <c r="AH1271" s="4"/>
      <c r="AI1271" s="4"/>
    </row>
    <row r="1272" ht="15.75" customHeight="1">
      <c r="A1272" s="4" t="str">
        <f>IFERROR(__xludf.DUMMYFUNCTION("""COMPUTED_VALUE"""),"e144675e")</f>
        <v>e144675e</v>
      </c>
      <c r="B1272" s="5">
        <f>IFERROR(__xludf.DUMMYFUNCTION("""COMPUTED_VALUE"""),46140.98769675926)</f>
        <v>46140.9877</v>
      </c>
      <c r="C1272" s="4" t="str">
        <f>IFERROR(__xludf.DUMMYFUNCTION("""COMPUTED_VALUE"""),"-6.899175, 107.645371")</f>
        <v>-6.899175, 107.645371</v>
      </c>
      <c r="D1272" s="4" t="str">
        <f>IFERROR(__xludf.DUMMYFUNCTION("""COMPUTED_VALUE"""),"Nugi firman")</f>
        <v>Nugi firman</v>
      </c>
      <c r="E1272" s="4" t="str">
        <f>IFERROR(__xludf.DUMMYFUNCTION("""COMPUTED_VALUE"""),"BANDUNG")</f>
        <v>BANDUNG</v>
      </c>
      <c r="F1272" s="4" t="str">
        <f>IFERROR(__xludf.DUMMYFUNCTION("""COMPUTED_VALUE"""),"KOPO")</f>
        <v>KOPO</v>
      </c>
      <c r="G1272" s="4" t="str">
        <f>IFERROR(__xludf.DUMMYFUNCTION("""COMPUTED_VALUE"""),"CIGERELENG")</f>
        <v>CIGERELENG</v>
      </c>
      <c r="H1272" s="4" t="str">
        <f>IFERROR(__xludf.DUMMYFUNCTION("""COMPUTED_VALUE"""),"CKM")</f>
        <v>CKM</v>
      </c>
      <c r="I1272" s="4" t="str">
        <f>IFERROR(__xludf.DUMMYFUNCTION("""COMPUTED_VALUE"""),"LBS KPL - YHS")</f>
        <v>LBS KPL - YHS</v>
      </c>
      <c r="J1272" s="4" t="str">
        <f>IFERROR(__xludf.DUMMYFUNCTION("""COMPUTED_VALUE"""),"ZONA 2")</f>
        <v>ZONA 2</v>
      </c>
      <c r="K1272" s="4" t="str">
        <f>IFERROR(__xludf.DUMMYFUNCTION("""COMPUTED_VALUE"""),"027R19")</f>
        <v>027R19</v>
      </c>
      <c r="L1272" s="4" t="str">
        <f>IFERROR(__xludf.DUMMYFUNCTION("""COMPUTED_VALUE"""),"TM - 13B/H (Kabel Naik Pada Tiang Tumpu)")</f>
        <v>TM - 13B/H (Kabel Naik Pada Tiang Tumpu)</v>
      </c>
      <c r="M1272" s="4" t="str">
        <f>IFERROR(__xludf.DUMMYFUNCTION("""COMPUTED_VALUE"""),"Tidak Ada")</f>
        <v>Tidak Ada</v>
      </c>
      <c r="N1272" s="4"/>
      <c r="O1272" s="4" t="str">
        <f>IFERROR(__xludf.DUMMYFUNCTION("""COMPUTED_VALUE"""),"PEMBANDING SEJENIS")</f>
        <v>PEMBANDING SEJENIS</v>
      </c>
      <c r="P1272" s="4" t="str">
        <f>IFERROR(__xludf.DUMMYFUNCTION("""COMPUTED_VALUE"""),"TERMINASI")</f>
        <v>TERMINASI</v>
      </c>
      <c r="Q1272" s="4">
        <f>IFERROR(__xludf.DUMMYFUNCTION("""COMPUTED_VALUE"""),21.0)</f>
        <v>21</v>
      </c>
      <c r="R1272" s="4">
        <f>IFERROR(__xludf.DUMMYFUNCTION("""COMPUTED_VALUE"""),20.0)</f>
        <v>20</v>
      </c>
      <c r="S1272" s="4">
        <f>IFERROR(__xludf.DUMMYFUNCTION("""COMPUTED_VALUE"""),22.0)</f>
        <v>22</v>
      </c>
      <c r="T1272" s="4"/>
      <c r="U1272" s="4" t="str">
        <f>IFERROR(__xludf.DUMMYFUNCTION("""COMPUTED_VALUE"""),"BAIK")</f>
        <v>BAIK</v>
      </c>
      <c r="V1272" s="4" t="str">
        <f>IFERROR(__xludf.DUMMYFUNCTION("""COMPUTED_VALUE"""),"Tidak Ada")</f>
        <v>Tidak Ada</v>
      </c>
      <c r="W1272" s="4"/>
      <c r="X1272" s="4"/>
      <c r="Y1272" s="4"/>
      <c r="Z1272" s="4"/>
      <c r="AA1272" s="4"/>
      <c r="AB1272" s="4"/>
      <c r="AC1272" s="4" t="str">
        <f>IFERROR(__xludf.DUMMYFUNCTION("""COMPUTED_VALUE"""),"INSPEKSI SUTM - T2_Images/e144675e.FOTO.164329.jpg")</f>
        <v>INSPEKSI SUTM - T2_Images/e144675e.FOTO.164329.jpg</v>
      </c>
      <c r="AD1272" s="4"/>
      <c r="AE1272" s="4"/>
      <c r="AF1272" s="4" t="str">
        <f>IFERROR(__xludf.DUMMYFUNCTION("""COMPUTED_VALUE"""),"BELUM")</f>
        <v>BELUM</v>
      </c>
      <c r="AG1272" s="6">
        <f>IFERROR(__xludf.DUMMYFUNCTION("""COMPUTED_VALUE"""),46140.0)</f>
        <v>46140</v>
      </c>
      <c r="AH1272" s="4"/>
      <c r="AI1272" s="4"/>
    </row>
    <row r="1273" ht="15.75" customHeight="1">
      <c r="A1273" s="4" t="str">
        <f>IFERROR(__xludf.DUMMYFUNCTION("""COMPUTED_VALUE"""),"d9217f8a")</f>
        <v>d9217f8a</v>
      </c>
      <c r="B1273" s="5">
        <f>IFERROR(__xludf.DUMMYFUNCTION("""COMPUTED_VALUE"""),46140.98857638889)</f>
        <v>46140.98858</v>
      </c>
      <c r="C1273" s="4" t="str">
        <f>IFERROR(__xludf.DUMMYFUNCTION("""COMPUTED_VALUE"""),"-6.899163, 107.645297")</f>
        <v>-6.899163, 107.645297</v>
      </c>
      <c r="D1273" s="4" t="str">
        <f>IFERROR(__xludf.DUMMYFUNCTION("""COMPUTED_VALUE"""),"Nugi firman")</f>
        <v>Nugi firman</v>
      </c>
      <c r="E1273" s="4" t="str">
        <f>IFERROR(__xludf.DUMMYFUNCTION("""COMPUTED_VALUE"""),"BANDUNG")</f>
        <v>BANDUNG</v>
      </c>
      <c r="F1273" s="4" t="str">
        <f>IFERROR(__xludf.DUMMYFUNCTION("""COMPUTED_VALUE"""),"KOPO")</f>
        <v>KOPO</v>
      </c>
      <c r="G1273" s="4" t="str">
        <f>IFERROR(__xludf.DUMMYFUNCTION("""COMPUTED_VALUE"""),"CIGERELENG")</f>
        <v>CIGERELENG</v>
      </c>
      <c r="H1273" s="4" t="str">
        <f>IFERROR(__xludf.DUMMYFUNCTION("""COMPUTED_VALUE"""),"CKM")</f>
        <v>CKM</v>
      </c>
      <c r="I1273" s="4" t="str">
        <f>IFERROR(__xludf.DUMMYFUNCTION("""COMPUTED_VALUE"""),"LBS KPL - YHS")</f>
        <v>LBS KPL - YHS</v>
      </c>
      <c r="J1273" s="4" t="str">
        <f>IFERROR(__xludf.DUMMYFUNCTION("""COMPUTED_VALUE"""),"ZONA 2")</f>
        <v>ZONA 2</v>
      </c>
      <c r="K1273" s="4" t="str">
        <f>IFERROR(__xludf.DUMMYFUNCTION("""COMPUTED_VALUE"""),"027R20")</f>
        <v>027R20</v>
      </c>
      <c r="L1273" s="4" t="str">
        <f>IFERROR(__xludf.DUMMYFUNCTION("""COMPUTED_VALUE"""),"TM - 14B/H (Akhir)")</f>
        <v>TM - 14B/H (Akhir)</v>
      </c>
      <c r="M1273" s="4" t="str">
        <f>IFERROR(__xludf.DUMMYFUNCTION("""COMPUTED_VALUE"""),"Tidak Ada")</f>
        <v>Tidak Ada</v>
      </c>
      <c r="N1273" s="4"/>
      <c r="O1273" s="4" t="str">
        <f>IFERROR(__xludf.DUMMYFUNCTION("""COMPUTED_VALUE"""),"PEMBANDING SEJENIS")</f>
        <v>PEMBANDING SEJENIS</v>
      </c>
      <c r="P1273" s="4" t="str">
        <f>IFERROR(__xludf.DUMMYFUNCTION("""COMPUTED_VALUE"""),"TERMINASI")</f>
        <v>TERMINASI</v>
      </c>
      <c r="Q1273" s="4">
        <f>IFERROR(__xludf.DUMMYFUNCTION("""COMPUTED_VALUE"""),22.0)</f>
        <v>22</v>
      </c>
      <c r="R1273" s="4">
        <f>IFERROR(__xludf.DUMMYFUNCTION("""COMPUTED_VALUE"""),21.0)</f>
        <v>21</v>
      </c>
      <c r="S1273" s="4">
        <f>IFERROR(__xludf.DUMMYFUNCTION("""COMPUTED_VALUE"""),20.0)</f>
        <v>20</v>
      </c>
      <c r="T1273" s="4"/>
      <c r="U1273" s="4" t="str">
        <f>IFERROR(__xludf.DUMMYFUNCTION("""COMPUTED_VALUE"""),"BAIK")</f>
        <v>BAIK</v>
      </c>
      <c r="V1273" s="4" t="str">
        <f>IFERROR(__xludf.DUMMYFUNCTION("""COMPUTED_VALUE"""),"Tidak Ada")</f>
        <v>Tidak Ada</v>
      </c>
      <c r="W1273" s="4"/>
      <c r="X1273" s="4"/>
      <c r="Y1273" s="4"/>
      <c r="Z1273" s="4"/>
      <c r="AA1273" s="4"/>
      <c r="AB1273" s="4"/>
      <c r="AC1273" s="4" t="str">
        <f>IFERROR(__xludf.DUMMYFUNCTION("""COMPUTED_VALUE"""),"INSPEKSI SUTM - T2_Images/d9217f8a.FOTO.164441.jpg")</f>
        <v>INSPEKSI SUTM - T2_Images/d9217f8a.FOTO.164441.jpg</v>
      </c>
      <c r="AD1273" s="4"/>
      <c r="AE1273" s="4"/>
      <c r="AF1273" s="4" t="str">
        <f>IFERROR(__xludf.DUMMYFUNCTION("""COMPUTED_VALUE"""),"BELUM")</f>
        <v>BELUM</v>
      </c>
      <c r="AG1273" s="6">
        <f>IFERROR(__xludf.DUMMYFUNCTION("""COMPUTED_VALUE"""),46140.0)</f>
        <v>46140</v>
      </c>
      <c r="AH1273" s="4"/>
      <c r="AI1273" s="4"/>
    </row>
    <row r="1274" ht="15.75" customHeight="1">
      <c r="A1274" s="4" t="str">
        <f>IFERROR(__xludf.DUMMYFUNCTION("""COMPUTED_VALUE"""),"9514118e")</f>
        <v>9514118e</v>
      </c>
      <c r="B1274" s="5">
        <f>IFERROR(__xludf.DUMMYFUNCTION("""COMPUTED_VALUE"""),46141.29854166666)</f>
        <v>46141.29854</v>
      </c>
      <c r="C1274" s="4" t="str">
        <f>IFERROR(__xludf.DUMMYFUNCTION("""COMPUTED_VALUE"""),"-6.967902, 107.655317")</f>
        <v>-6.967902, 107.655317</v>
      </c>
      <c r="D1274" s="4" t="str">
        <f>IFERROR(__xludf.DUMMYFUNCTION("""COMPUTED_VALUE"""),"JIHAN KIKI")</f>
        <v>JIHAN KIKI</v>
      </c>
      <c r="E1274" s="4" t="str">
        <f>IFERROR(__xludf.DUMMYFUNCTION("""COMPUTED_VALUE"""),"BANDUNG")</f>
        <v>BANDUNG</v>
      </c>
      <c r="F1274" s="4" t="str">
        <f>IFERROR(__xludf.DUMMYFUNCTION("""COMPUTED_VALUE"""),"CIJAWURA")</f>
        <v>CIJAWURA</v>
      </c>
      <c r="G1274" s="4" t="str">
        <f>IFERROR(__xludf.DUMMYFUNCTION("""COMPUTED_VALUE"""),"GIS KIARACONDONG")</f>
        <v>GIS KIARACONDONG</v>
      </c>
      <c r="H1274" s="4" t="str">
        <f>IFERROR(__xludf.DUMMYFUNCTION("""COMPUTED_VALUE"""),"KMO")</f>
        <v>KMO</v>
      </c>
      <c r="I1274" s="4" t="str">
        <f>IFERROR(__xludf.DUMMYFUNCTION("""COMPUTED_VALUE"""),"LBS PDH - UJUNG")</f>
        <v>LBS PDH - UJUNG</v>
      </c>
      <c r="J1274" s="4" t="str">
        <f>IFERROR(__xludf.DUMMYFUNCTION("""COMPUTED_VALUE"""),"ZONA 3")</f>
        <v>ZONA 3</v>
      </c>
      <c r="K1274" s="4" t="str">
        <f>IFERROR(__xludf.DUMMYFUNCTION("""COMPUTED_VALUE"""),"047L03")</f>
        <v>047L03</v>
      </c>
      <c r="L1274" s="4" t="str">
        <f>IFERROR(__xludf.DUMMYFUNCTION("""COMPUTED_VALUE"""),"TM - 8B/H (Percabangan)")</f>
        <v>TM - 8B/H (Percabangan)</v>
      </c>
      <c r="M1274" s="4" t="str">
        <f>IFERROR(__xludf.DUMMYFUNCTION("""COMPUTED_VALUE"""),"Tidak Ada")</f>
        <v>Tidak Ada</v>
      </c>
      <c r="N1274" s="4"/>
      <c r="O1274" s="4" t="str">
        <f>IFERROR(__xludf.DUMMYFUNCTION("""COMPUTED_VALUE"""),"PEMBANDING SEJENIS")</f>
        <v>PEMBANDING SEJENIS</v>
      </c>
      <c r="P1274" s="4" t="str">
        <f>IFERROR(__xludf.DUMMYFUNCTION("""COMPUTED_VALUE"""),"KONEKTOR/JUMPER")</f>
        <v>KONEKTOR/JUMPER</v>
      </c>
      <c r="Q1274" s="4">
        <f>IFERROR(__xludf.DUMMYFUNCTION("""COMPUTED_VALUE"""),23.0)</f>
        <v>23</v>
      </c>
      <c r="R1274" s="4">
        <f>IFERROR(__xludf.DUMMYFUNCTION("""COMPUTED_VALUE"""),23.0)</f>
        <v>23</v>
      </c>
      <c r="S1274" s="4">
        <f>IFERROR(__xludf.DUMMYFUNCTION("""COMPUTED_VALUE"""),21.0)</f>
        <v>21</v>
      </c>
      <c r="T1274" s="4"/>
      <c r="U1274" s="4" t="str">
        <f>IFERROR(__xludf.DUMMYFUNCTION("""COMPUTED_VALUE"""),"BAIK")</f>
        <v>BAIK</v>
      </c>
      <c r="V1274" s="4" t="str">
        <f>IFERROR(__xludf.DUMMYFUNCTION("""COMPUTED_VALUE"""),"Tidak Ada")</f>
        <v>Tidak Ada</v>
      </c>
      <c r="W1274" s="4"/>
      <c r="X1274" s="4"/>
      <c r="Y1274" s="4"/>
      <c r="Z1274" s="4"/>
      <c r="AA1274" s="4"/>
      <c r="AB1274" s="4"/>
      <c r="AC1274" s="4" t="str">
        <f>IFERROR(__xludf.DUMMYFUNCTION("""COMPUTED_VALUE"""),"INSPEKSI SUTM - T2_Images/9514118e.FOTO.001517.jpg")</f>
        <v>INSPEKSI SUTM - T2_Images/9514118e.FOTO.001517.jpg</v>
      </c>
      <c r="AD1274" s="4"/>
      <c r="AE1274" s="4"/>
      <c r="AF1274" s="4" t="str">
        <f>IFERROR(__xludf.DUMMYFUNCTION("""COMPUTED_VALUE"""),"BELUM")</f>
        <v>BELUM</v>
      </c>
      <c r="AG1274" s="6">
        <f>IFERROR(__xludf.DUMMYFUNCTION("""COMPUTED_VALUE"""),46141.0)</f>
        <v>46141</v>
      </c>
      <c r="AH1274" s="4"/>
      <c r="AI1274" s="4"/>
    </row>
    <row r="1275" ht="15.75" customHeight="1">
      <c r="A1275" s="4" t="str">
        <f>IFERROR(__xludf.DUMMYFUNCTION("""COMPUTED_VALUE"""),"b889f76b")</f>
        <v>b889f76b</v>
      </c>
      <c r="B1275" s="5">
        <f>IFERROR(__xludf.DUMMYFUNCTION("""COMPUTED_VALUE"""),46141.30333333334)</f>
        <v>46141.30333</v>
      </c>
      <c r="C1275" s="4" t="str">
        <f>IFERROR(__xludf.DUMMYFUNCTION("""COMPUTED_VALUE"""),"-6.967405, 107.655430")</f>
        <v>-6.967405, 107.655430</v>
      </c>
      <c r="D1275" s="4" t="str">
        <f>IFERROR(__xludf.DUMMYFUNCTION("""COMPUTED_VALUE"""),"JIHAN KIKI")</f>
        <v>JIHAN KIKI</v>
      </c>
      <c r="E1275" s="4" t="str">
        <f>IFERROR(__xludf.DUMMYFUNCTION("""COMPUTED_VALUE"""),"BANDUNG")</f>
        <v>BANDUNG</v>
      </c>
      <c r="F1275" s="4" t="str">
        <f>IFERROR(__xludf.DUMMYFUNCTION("""COMPUTED_VALUE"""),"CIJAWURA")</f>
        <v>CIJAWURA</v>
      </c>
      <c r="G1275" s="4" t="str">
        <f>IFERROR(__xludf.DUMMYFUNCTION("""COMPUTED_VALUE"""),"GIS KIARACONDONG")</f>
        <v>GIS KIARACONDONG</v>
      </c>
      <c r="H1275" s="4" t="str">
        <f>IFERROR(__xludf.DUMMYFUNCTION("""COMPUTED_VALUE"""),"KMO")</f>
        <v>KMO</v>
      </c>
      <c r="I1275" s="4" t="str">
        <f>IFERROR(__xludf.DUMMYFUNCTION("""COMPUTED_VALUE"""),"LBS PDH - UJUNG")</f>
        <v>LBS PDH - UJUNG</v>
      </c>
      <c r="J1275" s="4" t="str">
        <f>IFERROR(__xludf.DUMMYFUNCTION("""COMPUTED_VALUE"""),"ZONA 3")</f>
        <v>ZONA 3</v>
      </c>
      <c r="K1275" s="4" t="str">
        <f>IFERROR(__xludf.DUMMYFUNCTION("""COMPUTED_VALUE"""),"047L03L02")</f>
        <v>047L03L02</v>
      </c>
      <c r="L1275" s="4" t="str">
        <f>IFERROR(__xludf.DUMMYFUNCTION("""COMPUTED_VALUE"""),"TM - 8B/H (Percabangan)")</f>
        <v>TM - 8B/H (Percabangan)</v>
      </c>
      <c r="M1275" s="4" t="str">
        <f>IFERROR(__xludf.DUMMYFUNCTION("""COMPUTED_VALUE"""),"Tidak Ada")</f>
        <v>Tidak Ada</v>
      </c>
      <c r="N1275" s="4"/>
      <c r="O1275" s="4" t="str">
        <f>IFERROR(__xludf.DUMMYFUNCTION("""COMPUTED_VALUE"""),"PEMBANDING SEJENIS")</f>
        <v>PEMBANDING SEJENIS</v>
      </c>
      <c r="P1275" s="4" t="str">
        <f>IFERROR(__xludf.DUMMYFUNCTION("""COMPUTED_VALUE"""),"ISOLATOR")</f>
        <v>ISOLATOR</v>
      </c>
      <c r="Q1275" s="4">
        <f>IFERROR(__xludf.DUMMYFUNCTION("""COMPUTED_VALUE"""),22.0)</f>
        <v>22</v>
      </c>
      <c r="R1275" s="4">
        <f>IFERROR(__xludf.DUMMYFUNCTION("""COMPUTED_VALUE"""),23.0)</f>
        <v>23</v>
      </c>
      <c r="S1275" s="4">
        <f>IFERROR(__xludf.DUMMYFUNCTION("""COMPUTED_VALUE"""),21.0)</f>
        <v>21</v>
      </c>
      <c r="T1275" s="4"/>
      <c r="U1275" s="4" t="str">
        <f>IFERROR(__xludf.DUMMYFUNCTION("""COMPUTED_VALUE"""),"BAIK")</f>
        <v>BAIK</v>
      </c>
      <c r="V1275" s="4" t="str">
        <f>IFERROR(__xludf.DUMMYFUNCTION("""COMPUTED_VALUE"""),"Tidak Ada")</f>
        <v>Tidak Ada</v>
      </c>
      <c r="W1275" s="4"/>
      <c r="X1275" s="4"/>
      <c r="Y1275" s="4"/>
      <c r="Z1275" s="4"/>
      <c r="AA1275" s="4"/>
      <c r="AB1275" s="4"/>
      <c r="AC1275" s="4" t="str">
        <f>IFERROR(__xludf.DUMMYFUNCTION("""COMPUTED_VALUE"""),"INSPEKSI SUTM - T2_Images/b889f76b.FOTO.001832.jpg")</f>
        <v>INSPEKSI SUTM - T2_Images/b889f76b.FOTO.001832.jpg</v>
      </c>
      <c r="AD1275" s="4"/>
      <c r="AE1275" s="4"/>
      <c r="AF1275" s="4" t="str">
        <f>IFERROR(__xludf.DUMMYFUNCTION("""COMPUTED_VALUE"""),"BELUM")</f>
        <v>BELUM</v>
      </c>
      <c r="AG1275" s="6">
        <f>IFERROR(__xludf.DUMMYFUNCTION("""COMPUTED_VALUE"""),46141.0)</f>
        <v>46141</v>
      </c>
      <c r="AH1275" s="4"/>
      <c r="AI1275" s="4"/>
    </row>
    <row r="1276" ht="15.75" customHeight="1">
      <c r="A1276" s="4" t="str">
        <f>IFERROR(__xludf.DUMMYFUNCTION("""COMPUTED_VALUE"""),"dc7c4159")</f>
        <v>dc7c4159</v>
      </c>
      <c r="B1276" s="5">
        <f>IFERROR(__xludf.DUMMYFUNCTION("""COMPUTED_VALUE"""),46141.30489583333)</f>
        <v>46141.3049</v>
      </c>
      <c r="C1276" s="4" t="str">
        <f>IFERROR(__xludf.DUMMYFUNCTION("""COMPUTED_VALUE"""),"-6.967418, 107.655793")</f>
        <v>-6.967418, 107.655793</v>
      </c>
      <c r="D1276" s="4" t="str">
        <f>IFERROR(__xludf.DUMMYFUNCTION("""COMPUTED_VALUE"""),"Jihan kiki")</f>
        <v>Jihan kiki</v>
      </c>
      <c r="E1276" s="4" t="str">
        <f>IFERROR(__xludf.DUMMYFUNCTION("""COMPUTED_VALUE"""),"BANDUNG")</f>
        <v>BANDUNG</v>
      </c>
      <c r="F1276" s="4" t="str">
        <f>IFERROR(__xludf.DUMMYFUNCTION("""COMPUTED_VALUE"""),"CIJAWURA")</f>
        <v>CIJAWURA</v>
      </c>
      <c r="G1276" s="4" t="str">
        <f>IFERROR(__xludf.DUMMYFUNCTION("""COMPUTED_VALUE"""),"GIS KIARACONDONG")</f>
        <v>GIS KIARACONDONG</v>
      </c>
      <c r="H1276" s="4" t="str">
        <f>IFERROR(__xludf.DUMMYFUNCTION("""COMPUTED_VALUE"""),"KMO")</f>
        <v>KMO</v>
      </c>
      <c r="I1276" s="4" t="str">
        <f>IFERROR(__xludf.DUMMYFUNCTION("""COMPUTED_VALUE"""),"LBS PDH - UJUNG")</f>
        <v>LBS PDH - UJUNG</v>
      </c>
      <c r="J1276" s="4" t="str">
        <f>IFERROR(__xludf.DUMMYFUNCTION("""COMPUTED_VALUE"""),"ZONA 3")</f>
        <v>ZONA 3</v>
      </c>
      <c r="K1276" s="4" t="str">
        <f>IFERROR(__xludf.DUMMYFUNCTION("""COMPUTED_VALUE"""),"047L03L03")</f>
        <v>047L03L03</v>
      </c>
      <c r="L1276" s="4" t="str">
        <f>IFERROR(__xludf.DUMMYFUNCTION("""COMPUTED_VALUE"""),"TM - 7B/H (Afspan 90 Derajat)")</f>
        <v>TM - 7B/H (Afspan 90 Derajat)</v>
      </c>
      <c r="M1276" s="4" t="str">
        <f>IFERROR(__xludf.DUMMYFUNCTION("""COMPUTED_VALUE"""),"Tidak Ada")</f>
        <v>Tidak Ada</v>
      </c>
      <c r="N1276" s="4"/>
      <c r="O1276" s="4" t="str">
        <f>IFERROR(__xludf.DUMMYFUNCTION("""COMPUTED_VALUE"""),"PEMBANDING SEJENIS")</f>
        <v>PEMBANDING SEJENIS</v>
      </c>
      <c r="P1276" s="4" t="str">
        <f>IFERROR(__xludf.DUMMYFUNCTION("""COMPUTED_VALUE"""),"ISOLATOR")</f>
        <v>ISOLATOR</v>
      </c>
      <c r="Q1276" s="4">
        <f>IFERROR(__xludf.DUMMYFUNCTION("""COMPUTED_VALUE"""),23.0)</f>
        <v>23</v>
      </c>
      <c r="R1276" s="4">
        <f>IFERROR(__xludf.DUMMYFUNCTION("""COMPUTED_VALUE"""),23.0)</f>
        <v>23</v>
      </c>
      <c r="S1276" s="4">
        <f>IFERROR(__xludf.DUMMYFUNCTION("""COMPUTED_VALUE"""),22.0)</f>
        <v>22</v>
      </c>
      <c r="T1276" s="4"/>
      <c r="U1276" s="4" t="str">
        <f>IFERROR(__xludf.DUMMYFUNCTION("""COMPUTED_VALUE"""),"BAIK")</f>
        <v>BAIK</v>
      </c>
      <c r="V1276" s="4" t="str">
        <f>IFERROR(__xludf.DUMMYFUNCTION("""COMPUTED_VALUE"""),"Tidak Ada")</f>
        <v>Tidak Ada</v>
      </c>
      <c r="W1276" s="4"/>
      <c r="X1276" s="4"/>
      <c r="Y1276" s="4"/>
      <c r="Z1276" s="4"/>
      <c r="AA1276" s="4"/>
      <c r="AB1276" s="4"/>
      <c r="AC1276" s="4" t="str">
        <f>IFERROR(__xludf.DUMMYFUNCTION("""COMPUTED_VALUE"""),"INSPEKSI SUTM - T2_Images/dc7c4159.FOTO.002017.jpg")</f>
        <v>INSPEKSI SUTM - T2_Images/dc7c4159.FOTO.002017.jpg</v>
      </c>
      <c r="AD1276" s="4"/>
      <c r="AE1276" s="4"/>
      <c r="AF1276" s="4" t="str">
        <f>IFERROR(__xludf.DUMMYFUNCTION("""COMPUTED_VALUE"""),"BELUM")</f>
        <v>BELUM</v>
      </c>
      <c r="AG1276" s="6">
        <f>IFERROR(__xludf.DUMMYFUNCTION("""COMPUTED_VALUE"""),46141.0)</f>
        <v>46141</v>
      </c>
      <c r="AH1276" s="4"/>
      <c r="AI1276" s="4"/>
    </row>
    <row r="1277" ht="15.75" customHeight="1">
      <c r="A1277" s="4" t="str">
        <f>IFERROR(__xludf.DUMMYFUNCTION("""COMPUTED_VALUE"""),"fc11ae13")</f>
        <v>fc11ae13</v>
      </c>
      <c r="B1277" s="5">
        <f>IFERROR(__xludf.DUMMYFUNCTION("""COMPUTED_VALUE"""),46141.30604166666)</f>
        <v>46141.30604</v>
      </c>
      <c r="C1277" s="4" t="str">
        <f>IFERROR(__xludf.DUMMYFUNCTION("""COMPUTED_VALUE"""),"-6.966712, 107.655890")</f>
        <v>-6.966712, 107.655890</v>
      </c>
      <c r="D1277" s="4" t="str">
        <f>IFERROR(__xludf.DUMMYFUNCTION("""COMPUTED_VALUE"""),"Jihan kiki")</f>
        <v>Jihan kiki</v>
      </c>
      <c r="E1277" s="4" t="str">
        <f>IFERROR(__xludf.DUMMYFUNCTION("""COMPUTED_VALUE"""),"BANDUNG")</f>
        <v>BANDUNG</v>
      </c>
      <c r="F1277" s="4" t="str">
        <f>IFERROR(__xludf.DUMMYFUNCTION("""COMPUTED_VALUE"""),"CIJAWURA")</f>
        <v>CIJAWURA</v>
      </c>
      <c r="G1277" s="4" t="str">
        <f>IFERROR(__xludf.DUMMYFUNCTION("""COMPUTED_VALUE"""),"GIS KIARACONDONG")</f>
        <v>GIS KIARACONDONG</v>
      </c>
      <c r="H1277" s="4" t="str">
        <f>IFERROR(__xludf.DUMMYFUNCTION("""COMPUTED_VALUE"""),"KMO")</f>
        <v>KMO</v>
      </c>
      <c r="I1277" s="4" t="str">
        <f>IFERROR(__xludf.DUMMYFUNCTION("""COMPUTED_VALUE"""),"LBS PDH - UJUNG")</f>
        <v>LBS PDH - UJUNG</v>
      </c>
      <c r="J1277" s="4" t="str">
        <f>IFERROR(__xludf.DUMMYFUNCTION("""COMPUTED_VALUE"""),"ZONA 3")</f>
        <v>ZONA 3</v>
      </c>
      <c r="K1277" s="4" t="str">
        <f>IFERROR(__xludf.DUMMYFUNCTION("""COMPUTED_VALUE"""),"047L03L05")</f>
        <v>047L03L05</v>
      </c>
      <c r="L1277" s="4" t="str">
        <f>IFERROR(__xludf.DUMMYFUNCTION("""COMPUTED_VALUE"""),"TM - 7B/H (Afspan 90 Derajat)")</f>
        <v>TM - 7B/H (Afspan 90 Derajat)</v>
      </c>
      <c r="M1277" s="4" t="str">
        <f>IFERROR(__xludf.DUMMYFUNCTION("""COMPUTED_VALUE"""),"Tidak Ada")</f>
        <v>Tidak Ada</v>
      </c>
      <c r="N1277" s="4"/>
      <c r="O1277" s="4" t="str">
        <f>IFERROR(__xludf.DUMMYFUNCTION("""COMPUTED_VALUE"""),"PEMBANDING SEJENIS")</f>
        <v>PEMBANDING SEJENIS</v>
      </c>
      <c r="P1277" s="4" t="str">
        <f>IFERROR(__xludf.DUMMYFUNCTION("""COMPUTED_VALUE"""),"KONEKTOR/JUMPER")</f>
        <v>KONEKTOR/JUMPER</v>
      </c>
      <c r="Q1277" s="4">
        <f>IFERROR(__xludf.DUMMYFUNCTION("""COMPUTED_VALUE"""),23.0)</f>
        <v>23</v>
      </c>
      <c r="R1277" s="4">
        <f>IFERROR(__xludf.DUMMYFUNCTION("""COMPUTED_VALUE"""),22.0)</f>
        <v>22</v>
      </c>
      <c r="S1277" s="4">
        <f>IFERROR(__xludf.DUMMYFUNCTION("""COMPUTED_VALUE"""),22.0)</f>
        <v>22</v>
      </c>
      <c r="T1277" s="4"/>
      <c r="U1277" s="4" t="str">
        <f>IFERROR(__xludf.DUMMYFUNCTION("""COMPUTED_VALUE"""),"BAIK")</f>
        <v>BAIK</v>
      </c>
      <c r="V1277" s="4" t="str">
        <f>IFERROR(__xludf.DUMMYFUNCTION("""COMPUTED_VALUE"""),"Tidak Ada")</f>
        <v>Tidak Ada</v>
      </c>
      <c r="W1277" s="4"/>
      <c r="X1277" s="4"/>
      <c r="Y1277" s="4"/>
      <c r="Z1277" s="4"/>
      <c r="AA1277" s="4"/>
      <c r="AB1277" s="4"/>
      <c r="AC1277" s="4" t="str">
        <f>IFERROR(__xludf.DUMMYFUNCTION("""COMPUTED_VALUE"""),"INSPEKSI SUTM - T2_Images/fc11ae13.FOTO.002151.jpg")</f>
        <v>INSPEKSI SUTM - T2_Images/fc11ae13.FOTO.002151.jpg</v>
      </c>
      <c r="AD1277" s="4"/>
      <c r="AE1277" s="4"/>
      <c r="AF1277" s="4" t="str">
        <f>IFERROR(__xludf.DUMMYFUNCTION("""COMPUTED_VALUE"""),"BELUM")</f>
        <v>BELUM</v>
      </c>
      <c r="AG1277" s="6">
        <f>IFERROR(__xludf.DUMMYFUNCTION("""COMPUTED_VALUE"""),46141.0)</f>
        <v>46141</v>
      </c>
      <c r="AH1277" s="4"/>
      <c r="AI1277" s="4"/>
    </row>
    <row r="1278" ht="15.75" customHeight="1">
      <c r="A1278" s="4" t="str">
        <f>IFERROR(__xludf.DUMMYFUNCTION("""COMPUTED_VALUE"""),"3627bd89")</f>
        <v>3627bd89</v>
      </c>
      <c r="B1278" s="5">
        <f>IFERROR(__xludf.DUMMYFUNCTION("""COMPUTED_VALUE"""),46141.307337962964)</f>
        <v>46141.30734</v>
      </c>
      <c r="C1278" s="4" t="str">
        <f>IFERROR(__xludf.DUMMYFUNCTION("""COMPUTED_VALUE"""),"-6.967016, 107.656880")</f>
        <v>-6.967016, 107.656880</v>
      </c>
      <c r="D1278" s="4" t="str">
        <f>IFERROR(__xludf.DUMMYFUNCTION("""COMPUTED_VALUE"""),"Jihan kiki")</f>
        <v>Jihan kiki</v>
      </c>
      <c r="E1278" s="4" t="str">
        <f>IFERROR(__xludf.DUMMYFUNCTION("""COMPUTED_VALUE"""),"BANDUNG")</f>
        <v>BANDUNG</v>
      </c>
      <c r="F1278" s="4" t="str">
        <f>IFERROR(__xludf.DUMMYFUNCTION("""COMPUTED_VALUE"""),"CIJAWURA")</f>
        <v>CIJAWURA</v>
      </c>
      <c r="G1278" s="4" t="str">
        <f>IFERROR(__xludf.DUMMYFUNCTION("""COMPUTED_VALUE"""),"GIS KIARACONDONG")</f>
        <v>GIS KIARACONDONG</v>
      </c>
      <c r="H1278" s="4" t="str">
        <f>IFERROR(__xludf.DUMMYFUNCTION("""COMPUTED_VALUE"""),"KMO")</f>
        <v>KMO</v>
      </c>
      <c r="I1278" s="4" t="str">
        <f>IFERROR(__xludf.DUMMYFUNCTION("""COMPUTED_VALUE"""),"LBS PDH - UJUNG")</f>
        <v>LBS PDH - UJUNG</v>
      </c>
      <c r="J1278" s="4" t="str">
        <f>IFERROR(__xludf.DUMMYFUNCTION("""COMPUTED_VALUE"""),"ZONA 3")</f>
        <v>ZONA 3</v>
      </c>
      <c r="K1278" s="4" t="str">
        <f>IFERROR(__xludf.DUMMYFUNCTION("""COMPUTED_VALUE"""),"047L03L09")</f>
        <v>047L03L09</v>
      </c>
      <c r="L1278" s="4" t="str">
        <f>IFERROR(__xludf.DUMMYFUNCTION("""COMPUTED_VALUE"""),"TM - 7B/H (Afspan 90 Derajat)")</f>
        <v>TM - 7B/H (Afspan 90 Derajat)</v>
      </c>
      <c r="M1278" s="4" t="str">
        <f>IFERROR(__xludf.DUMMYFUNCTION("""COMPUTED_VALUE"""),"Tidak Ada")</f>
        <v>Tidak Ada</v>
      </c>
      <c r="N1278" s="4"/>
      <c r="O1278" s="4" t="str">
        <f>IFERROR(__xludf.DUMMYFUNCTION("""COMPUTED_VALUE"""),"PEMBANDING SEJENIS")</f>
        <v>PEMBANDING SEJENIS</v>
      </c>
      <c r="P1278" s="4" t="str">
        <f>IFERROR(__xludf.DUMMYFUNCTION("""COMPUTED_VALUE"""),"ISOLATOR")</f>
        <v>ISOLATOR</v>
      </c>
      <c r="Q1278" s="4">
        <f>IFERROR(__xludf.DUMMYFUNCTION("""COMPUTED_VALUE"""),23.0)</f>
        <v>23</v>
      </c>
      <c r="R1278" s="4">
        <f>IFERROR(__xludf.DUMMYFUNCTION("""COMPUTED_VALUE"""),22.0)</f>
        <v>22</v>
      </c>
      <c r="S1278" s="4">
        <f>IFERROR(__xludf.DUMMYFUNCTION("""COMPUTED_VALUE"""),22.0)</f>
        <v>22</v>
      </c>
      <c r="T1278" s="4"/>
      <c r="U1278" s="4" t="str">
        <f>IFERROR(__xludf.DUMMYFUNCTION("""COMPUTED_VALUE"""),"BAIK")</f>
        <v>BAIK</v>
      </c>
      <c r="V1278" s="4" t="str">
        <f>IFERROR(__xludf.DUMMYFUNCTION("""COMPUTED_VALUE"""),"Tidak Ada")</f>
        <v>Tidak Ada</v>
      </c>
      <c r="W1278" s="4"/>
      <c r="X1278" s="4"/>
      <c r="Y1278" s="4"/>
      <c r="Z1278" s="4"/>
      <c r="AA1278" s="4"/>
      <c r="AB1278" s="4"/>
      <c r="AC1278" s="4" t="str">
        <f>IFERROR(__xludf.DUMMYFUNCTION("""COMPUTED_VALUE"""),"INSPEKSI SUTM - T2_Images/3627bd89.FOTO.002347.jpg")</f>
        <v>INSPEKSI SUTM - T2_Images/3627bd89.FOTO.002347.jpg</v>
      </c>
      <c r="AD1278" s="4"/>
      <c r="AE1278" s="4"/>
      <c r="AF1278" s="4" t="str">
        <f>IFERROR(__xludf.DUMMYFUNCTION("""COMPUTED_VALUE"""),"BELUM")</f>
        <v>BELUM</v>
      </c>
      <c r="AG1278" s="6">
        <f>IFERROR(__xludf.DUMMYFUNCTION("""COMPUTED_VALUE"""),46141.0)</f>
        <v>46141</v>
      </c>
      <c r="AH1278" s="4"/>
      <c r="AI1278" s="4"/>
    </row>
    <row r="1279" ht="15.75" customHeight="1">
      <c r="A1279" s="4" t="str">
        <f>IFERROR(__xludf.DUMMYFUNCTION("""COMPUTED_VALUE"""),"f0d1060c")</f>
        <v>f0d1060c</v>
      </c>
      <c r="B1279" s="5">
        <f>IFERROR(__xludf.DUMMYFUNCTION("""COMPUTED_VALUE"""),46141.30856481481)</f>
        <v>46141.30856</v>
      </c>
      <c r="C1279" s="4" t="str">
        <f>IFERROR(__xludf.DUMMYFUNCTION("""COMPUTED_VALUE"""),"-6.966679, 107.657074")</f>
        <v>-6.966679, 107.657074</v>
      </c>
      <c r="D1279" s="4" t="str">
        <f>IFERROR(__xludf.DUMMYFUNCTION("""COMPUTED_VALUE"""),"Jihan kiki")</f>
        <v>Jihan kiki</v>
      </c>
      <c r="E1279" s="4" t="str">
        <f>IFERROR(__xludf.DUMMYFUNCTION("""COMPUTED_VALUE"""),"BANDUNG")</f>
        <v>BANDUNG</v>
      </c>
      <c r="F1279" s="4" t="str">
        <f>IFERROR(__xludf.DUMMYFUNCTION("""COMPUTED_VALUE"""),"CIJAWURA")</f>
        <v>CIJAWURA</v>
      </c>
      <c r="G1279" s="4" t="str">
        <f>IFERROR(__xludf.DUMMYFUNCTION("""COMPUTED_VALUE"""),"GIS KIARACONDONG")</f>
        <v>GIS KIARACONDONG</v>
      </c>
      <c r="H1279" s="4" t="str">
        <f>IFERROR(__xludf.DUMMYFUNCTION("""COMPUTED_VALUE"""),"KMO")</f>
        <v>KMO</v>
      </c>
      <c r="I1279" s="4" t="str">
        <f>IFERROR(__xludf.DUMMYFUNCTION("""COMPUTED_VALUE"""),"LBS PDH - UJUNG")</f>
        <v>LBS PDH - UJUNG</v>
      </c>
      <c r="J1279" s="4" t="str">
        <f>IFERROR(__xludf.DUMMYFUNCTION("""COMPUTED_VALUE"""),"ZONA 3")</f>
        <v>ZONA 3</v>
      </c>
      <c r="K1279" s="4" t="str">
        <f>IFERROR(__xludf.DUMMYFUNCTION("""COMPUTED_VALUE"""),"047L03L10")</f>
        <v>047L03L10</v>
      </c>
      <c r="L1279" s="4" t="str">
        <f>IFERROR(__xludf.DUMMYFUNCTION("""COMPUTED_VALUE"""),"TM - 7B/H (Afspan 90 Derajat)")</f>
        <v>TM - 7B/H (Afspan 90 Derajat)</v>
      </c>
      <c r="M1279" s="4" t="str">
        <f>IFERROR(__xludf.DUMMYFUNCTION("""COMPUTED_VALUE"""),"Tidak Ada")</f>
        <v>Tidak Ada</v>
      </c>
      <c r="N1279" s="4"/>
      <c r="O1279" s="4" t="str">
        <f>IFERROR(__xludf.DUMMYFUNCTION("""COMPUTED_VALUE"""),"PEMBANDING SEJENIS")</f>
        <v>PEMBANDING SEJENIS</v>
      </c>
      <c r="P1279" s="4" t="str">
        <f>IFERROR(__xludf.DUMMYFUNCTION("""COMPUTED_VALUE"""),"ISOLATOR")</f>
        <v>ISOLATOR</v>
      </c>
      <c r="Q1279" s="4">
        <f>IFERROR(__xludf.DUMMYFUNCTION("""COMPUTED_VALUE"""),23.0)</f>
        <v>23</v>
      </c>
      <c r="R1279" s="4">
        <f>IFERROR(__xludf.DUMMYFUNCTION("""COMPUTED_VALUE"""),22.0)</f>
        <v>22</v>
      </c>
      <c r="S1279" s="4">
        <f>IFERROR(__xludf.DUMMYFUNCTION("""COMPUTED_VALUE"""),22.0)</f>
        <v>22</v>
      </c>
      <c r="T1279" s="4"/>
      <c r="U1279" s="4" t="str">
        <f>IFERROR(__xludf.DUMMYFUNCTION("""COMPUTED_VALUE"""),"BAIK")</f>
        <v>BAIK</v>
      </c>
      <c r="V1279" s="4" t="str">
        <f>IFERROR(__xludf.DUMMYFUNCTION("""COMPUTED_VALUE"""),"Tidak Ada")</f>
        <v>Tidak Ada</v>
      </c>
      <c r="W1279" s="4"/>
      <c r="X1279" s="4"/>
      <c r="Y1279" s="4"/>
      <c r="Z1279" s="4"/>
      <c r="AA1279" s="4"/>
      <c r="AB1279" s="4"/>
      <c r="AC1279" s="4" t="str">
        <f>IFERROR(__xludf.DUMMYFUNCTION("""COMPUTED_VALUE"""),"INSPEKSI SUTM - T2_Images/f0d1060c.FOTO.002536.jpg")</f>
        <v>INSPEKSI SUTM - T2_Images/f0d1060c.FOTO.002536.jpg</v>
      </c>
      <c r="AD1279" s="4"/>
      <c r="AE1279" s="4"/>
      <c r="AF1279" s="4" t="str">
        <f>IFERROR(__xludf.DUMMYFUNCTION("""COMPUTED_VALUE"""),"BELUM")</f>
        <v>BELUM</v>
      </c>
      <c r="AG1279" s="6">
        <f>IFERROR(__xludf.DUMMYFUNCTION("""COMPUTED_VALUE"""),46141.0)</f>
        <v>46141</v>
      </c>
      <c r="AH1279" s="4"/>
      <c r="AI1279" s="4"/>
    </row>
    <row r="1280" ht="15.75" customHeight="1">
      <c r="A1280" s="4" t="str">
        <f>IFERROR(__xludf.DUMMYFUNCTION("""COMPUTED_VALUE"""),"cd570bf6")</f>
        <v>cd570bf6</v>
      </c>
      <c r="B1280" s="5">
        <f>IFERROR(__xludf.DUMMYFUNCTION("""COMPUTED_VALUE"""),46141.31068287037)</f>
        <v>46141.31068</v>
      </c>
      <c r="C1280" s="4" t="str">
        <f>IFERROR(__xludf.DUMMYFUNCTION("""COMPUTED_VALUE"""),"-6.967979, 107.656764")</f>
        <v>-6.967979, 107.656764</v>
      </c>
      <c r="D1280" s="4" t="str">
        <f>IFERROR(__xludf.DUMMYFUNCTION("""COMPUTED_VALUE"""),"Jihan kiki")</f>
        <v>Jihan kiki</v>
      </c>
      <c r="E1280" s="4" t="str">
        <f>IFERROR(__xludf.DUMMYFUNCTION("""COMPUTED_VALUE"""),"BANDUNG")</f>
        <v>BANDUNG</v>
      </c>
      <c r="F1280" s="4" t="str">
        <f>IFERROR(__xludf.DUMMYFUNCTION("""COMPUTED_VALUE"""),"CIJAWURA")</f>
        <v>CIJAWURA</v>
      </c>
      <c r="G1280" s="4" t="str">
        <f>IFERROR(__xludf.DUMMYFUNCTION("""COMPUTED_VALUE"""),"GIS KIARACONDONG")</f>
        <v>GIS KIARACONDONG</v>
      </c>
      <c r="H1280" s="4" t="str">
        <f>IFERROR(__xludf.DUMMYFUNCTION("""COMPUTED_VALUE"""),"KMO")</f>
        <v>KMO</v>
      </c>
      <c r="I1280" s="4" t="str">
        <f>IFERROR(__xludf.DUMMYFUNCTION("""COMPUTED_VALUE"""),"LBS PDH - UJUNG")</f>
        <v>LBS PDH - UJUNG</v>
      </c>
      <c r="J1280" s="4" t="str">
        <f>IFERROR(__xludf.DUMMYFUNCTION("""COMPUTED_VALUE"""),"ZONA 3")</f>
        <v>ZONA 3</v>
      </c>
      <c r="K1280" s="4" t="str">
        <f>IFERROR(__xludf.DUMMYFUNCTION("""COMPUTED_VALUE"""),"047L03R05")</f>
        <v>047L03R05</v>
      </c>
      <c r="L1280" s="4" t="str">
        <f>IFERROR(__xludf.DUMMYFUNCTION("""COMPUTED_VALUE"""),"TM - 7B/H (Afspan 90 Derajat)")</f>
        <v>TM - 7B/H (Afspan 90 Derajat)</v>
      </c>
      <c r="M1280" s="4" t="str">
        <f>IFERROR(__xludf.DUMMYFUNCTION("""COMPUTED_VALUE"""),"Tidak Ada")</f>
        <v>Tidak Ada</v>
      </c>
      <c r="N1280" s="4"/>
      <c r="O1280" s="4" t="str">
        <f>IFERROR(__xludf.DUMMYFUNCTION("""COMPUTED_VALUE"""),"PEMBANDING SEJENIS")</f>
        <v>PEMBANDING SEJENIS</v>
      </c>
      <c r="P1280" s="4" t="str">
        <f>IFERROR(__xludf.DUMMYFUNCTION("""COMPUTED_VALUE"""),"KONEKTOR/JUMPER")</f>
        <v>KONEKTOR/JUMPER</v>
      </c>
      <c r="Q1280" s="4">
        <f>IFERROR(__xludf.DUMMYFUNCTION("""COMPUTED_VALUE"""),20.0)</f>
        <v>20</v>
      </c>
      <c r="R1280" s="4">
        <f>IFERROR(__xludf.DUMMYFUNCTION("""COMPUTED_VALUE"""),20.0)</f>
        <v>20</v>
      </c>
      <c r="S1280" s="4">
        <f>IFERROR(__xludf.DUMMYFUNCTION("""COMPUTED_VALUE"""),20.0)</f>
        <v>20</v>
      </c>
      <c r="T1280" s="4"/>
      <c r="U1280" s="4" t="str">
        <f>IFERROR(__xludf.DUMMYFUNCTION("""COMPUTED_VALUE"""),"BAIK")</f>
        <v>BAIK</v>
      </c>
      <c r="V1280" s="4" t="str">
        <f>IFERROR(__xludf.DUMMYFUNCTION("""COMPUTED_VALUE"""),"Tidak Ada")</f>
        <v>Tidak Ada</v>
      </c>
      <c r="W1280" s="4"/>
      <c r="X1280" s="4"/>
      <c r="Y1280" s="4"/>
      <c r="Z1280" s="4"/>
      <c r="AA1280" s="4"/>
      <c r="AB1280" s="4"/>
      <c r="AC1280" s="4" t="str">
        <f>IFERROR(__xludf.DUMMYFUNCTION("""COMPUTED_VALUE"""),"INSPEKSI SUTM - T2_Images/cd570bf6.FOTO.002829.jpg")</f>
        <v>INSPEKSI SUTM - T2_Images/cd570bf6.FOTO.002829.jpg</v>
      </c>
      <c r="AD1280" s="4"/>
      <c r="AE1280" s="4"/>
      <c r="AF1280" s="4" t="str">
        <f>IFERROR(__xludf.DUMMYFUNCTION("""COMPUTED_VALUE"""),"BELUM")</f>
        <v>BELUM</v>
      </c>
      <c r="AG1280" s="6">
        <f>IFERROR(__xludf.DUMMYFUNCTION("""COMPUTED_VALUE"""),46141.0)</f>
        <v>46141</v>
      </c>
      <c r="AH1280" s="4"/>
      <c r="AI1280" s="4"/>
    </row>
    <row r="1281" ht="15.75" customHeight="1">
      <c r="A1281" s="4" t="str">
        <f>IFERROR(__xludf.DUMMYFUNCTION("""COMPUTED_VALUE"""),"bd0ada83")</f>
        <v>bd0ada83</v>
      </c>
      <c r="B1281" s="5">
        <f>IFERROR(__xludf.DUMMYFUNCTION("""COMPUTED_VALUE"""),46141.31238425926)</f>
        <v>46141.31238</v>
      </c>
      <c r="C1281" s="4" t="str">
        <f>IFERROR(__xludf.DUMMYFUNCTION("""COMPUTED_VALUE"""),"-6.967430, 107.658174")</f>
        <v>-6.967430, 107.658174</v>
      </c>
      <c r="D1281" s="4" t="str">
        <f>IFERROR(__xludf.DUMMYFUNCTION("""COMPUTED_VALUE"""),"Jihan kiki")</f>
        <v>Jihan kiki</v>
      </c>
      <c r="E1281" s="4" t="str">
        <f>IFERROR(__xludf.DUMMYFUNCTION("""COMPUTED_VALUE"""),"BANDUNG")</f>
        <v>BANDUNG</v>
      </c>
      <c r="F1281" s="4" t="str">
        <f>IFERROR(__xludf.DUMMYFUNCTION("""COMPUTED_VALUE"""),"CIJAWURA")</f>
        <v>CIJAWURA</v>
      </c>
      <c r="G1281" s="4" t="str">
        <f>IFERROR(__xludf.DUMMYFUNCTION("""COMPUTED_VALUE"""),"GIS KIARACONDONG")</f>
        <v>GIS KIARACONDONG</v>
      </c>
      <c r="H1281" s="4" t="str">
        <f>IFERROR(__xludf.DUMMYFUNCTION("""COMPUTED_VALUE"""),"KMO")</f>
        <v>KMO</v>
      </c>
      <c r="I1281" s="4" t="str">
        <f>IFERROR(__xludf.DUMMYFUNCTION("""COMPUTED_VALUE"""),"LBS PDH - UJUNG")</f>
        <v>LBS PDH - UJUNG</v>
      </c>
      <c r="J1281" s="4" t="str">
        <f>IFERROR(__xludf.DUMMYFUNCTION("""COMPUTED_VALUE"""),"ZONA 3")</f>
        <v>ZONA 3</v>
      </c>
      <c r="K1281" s="4" t="str">
        <f>IFERROR(__xludf.DUMMYFUNCTION("""COMPUTED_VALUE"""),"047L03R10")</f>
        <v>047L03R10</v>
      </c>
      <c r="L1281" s="4" t="str">
        <f>IFERROR(__xludf.DUMMYFUNCTION("""COMPUTED_VALUE"""),"TM - 7B/H (Afspan 90 Derajat)")</f>
        <v>TM - 7B/H (Afspan 90 Derajat)</v>
      </c>
      <c r="M1281" s="4" t="str">
        <f>IFERROR(__xludf.DUMMYFUNCTION("""COMPUTED_VALUE"""),"Tidak Ada")</f>
        <v>Tidak Ada</v>
      </c>
      <c r="N1281" s="4"/>
      <c r="O1281" s="4" t="str">
        <f>IFERROR(__xludf.DUMMYFUNCTION("""COMPUTED_VALUE"""),"PEMBANDING SEJENIS")</f>
        <v>PEMBANDING SEJENIS</v>
      </c>
      <c r="P1281" s="4" t="str">
        <f>IFERROR(__xludf.DUMMYFUNCTION("""COMPUTED_VALUE"""),"KONEKTOR/JUMPER")</f>
        <v>KONEKTOR/JUMPER</v>
      </c>
      <c r="Q1281" s="4">
        <f>IFERROR(__xludf.DUMMYFUNCTION("""COMPUTED_VALUE"""),20.0)</f>
        <v>20</v>
      </c>
      <c r="R1281" s="4">
        <f>IFERROR(__xludf.DUMMYFUNCTION("""COMPUTED_VALUE"""),22.0)</f>
        <v>22</v>
      </c>
      <c r="S1281" s="4">
        <f>IFERROR(__xludf.DUMMYFUNCTION("""COMPUTED_VALUE"""),24.0)</f>
        <v>24</v>
      </c>
      <c r="T1281" s="4"/>
      <c r="U1281" s="4" t="str">
        <f>IFERROR(__xludf.DUMMYFUNCTION("""COMPUTED_VALUE"""),"CUKUP")</f>
        <v>CUKUP</v>
      </c>
      <c r="V1281" s="4" t="str">
        <f>IFERROR(__xludf.DUMMYFUNCTION("""COMPUTED_VALUE"""),"Tidak Ada")</f>
        <v>Tidak Ada</v>
      </c>
      <c r="W1281" s="4"/>
      <c r="X1281" s="4"/>
      <c r="Y1281" s="4"/>
      <c r="Z1281" s="4"/>
      <c r="AA1281" s="4"/>
      <c r="AB1281" s="4"/>
      <c r="AC1281" s="4" t="str">
        <f>IFERROR(__xludf.DUMMYFUNCTION("""COMPUTED_VALUE"""),"INSPEKSI SUTM - T2_Images/bd0ada83.FOTO.003101.jpg")</f>
        <v>INSPEKSI SUTM - T2_Images/bd0ada83.FOTO.003101.jpg</v>
      </c>
      <c r="AD1281" s="4"/>
      <c r="AE1281" s="4"/>
      <c r="AF1281" s="4" t="str">
        <f>IFERROR(__xludf.DUMMYFUNCTION("""COMPUTED_VALUE"""),"BELUM")</f>
        <v>BELUM</v>
      </c>
      <c r="AG1281" s="6">
        <f>IFERROR(__xludf.DUMMYFUNCTION("""COMPUTED_VALUE"""),46141.0)</f>
        <v>46141</v>
      </c>
      <c r="AH1281" s="4"/>
      <c r="AI1281" s="4"/>
    </row>
    <row r="1282" ht="15.75" customHeight="1">
      <c r="A1282" s="4" t="str">
        <f>IFERROR(__xludf.DUMMYFUNCTION("""COMPUTED_VALUE"""),"11d716e8")</f>
        <v>11d716e8</v>
      </c>
      <c r="B1282" s="5">
        <f>IFERROR(__xludf.DUMMYFUNCTION("""COMPUTED_VALUE"""),46141.31377314815)</f>
        <v>46141.31377</v>
      </c>
      <c r="C1282" s="4" t="str">
        <f>IFERROR(__xludf.DUMMYFUNCTION("""COMPUTED_VALUE"""),"-6.967534, 107.658850")</f>
        <v>-6.967534, 107.658850</v>
      </c>
      <c r="D1282" s="4" t="str">
        <f>IFERROR(__xludf.DUMMYFUNCTION("""COMPUTED_VALUE"""),"Jihan kiki")</f>
        <v>Jihan kiki</v>
      </c>
      <c r="E1282" s="4" t="str">
        <f>IFERROR(__xludf.DUMMYFUNCTION("""COMPUTED_VALUE"""),"BANDUNG")</f>
        <v>BANDUNG</v>
      </c>
      <c r="F1282" s="4" t="str">
        <f>IFERROR(__xludf.DUMMYFUNCTION("""COMPUTED_VALUE"""),"CIJAWURA")</f>
        <v>CIJAWURA</v>
      </c>
      <c r="G1282" s="4" t="str">
        <f>IFERROR(__xludf.DUMMYFUNCTION("""COMPUTED_VALUE"""),"GIS KIARACONDONG")</f>
        <v>GIS KIARACONDONG</v>
      </c>
      <c r="H1282" s="4" t="str">
        <f>IFERROR(__xludf.DUMMYFUNCTION("""COMPUTED_VALUE"""),"KMO")</f>
        <v>KMO</v>
      </c>
      <c r="I1282" s="4" t="str">
        <f>IFERROR(__xludf.DUMMYFUNCTION("""COMPUTED_VALUE"""),"LBS PDH - UJUNG")</f>
        <v>LBS PDH - UJUNG</v>
      </c>
      <c r="J1282" s="4" t="str">
        <f>IFERROR(__xludf.DUMMYFUNCTION("""COMPUTED_VALUE"""),"ZONA 3")</f>
        <v>ZONA 3</v>
      </c>
      <c r="K1282" s="4" t="str">
        <f>IFERROR(__xludf.DUMMYFUNCTION("""COMPUTED_VALUE"""),"047L03R11")</f>
        <v>047L03R11</v>
      </c>
      <c r="L1282" s="4" t="str">
        <f>IFERROR(__xludf.DUMMYFUNCTION("""COMPUTED_VALUE"""),"TM - 4B/H (Afspan)")</f>
        <v>TM - 4B/H (Afspan)</v>
      </c>
      <c r="M1282" s="4" t="str">
        <f>IFERROR(__xludf.DUMMYFUNCTION("""COMPUTED_VALUE"""),"Tidak Ada")</f>
        <v>Tidak Ada</v>
      </c>
      <c r="N1282" s="4"/>
      <c r="O1282" s="4" t="str">
        <f>IFERROR(__xludf.DUMMYFUNCTION("""COMPUTED_VALUE"""),"PEMBANDING SEJENIS")</f>
        <v>PEMBANDING SEJENIS</v>
      </c>
      <c r="P1282" s="4" t="str">
        <f>IFERROR(__xludf.DUMMYFUNCTION("""COMPUTED_VALUE"""),"KONEKTOR/JUMPER")</f>
        <v>KONEKTOR/JUMPER</v>
      </c>
      <c r="Q1282" s="4">
        <f>IFERROR(__xludf.DUMMYFUNCTION("""COMPUTED_VALUE"""),20.0)</f>
        <v>20</v>
      </c>
      <c r="R1282" s="4">
        <f>IFERROR(__xludf.DUMMYFUNCTION("""COMPUTED_VALUE"""),20.0)</f>
        <v>20</v>
      </c>
      <c r="S1282" s="4">
        <f>IFERROR(__xludf.DUMMYFUNCTION("""COMPUTED_VALUE"""),22.0)</f>
        <v>22</v>
      </c>
      <c r="T1282" s="4"/>
      <c r="U1282" s="4" t="str">
        <f>IFERROR(__xludf.DUMMYFUNCTION("""COMPUTED_VALUE"""),"BAIK")</f>
        <v>BAIK</v>
      </c>
      <c r="V1282" s="4" t="str">
        <f>IFERROR(__xludf.DUMMYFUNCTION("""COMPUTED_VALUE"""),"Tidak Ada")</f>
        <v>Tidak Ada</v>
      </c>
      <c r="W1282" s="4"/>
      <c r="X1282" s="4"/>
      <c r="Y1282" s="4"/>
      <c r="Z1282" s="4"/>
      <c r="AA1282" s="4"/>
      <c r="AB1282" s="4"/>
      <c r="AC1282" s="4" t="str">
        <f>IFERROR(__xludf.DUMMYFUNCTION("""COMPUTED_VALUE"""),"INSPEKSI SUTM - T2_Images/11d716e8.FOTO.003256.jpg")</f>
        <v>INSPEKSI SUTM - T2_Images/11d716e8.FOTO.003256.jpg</v>
      </c>
      <c r="AD1282" s="4"/>
      <c r="AE1282" s="4"/>
      <c r="AF1282" s="4" t="str">
        <f>IFERROR(__xludf.DUMMYFUNCTION("""COMPUTED_VALUE"""),"BELUM")</f>
        <v>BELUM</v>
      </c>
      <c r="AG1282" s="6">
        <f>IFERROR(__xludf.DUMMYFUNCTION("""COMPUTED_VALUE"""),46141.0)</f>
        <v>46141</v>
      </c>
      <c r="AH1282" s="4"/>
      <c r="AI1282" s="4"/>
    </row>
    <row r="1283" ht="15.75" customHeight="1">
      <c r="A1283" s="4" t="str">
        <f>IFERROR(__xludf.DUMMYFUNCTION("""COMPUTED_VALUE"""),"bb8e186c")</f>
        <v>bb8e186c</v>
      </c>
      <c r="B1283" s="5">
        <f>IFERROR(__xludf.DUMMYFUNCTION("""COMPUTED_VALUE"""),46140.93258101852)</f>
        <v>46140.93258</v>
      </c>
      <c r="C1283" s="4" t="str">
        <f>IFERROR(__xludf.DUMMYFUNCTION("""COMPUTED_VALUE"""),"-6.913420, 107.694982")</f>
        <v>-6.913420, 107.694982</v>
      </c>
      <c r="D1283" s="4" t="str">
        <f>IFERROR(__xludf.DUMMYFUNCTION("""COMPUTED_VALUE"""),"Heri candra")</f>
        <v>Heri candra</v>
      </c>
      <c r="E1283" s="4" t="str">
        <f>IFERROR(__xludf.DUMMYFUNCTION("""COMPUTED_VALUE"""),"BANDUNG")</f>
        <v>BANDUNG</v>
      </c>
      <c r="F1283" s="4" t="str">
        <f>IFERROR(__xludf.DUMMYFUNCTION("""COMPUTED_VALUE"""),"UJUNGBERUNG")</f>
        <v>UJUNGBERUNG</v>
      </c>
      <c r="G1283" s="4" t="str">
        <f>IFERROR(__xludf.DUMMYFUNCTION("""COMPUTED_VALUE"""),"GI BANDUNG TIMUR")</f>
        <v>GI BANDUNG TIMUR</v>
      </c>
      <c r="H1283" s="4" t="str">
        <f>IFERROR(__xludf.DUMMYFUNCTION("""COMPUTED_VALUE"""),"TZB")</f>
        <v>TZB</v>
      </c>
      <c r="I1283" s="4" t="str">
        <f>IFERROR(__xludf.DUMMYFUNCTION("""COMPUTED_VALUE"""),"GH BNA - RPPB")</f>
        <v>GH BNA - RPPB</v>
      </c>
      <c r="J1283" s="4" t="str">
        <f>IFERROR(__xludf.DUMMYFUNCTION("""COMPUTED_VALUE"""),"ZONA 2")</f>
        <v>ZONA 2</v>
      </c>
      <c r="K1283" s="4" t="str">
        <f>IFERROR(__xludf.DUMMYFUNCTION("""COMPUTED_VALUE"""),"024R018R05R01")</f>
        <v>024R018R05R01</v>
      </c>
      <c r="L1283" s="4" t="str">
        <f>IFERROR(__xludf.DUMMYFUNCTION("""COMPUTED_VALUE"""),"TM - 2B/H (Double Tumpu)")</f>
        <v>TM - 2B/H (Double Tumpu)</v>
      </c>
      <c r="M1283" s="4" t="str">
        <f>IFERROR(__xludf.DUMMYFUNCTION("""COMPUTED_VALUE"""),"Tidak Ada")</f>
        <v>Tidak Ada</v>
      </c>
      <c r="N1283" s="4"/>
      <c r="O1283" s="4" t="str">
        <f>IFERROR(__xludf.DUMMYFUNCTION("""COMPUTED_VALUE"""),"PEMBANDING SEJENIS")</f>
        <v>PEMBANDING SEJENIS</v>
      </c>
      <c r="P1283" s="4" t="str">
        <f>IFERROR(__xludf.DUMMYFUNCTION("""COMPUTED_VALUE"""),"ARRESTER")</f>
        <v>ARRESTER</v>
      </c>
      <c r="Q1283" s="4">
        <f>IFERROR(__xludf.DUMMYFUNCTION("""COMPUTED_VALUE"""),23.0)</f>
        <v>23</v>
      </c>
      <c r="R1283" s="4">
        <f>IFERROR(__xludf.DUMMYFUNCTION("""COMPUTED_VALUE"""),23.0)</f>
        <v>23</v>
      </c>
      <c r="S1283" s="4">
        <f>IFERROR(__xludf.DUMMYFUNCTION("""COMPUTED_VALUE"""),23.0)</f>
        <v>23</v>
      </c>
      <c r="T1283" s="4"/>
      <c r="U1283" s="4" t="str">
        <f>IFERROR(__xludf.DUMMYFUNCTION("""COMPUTED_VALUE"""),"BAIK")</f>
        <v>BAIK</v>
      </c>
      <c r="V1283" s="4" t="str">
        <f>IFERROR(__xludf.DUMMYFUNCTION("""COMPUTED_VALUE"""),"Tidak Ada")</f>
        <v>Tidak Ada</v>
      </c>
      <c r="W1283" s="4"/>
      <c r="X1283" s="4"/>
      <c r="Y1283" s="4"/>
      <c r="Z1283" s="4"/>
      <c r="AA1283" s="4"/>
      <c r="AB1283" s="4"/>
      <c r="AC1283" s="4" t="str">
        <f>IFERROR(__xludf.DUMMYFUNCTION("""COMPUTED_VALUE"""),"INSPEKSI SUTM - T2_Images/bb8e186c.FOTO.021503.jpg")</f>
        <v>INSPEKSI SUTM - T2_Images/bb8e186c.FOTO.021503.jpg</v>
      </c>
      <c r="AD1283" s="4"/>
      <c r="AE1283" s="4"/>
      <c r="AF1283" s="4" t="str">
        <f>IFERROR(__xludf.DUMMYFUNCTION("""COMPUTED_VALUE"""),"BELUM")</f>
        <v>BELUM</v>
      </c>
      <c r="AG1283" s="6">
        <f>IFERROR(__xludf.DUMMYFUNCTION("""COMPUTED_VALUE"""),46140.0)</f>
        <v>46140</v>
      </c>
      <c r="AH1283" s="4"/>
      <c r="AI1283" s="4"/>
    </row>
    <row r="1284" ht="15.75" customHeight="1">
      <c r="A1284" s="4" t="str">
        <f>IFERROR(__xludf.DUMMYFUNCTION("""COMPUTED_VALUE"""),"5411f3fd")</f>
        <v>5411f3fd</v>
      </c>
      <c r="B1284" s="5">
        <f>IFERROR(__xludf.DUMMYFUNCTION("""COMPUTED_VALUE"""),46140.93375)</f>
        <v>46140.93375</v>
      </c>
      <c r="C1284" s="4" t="str">
        <f>IFERROR(__xludf.DUMMYFUNCTION("""COMPUTED_VALUE"""),"-6.913411, 107.694983")</f>
        <v>-6.913411, 107.694983</v>
      </c>
      <c r="D1284" s="4" t="str">
        <f>IFERROR(__xludf.DUMMYFUNCTION("""COMPUTED_VALUE"""),"CNdra heri")</f>
        <v>CNdra heri</v>
      </c>
      <c r="E1284" s="4" t="str">
        <f>IFERROR(__xludf.DUMMYFUNCTION("""COMPUTED_VALUE"""),"BANDUNG")</f>
        <v>BANDUNG</v>
      </c>
      <c r="F1284" s="4" t="str">
        <f>IFERROR(__xludf.DUMMYFUNCTION("""COMPUTED_VALUE"""),"UJUNGBERUNG")</f>
        <v>UJUNGBERUNG</v>
      </c>
      <c r="G1284" s="4" t="str">
        <f>IFERROR(__xludf.DUMMYFUNCTION("""COMPUTED_VALUE"""),"GI BANDUNG TIMUR")</f>
        <v>GI BANDUNG TIMUR</v>
      </c>
      <c r="H1284" s="4" t="str">
        <f>IFERROR(__xludf.DUMMYFUNCTION("""COMPUTED_VALUE"""),"TZB")</f>
        <v>TZB</v>
      </c>
      <c r="I1284" s="4" t="str">
        <f>IFERROR(__xludf.DUMMYFUNCTION("""COMPUTED_VALUE"""),"GH BNA - RPPB")</f>
        <v>GH BNA - RPPB</v>
      </c>
      <c r="J1284" s="4" t="str">
        <f>IFERROR(__xludf.DUMMYFUNCTION("""COMPUTED_VALUE"""),"ZONA 2")</f>
        <v>ZONA 2</v>
      </c>
      <c r="K1284" s="4" t="str">
        <f>IFERROR(__xludf.DUMMYFUNCTION("""COMPUTED_VALUE"""),"024R018R05")</f>
        <v>024R018R05</v>
      </c>
      <c r="L1284" s="4" t="str">
        <f>IFERROR(__xludf.DUMMYFUNCTION("""COMPUTED_VALUE"""),"TM - 8B/H (Percabangan)")</f>
        <v>TM - 8B/H (Percabangan)</v>
      </c>
      <c r="M1284" s="4" t="str">
        <f>IFERROR(__xludf.DUMMYFUNCTION("""COMPUTED_VALUE"""),"Tidak Ada")</f>
        <v>Tidak Ada</v>
      </c>
      <c r="N1284" s="4"/>
      <c r="O1284" s="4" t="str">
        <f>IFERROR(__xludf.DUMMYFUNCTION("""COMPUTED_VALUE"""),"PEMBANDING SEJENIS")</f>
        <v>PEMBANDING SEJENIS</v>
      </c>
      <c r="P1284" s="4" t="str">
        <f>IFERROR(__xludf.DUMMYFUNCTION("""COMPUTED_VALUE"""),"KONEKTOR/JUMPER")</f>
        <v>KONEKTOR/JUMPER</v>
      </c>
      <c r="Q1284" s="4">
        <f>IFERROR(__xludf.DUMMYFUNCTION("""COMPUTED_VALUE"""),23.0)</f>
        <v>23</v>
      </c>
      <c r="R1284" s="4">
        <f>IFERROR(__xludf.DUMMYFUNCTION("""COMPUTED_VALUE"""),23.0)</f>
        <v>23</v>
      </c>
      <c r="S1284" s="4">
        <f>IFERROR(__xludf.DUMMYFUNCTION("""COMPUTED_VALUE"""),23.0)</f>
        <v>23</v>
      </c>
      <c r="T1284" s="4"/>
      <c r="U1284" s="4" t="str">
        <f>IFERROR(__xludf.DUMMYFUNCTION("""COMPUTED_VALUE"""),"BAIK")</f>
        <v>BAIK</v>
      </c>
      <c r="V1284" s="4" t="str">
        <f>IFERROR(__xludf.DUMMYFUNCTION("""COMPUTED_VALUE"""),"Tidak Ada")</f>
        <v>Tidak Ada</v>
      </c>
      <c r="W1284" s="4"/>
      <c r="X1284" s="4"/>
      <c r="Y1284" s="4"/>
      <c r="Z1284" s="4"/>
      <c r="AA1284" s="4"/>
      <c r="AB1284" s="4"/>
      <c r="AC1284" s="4" t="str">
        <f>IFERROR(__xludf.DUMMYFUNCTION("""COMPUTED_VALUE"""),"INSPEKSI SUTM - T2_Images/5411f3fd.FOTO.021511.jpg")</f>
        <v>INSPEKSI SUTM - T2_Images/5411f3fd.FOTO.021511.jpg</v>
      </c>
      <c r="AD1284" s="4"/>
      <c r="AE1284" s="4"/>
      <c r="AF1284" s="4" t="str">
        <f>IFERROR(__xludf.DUMMYFUNCTION("""COMPUTED_VALUE"""),"BELUM")</f>
        <v>BELUM</v>
      </c>
      <c r="AG1284" s="6">
        <f>IFERROR(__xludf.DUMMYFUNCTION("""COMPUTED_VALUE"""),46140.0)</f>
        <v>46140</v>
      </c>
      <c r="AH1284" s="4"/>
      <c r="AI1284" s="4"/>
    </row>
    <row r="1285" ht="15.75" customHeight="1">
      <c r="A1285" s="4" t="str">
        <f>IFERROR(__xludf.DUMMYFUNCTION("""COMPUTED_VALUE"""),"8dda58ea")</f>
        <v>8dda58ea</v>
      </c>
      <c r="B1285" s="5">
        <f>IFERROR(__xludf.DUMMYFUNCTION("""COMPUTED_VALUE"""),46139.87168981481)</f>
        <v>46139.87169</v>
      </c>
      <c r="C1285" s="4" t="str">
        <f>IFERROR(__xludf.DUMMYFUNCTION("""COMPUTED_VALUE"""),"-6.899242, 107.641330")</f>
        <v>-6.899242, 107.641330</v>
      </c>
      <c r="D1285" s="4" t="str">
        <f>IFERROR(__xludf.DUMMYFUNCTION("""COMPUTED_VALUE"""),"Sandi angga")</f>
        <v>Sandi angga</v>
      </c>
      <c r="E1285" s="4" t="str">
        <f>IFERROR(__xludf.DUMMYFUNCTION("""COMPUTED_VALUE"""),"BANDUNG")</f>
        <v>BANDUNG</v>
      </c>
      <c r="F1285" s="4" t="str">
        <f>IFERROR(__xludf.DUMMYFUNCTION("""COMPUTED_VALUE"""),"BANDUNG TIMUR")</f>
        <v>BANDUNG TIMUR</v>
      </c>
      <c r="G1285" s="4" t="str">
        <f>IFERROR(__xludf.DUMMYFUNCTION("""COMPUTED_VALUE"""),"DAGO PAKAR")</f>
        <v>DAGO PAKAR</v>
      </c>
      <c r="H1285" s="4" t="str">
        <f>IFERROR(__xludf.DUMMYFUNCTION("""COMPUTED_VALUE"""),"DSNM")</f>
        <v>DSNM</v>
      </c>
      <c r="I1285" s="4" t="str">
        <f>IFERROR(__xludf.DUMMYFUNCTION("""COMPUTED_VALUE"""),"PGH-PGMP")</f>
        <v>PGH-PGMP</v>
      </c>
      <c r="J1285" s="4" t="str">
        <f>IFERROR(__xludf.DUMMYFUNCTION("""COMPUTED_VALUE"""),"ZONA 2")</f>
        <v>ZONA 2</v>
      </c>
      <c r="K1285" s="4" t="str">
        <f>IFERROR(__xludf.DUMMYFUNCTION("""COMPUTED_VALUE"""),"001R33")</f>
        <v>001R33</v>
      </c>
      <c r="L1285" s="4" t="str">
        <f>IFERROR(__xludf.DUMMYFUNCTION("""COMPUTED_VALUE"""),"TM - 7B/H (Afspan 90 Derajat)")</f>
        <v>TM - 7B/H (Afspan 90 Derajat)</v>
      </c>
      <c r="M1285" s="4" t="str">
        <f>IFERROR(__xludf.DUMMYFUNCTION("""COMPUTED_VALUE"""),"Tidak Ada")</f>
        <v>Tidak Ada</v>
      </c>
      <c r="N1285" s="4"/>
      <c r="O1285" s="4" t="str">
        <f>IFERROR(__xludf.DUMMYFUNCTION("""COMPUTED_VALUE"""),"PEMBANDING SEJENIS")</f>
        <v>PEMBANDING SEJENIS</v>
      </c>
      <c r="P1285" s="4" t="str">
        <f>IFERROR(__xludf.DUMMYFUNCTION("""COMPUTED_VALUE"""),"KONEKTOR/JUMPER")</f>
        <v>KONEKTOR/JUMPER</v>
      </c>
      <c r="Q1285" s="4">
        <f>IFERROR(__xludf.DUMMYFUNCTION("""COMPUTED_VALUE"""),21.0)</f>
        <v>21</v>
      </c>
      <c r="R1285" s="4">
        <f>IFERROR(__xludf.DUMMYFUNCTION("""COMPUTED_VALUE"""),21.0)</f>
        <v>21</v>
      </c>
      <c r="S1285" s="4">
        <f>IFERROR(__xludf.DUMMYFUNCTION("""COMPUTED_VALUE"""),21.0)</f>
        <v>21</v>
      </c>
      <c r="T1285" s="4"/>
      <c r="U1285" s="4" t="str">
        <f>IFERROR(__xludf.DUMMYFUNCTION("""COMPUTED_VALUE"""),"BAIK")</f>
        <v>BAIK</v>
      </c>
      <c r="V1285" s="4" t="str">
        <f>IFERROR(__xludf.DUMMYFUNCTION("""COMPUTED_VALUE"""),"Tidak Ada")</f>
        <v>Tidak Ada</v>
      </c>
      <c r="W1285" s="4"/>
      <c r="X1285" s="4"/>
      <c r="Y1285" s="4"/>
      <c r="Z1285" s="4"/>
      <c r="AA1285" s="4"/>
      <c r="AB1285" s="4"/>
      <c r="AC1285" s="4" t="str">
        <f>IFERROR(__xludf.DUMMYFUNCTION("""COMPUTED_VALUE"""),"INSPEKSI SUTM - T2_Images/8dda58ea.FOTO.055009.jpg")</f>
        <v>INSPEKSI SUTM - T2_Images/8dda58ea.FOTO.055009.jpg</v>
      </c>
      <c r="AD1285" s="4"/>
      <c r="AE1285" s="4"/>
      <c r="AF1285" s="4" t="str">
        <f>IFERROR(__xludf.DUMMYFUNCTION("""COMPUTED_VALUE"""),"BELUM")</f>
        <v>BELUM</v>
      </c>
      <c r="AG1285" s="6">
        <f>IFERROR(__xludf.DUMMYFUNCTION("""COMPUTED_VALUE"""),46139.0)</f>
        <v>46139</v>
      </c>
      <c r="AH1285" s="4"/>
      <c r="AI1285" s="4"/>
    </row>
    <row r="1286" ht="15.75" customHeight="1">
      <c r="A1286" s="4" t="str">
        <f>IFERROR(__xludf.DUMMYFUNCTION("""COMPUTED_VALUE"""),"e6a6e8ef")</f>
        <v>e6a6e8ef</v>
      </c>
      <c r="B1286" s="5">
        <f>IFERROR(__xludf.DUMMYFUNCTION("""COMPUTED_VALUE"""),46139.87248842593)</f>
        <v>46139.87249</v>
      </c>
      <c r="C1286" s="4" t="str">
        <f>IFERROR(__xludf.DUMMYFUNCTION("""COMPUTED_VALUE"""),"-6.899255, 107.641332")</f>
        <v>-6.899255, 107.641332</v>
      </c>
      <c r="D1286" s="4" t="str">
        <f>IFERROR(__xludf.DUMMYFUNCTION("""COMPUTED_VALUE"""),"Sandi angga")</f>
        <v>Sandi angga</v>
      </c>
      <c r="E1286" s="4" t="str">
        <f>IFERROR(__xludf.DUMMYFUNCTION("""COMPUTED_VALUE"""),"BANDUNG")</f>
        <v>BANDUNG</v>
      </c>
      <c r="F1286" s="4" t="str">
        <f>IFERROR(__xludf.DUMMYFUNCTION("""COMPUTED_VALUE"""),"BANDUNG TIMUR")</f>
        <v>BANDUNG TIMUR</v>
      </c>
      <c r="G1286" s="4" t="str">
        <f>IFERROR(__xludf.DUMMYFUNCTION("""COMPUTED_VALUE"""),"DAGO PAKAR")</f>
        <v>DAGO PAKAR</v>
      </c>
      <c r="H1286" s="4" t="str">
        <f>IFERROR(__xludf.DUMMYFUNCTION("""COMPUTED_VALUE"""),"DSNM")</f>
        <v>DSNM</v>
      </c>
      <c r="I1286" s="4" t="str">
        <f>IFERROR(__xludf.DUMMYFUNCTION("""COMPUTED_VALUE"""),"PGH-PGMP")</f>
        <v>PGH-PGMP</v>
      </c>
      <c r="J1286" s="4" t="str">
        <f>IFERROR(__xludf.DUMMYFUNCTION("""COMPUTED_VALUE"""),"ZONA 2")</f>
        <v>ZONA 2</v>
      </c>
      <c r="K1286" s="4" t="str">
        <f>IFERROR(__xludf.DUMMYFUNCTION("""COMPUTED_VALUE"""),"001R34")</f>
        <v>001R34</v>
      </c>
      <c r="L1286" s="4" t="str">
        <f>IFERROR(__xludf.DUMMYFUNCTION("""COMPUTED_VALUE"""),"TM - 7B/H (Afspan 90 Derajat)")</f>
        <v>TM - 7B/H (Afspan 90 Derajat)</v>
      </c>
      <c r="M1286" s="4" t="str">
        <f>IFERROR(__xludf.DUMMYFUNCTION("""COMPUTED_VALUE"""),"Tidak Ada")</f>
        <v>Tidak Ada</v>
      </c>
      <c r="N1286" s="4"/>
      <c r="O1286" s="4" t="str">
        <f>IFERROR(__xludf.DUMMYFUNCTION("""COMPUTED_VALUE"""),"PEMBANDING SEJENIS")</f>
        <v>PEMBANDING SEJENIS</v>
      </c>
      <c r="P1286" s="4" t="str">
        <f>IFERROR(__xludf.DUMMYFUNCTION("""COMPUTED_VALUE"""),"KONEKTOR/JUMPER")</f>
        <v>KONEKTOR/JUMPER</v>
      </c>
      <c r="Q1286" s="4">
        <f>IFERROR(__xludf.DUMMYFUNCTION("""COMPUTED_VALUE"""),22.0)</f>
        <v>22</v>
      </c>
      <c r="R1286" s="4">
        <f>IFERROR(__xludf.DUMMYFUNCTION("""COMPUTED_VALUE"""),21.0)</f>
        <v>21</v>
      </c>
      <c r="S1286" s="4">
        <f>IFERROR(__xludf.DUMMYFUNCTION("""COMPUTED_VALUE"""),22.0)</f>
        <v>22</v>
      </c>
      <c r="T1286" s="4"/>
      <c r="U1286" s="4" t="str">
        <f>IFERROR(__xludf.DUMMYFUNCTION("""COMPUTED_VALUE"""),"BAIK")</f>
        <v>BAIK</v>
      </c>
      <c r="V1286" s="4" t="str">
        <f>IFERROR(__xludf.DUMMYFUNCTION("""COMPUTED_VALUE"""),"Tidak Ada")</f>
        <v>Tidak Ada</v>
      </c>
      <c r="W1286" s="4"/>
      <c r="X1286" s="4"/>
      <c r="Y1286" s="4"/>
      <c r="Z1286" s="4"/>
      <c r="AA1286" s="4"/>
      <c r="AB1286" s="4"/>
      <c r="AC1286" s="4" t="str">
        <f>IFERROR(__xludf.DUMMYFUNCTION("""COMPUTED_VALUE"""),"INSPEKSI SUTM - T2_Images/e6a6e8ef.FOTO.055014.jpg")</f>
        <v>INSPEKSI SUTM - T2_Images/e6a6e8ef.FOTO.055014.jpg</v>
      </c>
      <c r="AD1286" s="4"/>
      <c r="AE1286" s="4"/>
      <c r="AF1286" s="4" t="str">
        <f>IFERROR(__xludf.DUMMYFUNCTION("""COMPUTED_VALUE"""),"BELUM")</f>
        <v>BELUM</v>
      </c>
      <c r="AG1286" s="6">
        <f>IFERROR(__xludf.DUMMYFUNCTION("""COMPUTED_VALUE"""),46139.0)</f>
        <v>46139</v>
      </c>
      <c r="AH1286" s="4"/>
      <c r="AI1286" s="4"/>
    </row>
    <row r="1287" ht="15.75" customHeight="1">
      <c r="A1287" s="4" t="str">
        <f>IFERROR(__xludf.DUMMYFUNCTION("""COMPUTED_VALUE"""),"91282a0a")</f>
        <v>91282a0a</v>
      </c>
      <c r="B1287" s="5">
        <f>IFERROR(__xludf.DUMMYFUNCTION("""COMPUTED_VALUE"""),46139.873090277775)</f>
        <v>46139.87309</v>
      </c>
      <c r="C1287" s="4" t="str">
        <f>IFERROR(__xludf.DUMMYFUNCTION("""COMPUTED_VALUE"""),"-6.899249, 107.641340")</f>
        <v>-6.899249, 107.641340</v>
      </c>
      <c r="D1287" s="4" t="str">
        <f>IFERROR(__xludf.DUMMYFUNCTION("""COMPUTED_VALUE"""),"Sandi angga")</f>
        <v>Sandi angga</v>
      </c>
      <c r="E1287" s="4" t="str">
        <f>IFERROR(__xludf.DUMMYFUNCTION("""COMPUTED_VALUE"""),"BANDUNG")</f>
        <v>BANDUNG</v>
      </c>
      <c r="F1287" s="4" t="str">
        <f>IFERROR(__xludf.DUMMYFUNCTION("""COMPUTED_VALUE"""),"BANDUNG TIMUR")</f>
        <v>BANDUNG TIMUR</v>
      </c>
      <c r="G1287" s="4" t="str">
        <f>IFERROR(__xludf.DUMMYFUNCTION("""COMPUTED_VALUE"""),"DAGO PAKAR")</f>
        <v>DAGO PAKAR</v>
      </c>
      <c r="H1287" s="4" t="str">
        <f>IFERROR(__xludf.DUMMYFUNCTION("""COMPUTED_VALUE"""),"DSNM")</f>
        <v>DSNM</v>
      </c>
      <c r="I1287" s="4" t="str">
        <f>IFERROR(__xludf.DUMMYFUNCTION("""COMPUTED_VALUE"""),"PGH-PGMP")</f>
        <v>PGH-PGMP</v>
      </c>
      <c r="J1287" s="4" t="str">
        <f>IFERROR(__xludf.DUMMYFUNCTION("""COMPUTED_VALUE"""),"ZONA 2")</f>
        <v>ZONA 2</v>
      </c>
      <c r="K1287" s="4" t="str">
        <f>IFERROR(__xludf.DUMMYFUNCTION("""COMPUTED_VALUE"""),"001R35")</f>
        <v>001R35</v>
      </c>
      <c r="L1287" s="4" t="str">
        <f>IFERROR(__xludf.DUMMYFUNCTION("""COMPUTED_VALUE"""),"TM - 8B/H (Percabangan)")</f>
        <v>TM - 8B/H (Percabangan)</v>
      </c>
      <c r="M1287" s="4" t="str">
        <f>IFERROR(__xludf.DUMMYFUNCTION("""COMPUTED_VALUE"""),"Tidak Ada")</f>
        <v>Tidak Ada</v>
      </c>
      <c r="N1287" s="4"/>
      <c r="O1287" s="4" t="str">
        <f>IFERROR(__xludf.DUMMYFUNCTION("""COMPUTED_VALUE"""),"PEMBANDING SEJENIS")</f>
        <v>PEMBANDING SEJENIS</v>
      </c>
      <c r="P1287" s="4" t="str">
        <f>IFERROR(__xludf.DUMMYFUNCTION("""COMPUTED_VALUE"""),"KONEKTOR/JUMPER")</f>
        <v>KONEKTOR/JUMPER</v>
      </c>
      <c r="Q1287" s="4">
        <f>IFERROR(__xludf.DUMMYFUNCTION("""COMPUTED_VALUE"""),21.0)</f>
        <v>21</v>
      </c>
      <c r="R1287" s="4">
        <f>IFERROR(__xludf.DUMMYFUNCTION("""COMPUTED_VALUE"""),21.0)</f>
        <v>21</v>
      </c>
      <c r="S1287" s="4">
        <f>IFERROR(__xludf.DUMMYFUNCTION("""COMPUTED_VALUE"""),21.0)</f>
        <v>21</v>
      </c>
      <c r="T1287" s="4"/>
      <c r="U1287" s="4" t="str">
        <f>IFERROR(__xludf.DUMMYFUNCTION("""COMPUTED_VALUE"""),"BAIK")</f>
        <v>BAIK</v>
      </c>
      <c r="V1287" s="4" t="str">
        <f>IFERROR(__xludf.DUMMYFUNCTION("""COMPUTED_VALUE"""),"Tidak Ada")</f>
        <v>Tidak Ada</v>
      </c>
      <c r="W1287" s="4"/>
      <c r="X1287" s="4"/>
      <c r="Y1287" s="4"/>
      <c r="Z1287" s="4"/>
      <c r="AA1287" s="4"/>
      <c r="AB1287" s="4"/>
      <c r="AC1287" s="4" t="str">
        <f>IFERROR(__xludf.DUMMYFUNCTION("""COMPUTED_VALUE"""),"INSPEKSI SUTM - T2_Images/91282a0a.FOTO.055017.jpg")</f>
        <v>INSPEKSI SUTM - T2_Images/91282a0a.FOTO.055017.jpg</v>
      </c>
      <c r="AD1287" s="4"/>
      <c r="AE1287" s="4"/>
      <c r="AF1287" s="4" t="str">
        <f>IFERROR(__xludf.DUMMYFUNCTION("""COMPUTED_VALUE"""),"BELUM")</f>
        <v>BELUM</v>
      </c>
      <c r="AG1287" s="6">
        <f>IFERROR(__xludf.DUMMYFUNCTION("""COMPUTED_VALUE"""),46139.0)</f>
        <v>46139</v>
      </c>
      <c r="AH1287" s="4"/>
      <c r="AI1287" s="4"/>
    </row>
    <row r="1288" ht="15.75" customHeight="1">
      <c r="A1288" s="4" t="str">
        <f>IFERROR(__xludf.DUMMYFUNCTION("""COMPUTED_VALUE"""),"858e66d0")</f>
        <v>858e66d0</v>
      </c>
      <c r="B1288" s="5">
        <f>IFERROR(__xludf.DUMMYFUNCTION("""COMPUTED_VALUE"""),46139.87385416667)</f>
        <v>46139.87385</v>
      </c>
      <c r="C1288" s="4" t="str">
        <f>IFERROR(__xludf.DUMMYFUNCTION("""COMPUTED_VALUE"""),"-6.899253, 107.641342")</f>
        <v>-6.899253, 107.641342</v>
      </c>
      <c r="D1288" s="4" t="str">
        <f>IFERROR(__xludf.DUMMYFUNCTION("""COMPUTED_VALUE"""),"Sandi angga")</f>
        <v>Sandi angga</v>
      </c>
      <c r="E1288" s="4" t="str">
        <f>IFERROR(__xludf.DUMMYFUNCTION("""COMPUTED_VALUE"""),"BANDUNG")</f>
        <v>BANDUNG</v>
      </c>
      <c r="F1288" s="4" t="str">
        <f>IFERROR(__xludf.DUMMYFUNCTION("""COMPUTED_VALUE"""),"BANDUNG TIMUR")</f>
        <v>BANDUNG TIMUR</v>
      </c>
      <c r="G1288" s="4" t="str">
        <f>IFERROR(__xludf.DUMMYFUNCTION("""COMPUTED_VALUE"""),"DAGO PAKAR")</f>
        <v>DAGO PAKAR</v>
      </c>
      <c r="H1288" s="4" t="str">
        <f>IFERROR(__xludf.DUMMYFUNCTION("""COMPUTED_VALUE"""),"DSNM")</f>
        <v>DSNM</v>
      </c>
      <c r="I1288" s="4" t="str">
        <f>IFERROR(__xludf.DUMMYFUNCTION("""COMPUTED_VALUE"""),"PGH-PGMP")</f>
        <v>PGH-PGMP</v>
      </c>
      <c r="J1288" s="4" t="str">
        <f>IFERROR(__xludf.DUMMYFUNCTION("""COMPUTED_VALUE"""),"ZONA 2")</f>
        <v>ZONA 2</v>
      </c>
      <c r="K1288" s="4" t="str">
        <f>IFERROR(__xludf.DUMMYFUNCTION("""COMPUTED_VALUE"""),"001R35L06")</f>
        <v>001R35L06</v>
      </c>
      <c r="L1288" s="4" t="str">
        <f>IFERROR(__xludf.DUMMYFUNCTION("""COMPUTED_VALUE"""),"TM - 7B/H (Afspan 90 Derajat)")</f>
        <v>TM - 7B/H (Afspan 90 Derajat)</v>
      </c>
      <c r="M1288" s="4" t="str">
        <f>IFERROR(__xludf.DUMMYFUNCTION("""COMPUTED_VALUE"""),"Tidak Ada")</f>
        <v>Tidak Ada</v>
      </c>
      <c r="N1288" s="4"/>
      <c r="O1288" s="4" t="str">
        <f>IFERROR(__xludf.DUMMYFUNCTION("""COMPUTED_VALUE"""),"PEMBANDING SEJENIS")</f>
        <v>PEMBANDING SEJENIS</v>
      </c>
      <c r="P1288" s="4" t="str">
        <f>IFERROR(__xludf.DUMMYFUNCTION("""COMPUTED_VALUE"""),"KONEKTOR/JUMPER")</f>
        <v>KONEKTOR/JUMPER</v>
      </c>
      <c r="Q1288" s="4">
        <f>IFERROR(__xludf.DUMMYFUNCTION("""COMPUTED_VALUE"""),21.0)</f>
        <v>21</v>
      </c>
      <c r="R1288" s="4">
        <f>IFERROR(__xludf.DUMMYFUNCTION("""COMPUTED_VALUE"""),21.0)</f>
        <v>21</v>
      </c>
      <c r="S1288" s="4">
        <f>IFERROR(__xludf.DUMMYFUNCTION("""COMPUTED_VALUE"""),21.0)</f>
        <v>21</v>
      </c>
      <c r="T1288" s="4"/>
      <c r="U1288" s="4" t="str">
        <f>IFERROR(__xludf.DUMMYFUNCTION("""COMPUTED_VALUE"""),"BAIK")</f>
        <v>BAIK</v>
      </c>
      <c r="V1288" s="4" t="str">
        <f>IFERROR(__xludf.DUMMYFUNCTION("""COMPUTED_VALUE"""),"Tidak Ada")</f>
        <v>Tidak Ada</v>
      </c>
      <c r="W1288" s="4"/>
      <c r="X1288" s="4"/>
      <c r="Y1288" s="4"/>
      <c r="Z1288" s="4"/>
      <c r="AA1288" s="4"/>
      <c r="AB1288" s="4"/>
      <c r="AC1288" s="4" t="str">
        <f>IFERROR(__xludf.DUMMYFUNCTION("""COMPUTED_VALUE"""),"INSPEKSI SUTM - T2_Images/858e66d0.FOTO.055020.jpg")</f>
        <v>INSPEKSI SUTM - T2_Images/858e66d0.FOTO.055020.jpg</v>
      </c>
      <c r="AD1288" s="4"/>
      <c r="AE1288" s="4"/>
      <c r="AF1288" s="4" t="str">
        <f>IFERROR(__xludf.DUMMYFUNCTION("""COMPUTED_VALUE"""),"BELUM")</f>
        <v>BELUM</v>
      </c>
      <c r="AG1288" s="6">
        <f>IFERROR(__xludf.DUMMYFUNCTION("""COMPUTED_VALUE"""),46139.0)</f>
        <v>46139</v>
      </c>
      <c r="AH1288" s="4"/>
      <c r="AI1288" s="4"/>
    </row>
    <row r="1289" ht="15.75" customHeight="1">
      <c r="A1289" s="4" t="str">
        <f>IFERROR(__xludf.DUMMYFUNCTION("""COMPUTED_VALUE"""),"d49c27ee")</f>
        <v>d49c27ee</v>
      </c>
      <c r="B1289" s="5">
        <f>IFERROR(__xludf.DUMMYFUNCTION("""COMPUTED_VALUE"""),46139.874398148146)</f>
        <v>46139.8744</v>
      </c>
      <c r="C1289" s="4" t="str">
        <f>IFERROR(__xludf.DUMMYFUNCTION("""COMPUTED_VALUE"""),"-6.899252, 107.641333")</f>
        <v>-6.899252, 107.641333</v>
      </c>
      <c r="D1289" s="4" t="str">
        <f>IFERROR(__xludf.DUMMYFUNCTION("""COMPUTED_VALUE"""),"Sandi angga")</f>
        <v>Sandi angga</v>
      </c>
      <c r="E1289" s="4" t="str">
        <f>IFERROR(__xludf.DUMMYFUNCTION("""COMPUTED_VALUE"""),"BANDUNG")</f>
        <v>BANDUNG</v>
      </c>
      <c r="F1289" s="4" t="str">
        <f>IFERROR(__xludf.DUMMYFUNCTION("""COMPUTED_VALUE"""),"BANDUNG TIMUR")</f>
        <v>BANDUNG TIMUR</v>
      </c>
      <c r="G1289" s="4" t="str">
        <f>IFERROR(__xludf.DUMMYFUNCTION("""COMPUTED_VALUE"""),"DAGO PAKAR")</f>
        <v>DAGO PAKAR</v>
      </c>
      <c r="H1289" s="4" t="str">
        <f>IFERROR(__xludf.DUMMYFUNCTION("""COMPUTED_VALUE"""),"DSNM")</f>
        <v>DSNM</v>
      </c>
      <c r="I1289" s="4" t="str">
        <f>IFERROR(__xludf.DUMMYFUNCTION("""COMPUTED_VALUE"""),"PGH-PGMP")</f>
        <v>PGH-PGMP</v>
      </c>
      <c r="J1289" s="4" t="str">
        <f>IFERROR(__xludf.DUMMYFUNCTION("""COMPUTED_VALUE"""),"ZONA 2")</f>
        <v>ZONA 2</v>
      </c>
      <c r="K1289" s="4" t="str">
        <f>IFERROR(__xludf.DUMMYFUNCTION("""COMPUTED_VALUE"""),"001R35L13")</f>
        <v>001R35L13</v>
      </c>
      <c r="L1289" s="4" t="str">
        <f>IFERROR(__xludf.DUMMYFUNCTION("""COMPUTED_VALUE"""),"TM - 14B/H (Akhir)")</f>
        <v>TM - 14B/H (Akhir)</v>
      </c>
      <c r="M1289" s="4" t="str">
        <f>IFERROR(__xludf.DUMMYFUNCTION("""COMPUTED_VALUE"""),"Tidak Ada")</f>
        <v>Tidak Ada</v>
      </c>
      <c r="N1289" s="4"/>
      <c r="O1289" s="4" t="str">
        <f>IFERROR(__xludf.DUMMYFUNCTION("""COMPUTED_VALUE"""),"PEMBANDING SEJENIS")</f>
        <v>PEMBANDING SEJENIS</v>
      </c>
      <c r="P1289" s="4" t="str">
        <f>IFERROR(__xludf.DUMMYFUNCTION("""COMPUTED_VALUE"""),"KONEKTOR/JUMPER")</f>
        <v>KONEKTOR/JUMPER</v>
      </c>
      <c r="Q1289" s="4">
        <f>IFERROR(__xludf.DUMMYFUNCTION("""COMPUTED_VALUE"""),22.0)</f>
        <v>22</v>
      </c>
      <c r="R1289" s="4">
        <f>IFERROR(__xludf.DUMMYFUNCTION("""COMPUTED_VALUE"""),21.0)</f>
        <v>21</v>
      </c>
      <c r="S1289" s="4">
        <f>IFERROR(__xludf.DUMMYFUNCTION("""COMPUTED_VALUE"""),22.0)</f>
        <v>22</v>
      </c>
      <c r="T1289" s="4"/>
      <c r="U1289" s="4" t="str">
        <f>IFERROR(__xludf.DUMMYFUNCTION("""COMPUTED_VALUE"""),"BAIK")</f>
        <v>BAIK</v>
      </c>
      <c r="V1289" s="4" t="str">
        <f>IFERROR(__xludf.DUMMYFUNCTION("""COMPUTED_VALUE"""),"Tidak Ada")</f>
        <v>Tidak Ada</v>
      </c>
      <c r="W1289" s="4"/>
      <c r="X1289" s="4"/>
      <c r="Y1289" s="4"/>
      <c r="Z1289" s="4"/>
      <c r="AA1289" s="4"/>
      <c r="AB1289" s="4"/>
      <c r="AC1289" s="4" t="str">
        <f>IFERROR(__xludf.DUMMYFUNCTION("""COMPUTED_VALUE"""),"INSPEKSI SUTM - T2_Images/d49c27ee.FOTO.055023.jpg")</f>
        <v>INSPEKSI SUTM - T2_Images/d49c27ee.FOTO.055023.jpg</v>
      </c>
      <c r="AD1289" s="4"/>
      <c r="AE1289" s="4"/>
      <c r="AF1289" s="4" t="str">
        <f>IFERROR(__xludf.DUMMYFUNCTION("""COMPUTED_VALUE"""),"BELUM")</f>
        <v>BELUM</v>
      </c>
      <c r="AG1289" s="6">
        <f>IFERROR(__xludf.DUMMYFUNCTION("""COMPUTED_VALUE"""),46139.0)</f>
        <v>46139</v>
      </c>
      <c r="AH1289" s="4"/>
      <c r="AI1289" s="4"/>
    </row>
    <row r="1290" ht="15.75" customHeight="1">
      <c r="A1290" s="4" t="str">
        <f>IFERROR(__xludf.DUMMYFUNCTION("""COMPUTED_VALUE"""),"e48b6265")</f>
        <v>e48b6265</v>
      </c>
      <c r="B1290" s="5">
        <f>IFERROR(__xludf.DUMMYFUNCTION("""COMPUTED_VALUE"""),46139.875081018516)</f>
        <v>46139.87508</v>
      </c>
      <c r="C1290" s="4" t="str">
        <f>IFERROR(__xludf.DUMMYFUNCTION("""COMPUTED_VALUE"""),"-6.899232, 107.641341")</f>
        <v>-6.899232, 107.641341</v>
      </c>
      <c r="D1290" s="4" t="str">
        <f>IFERROR(__xludf.DUMMYFUNCTION("""COMPUTED_VALUE"""),"Sandi angga")</f>
        <v>Sandi angga</v>
      </c>
      <c r="E1290" s="4" t="str">
        <f>IFERROR(__xludf.DUMMYFUNCTION("""COMPUTED_VALUE"""),"BANDUNG")</f>
        <v>BANDUNG</v>
      </c>
      <c r="F1290" s="4" t="str">
        <f>IFERROR(__xludf.DUMMYFUNCTION("""COMPUTED_VALUE"""),"BANDUNG TIMUR")</f>
        <v>BANDUNG TIMUR</v>
      </c>
      <c r="G1290" s="4" t="str">
        <f>IFERROR(__xludf.DUMMYFUNCTION("""COMPUTED_VALUE"""),"DAGO PAKAR")</f>
        <v>DAGO PAKAR</v>
      </c>
      <c r="H1290" s="4" t="str">
        <f>IFERROR(__xludf.DUMMYFUNCTION("""COMPUTED_VALUE"""),"DSNM")</f>
        <v>DSNM</v>
      </c>
      <c r="I1290" s="4" t="str">
        <f>IFERROR(__xludf.DUMMYFUNCTION("""COMPUTED_VALUE"""),"PGH-PGMP")</f>
        <v>PGH-PGMP</v>
      </c>
      <c r="J1290" s="4" t="str">
        <f>IFERROR(__xludf.DUMMYFUNCTION("""COMPUTED_VALUE"""),"ZONA 2")</f>
        <v>ZONA 2</v>
      </c>
      <c r="K1290" s="4" t="str">
        <f>IFERROR(__xludf.DUMMYFUNCTION("""COMPUTED_VALUE"""),"001R42")</f>
        <v>001R42</v>
      </c>
      <c r="L1290" s="4" t="str">
        <f>IFERROR(__xludf.DUMMYFUNCTION("""COMPUTED_VALUE"""),"TM - 14B/H (Akhir)")</f>
        <v>TM - 14B/H (Akhir)</v>
      </c>
      <c r="M1290" s="4" t="str">
        <f>IFERROR(__xludf.DUMMYFUNCTION("""COMPUTED_VALUE"""),"Tidak Ada")</f>
        <v>Tidak Ada</v>
      </c>
      <c r="N1290" s="4"/>
      <c r="O1290" s="4" t="str">
        <f>IFERROR(__xludf.DUMMYFUNCTION("""COMPUTED_VALUE"""),"PEMBANDING SEJENIS")</f>
        <v>PEMBANDING SEJENIS</v>
      </c>
      <c r="P1290" s="4" t="str">
        <f>IFERROR(__xludf.DUMMYFUNCTION("""COMPUTED_VALUE"""),"TERMINASI")</f>
        <v>TERMINASI</v>
      </c>
      <c r="Q1290" s="4">
        <f>IFERROR(__xludf.DUMMYFUNCTION("""COMPUTED_VALUE"""),20.0)</f>
        <v>20</v>
      </c>
      <c r="R1290" s="4">
        <f>IFERROR(__xludf.DUMMYFUNCTION("""COMPUTED_VALUE"""),21.0)</f>
        <v>21</v>
      </c>
      <c r="S1290" s="4">
        <f>IFERROR(__xludf.DUMMYFUNCTION("""COMPUTED_VALUE"""),21.0)</f>
        <v>21</v>
      </c>
      <c r="T1290" s="4"/>
      <c r="U1290" s="4" t="str">
        <f>IFERROR(__xludf.DUMMYFUNCTION("""COMPUTED_VALUE"""),"BAIK")</f>
        <v>BAIK</v>
      </c>
      <c r="V1290" s="4" t="str">
        <f>IFERROR(__xludf.DUMMYFUNCTION("""COMPUTED_VALUE"""),"Tidak Ada")</f>
        <v>Tidak Ada</v>
      </c>
      <c r="W1290" s="4"/>
      <c r="X1290" s="4"/>
      <c r="Y1290" s="4"/>
      <c r="Z1290" s="4"/>
      <c r="AA1290" s="4"/>
      <c r="AB1290" s="4"/>
      <c r="AC1290" s="4" t="str">
        <f>IFERROR(__xludf.DUMMYFUNCTION("""COMPUTED_VALUE"""),"INSPEKSI SUTM - T2_Images/e48b6265.FOTO.055028.jpg")</f>
        <v>INSPEKSI SUTM - T2_Images/e48b6265.FOTO.055028.jpg</v>
      </c>
      <c r="AD1290" s="4"/>
      <c r="AE1290" s="4"/>
      <c r="AF1290" s="4" t="str">
        <f>IFERROR(__xludf.DUMMYFUNCTION("""COMPUTED_VALUE"""),"BELUM")</f>
        <v>BELUM</v>
      </c>
      <c r="AG1290" s="6">
        <f>IFERROR(__xludf.DUMMYFUNCTION("""COMPUTED_VALUE"""),46139.0)</f>
        <v>46139</v>
      </c>
      <c r="AH1290" s="4"/>
      <c r="AI1290" s="4"/>
    </row>
    <row r="1291" ht="15.75" customHeight="1">
      <c r="A1291" s="4" t="str">
        <f>IFERROR(__xludf.DUMMYFUNCTION("""COMPUTED_VALUE"""),"80391d23")</f>
        <v>80391d23</v>
      </c>
      <c r="B1291" s="5">
        <f>IFERROR(__xludf.DUMMYFUNCTION("""COMPUTED_VALUE"""),46139.87574074074)</f>
        <v>46139.87574</v>
      </c>
      <c r="C1291" s="4" t="str">
        <f>IFERROR(__xludf.DUMMYFUNCTION("""COMPUTED_VALUE"""),"-6.899233, 107.641332")</f>
        <v>-6.899233, 107.641332</v>
      </c>
      <c r="D1291" s="4" t="str">
        <f>IFERROR(__xludf.DUMMYFUNCTION("""COMPUTED_VALUE"""),"Sandi angga")</f>
        <v>Sandi angga</v>
      </c>
      <c r="E1291" s="4" t="str">
        <f>IFERROR(__xludf.DUMMYFUNCTION("""COMPUTED_VALUE"""),"BANDUNG")</f>
        <v>BANDUNG</v>
      </c>
      <c r="F1291" s="4" t="str">
        <f>IFERROR(__xludf.DUMMYFUNCTION("""COMPUTED_VALUE"""),"BANDUNG TIMUR")</f>
        <v>BANDUNG TIMUR</v>
      </c>
      <c r="G1291" s="4" t="str">
        <f>IFERROR(__xludf.DUMMYFUNCTION("""COMPUTED_VALUE"""),"DAGO PAKAR")</f>
        <v>DAGO PAKAR</v>
      </c>
      <c r="H1291" s="4" t="str">
        <f>IFERROR(__xludf.DUMMYFUNCTION("""COMPUTED_VALUE"""),"DSNM")</f>
        <v>DSNM</v>
      </c>
      <c r="I1291" s="4" t="str">
        <f>IFERROR(__xludf.DUMMYFUNCTION("""COMPUTED_VALUE"""),"PGH-PGMP")</f>
        <v>PGH-PGMP</v>
      </c>
      <c r="J1291" s="4" t="str">
        <f>IFERROR(__xludf.DUMMYFUNCTION("""COMPUTED_VALUE"""),"ZONA 2")</f>
        <v>ZONA 2</v>
      </c>
      <c r="K1291" s="4" t="str">
        <f>IFERROR(__xludf.DUMMYFUNCTION("""COMPUTED_VALUE"""),"001R43")</f>
        <v>001R43</v>
      </c>
      <c r="L1291" s="4" t="str">
        <f>IFERROR(__xludf.DUMMYFUNCTION("""COMPUTED_VALUE"""),"TM - 13B/H (Kabel Naik Pada Tiang Tumpu)")</f>
        <v>TM - 13B/H (Kabel Naik Pada Tiang Tumpu)</v>
      </c>
      <c r="M1291" s="4" t="str">
        <f>IFERROR(__xludf.DUMMYFUNCTION("""COMPUTED_VALUE"""),"Gardu")</f>
        <v>Gardu</v>
      </c>
      <c r="N1291" s="4" t="str">
        <f>IFERROR(__xludf.DUMMYFUNCTION("""COMPUTED_VALUE"""),"PBHI")</f>
        <v>PBHI</v>
      </c>
      <c r="O1291" s="4" t="str">
        <f>IFERROR(__xludf.DUMMYFUNCTION("""COMPUTED_VALUE"""),"PEMBANDING SEJENIS")</f>
        <v>PEMBANDING SEJENIS</v>
      </c>
      <c r="P1291" s="4" t="str">
        <f>IFERROR(__xludf.DUMMYFUNCTION("""COMPUTED_VALUE"""),"TERMINASI")</f>
        <v>TERMINASI</v>
      </c>
      <c r="Q1291" s="4">
        <f>IFERROR(__xludf.DUMMYFUNCTION("""COMPUTED_VALUE"""),20.0)</f>
        <v>20</v>
      </c>
      <c r="R1291" s="4">
        <f>IFERROR(__xludf.DUMMYFUNCTION("""COMPUTED_VALUE"""),21.0)</f>
        <v>21</v>
      </c>
      <c r="S1291" s="4">
        <f>IFERROR(__xludf.DUMMYFUNCTION("""COMPUTED_VALUE"""),21.0)</f>
        <v>21</v>
      </c>
      <c r="T1291" s="4"/>
      <c r="U1291" s="4" t="str">
        <f>IFERROR(__xludf.DUMMYFUNCTION("""COMPUTED_VALUE"""),"BAIK")</f>
        <v>BAIK</v>
      </c>
      <c r="V1291" s="4" t="str">
        <f>IFERROR(__xludf.DUMMYFUNCTION("""COMPUTED_VALUE"""),"Tidak Ada")</f>
        <v>Tidak Ada</v>
      </c>
      <c r="W1291" s="4"/>
      <c r="X1291" s="4"/>
      <c r="Y1291" s="4"/>
      <c r="Z1291" s="4"/>
      <c r="AA1291" s="4"/>
      <c r="AB1291" s="4"/>
      <c r="AC1291" s="4" t="str">
        <f>IFERROR(__xludf.DUMMYFUNCTION("""COMPUTED_VALUE"""),"INSPEKSI SUTM - T2_Images/80391d23.FOTO.055032.jpg")</f>
        <v>INSPEKSI SUTM - T2_Images/80391d23.FOTO.055032.jpg</v>
      </c>
      <c r="AD1291" s="4"/>
      <c r="AE1291" s="4"/>
      <c r="AF1291" s="4" t="str">
        <f>IFERROR(__xludf.DUMMYFUNCTION("""COMPUTED_VALUE"""),"BELUM")</f>
        <v>BELUM</v>
      </c>
      <c r="AG1291" s="6">
        <f>IFERROR(__xludf.DUMMYFUNCTION("""COMPUTED_VALUE"""),46139.0)</f>
        <v>46139</v>
      </c>
      <c r="AH1291" s="4"/>
      <c r="AI1291" s="4"/>
    </row>
    <row r="1292" ht="15.75" customHeight="1">
      <c r="A1292" s="4" t="str">
        <f>IFERROR(__xludf.DUMMYFUNCTION("""COMPUTED_VALUE"""),"7804bfc4")</f>
        <v>7804bfc4</v>
      </c>
      <c r="B1292" s="5">
        <f>IFERROR(__xludf.DUMMYFUNCTION("""COMPUTED_VALUE"""),46142.38162037037)</f>
        <v>46142.38162</v>
      </c>
      <c r="C1292" s="4" t="str">
        <f>IFERROR(__xludf.DUMMYFUNCTION("""COMPUTED_VALUE"""),"-6.969253, 107.654125")</f>
        <v>-6.969253, 107.654125</v>
      </c>
      <c r="D1292" s="4" t="str">
        <f>IFERROR(__xludf.DUMMYFUNCTION("""COMPUTED_VALUE"""),"Jihan kiki")</f>
        <v>Jihan kiki</v>
      </c>
      <c r="E1292" s="4" t="str">
        <f>IFERROR(__xludf.DUMMYFUNCTION("""COMPUTED_VALUE"""),"BANDUNG")</f>
        <v>BANDUNG</v>
      </c>
      <c r="F1292" s="4" t="str">
        <f>IFERROR(__xludf.DUMMYFUNCTION("""COMPUTED_VALUE"""),"CIJAWURA")</f>
        <v>CIJAWURA</v>
      </c>
      <c r="G1292" s="4" t="str">
        <f>IFERROR(__xludf.DUMMYFUNCTION("""COMPUTED_VALUE"""),"GIS KIARACONDONG")</f>
        <v>GIS KIARACONDONG</v>
      </c>
      <c r="H1292" s="4" t="str">
        <f>IFERROR(__xludf.DUMMYFUNCTION("""COMPUTED_VALUE"""),"KMO")</f>
        <v>KMO</v>
      </c>
      <c r="I1292" s="4" t="str">
        <f>IFERROR(__xludf.DUMMYFUNCTION("""COMPUTED_VALUE"""),"CGTB - KNR")</f>
        <v>CGTB - KNR</v>
      </c>
      <c r="J1292" s="4" t="str">
        <f>IFERROR(__xludf.DUMMYFUNCTION("""COMPUTED_VALUE"""),"ZONA 3")</f>
        <v>ZONA 3</v>
      </c>
      <c r="K1292" s="4" t="str">
        <f>IFERROR(__xludf.DUMMYFUNCTION("""COMPUTED_VALUE"""),"051")</f>
        <v>051</v>
      </c>
      <c r="L1292" s="4" t="str">
        <f>IFERROR(__xludf.DUMMYFUNCTION("""COMPUTED_VALUE"""),"TM - 11B/H (Kabel Naik)")</f>
        <v>TM - 11B/H (Kabel Naik)</v>
      </c>
      <c r="M1292" s="4" t="str">
        <f>IFERROR(__xludf.DUMMYFUNCTION("""COMPUTED_VALUE"""),"Tidak Ada")</f>
        <v>Tidak Ada</v>
      </c>
      <c r="N1292" s="4"/>
      <c r="O1292" s="4" t="str">
        <f>IFERROR(__xludf.DUMMYFUNCTION("""COMPUTED_VALUE"""),"PEMBANDING SEJENIS")</f>
        <v>PEMBANDING SEJENIS</v>
      </c>
      <c r="P1292" s="4" t="str">
        <f>IFERROR(__xludf.DUMMYFUNCTION("""COMPUTED_VALUE"""),"TERMINASI")</f>
        <v>TERMINASI</v>
      </c>
      <c r="Q1292" s="4">
        <f>IFERROR(__xludf.DUMMYFUNCTION("""COMPUTED_VALUE"""),23.0)</f>
        <v>23</v>
      </c>
      <c r="R1292" s="4">
        <f>IFERROR(__xludf.DUMMYFUNCTION("""COMPUTED_VALUE"""),24.0)</f>
        <v>24</v>
      </c>
      <c r="S1292" s="4">
        <f>IFERROR(__xludf.DUMMYFUNCTION("""COMPUTED_VALUE"""),24.0)</f>
        <v>24</v>
      </c>
      <c r="T1292" s="4"/>
      <c r="U1292" s="4" t="str">
        <f>IFERROR(__xludf.DUMMYFUNCTION("""COMPUTED_VALUE"""),"BAIK")</f>
        <v>BAIK</v>
      </c>
      <c r="V1292" s="4" t="str">
        <f>IFERROR(__xludf.DUMMYFUNCTION("""COMPUTED_VALUE"""),"Tidak Ada")</f>
        <v>Tidak Ada</v>
      </c>
      <c r="W1292" s="4"/>
      <c r="X1292" s="4"/>
      <c r="Y1292" s="4"/>
      <c r="Z1292" s="4"/>
      <c r="AA1292" s="4"/>
      <c r="AB1292" s="4"/>
      <c r="AC1292" s="4" t="str">
        <f>IFERROR(__xludf.DUMMYFUNCTION("""COMPUTED_VALUE"""),"INSPEKSI SUTM - T2_Images/7804bfc4.FOTO.021148.jpg")</f>
        <v>INSPEKSI SUTM - T2_Images/7804bfc4.FOTO.021148.jpg</v>
      </c>
      <c r="AD1292" s="4"/>
      <c r="AE1292" s="4"/>
      <c r="AF1292" s="4" t="str">
        <f>IFERROR(__xludf.DUMMYFUNCTION("""COMPUTED_VALUE"""),"BELUM")</f>
        <v>BELUM</v>
      </c>
      <c r="AG1292" s="6">
        <f>IFERROR(__xludf.DUMMYFUNCTION("""COMPUTED_VALUE"""),46142.0)</f>
        <v>46142</v>
      </c>
      <c r="AH1292" s="4"/>
      <c r="AI1292" s="4"/>
    </row>
    <row r="1293" ht="15.75" customHeight="1">
      <c r="A1293" s="4" t="str">
        <f>IFERROR(__xludf.DUMMYFUNCTION("""COMPUTED_VALUE"""),"388ba904")</f>
        <v>388ba904</v>
      </c>
      <c r="B1293" s="5">
        <f>IFERROR(__xludf.DUMMYFUNCTION("""COMPUTED_VALUE"""),46142.38400462963)</f>
        <v>46142.384</v>
      </c>
      <c r="C1293" s="4" t="str">
        <f>IFERROR(__xludf.DUMMYFUNCTION("""COMPUTED_VALUE"""),"-6.970446, 107.653586")</f>
        <v>-6.970446, 107.653586</v>
      </c>
      <c r="D1293" s="4" t="str">
        <f>IFERROR(__xludf.DUMMYFUNCTION("""COMPUTED_VALUE"""),"Jihan Kiki")</f>
        <v>Jihan Kiki</v>
      </c>
      <c r="E1293" s="4" t="str">
        <f>IFERROR(__xludf.DUMMYFUNCTION("""COMPUTED_VALUE"""),"BANDUNG")</f>
        <v>BANDUNG</v>
      </c>
      <c r="F1293" s="4" t="str">
        <f>IFERROR(__xludf.DUMMYFUNCTION("""COMPUTED_VALUE"""),"CIJAWURA")</f>
        <v>CIJAWURA</v>
      </c>
      <c r="G1293" s="4" t="str">
        <f>IFERROR(__xludf.DUMMYFUNCTION("""COMPUTED_VALUE"""),"GIS KIARACONDONG")</f>
        <v>GIS KIARACONDONG</v>
      </c>
      <c r="H1293" s="4" t="str">
        <f>IFERROR(__xludf.DUMMYFUNCTION("""COMPUTED_VALUE"""),"KMO")</f>
        <v>KMO</v>
      </c>
      <c r="I1293" s="4" t="str">
        <f>IFERROR(__xludf.DUMMYFUNCTION("""COMPUTED_VALUE"""),"CGTB - KNR")</f>
        <v>CGTB - KNR</v>
      </c>
      <c r="J1293" s="4" t="str">
        <f>IFERROR(__xludf.DUMMYFUNCTION("""COMPUTED_VALUE"""),"ZONA 3")</f>
        <v>ZONA 3</v>
      </c>
      <c r="K1293" s="4" t="str">
        <f>IFERROR(__xludf.DUMMYFUNCTION("""COMPUTED_VALUE"""),"052")</f>
        <v>052</v>
      </c>
      <c r="L1293" s="4" t="str">
        <f>IFERROR(__xludf.DUMMYFUNCTION("""COMPUTED_VALUE"""),"TM - 11B/H (Kabel Naik)")</f>
        <v>TM - 11B/H (Kabel Naik)</v>
      </c>
      <c r="M1293" s="4" t="str">
        <f>IFERROR(__xludf.DUMMYFUNCTION("""COMPUTED_VALUE"""),"Tidak Ada")</f>
        <v>Tidak Ada</v>
      </c>
      <c r="N1293" s="4"/>
      <c r="O1293" s="4" t="str">
        <f>IFERROR(__xludf.DUMMYFUNCTION("""COMPUTED_VALUE"""),"PEMBANDING SEJENIS")</f>
        <v>PEMBANDING SEJENIS</v>
      </c>
      <c r="P1293" s="4" t="str">
        <f>IFERROR(__xludf.DUMMYFUNCTION("""COMPUTED_VALUE"""),"KONEKTOR/JUMPER")</f>
        <v>KONEKTOR/JUMPER</v>
      </c>
      <c r="Q1293" s="4">
        <f>IFERROR(__xludf.DUMMYFUNCTION("""COMPUTED_VALUE"""),23.0)</f>
        <v>23</v>
      </c>
      <c r="R1293" s="4">
        <f>IFERROR(__xludf.DUMMYFUNCTION("""COMPUTED_VALUE"""),21.0)</f>
        <v>21</v>
      </c>
      <c r="S1293" s="4">
        <f>IFERROR(__xludf.DUMMYFUNCTION("""COMPUTED_VALUE"""),21.0)</f>
        <v>21</v>
      </c>
      <c r="T1293" s="4"/>
      <c r="U1293" s="4" t="str">
        <f>IFERROR(__xludf.DUMMYFUNCTION("""COMPUTED_VALUE"""),"BAIK")</f>
        <v>BAIK</v>
      </c>
      <c r="V1293" s="4" t="str">
        <f>IFERROR(__xludf.DUMMYFUNCTION("""COMPUTED_VALUE"""),"Tidak Ada")</f>
        <v>Tidak Ada</v>
      </c>
      <c r="W1293" s="4"/>
      <c r="X1293" s="4"/>
      <c r="Y1293" s="4"/>
      <c r="Z1293" s="4"/>
      <c r="AA1293" s="4"/>
      <c r="AB1293" s="4"/>
      <c r="AC1293" s="4" t="str">
        <f>IFERROR(__xludf.DUMMYFUNCTION("""COMPUTED_VALUE"""),"INSPEKSI SUTM - T2_Images/388ba904.FOTO.021351.jpg")</f>
        <v>INSPEKSI SUTM - T2_Images/388ba904.FOTO.021351.jpg</v>
      </c>
      <c r="AD1293" s="4"/>
      <c r="AE1293" s="4"/>
      <c r="AF1293" s="4" t="str">
        <f>IFERROR(__xludf.DUMMYFUNCTION("""COMPUTED_VALUE"""),"BELUM")</f>
        <v>BELUM</v>
      </c>
      <c r="AG1293" s="6">
        <f>IFERROR(__xludf.DUMMYFUNCTION("""COMPUTED_VALUE"""),46142.0)</f>
        <v>46142</v>
      </c>
      <c r="AH1293" s="4"/>
      <c r="AI1293" s="4"/>
    </row>
    <row r="1294" ht="15.75" customHeight="1">
      <c r="A1294" s="4" t="str">
        <f>IFERROR(__xludf.DUMMYFUNCTION("""COMPUTED_VALUE"""),"c9ed21c5")</f>
        <v>c9ed21c5</v>
      </c>
      <c r="B1294" s="5">
        <f>IFERROR(__xludf.DUMMYFUNCTION("""COMPUTED_VALUE"""),46142.38520833333)</f>
        <v>46142.38521</v>
      </c>
      <c r="C1294" s="4" t="str">
        <f>IFERROR(__xludf.DUMMYFUNCTION("""COMPUTED_VALUE"""),"-6.972136, 107.653242")</f>
        <v>-6.972136, 107.653242</v>
      </c>
      <c r="D1294" s="4" t="str">
        <f>IFERROR(__xludf.DUMMYFUNCTION("""COMPUTED_VALUE"""),"Jihan kiki")</f>
        <v>Jihan kiki</v>
      </c>
      <c r="E1294" s="4" t="str">
        <f>IFERROR(__xludf.DUMMYFUNCTION("""COMPUTED_VALUE"""),"BANDUNG")</f>
        <v>BANDUNG</v>
      </c>
      <c r="F1294" s="4" t="str">
        <f>IFERROR(__xludf.DUMMYFUNCTION("""COMPUTED_VALUE"""),"CIJAWURA")</f>
        <v>CIJAWURA</v>
      </c>
      <c r="G1294" s="4" t="str">
        <f>IFERROR(__xludf.DUMMYFUNCTION("""COMPUTED_VALUE"""),"GIS KIARACONDONG")</f>
        <v>GIS KIARACONDONG</v>
      </c>
      <c r="H1294" s="4" t="str">
        <f>IFERROR(__xludf.DUMMYFUNCTION("""COMPUTED_VALUE"""),"KMO")</f>
        <v>KMO</v>
      </c>
      <c r="I1294" s="4" t="str">
        <f>IFERROR(__xludf.DUMMYFUNCTION("""COMPUTED_VALUE"""),"CGTB - KNR")</f>
        <v>CGTB - KNR</v>
      </c>
      <c r="J1294" s="4" t="str">
        <f>IFERROR(__xludf.DUMMYFUNCTION("""COMPUTED_VALUE"""),"ZONA 3")</f>
        <v>ZONA 3</v>
      </c>
      <c r="K1294" s="4" t="str">
        <f>IFERROR(__xludf.DUMMYFUNCTION("""COMPUTED_VALUE"""),"058")</f>
        <v>058</v>
      </c>
      <c r="L1294" s="4" t="str">
        <f>IFERROR(__xludf.DUMMYFUNCTION("""COMPUTED_VALUE"""),"TM - 7B/H (Afspan 90 Derajat)")</f>
        <v>TM - 7B/H (Afspan 90 Derajat)</v>
      </c>
      <c r="M1294" s="4" t="str">
        <f>IFERROR(__xludf.DUMMYFUNCTION("""COMPUTED_VALUE"""),"Tidak Ada")</f>
        <v>Tidak Ada</v>
      </c>
      <c r="N1294" s="4"/>
      <c r="O1294" s="4" t="str">
        <f>IFERROR(__xludf.DUMMYFUNCTION("""COMPUTED_VALUE"""),"PEMBANDING SEJENIS")</f>
        <v>PEMBANDING SEJENIS</v>
      </c>
      <c r="P1294" s="4" t="str">
        <f>IFERROR(__xludf.DUMMYFUNCTION("""COMPUTED_VALUE"""),"KONEKTOR/JUMPER")</f>
        <v>KONEKTOR/JUMPER</v>
      </c>
      <c r="Q1294" s="4">
        <f>IFERROR(__xludf.DUMMYFUNCTION("""COMPUTED_VALUE"""),23.0)</f>
        <v>23</v>
      </c>
      <c r="R1294" s="4">
        <f>IFERROR(__xludf.DUMMYFUNCTION("""COMPUTED_VALUE"""),23.0)</f>
        <v>23</v>
      </c>
      <c r="S1294" s="4">
        <f>IFERROR(__xludf.DUMMYFUNCTION("""COMPUTED_VALUE"""),24.0)</f>
        <v>24</v>
      </c>
      <c r="T1294" s="4"/>
      <c r="U1294" s="4" t="str">
        <f>IFERROR(__xludf.DUMMYFUNCTION("""COMPUTED_VALUE"""),"BAIK")</f>
        <v>BAIK</v>
      </c>
      <c r="V1294" s="4" t="str">
        <f>IFERROR(__xludf.DUMMYFUNCTION("""COMPUTED_VALUE"""),"Tidak Ada")</f>
        <v>Tidak Ada</v>
      </c>
      <c r="W1294" s="4"/>
      <c r="X1294" s="4"/>
      <c r="Y1294" s="4"/>
      <c r="Z1294" s="4"/>
      <c r="AA1294" s="4"/>
      <c r="AB1294" s="4"/>
      <c r="AC1294" s="4" t="str">
        <f>IFERROR(__xludf.DUMMYFUNCTION("""COMPUTED_VALUE"""),"INSPEKSI SUTM - T2_Images/c9ed21c5.FOTO.021621.jpg")</f>
        <v>INSPEKSI SUTM - T2_Images/c9ed21c5.FOTO.021621.jpg</v>
      </c>
      <c r="AD1294" s="4"/>
      <c r="AE1294" s="4"/>
      <c r="AF1294" s="4" t="str">
        <f>IFERROR(__xludf.DUMMYFUNCTION("""COMPUTED_VALUE"""),"BELUM")</f>
        <v>BELUM</v>
      </c>
      <c r="AG1294" s="6">
        <f>IFERROR(__xludf.DUMMYFUNCTION("""COMPUTED_VALUE"""),46142.0)</f>
        <v>46142</v>
      </c>
      <c r="AH1294" s="4"/>
      <c r="AI1294" s="4"/>
    </row>
    <row r="1295" ht="15.75" customHeight="1">
      <c r="A1295" s="4" t="str">
        <f>IFERROR(__xludf.DUMMYFUNCTION("""COMPUTED_VALUE"""),"a0cefab9")</f>
        <v>a0cefab9</v>
      </c>
      <c r="B1295" s="5">
        <f>IFERROR(__xludf.DUMMYFUNCTION("""COMPUTED_VALUE"""),46142.386666666665)</f>
        <v>46142.38667</v>
      </c>
      <c r="C1295" s="4" t="str">
        <f>IFERROR(__xludf.DUMMYFUNCTION("""COMPUTED_VALUE"""),"-6.972140, 107.653456")</f>
        <v>-6.972140, 107.653456</v>
      </c>
      <c r="D1295" s="4" t="str">
        <f>IFERROR(__xludf.DUMMYFUNCTION("""COMPUTED_VALUE"""),"Jihan Kiki")</f>
        <v>Jihan Kiki</v>
      </c>
      <c r="E1295" s="4" t="str">
        <f>IFERROR(__xludf.DUMMYFUNCTION("""COMPUTED_VALUE"""),"BANDUNG")</f>
        <v>BANDUNG</v>
      </c>
      <c r="F1295" s="4" t="str">
        <f>IFERROR(__xludf.DUMMYFUNCTION("""COMPUTED_VALUE"""),"CIJAWURA")</f>
        <v>CIJAWURA</v>
      </c>
      <c r="G1295" s="4" t="str">
        <f>IFERROR(__xludf.DUMMYFUNCTION("""COMPUTED_VALUE"""),"GIS KIARACONDONG")</f>
        <v>GIS KIARACONDONG</v>
      </c>
      <c r="H1295" s="4" t="str">
        <f>IFERROR(__xludf.DUMMYFUNCTION("""COMPUTED_VALUE"""),"KMO")</f>
        <v>KMO</v>
      </c>
      <c r="I1295" s="4" t="str">
        <f>IFERROR(__xludf.DUMMYFUNCTION("""COMPUTED_VALUE"""),"CGTB - KNR")</f>
        <v>CGTB - KNR</v>
      </c>
      <c r="J1295" s="4" t="str">
        <f>IFERROR(__xludf.DUMMYFUNCTION("""COMPUTED_VALUE"""),"ZONA 3")</f>
        <v>ZONA 3</v>
      </c>
      <c r="K1295" s="4" t="str">
        <f>IFERROR(__xludf.DUMMYFUNCTION("""COMPUTED_VALUE"""),"059")</f>
        <v>059</v>
      </c>
      <c r="L1295" s="4" t="str">
        <f>IFERROR(__xludf.DUMMYFUNCTION("""COMPUTED_VALUE"""),"TM - 7B/H (Afspan 90 Derajat)")</f>
        <v>TM - 7B/H (Afspan 90 Derajat)</v>
      </c>
      <c r="M1295" s="4" t="str">
        <f>IFERROR(__xludf.DUMMYFUNCTION("""COMPUTED_VALUE"""),"Tidak Ada")</f>
        <v>Tidak Ada</v>
      </c>
      <c r="N1295" s="4"/>
      <c r="O1295" s="4" t="str">
        <f>IFERROR(__xludf.DUMMYFUNCTION("""COMPUTED_VALUE"""),"PEMBANDING SEJENIS")</f>
        <v>PEMBANDING SEJENIS</v>
      </c>
      <c r="P1295" s="4" t="str">
        <f>IFERROR(__xludf.DUMMYFUNCTION("""COMPUTED_VALUE"""),"KONEKTOR/JUMPER")</f>
        <v>KONEKTOR/JUMPER</v>
      </c>
      <c r="Q1295" s="4">
        <f>IFERROR(__xludf.DUMMYFUNCTION("""COMPUTED_VALUE"""),23.0)</f>
        <v>23</v>
      </c>
      <c r="R1295" s="4">
        <f>IFERROR(__xludf.DUMMYFUNCTION("""COMPUTED_VALUE"""),22.0)</f>
        <v>22</v>
      </c>
      <c r="S1295" s="4">
        <f>IFERROR(__xludf.DUMMYFUNCTION("""COMPUTED_VALUE"""),21.0)</f>
        <v>21</v>
      </c>
      <c r="T1295" s="4"/>
      <c r="U1295" s="4" t="str">
        <f>IFERROR(__xludf.DUMMYFUNCTION("""COMPUTED_VALUE"""),"BAIK")</f>
        <v>BAIK</v>
      </c>
      <c r="V1295" s="4" t="str">
        <f>IFERROR(__xludf.DUMMYFUNCTION("""COMPUTED_VALUE"""),"Tidak Ada")</f>
        <v>Tidak Ada</v>
      </c>
      <c r="W1295" s="4"/>
      <c r="X1295" s="4"/>
      <c r="Y1295" s="4"/>
      <c r="Z1295" s="4"/>
      <c r="AA1295" s="4"/>
      <c r="AB1295" s="4"/>
      <c r="AC1295" s="4" t="str">
        <f>IFERROR(__xludf.DUMMYFUNCTION("""COMPUTED_VALUE"""),"INSPEKSI SUTM - T2_Images/a0cefab9.FOTO.021849.jpg")</f>
        <v>INSPEKSI SUTM - T2_Images/a0cefab9.FOTO.021849.jpg</v>
      </c>
      <c r="AD1295" s="4"/>
      <c r="AE1295" s="4"/>
      <c r="AF1295" s="4" t="str">
        <f>IFERROR(__xludf.DUMMYFUNCTION("""COMPUTED_VALUE"""),"BELUM")</f>
        <v>BELUM</v>
      </c>
      <c r="AG1295" s="6">
        <f>IFERROR(__xludf.DUMMYFUNCTION("""COMPUTED_VALUE"""),46142.0)</f>
        <v>46142</v>
      </c>
      <c r="AH1295" s="4"/>
      <c r="AI1295" s="4"/>
    </row>
    <row r="1296" ht="15.75" customHeight="1">
      <c r="A1296" s="4" t="str">
        <f>IFERROR(__xludf.DUMMYFUNCTION("""COMPUTED_VALUE"""),"93b658d5")</f>
        <v>93b658d5</v>
      </c>
      <c r="B1296" s="5">
        <f>IFERROR(__xludf.DUMMYFUNCTION("""COMPUTED_VALUE"""),46142.38853009259)</f>
        <v>46142.38853</v>
      </c>
      <c r="C1296" s="4" t="str">
        <f>IFERROR(__xludf.DUMMYFUNCTION("""COMPUTED_VALUE"""),"-6.972722, 107.653297")</f>
        <v>-6.972722, 107.653297</v>
      </c>
      <c r="D1296" s="4" t="str">
        <f>IFERROR(__xludf.DUMMYFUNCTION("""COMPUTED_VALUE"""),"Jihan kiki")</f>
        <v>Jihan kiki</v>
      </c>
      <c r="E1296" s="4" t="str">
        <f>IFERROR(__xludf.DUMMYFUNCTION("""COMPUTED_VALUE"""),"BANDUNG")</f>
        <v>BANDUNG</v>
      </c>
      <c r="F1296" s="4" t="str">
        <f>IFERROR(__xludf.DUMMYFUNCTION("""COMPUTED_VALUE"""),"CIJAWURA")</f>
        <v>CIJAWURA</v>
      </c>
      <c r="G1296" s="4" t="str">
        <f>IFERROR(__xludf.DUMMYFUNCTION("""COMPUTED_VALUE"""),"GIS KIARACONDONG")</f>
        <v>GIS KIARACONDONG</v>
      </c>
      <c r="H1296" s="4" t="str">
        <f>IFERROR(__xludf.DUMMYFUNCTION("""COMPUTED_VALUE"""),"KMO")</f>
        <v>KMO</v>
      </c>
      <c r="I1296" s="4" t="str">
        <f>IFERROR(__xludf.DUMMYFUNCTION("""COMPUTED_VALUE"""),"CGTB - KNR")</f>
        <v>CGTB - KNR</v>
      </c>
      <c r="J1296" s="4" t="str">
        <f>IFERROR(__xludf.DUMMYFUNCTION("""COMPUTED_VALUE"""),"ZONA 3")</f>
        <v>ZONA 3</v>
      </c>
      <c r="K1296" s="4" t="str">
        <f>IFERROR(__xludf.DUMMYFUNCTION("""COMPUTED_VALUE"""),"061")</f>
        <v>061</v>
      </c>
      <c r="L1296" s="4" t="str">
        <f>IFERROR(__xludf.DUMMYFUNCTION("""COMPUTED_VALUE"""),"TM - 8B/H (Percabangan)")</f>
        <v>TM - 8B/H (Percabangan)</v>
      </c>
      <c r="M1296" s="4" t="str">
        <f>IFERROR(__xludf.DUMMYFUNCTION("""COMPUTED_VALUE"""),"Tidak Ada")</f>
        <v>Tidak Ada</v>
      </c>
      <c r="N1296" s="4"/>
      <c r="O1296" s="4" t="str">
        <f>IFERROR(__xludf.DUMMYFUNCTION("""COMPUTED_VALUE"""),"PEMBANDING SEJENIS")</f>
        <v>PEMBANDING SEJENIS</v>
      </c>
      <c r="P1296" s="4" t="str">
        <f>IFERROR(__xludf.DUMMYFUNCTION("""COMPUTED_VALUE"""),"KONEKTOR/JUMPER")</f>
        <v>KONEKTOR/JUMPER</v>
      </c>
      <c r="Q1296" s="4">
        <f>IFERROR(__xludf.DUMMYFUNCTION("""COMPUTED_VALUE"""),23.0)</f>
        <v>23</v>
      </c>
      <c r="R1296" s="4">
        <f>IFERROR(__xludf.DUMMYFUNCTION("""COMPUTED_VALUE"""),23.0)</f>
        <v>23</v>
      </c>
      <c r="S1296" s="4">
        <f>IFERROR(__xludf.DUMMYFUNCTION("""COMPUTED_VALUE"""),29.0)</f>
        <v>29</v>
      </c>
      <c r="T1296" s="4"/>
      <c r="U1296" s="4" t="str">
        <f>IFERROR(__xludf.DUMMYFUNCTION("""COMPUTED_VALUE"""),"CUKUP")</f>
        <v>CUKUP</v>
      </c>
      <c r="V1296" s="4" t="str">
        <f>IFERROR(__xludf.DUMMYFUNCTION("""COMPUTED_VALUE"""),"Tidak Ada")</f>
        <v>Tidak Ada</v>
      </c>
      <c r="W1296" s="4"/>
      <c r="X1296" s="4"/>
      <c r="Y1296" s="4"/>
      <c r="Z1296" s="4"/>
      <c r="AA1296" s="4"/>
      <c r="AB1296" s="4"/>
      <c r="AC1296" s="4" t="str">
        <f>IFERROR(__xludf.DUMMYFUNCTION("""COMPUTED_VALUE"""),"INSPEKSI SUTM - T2_Images/93b658d5.FOTO.022102.jpg")</f>
        <v>INSPEKSI SUTM - T2_Images/93b658d5.FOTO.022102.jpg</v>
      </c>
      <c r="AD1296" s="4"/>
      <c r="AE1296" s="4"/>
      <c r="AF1296" s="4" t="str">
        <f>IFERROR(__xludf.DUMMYFUNCTION("""COMPUTED_VALUE"""),"BELUM")</f>
        <v>BELUM</v>
      </c>
      <c r="AG1296" s="6">
        <f>IFERROR(__xludf.DUMMYFUNCTION("""COMPUTED_VALUE"""),46142.0)</f>
        <v>46142</v>
      </c>
      <c r="AH1296" s="4"/>
      <c r="AI1296" s="4"/>
    </row>
    <row r="1297" ht="15.75" customHeight="1">
      <c r="A1297" s="4" t="str">
        <f>IFERROR(__xludf.DUMMYFUNCTION("""COMPUTED_VALUE"""),"dbfaeff8")</f>
        <v>dbfaeff8</v>
      </c>
      <c r="B1297" s="5">
        <f>IFERROR(__xludf.DUMMYFUNCTION("""COMPUTED_VALUE"""),46142.39015046296)</f>
        <v>46142.39015</v>
      </c>
      <c r="C1297" s="4" t="str">
        <f>IFERROR(__xludf.DUMMYFUNCTION("""COMPUTED_VALUE"""),"-6.973104, 107.655495")</f>
        <v>-6.973104, 107.655495</v>
      </c>
      <c r="D1297" s="4" t="str">
        <f>IFERROR(__xludf.DUMMYFUNCTION("""COMPUTED_VALUE"""),"Jihan kiki")</f>
        <v>Jihan kiki</v>
      </c>
      <c r="E1297" s="4" t="str">
        <f>IFERROR(__xludf.DUMMYFUNCTION("""COMPUTED_VALUE"""),"BANDUNG")</f>
        <v>BANDUNG</v>
      </c>
      <c r="F1297" s="4" t="str">
        <f>IFERROR(__xludf.DUMMYFUNCTION("""COMPUTED_VALUE"""),"CIJAWURA")</f>
        <v>CIJAWURA</v>
      </c>
      <c r="G1297" s="4" t="str">
        <f>IFERROR(__xludf.DUMMYFUNCTION("""COMPUTED_VALUE"""),"GIS KIARACONDONG")</f>
        <v>GIS KIARACONDONG</v>
      </c>
      <c r="H1297" s="4" t="str">
        <f>IFERROR(__xludf.DUMMYFUNCTION("""COMPUTED_VALUE"""),"KMO")</f>
        <v>KMO</v>
      </c>
      <c r="I1297" s="4" t="str">
        <f>IFERROR(__xludf.DUMMYFUNCTION("""COMPUTED_VALUE"""),"CGTB - KNR")</f>
        <v>CGTB - KNR</v>
      </c>
      <c r="J1297" s="4" t="str">
        <f>IFERROR(__xludf.DUMMYFUNCTION("""COMPUTED_VALUE"""),"ZONA 3")</f>
        <v>ZONA 3</v>
      </c>
      <c r="K1297" s="4" t="str">
        <f>IFERROR(__xludf.DUMMYFUNCTION("""COMPUTED_VALUE"""),"067")</f>
        <v>067</v>
      </c>
      <c r="L1297" s="4" t="str">
        <f>IFERROR(__xludf.DUMMYFUNCTION("""COMPUTED_VALUE"""),"TM - 8B/H (Percabangan)")</f>
        <v>TM - 8B/H (Percabangan)</v>
      </c>
      <c r="M1297" s="4" t="str">
        <f>IFERROR(__xludf.DUMMYFUNCTION("""COMPUTED_VALUE"""),"Tidak Ada")</f>
        <v>Tidak Ada</v>
      </c>
      <c r="N1297" s="4"/>
      <c r="O1297" s="4" t="str">
        <f>IFERROR(__xludf.DUMMYFUNCTION("""COMPUTED_VALUE"""),"PEMBANDING SEJENIS")</f>
        <v>PEMBANDING SEJENIS</v>
      </c>
      <c r="P1297" s="4" t="str">
        <f>IFERROR(__xludf.DUMMYFUNCTION("""COMPUTED_VALUE"""),"KONEKTOR/JUMPER")</f>
        <v>KONEKTOR/JUMPER</v>
      </c>
      <c r="Q1297" s="4">
        <f>IFERROR(__xludf.DUMMYFUNCTION("""COMPUTED_VALUE"""),20.0)</f>
        <v>20</v>
      </c>
      <c r="R1297" s="4">
        <f>IFERROR(__xludf.DUMMYFUNCTION("""COMPUTED_VALUE"""),22.0)</f>
        <v>22</v>
      </c>
      <c r="S1297" s="4">
        <f>IFERROR(__xludf.DUMMYFUNCTION("""COMPUTED_VALUE"""),20.0)</f>
        <v>20</v>
      </c>
      <c r="T1297" s="4"/>
      <c r="U1297" s="4" t="str">
        <f>IFERROR(__xludf.DUMMYFUNCTION("""COMPUTED_VALUE"""),"BAIK")</f>
        <v>BAIK</v>
      </c>
      <c r="V1297" s="4" t="str">
        <f>IFERROR(__xludf.DUMMYFUNCTION("""COMPUTED_VALUE"""),"Tidak Ada")</f>
        <v>Tidak Ada</v>
      </c>
      <c r="W1297" s="4"/>
      <c r="X1297" s="4"/>
      <c r="Y1297" s="4"/>
      <c r="Z1297" s="4"/>
      <c r="AA1297" s="4"/>
      <c r="AB1297" s="4"/>
      <c r="AC1297" s="4" t="str">
        <f>IFERROR(__xludf.DUMMYFUNCTION("""COMPUTED_VALUE"""),"INSPEKSI SUTM - T2_Images/dbfaeff8.FOTO.022257.jpg")</f>
        <v>INSPEKSI SUTM - T2_Images/dbfaeff8.FOTO.022257.jpg</v>
      </c>
      <c r="AD1297" s="4"/>
      <c r="AE1297" s="4"/>
      <c r="AF1297" s="4" t="str">
        <f>IFERROR(__xludf.DUMMYFUNCTION("""COMPUTED_VALUE"""),"BELUM")</f>
        <v>BELUM</v>
      </c>
      <c r="AG1297" s="6">
        <f>IFERROR(__xludf.DUMMYFUNCTION("""COMPUTED_VALUE"""),46142.0)</f>
        <v>46142</v>
      </c>
      <c r="AH1297" s="4"/>
      <c r="AI1297" s="4"/>
    </row>
    <row r="1298" ht="15.75" customHeight="1">
      <c r="A1298" s="4" t="str">
        <f>IFERROR(__xludf.DUMMYFUNCTION("""COMPUTED_VALUE"""),"96b803af")</f>
        <v>96b803af</v>
      </c>
      <c r="B1298" s="5">
        <f>IFERROR(__xludf.DUMMYFUNCTION("""COMPUTED_VALUE"""),46142.391377314816)</f>
        <v>46142.39138</v>
      </c>
      <c r="C1298" s="4" t="str">
        <f>IFERROR(__xludf.DUMMYFUNCTION("""COMPUTED_VALUE"""),"-6.972060, 107.655686")</f>
        <v>-6.972060, 107.655686</v>
      </c>
      <c r="D1298" s="4" t="str">
        <f>IFERROR(__xludf.DUMMYFUNCTION("""COMPUTED_VALUE"""),"Jihan kiki")</f>
        <v>Jihan kiki</v>
      </c>
      <c r="E1298" s="4" t="str">
        <f>IFERROR(__xludf.DUMMYFUNCTION("""COMPUTED_VALUE"""),"BANDUNG")</f>
        <v>BANDUNG</v>
      </c>
      <c r="F1298" s="4" t="str">
        <f>IFERROR(__xludf.DUMMYFUNCTION("""COMPUTED_VALUE"""),"CIJAWURA")</f>
        <v>CIJAWURA</v>
      </c>
      <c r="G1298" s="4" t="str">
        <f>IFERROR(__xludf.DUMMYFUNCTION("""COMPUTED_VALUE"""),"GIS KIARACONDONG")</f>
        <v>GIS KIARACONDONG</v>
      </c>
      <c r="H1298" s="4" t="str">
        <f>IFERROR(__xludf.DUMMYFUNCTION("""COMPUTED_VALUE"""),"KMO")</f>
        <v>KMO</v>
      </c>
      <c r="I1298" s="4" t="str">
        <f>IFERROR(__xludf.DUMMYFUNCTION("""COMPUTED_VALUE"""),"CGTB - KNR")</f>
        <v>CGTB - KNR</v>
      </c>
      <c r="J1298" s="4" t="str">
        <f>IFERROR(__xludf.DUMMYFUNCTION("""COMPUTED_VALUE"""),"ZONA 3")</f>
        <v>ZONA 3</v>
      </c>
      <c r="K1298" s="4" t="str">
        <f>IFERROR(__xludf.DUMMYFUNCTION("""COMPUTED_VALUE"""),"067L03")</f>
        <v>067L03</v>
      </c>
      <c r="L1298" s="4" t="str">
        <f>IFERROR(__xludf.DUMMYFUNCTION("""COMPUTED_VALUE"""),"TM - 8B/H (Percabangan)")</f>
        <v>TM - 8B/H (Percabangan)</v>
      </c>
      <c r="M1298" s="4" t="str">
        <f>IFERROR(__xludf.DUMMYFUNCTION("""COMPUTED_VALUE"""),"Tidak Ada")</f>
        <v>Tidak Ada</v>
      </c>
      <c r="N1298" s="4"/>
      <c r="O1298" s="4" t="str">
        <f>IFERROR(__xludf.DUMMYFUNCTION("""COMPUTED_VALUE"""),"PEMBANDING SEJENIS")</f>
        <v>PEMBANDING SEJENIS</v>
      </c>
      <c r="P1298" s="4" t="str">
        <f>IFERROR(__xludf.DUMMYFUNCTION("""COMPUTED_VALUE"""),"ISOLATOR")</f>
        <v>ISOLATOR</v>
      </c>
      <c r="Q1298" s="4">
        <f>IFERROR(__xludf.DUMMYFUNCTION("""COMPUTED_VALUE"""),23.0)</f>
        <v>23</v>
      </c>
      <c r="R1298" s="4">
        <f>IFERROR(__xludf.DUMMYFUNCTION("""COMPUTED_VALUE"""),23.0)</f>
        <v>23</v>
      </c>
      <c r="S1298" s="4">
        <f>IFERROR(__xludf.DUMMYFUNCTION("""COMPUTED_VALUE"""),22.0)</f>
        <v>22</v>
      </c>
      <c r="T1298" s="4"/>
      <c r="U1298" s="4" t="str">
        <f>IFERROR(__xludf.DUMMYFUNCTION("""COMPUTED_VALUE"""),"BAIK")</f>
        <v>BAIK</v>
      </c>
      <c r="V1298" s="4" t="str">
        <f>IFERROR(__xludf.DUMMYFUNCTION("""COMPUTED_VALUE"""),"Tidak Ada")</f>
        <v>Tidak Ada</v>
      </c>
      <c r="W1298" s="4"/>
      <c r="X1298" s="4"/>
      <c r="Y1298" s="4"/>
      <c r="Z1298" s="4"/>
      <c r="AA1298" s="4"/>
      <c r="AB1298" s="4"/>
      <c r="AC1298" s="4" t="str">
        <f>IFERROR(__xludf.DUMMYFUNCTION("""COMPUTED_VALUE"""),"INSPEKSI SUTM - T2_Images/96b803af.FOTO.022446.jpg")</f>
        <v>INSPEKSI SUTM - T2_Images/96b803af.FOTO.022446.jpg</v>
      </c>
      <c r="AD1298" s="4"/>
      <c r="AE1298" s="4"/>
      <c r="AF1298" s="4" t="str">
        <f>IFERROR(__xludf.DUMMYFUNCTION("""COMPUTED_VALUE"""),"BELUM")</f>
        <v>BELUM</v>
      </c>
      <c r="AG1298" s="6">
        <f>IFERROR(__xludf.DUMMYFUNCTION("""COMPUTED_VALUE"""),46142.0)</f>
        <v>46142</v>
      </c>
      <c r="AH1298" s="4"/>
      <c r="AI1298" s="4"/>
    </row>
    <row r="1299" ht="15.75" customHeight="1">
      <c r="A1299" s="4" t="str">
        <f>IFERROR(__xludf.DUMMYFUNCTION("""COMPUTED_VALUE"""),"2d4a3283")</f>
        <v>2d4a3283</v>
      </c>
      <c r="B1299" s="5">
        <f>IFERROR(__xludf.DUMMYFUNCTION("""COMPUTED_VALUE"""),46142.39616898148)</f>
        <v>46142.39617</v>
      </c>
      <c r="C1299" s="4" t="str">
        <f>IFERROR(__xludf.DUMMYFUNCTION("""COMPUTED_VALUE"""),"-6.972354, 107.657227")</f>
        <v>-6.972354, 107.657227</v>
      </c>
      <c r="D1299" s="4" t="str">
        <f>IFERROR(__xludf.DUMMYFUNCTION("""COMPUTED_VALUE"""),"Jihan Kiki")</f>
        <v>Jihan Kiki</v>
      </c>
      <c r="E1299" s="4" t="str">
        <f>IFERROR(__xludf.DUMMYFUNCTION("""COMPUTED_VALUE"""),"BANDUNG")</f>
        <v>BANDUNG</v>
      </c>
      <c r="F1299" s="4" t="str">
        <f>IFERROR(__xludf.DUMMYFUNCTION("""COMPUTED_VALUE"""),"CIJAWURA")</f>
        <v>CIJAWURA</v>
      </c>
      <c r="G1299" s="4" t="str">
        <f>IFERROR(__xludf.DUMMYFUNCTION("""COMPUTED_VALUE"""),"GIS KIARACONDONG")</f>
        <v>GIS KIARACONDONG</v>
      </c>
      <c r="H1299" s="4" t="str">
        <f>IFERROR(__xludf.DUMMYFUNCTION("""COMPUTED_VALUE"""),"KMO")</f>
        <v>KMO</v>
      </c>
      <c r="I1299" s="4" t="str">
        <f>IFERROR(__xludf.DUMMYFUNCTION("""COMPUTED_VALUE"""),"CGTB - KNR")</f>
        <v>CGTB - KNR</v>
      </c>
      <c r="J1299" s="4" t="str">
        <f>IFERROR(__xludf.DUMMYFUNCTION("""COMPUTED_VALUE"""),"ZONA 3")</f>
        <v>ZONA 3</v>
      </c>
      <c r="K1299" s="4" t="str">
        <f>IFERROR(__xludf.DUMMYFUNCTION("""COMPUTED_VALUE"""),"067L03R05")</f>
        <v>067L03R05</v>
      </c>
      <c r="L1299" s="4" t="str">
        <f>IFERROR(__xludf.DUMMYFUNCTION("""COMPUTED_VALUE"""),"TM - 7B/H (Afspan 90 Derajat)")</f>
        <v>TM - 7B/H (Afspan 90 Derajat)</v>
      </c>
      <c r="M1299" s="4" t="str">
        <f>IFERROR(__xludf.DUMMYFUNCTION("""COMPUTED_VALUE"""),"Tidak Ada")</f>
        <v>Tidak Ada</v>
      </c>
      <c r="N1299" s="4"/>
      <c r="O1299" s="4" t="str">
        <f>IFERROR(__xludf.DUMMYFUNCTION("""COMPUTED_VALUE"""),"PEMBANDING SEJENIS")</f>
        <v>PEMBANDING SEJENIS</v>
      </c>
      <c r="P1299" s="4" t="str">
        <f>IFERROR(__xludf.DUMMYFUNCTION("""COMPUTED_VALUE"""),"KONEKTOR/JUMPER")</f>
        <v>KONEKTOR/JUMPER</v>
      </c>
      <c r="Q1299" s="4">
        <f>IFERROR(__xludf.DUMMYFUNCTION("""COMPUTED_VALUE"""),21.0)</f>
        <v>21</v>
      </c>
      <c r="R1299" s="4">
        <f>IFERROR(__xludf.DUMMYFUNCTION("""COMPUTED_VALUE"""),20.0)</f>
        <v>20</v>
      </c>
      <c r="S1299" s="4">
        <f>IFERROR(__xludf.DUMMYFUNCTION("""COMPUTED_VALUE"""),20.0)</f>
        <v>20</v>
      </c>
      <c r="T1299" s="4"/>
      <c r="U1299" s="4" t="str">
        <f>IFERROR(__xludf.DUMMYFUNCTION("""COMPUTED_VALUE"""),"BAIK")</f>
        <v>BAIK</v>
      </c>
      <c r="V1299" s="4" t="str">
        <f>IFERROR(__xludf.DUMMYFUNCTION("""COMPUTED_VALUE"""),"Tidak Ada")</f>
        <v>Tidak Ada</v>
      </c>
      <c r="W1299" s="4"/>
      <c r="X1299" s="4"/>
      <c r="Y1299" s="4"/>
      <c r="Z1299" s="4"/>
      <c r="AA1299" s="4"/>
      <c r="AB1299" s="4"/>
      <c r="AC1299" s="4" t="str">
        <f>IFERROR(__xludf.DUMMYFUNCTION("""COMPUTED_VALUE"""),"INSPEKSI SUTM - T2_Images/2d4a3283.FOTO.023235.jpg")</f>
        <v>INSPEKSI SUTM - T2_Images/2d4a3283.FOTO.023235.jpg</v>
      </c>
      <c r="AD1299" s="4"/>
      <c r="AE1299" s="4"/>
      <c r="AF1299" s="4" t="str">
        <f>IFERROR(__xludf.DUMMYFUNCTION("""COMPUTED_VALUE"""),"BELUM")</f>
        <v>BELUM</v>
      </c>
      <c r="AG1299" s="6">
        <f>IFERROR(__xludf.DUMMYFUNCTION("""COMPUTED_VALUE"""),46142.0)</f>
        <v>46142</v>
      </c>
      <c r="AH1299" s="4"/>
      <c r="AI1299" s="4"/>
    </row>
    <row r="1300" ht="15.75" customHeight="1">
      <c r="A1300" s="4" t="str">
        <f>IFERROR(__xludf.DUMMYFUNCTION("""COMPUTED_VALUE"""),"db83cf4c")</f>
        <v>db83cf4c</v>
      </c>
      <c r="B1300" s="5">
        <f>IFERROR(__xludf.DUMMYFUNCTION("""COMPUTED_VALUE"""),46142.39834490741)</f>
        <v>46142.39834</v>
      </c>
      <c r="C1300" s="4" t="str">
        <f>IFERROR(__xludf.DUMMYFUNCTION("""COMPUTED_VALUE"""),"-6.972361, 107.657644")</f>
        <v>-6.972361, 107.657644</v>
      </c>
      <c r="D1300" s="4" t="str">
        <f>IFERROR(__xludf.DUMMYFUNCTION("""COMPUTED_VALUE"""),"Jihan KIKI")</f>
        <v>Jihan KIKI</v>
      </c>
      <c r="E1300" s="4" t="str">
        <f>IFERROR(__xludf.DUMMYFUNCTION("""COMPUTED_VALUE"""),"BANDUNG")</f>
        <v>BANDUNG</v>
      </c>
      <c r="F1300" s="4" t="str">
        <f>IFERROR(__xludf.DUMMYFUNCTION("""COMPUTED_VALUE"""),"CIJAWURA")</f>
        <v>CIJAWURA</v>
      </c>
      <c r="G1300" s="4" t="str">
        <f>IFERROR(__xludf.DUMMYFUNCTION("""COMPUTED_VALUE"""),"GIS KIARACONDONG")</f>
        <v>GIS KIARACONDONG</v>
      </c>
      <c r="H1300" s="4" t="str">
        <f>IFERROR(__xludf.DUMMYFUNCTION("""COMPUTED_VALUE"""),"KMO")</f>
        <v>KMO</v>
      </c>
      <c r="I1300" s="4" t="str">
        <f>IFERROR(__xludf.DUMMYFUNCTION("""COMPUTED_VALUE"""),"CGTB - KNR")</f>
        <v>CGTB - KNR</v>
      </c>
      <c r="J1300" s="4" t="str">
        <f>IFERROR(__xludf.DUMMYFUNCTION("""COMPUTED_VALUE"""),"ZONA 3")</f>
        <v>ZONA 3</v>
      </c>
      <c r="K1300" s="4" t="str">
        <f>IFERROR(__xludf.DUMMYFUNCTION("""COMPUTED_VALUE"""),"067L03R06")</f>
        <v>067L03R06</v>
      </c>
      <c r="L1300" s="4" t="str">
        <f>IFERROR(__xludf.DUMMYFUNCTION("""COMPUTED_VALUE"""),"TM - 7B/H (Afspan 90 Derajat)")</f>
        <v>TM - 7B/H (Afspan 90 Derajat)</v>
      </c>
      <c r="M1300" s="4" t="str">
        <f>IFERROR(__xludf.DUMMYFUNCTION("""COMPUTED_VALUE"""),"Tidak Ada")</f>
        <v>Tidak Ada</v>
      </c>
      <c r="N1300" s="4"/>
      <c r="O1300" s="4" t="str">
        <f>IFERROR(__xludf.DUMMYFUNCTION("""COMPUTED_VALUE"""),"PEMBANDING SEJENIS")</f>
        <v>PEMBANDING SEJENIS</v>
      </c>
      <c r="P1300" s="4" t="str">
        <f>IFERROR(__xludf.DUMMYFUNCTION("""COMPUTED_VALUE"""),"ISOLATOR")</f>
        <v>ISOLATOR</v>
      </c>
      <c r="Q1300" s="4">
        <f>IFERROR(__xludf.DUMMYFUNCTION("""COMPUTED_VALUE"""),22.0)</f>
        <v>22</v>
      </c>
      <c r="R1300" s="4">
        <f>IFERROR(__xludf.DUMMYFUNCTION("""COMPUTED_VALUE"""),23.0)</f>
        <v>23</v>
      </c>
      <c r="S1300" s="4">
        <f>IFERROR(__xludf.DUMMYFUNCTION("""COMPUTED_VALUE"""),23.0)</f>
        <v>23</v>
      </c>
      <c r="T1300" s="4"/>
      <c r="U1300" s="4" t="str">
        <f>IFERROR(__xludf.DUMMYFUNCTION("""COMPUTED_VALUE"""),"BAIK")</f>
        <v>BAIK</v>
      </c>
      <c r="V1300" s="4" t="str">
        <f>IFERROR(__xludf.DUMMYFUNCTION("""COMPUTED_VALUE"""),"Tidak Ada")</f>
        <v>Tidak Ada</v>
      </c>
      <c r="W1300" s="4"/>
      <c r="X1300" s="4"/>
      <c r="Y1300" s="4"/>
      <c r="Z1300" s="4"/>
      <c r="AA1300" s="4"/>
      <c r="AB1300" s="4"/>
      <c r="AC1300" s="4" t="str">
        <f>IFERROR(__xludf.DUMMYFUNCTION("""COMPUTED_VALUE"""),"INSPEKSI SUTM - T2_Images/db83cf4c.FOTO.023538.jpg")</f>
        <v>INSPEKSI SUTM - T2_Images/db83cf4c.FOTO.023538.jpg</v>
      </c>
      <c r="AD1300" s="4"/>
      <c r="AE1300" s="4"/>
      <c r="AF1300" s="4" t="str">
        <f>IFERROR(__xludf.DUMMYFUNCTION("""COMPUTED_VALUE"""),"BELUM")</f>
        <v>BELUM</v>
      </c>
      <c r="AG1300" s="6">
        <f>IFERROR(__xludf.DUMMYFUNCTION("""COMPUTED_VALUE"""),46142.0)</f>
        <v>46142</v>
      </c>
      <c r="AH1300" s="4"/>
      <c r="AI1300" s="4"/>
    </row>
    <row r="1301" ht="15.75" customHeight="1">
      <c r="A1301" s="4" t="str">
        <f>IFERROR(__xludf.DUMMYFUNCTION("""COMPUTED_VALUE"""),"27cc53b0")</f>
        <v>27cc53b0</v>
      </c>
      <c r="B1301" s="5">
        <f>IFERROR(__xludf.DUMMYFUNCTION("""COMPUTED_VALUE"""),46142.40016203704)</f>
        <v>46142.40016</v>
      </c>
      <c r="C1301" s="4" t="str">
        <f>IFERROR(__xludf.DUMMYFUNCTION("""COMPUTED_VALUE"""),"-6.971865, 107.657804")</f>
        <v>-6.971865, 107.657804</v>
      </c>
      <c r="D1301" s="4" t="str">
        <f>IFERROR(__xludf.DUMMYFUNCTION("""COMPUTED_VALUE"""),"Jihan kiki")</f>
        <v>Jihan kiki</v>
      </c>
      <c r="E1301" s="4" t="str">
        <f>IFERROR(__xludf.DUMMYFUNCTION("""COMPUTED_VALUE"""),"BANDUNG")</f>
        <v>BANDUNG</v>
      </c>
      <c r="F1301" s="4" t="str">
        <f>IFERROR(__xludf.DUMMYFUNCTION("""COMPUTED_VALUE"""),"CIJAWURA")</f>
        <v>CIJAWURA</v>
      </c>
      <c r="G1301" s="4" t="str">
        <f>IFERROR(__xludf.DUMMYFUNCTION("""COMPUTED_VALUE"""),"GIS KIARACONDONG")</f>
        <v>GIS KIARACONDONG</v>
      </c>
      <c r="H1301" s="4" t="str">
        <f>IFERROR(__xludf.DUMMYFUNCTION("""COMPUTED_VALUE"""),"KMO")</f>
        <v>KMO</v>
      </c>
      <c r="I1301" s="4" t="str">
        <f>IFERROR(__xludf.DUMMYFUNCTION("""COMPUTED_VALUE"""),"CGTB - KNR")</f>
        <v>CGTB - KNR</v>
      </c>
      <c r="J1301" s="4" t="str">
        <f>IFERROR(__xludf.DUMMYFUNCTION("""COMPUTED_VALUE"""),"ZONA 3")</f>
        <v>ZONA 3</v>
      </c>
      <c r="K1301" s="4" t="str">
        <f>IFERROR(__xludf.DUMMYFUNCTION("""COMPUTED_VALUE"""),"067L03R07")</f>
        <v>067L03R07</v>
      </c>
      <c r="L1301" s="4" t="str">
        <f>IFERROR(__xludf.DUMMYFUNCTION("""COMPUTED_VALUE"""),"TM - 7B/H (Afspan 90 Derajat)")</f>
        <v>TM - 7B/H (Afspan 90 Derajat)</v>
      </c>
      <c r="M1301" s="4" t="str">
        <f>IFERROR(__xludf.DUMMYFUNCTION("""COMPUTED_VALUE"""),"Tidak Ada")</f>
        <v>Tidak Ada</v>
      </c>
      <c r="N1301" s="4"/>
      <c r="O1301" s="4" t="str">
        <f>IFERROR(__xludf.DUMMYFUNCTION("""COMPUTED_VALUE"""),"PEMBANDING SEJENIS")</f>
        <v>PEMBANDING SEJENIS</v>
      </c>
      <c r="P1301" s="4" t="str">
        <f>IFERROR(__xludf.DUMMYFUNCTION("""COMPUTED_VALUE"""),"KONEKTOR/JUMPER")</f>
        <v>KONEKTOR/JUMPER</v>
      </c>
      <c r="Q1301" s="4">
        <f>IFERROR(__xludf.DUMMYFUNCTION("""COMPUTED_VALUE"""),23.0)</f>
        <v>23</v>
      </c>
      <c r="R1301" s="4">
        <f>IFERROR(__xludf.DUMMYFUNCTION("""COMPUTED_VALUE"""),22.0)</f>
        <v>22</v>
      </c>
      <c r="S1301" s="4">
        <f>IFERROR(__xludf.DUMMYFUNCTION("""COMPUTED_VALUE"""),23.0)</f>
        <v>23</v>
      </c>
      <c r="T1301" s="4"/>
      <c r="U1301" s="4" t="str">
        <f>IFERROR(__xludf.DUMMYFUNCTION("""COMPUTED_VALUE"""),"BAIK")</f>
        <v>BAIK</v>
      </c>
      <c r="V1301" s="4" t="str">
        <f>IFERROR(__xludf.DUMMYFUNCTION("""COMPUTED_VALUE"""),"Tidak Ada")</f>
        <v>Tidak Ada</v>
      </c>
      <c r="W1301" s="4"/>
      <c r="X1301" s="4"/>
      <c r="Y1301" s="4"/>
      <c r="Z1301" s="4"/>
      <c r="AA1301" s="4"/>
      <c r="AB1301" s="4"/>
      <c r="AC1301" s="4" t="str">
        <f>IFERROR(__xludf.DUMMYFUNCTION("""COMPUTED_VALUE"""),"INSPEKSI SUTM - T2_Images/27cc53b0.FOTO.025414.jpg")</f>
        <v>INSPEKSI SUTM - T2_Images/27cc53b0.FOTO.025414.jpg</v>
      </c>
      <c r="AD1301" s="4"/>
      <c r="AE1301" s="4"/>
      <c r="AF1301" s="4" t="str">
        <f>IFERROR(__xludf.DUMMYFUNCTION("""COMPUTED_VALUE"""),"BELUM")</f>
        <v>BELUM</v>
      </c>
      <c r="AG1301" s="6">
        <f>IFERROR(__xludf.DUMMYFUNCTION("""COMPUTED_VALUE"""),46142.0)</f>
        <v>46142</v>
      </c>
      <c r="AH1301" s="4"/>
      <c r="AI1301" s="4"/>
    </row>
    <row r="1302" ht="15.75" customHeight="1">
      <c r="A1302" s="4" t="str">
        <f>IFERROR(__xludf.DUMMYFUNCTION("""COMPUTED_VALUE"""),"34089593")</f>
        <v>34089593</v>
      </c>
      <c r="B1302" s="5">
        <f>IFERROR(__xludf.DUMMYFUNCTION("""COMPUTED_VALUE"""),46142.41376157408)</f>
        <v>46142.41376</v>
      </c>
      <c r="C1302" s="4" t="str">
        <f>IFERROR(__xludf.DUMMYFUNCTION("""COMPUTED_VALUE"""),"-6.969799, 107.657297")</f>
        <v>-6.969799, 107.657297</v>
      </c>
      <c r="D1302" s="4" t="str">
        <f>IFERROR(__xludf.DUMMYFUNCTION("""COMPUTED_VALUE"""),"Jihan kiki")</f>
        <v>Jihan kiki</v>
      </c>
      <c r="E1302" s="4" t="str">
        <f>IFERROR(__xludf.DUMMYFUNCTION("""COMPUTED_VALUE"""),"BANDUNG")</f>
        <v>BANDUNG</v>
      </c>
      <c r="F1302" s="4" t="str">
        <f>IFERROR(__xludf.DUMMYFUNCTION("""COMPUTED_VALUE"""),"CIJAWURA")</f>
        <v>CIJAWURA</v>
      </c>
      <c r="G1302" s="4" t="str">
        <f>IFERROR(__xludf.DUMMYFUNCTION("""COMPUTED_VALUE"""),"GIS KIARACONDONG")</f>
        <v>GIS KIARACONDONG</v>
      </c>
      <c r="H1302" s="4" t="str">
        <f>IFERROR(__xludf.DUMMYFUNCTION("""COMPUTED_VALUE"""),"KMO")</f>
        <v>KMO</v>
      </c>
      <c r="I1302" s="4" t="str">
        <f>IFERROR(__xludf.DUMMYFUNCTION("""COMPUTED_VALUE"""),"CGTB - KNR")</f>
        <v>CGTB - KNR</v>
      </c>
      <c r="J1302" s="4" t="str">
        <f>IFERROR(__xludf.DUMMYFUNCTION("""COMPUTED_VALUE"""),"ZONA 3")</f>
        <v>ZONA 3</v>
      </c>
      <c r="K1302" s="4" t="str">
        <f>IFERROR(__xludf.DUMMYFUNCTION("""COMPUTED_VALUE"""),"067L14")</f>
        <v>067L14</v>
      </c>
      <c r="L1302" s="4" t="str">
        <f>IFERROR(__xludf.DUMMYFUNCTION("""COMPUTED_VALUE"""),"TM - 14B/H (Akhir)")</f>
        <v>TM - 14B/H (Akhir)</v>
      </c>
      <c r="M1302" s="4" t="str">
        <f>IFERROR(__xludf.DUMMYFUNCTION("""COMPUTED_VALUE"""),"Tidak Ada")</f>
        <v>Tidak Ada</v>
      </c>
      <c r="N1302" s="4"/>
      <c r="O1302" s="4" t="str">
        <f>IFERROR(__xludf.DUMMYFUNCTION("""COMPUTED_VALUE"""),"PEMBANDING SEJENIS")</f>
        <v>PEMBANDING SEJENIS</v>
      </c>
      <c r="P1302" s="4" t="str">
        <f>IFERROR(__xludf.DUMMYFUNCTION("""COMPUTED_VALUE"""),"KONEKTOR/JUMPER")</f>
        <v>KONEKTOR/JUMPER</v>
      </c>
      <c r="Q1302" s="4">
        <f>IFERROR(__xludf.DUMMYFUNCTION("""COMPUTED_VALUE"""),22.0)</f>
        <v>22</v>
      </c>
      <c r="R1302" s="4">
        <f>IFERROR(__xludf.DUMMYFUNCTION("""COMPUTED_VALUE"""),22.0)</f>
        <v>22</v>
      </c>
      <c r="S1302" s="4">
        <f>IFERROR(__xludf.DUMMYFUNCTION("""COMPUTED_VALUE"""),20.0)</f>
        <v>20</v>
      </c>
      <c r="T1302" s="4"/>
      <c r="U1302" s="4" t="str">
        <f>IFERROR(__xludf.DUMMYFUNCTION("""COMPUTED_VALUE"""),"BAIK")</f>
        <v>BAIK</v>
      </c>
      <c r="V1302" s="4" t="str">
        <f>IFERROR(__xludf.DUMMYFUNCTION("""COMPUTED_VALUE"""),"Tidak Ada")</f>
        <v>Tidak Ada</v>
      </c>
      <c r="W1302" s="4"/>
      <c r="X1302" s="4"/>
      <c r="Y1302" s="4"/>
      <c r="Z1302" s="4"/>
      <c r="AA1302" s="4"/>
      <c r="AB1302" s="4"/>
      <c r="AC1302" s="4" t="str">
        <f>IFERROR(__xludf.DUMMYFUNCTION("""COMPUTED_VALUE"""),"INSPEKSI SUTM - T2_Images/34089593.FOTO.025914.jpg")</f>
        <v>INSPEKSI SUTM - T2_Images/34089593.FOTO.025914.jpg</v>
      </c>
      <c r="AD1302" s="4"/>
      <c r="AE1302" s="4"/>
      <c r="AF1302" s="4" t="str">
        <f>IFERROR(__xludf.DUMMYFUNCTION("""COMPUTED_VALUE"""),"BELUM")</f>
        <v>BELUM</v>
      </c>
      <c r="AG1302" s="6">
        <f>IFERROR(__xludf.DUMMYFUNCTION("""COMPUTED_VALUE"""),46142.0)</f>
        <v>46142</v>
      </c>
      <c r="AH1302" s="4"/>
      <c r="AI1302" s="4"/>
    </row>
    <row r="1303" ht="15.75" customHeight="1">
      <c r="A1303" s="4" t="str">
        <f>IFERROR(__xludf.DUMMYFUNCTION("""COMPUTED_VALUE"""),"48233ead")</f>
        <v>48233ead</v>
      </c>
      <c r="B1303" s="5">
        <f>IFERROR(__xludf.DUMMYFUNCTION("""COMPUTED_VALUE"""),46142.4165162037)</f>
        <v>46142.41652</v>
      </c>
      <c r="C1303" s="4" t="str">
        <f>IFERROR(__xludf.DUMMYFUNCTION("""COMPUTED_VALUE"""),"-6.969731, 107.656201")</f>
        <v>-6.969731, 107.656201</v>
      </c>
      <c r="D1303" s="4" t="str">
        <f>IFERROR(__xludf.DUMMYFUNCTION("""COMPUTED_VALUE"""),"Jihan kiki")</f>
        <v>Jihan kiki</v>
      </c>
      <c r="E1303" s="4" t="str">
        <f>IFERROR(__xludf.DUMMYFUNCTION("""COMPUTED_VALUE"""),"BANDUNG")</f>
        <v>BANDUNG</v>
      </c>
      <c r="F1303" s="4" t="str">
        <f>IFERROR(__xludf.DUMMYFUNCTION("""COMPUTED_VALUE"""),"CIJAWURA")</f>
        <v>CIJAWURA</v>
      </c>
      <c r="G1303" s="4" t="str">
        <f>IFERROR(__xludf.DUMMYFUNCTION("""COMPUTED_VALUE"""),"GIS KIARACONDONG")</f>
        <v>GIS KIARACONDONG</v>
      </c>
      <c r="H1303" s="4" t="str">
        <f>IFERROR(__xludf.DUMMYFUNCTION("""COMPUTED_VALUE"""),"KMO")</f>
        <v>KMO</v>
      </c>
      <c r="I1303" s="4" t="str">
        <f>IFERROR(__xludf.DUMMYFUNCTION("""COMPUTED_VALUE"""),"CGTB - KNR")</f>
        <v>CGTB - KNR</v>
      </c>
      <c r="J1303" s="4" t="str">
        <f>IFERROR(__xludf.DUMMYFUNCTION("""COMPUTED_VALUE"""),"ZONA 3")</f>
        <v>ZONA 3</v>
      </c>
      <c r="K1303" s="4" t="str">
        <f>IFERROR(__xludf.DUMMYFUNCTION("""COMPUTED_VALUE"""),"067L09")</f>
        <v>067L09</v>
      </c>
      <c r="L1303" s="4" t="str">
        <f>IFERROR(__xludf.DUMMYFUNCTION("""COMPUTED_VALUE"""),"TM - 7B/H (Afspan 90 Derajat)")</f>
        <v>TM - 7B/H (Afspan 90 Derajat)</v>
      </c>
      <c r="M1303" s="4" t="str">
        <f>IFERROR(__xludf.DUMMYFUNCTION("""COMPUTED_VALUE"""),"Tidak Ada")</f>
        <v>Tidak Ada</v>
      </c>
      <c r="N1303" s="4"/>
      <c r="O1303" s="4" t="str">
        <f>IFERROR(__xludf.DUMMYFUNCTION("""COMPUTED_VALUE"""),"PEMBANDING SEJENIS")</f>
        <v>PEMBANDING SEJENIS</v>
      </c>
      <c r="P1303" s="4" t="str">
        <f>IFERROR(__xludf.DUMMYFUNCTION("""COMPUTED_VALUE"""),"KONEKTOR/JUMPER")</f>
        <v>KONEKTOR/JUMPER</v>
      </c>
      <c r="Q1303" s="4">
        <f>IFERROR(__xludf.DUMMYFUNCTION("""COMPUTED_VALUE"""),20.0)</f>
        <v>20</v>
      </c>
      <c r="R1303" s="4">
        <f>IFERROR(__xludf.DUMMYFUNCTION("""COMPUTED_VALUE"""),21.0)</f>
        <v>21</v>
      </c>
      <c r="S1303" s="4">
        <f>IFERROR(__xludf.DUMMYFUNCTION("""COMPUTED_VALUE"""),22.0)</f>
        <v>22</v>
      </c>
      <c r="T1303" s="4"/>
      <c r="U1303" s="4" t="str">
        <f>IFERROR(__xludf.DUMMYFUNCTION("""COMPUTED_VALUE"""),"BAIK")</f>
        <v>BAIK</v>
      </c>
      <c r="V1303" s="4" t="str">
        <f>IFERROR(__xludf.DUMMYFUNCTION("""COMPUTED_VALUE"""),"Tidak Ada")</f>
        <v>Tidak Ada</v>
      </c>
      <c r="W1303" s="4"/>
      <c r="X1303" s="4"/>
      <c r="Y1303" s="4"/>
      <c r="Z1303" s="4"/>
      <c r="AA1303" s="4"/>
      <c r="AB1303" s="4"/>
      <c r="AC1303" s="4" t="str">
        <f>IFERROR(__xludf.DUMMYFUNCTION("""COMPUTED_VALUE"""),"INSPEKSI SUTM - T2_Images/48233ead.FOTO.030041.jpg")</f>
        <v>INSPEKSI SUTM - T2_Images/48233ead.FOTO.030041.jpg</v>
      </c>
      <c r="AD1303" s="4"/>
      <c r="AE1303" s="4"/>
      <c r="AF1303" s="4" t="str">
        <f>IFERROR(__xludf.DUMMYFUNCTION("""COMPUTED_VALUE"""),"BELUM")</f>
        <v>BELUM</v>
      </c>
      <c r="AG1303" s="6">
        <f>IFERROR(__xludf.DUMMYFUNCTION("""COMPUTED_VALUE"""),46142.0)</f>
        <v>46142</v>
      </c>
      <c r="AH1303" s="4"/>
      <c r="AI1303" s="4"/>
    </row>
    <row r="1304" ht="15.75" customHeight="1">
      <c r="A1304" s="4" t="str">
        <f>IFERROR(__xludf.DUMMYFUNCTION("""COMPUTED_VALUE"""),"86e37d34")</f>
        <v>86e37d34</v>
      </c>
      <c r="B1304" s="5">
        <f>IFERROR(__xludf.DUMMYFUNCTION("""COMPUTED_VALUE"""),46142.417662037034)</f>
        <v>46142.41766</v>
      </c>
      <c r="C1304" s="4" t="str">
        <f>IFERROR(__xludf.DUMMYFUNCTION("""COMPUTED_VALUE"""),"-6.969731, 107.656201")</f>
        <v>-6.969731, 107.656201</v>
      </c>
      <c r="D1304" s="4" t="str">
        <f>IFERROR(__xludf.DUMMYFUNCTION("""COMPUTED_VALUE"""),"Jihan kiki")</f>
        <v>Jihan kiki</v>
      </c>
      <c r="E1304" s="4" t="str">
        <f>IFERROR(__xludf.DUMMYFUNCTION("""COMPUTED_VALUE"""),"BANDUNG")</f>
        <v>BANDUNG</v>
      </c>
      <c r="F1304" s="4" t="str">
        <f>IFERROR(__xludf.DUMMYFUNCTION("""COMPUTED_VALUE"""),"CIJAWURA")</f>
        <v>CIJAWURA</v>
      </c>
      <c r="G1304" s="4" t="str">
        <f>IFERROR(__xludf.DUMMYFUNCTION("""COMPUTED_VALUE"""),"GIS KIARACONDONG")</f>
        <v>GIS KIARACONDONG</v>
      </c>
      <c r="H1304" s="4" t="str">
        <f>IFERROR(__xludf.DUMMYFUNCTION("""COMPUTED_VALUE"""),"KMO")</f>
        <v>KMO</v>
      </c>
      <c r="I1304" s="4" t="str">
        <f>IFERROR(__xludf.DUMMYFUNCTION("""COMPUTED_VALUE"""),"CGTB - KNR")</f>
        <v>CGTB - KNR</v>
      </c>
      <c r="J1304" s="4" t="str">
        <f>IFERROR(__xludf.DUMMYFUNCTION("""COMPUTED_VALUE"""),"ZONA 3")</f>
        <v>ZONA 3</v>
      </c>
      <c r="K1304" s="4" t="str">
        <f>IFERROR(__xludf.DUMMYFUNCTION("""COMPUTED_VALUE"""),"067L05")</f>
        <v>067L05</v>
      </c>
      <c r="L1304" s="4" t="str">
        <f>IFERROR(__xludf.DUMMYFUNCTION("""COMPUTED_VALUE"""),"TM - 8B/H (Percabangan)")</f>
        <v>TM - 8B/H (Percabangan)</v>
      </c>
      <c r="M1304" s="4" t="str">
        <f>IFERROR(__xludf.DUMMYFUNCTION("""COMPUTED_VALUE"""),"Tidak Ada")</f>
        <v>Tidak Ada</v>
      </c>
      <c r="N1304" s="4"/>
      <c r="O1304" s="4" t="str">
        <f>IFERROR(__xludf.DUMMYFUNCTION("""COMPUTED_VALUE"""),"PEMBANDING SEJENIS")</f>
        <v>PEMBANDING SEJENIS</v>
      </c>
      <c r="P1304" s="4" t="str">
        <f>IFERROR(__xludf.DUMMYFUNCTION("""COMPUTED_VALUE"""),"KONEKTOR/JUMPER")</f>
        <v>KONEKTOR/JUMPER</v>
      </c>
      <c r="Q1304" s="4">
        <f>IFERROR(__xludf.DUMMYFUNCTION("""COMPUTED_VALUE"""),21.0)</f>
        <v>21</v>
      </c>
      <c r="R1304" s="4">
        <f>IFERROR(__xludf.DUMMYFUNCTION("""COMPUTED_VALUE"""),22.0)</f>
        <v>22</v>
      </c>
      <c r="S1304" s="4">
        <f>IFERROR(__xludf.DUMMYFUNCTION("""COMPUTED_VALUE"""),23.0)</f>
        <v>23</v>
      </c>
      <c r="T1304" s="4"/>
      <c r="U1304" s="4" t="str">
        <f>IFERROR(__xludf.DUMMYFUNCTION("""COMPUTED_VALUE"""),"BAIK")</f>
        <v>BAIK</v>
      </c>
      <c r="V1304" s="4" t="str">
        <f>IFERROR(__xludf.DUMMYFUNCTION("""COMPUTED_VALUE"""),"Tidak Ada")</f>
        <v>Tidak Ada</v>
      </c>
      <c r="W1304" s="4"/>
      <c r="X1304" s="4"/>
      <c r="Y1304" s="4"/>
      <c r="Z1304" s="4"/>
      <c r="AA1304" s="4"/>
      <c r="AB1304" s="4"/>
      <c r="AC1304" s="4" t="str">
        <f>IFERROR(__xludf.DUMMYFUNCTION("""COMPUTED_VALUE"""),"INSPEKSI SUTM - T2_Images/86e37d34.FOTO.030220.jpg")</f>
        <v>INSPEKSI SUTM - T2_Images/86e37d34.FOTO.030220.jpg</v>
      </c>
      <c r="AD1304" s="4"/>
      <c r="AE1304" s="4"/>
      <c r="AF1304" s="4" t="str">
        <f>IFERROR(__xludf.DUMMYFUNCTION("""COMPUTED_VALUE"""),"BELUM")</f>
        <v>BELUM</v>
      </c>
      <c r="AG1304" s="6">
        <f>IFERROR(__xludf.DUMMYFUNCTION("""COMPUTED_VALUE"""),46142.0)</f>
        <v>46142</v>
      </c>
      <c r="AH1304" s="4"/>
      <c r="AI1304" s="4"/>
    </row>
    <row r="1305" ht="15.75" customHeight="1">
      <c r="A1305" s="4" t="str">
        <f>IFERROR(__xludf.DUMMYFUNCTION("""COMPUTED_VALUE"""),"d5c4b5ef")</f>
        <v>d5c4b5ef</v>
      </c>
      <c r="B1305" s="5">
        <f>IFERROR(__xludf.DUMMYFUNCTION("""COMPUTED_VALUE"""),46142.421377314815)</f>
        <v>46142.42138</v>
      </c>
      <c r="C1305" s="4" t="str">
        <f>IFERROR(__xludf.DUMMYFUNCTION("""COMPUTED_VALUE"""),"-6.971454, 107.655863")</f>
        <v>-6.971454, 107.655863</v>
      </c>
      <c r="D1305" s="4" t="str">
        <f>IFERROR(__xludf.DUMMYFUNCTION("""COMPUTED_VALUE"""),"Jihan kiki")</f>
        <v>Jihan kiki</v>
      </c>
      <c r="E1305" s="4" t="str">
        <f>IFERROR(__xludf.DUMMYFUNCTION("""COMPUTED_VALUE"""),"BANDUNG")</f>
        <v>BANDUNG</v>
      </c>
      <c r="F1305" s="4" t="str">
        <f>IFERROR(__xludf.DUMMYFUNCTION("""COMPUTED_VALUE"""),"CIJAWURA")</f>
        <v>CIJAWURA</v>
      </c>
      <c r="G1305" s="4" t="str">
        <f>IFERROR(__xludf.DUMMYFUNCTION("""COMPUTED_VALUE"""),"GIS KIARACONDONG")</f>
        <v>GIS KIARACONDONG</v>
      </c>
      <c r="H1305" s="4" t="str">
        <f>IFERROR(__xludf.DUMMYFUNCTION("""COMPUTED_VALUE"""),"KMO")</f>
        <v>KMO</v>
      </c>
      <c r="I1305" s="4" t="str">
        <f>IFERROR(__xludf.DUMMYFUNCTION("""COMPUTED_VALUE"""),"CGTB - KNR")</f>
        <v>CGTB - KNR</v>
      </c>
      <c r="J1305" s="4" t="str">
        <f>IFERROR(__xludf.DUMMYFUNCTION("""COMPUTED_VALUE"""),"ZONA 3")</f>
        <v>ZONA 3</v>
      </c>
      <c r="K1305" s="4" t="str">
        <f>IFERROR(__xludf.DUMMYFUNCTION("""COMPUTED_VALUE"""),"067L03R09")</f>
        <v>067L03R09</v>
      </c>
      <c r="L1305" s="4" t="str">
        <f>IFERROR(__xludf.DUMMYFUNCTION("""COMPUTED_VALUE"""),"TM - 7B/H (Afspan 90 Derajat)")</f>
        <v>TM - 7B/H (Afspan 90 Derajat)</v>
      </c>
      <c r="M1305" s="4" t="str">
        <f>IFERROR(__xludf.DUMMYFUNCTION("""COMPUTED_VALUE"""),"Tidak Ada")</f>
        <v>Tidak Ada</v>
      </c>
      <c r="N1305" s="4"/>
      <c r="O1305" s="4" t="str">
        <f>IFERROR(__xludf.DUMMYFUNCTION("""COMPUTED_VALUE"""),"PEMBANDING SEJENIS")</f>
        <v>PEMBANDING SEJENIS</v>
      </c>
      <c r="P1305" s="4" t="str">
        <f>IFERROR(__xludf.DUMMYFUNCTION("""COMPUTED_VALUE"""),"KONEKTOR/JUMPER")</f>
        <v>KONEKTOR/JUMPER</v>
      </c>
      <c r="Q1305" s="4">
        <f>IFERROR(__xludf.DUMMYFUNCTION("""COMPUTED_VALUE"""),23.0)</f>
        <v>23</v>
      </c>
      <c r="R1305" s="4">
        <f>IFERROR(__xludf.DUMMYFUNCTION("""COMPUTED_VALUE"""),23.0)</f>
        <v>23</v>
      </c>
      <c r="S1305" s="4">
        <f>IFERROR(__xludf.DUMMYFUNCTION("""COMPUTED_VALUE"""),21.0)</f>
        <v>21</v>
      </c>
      <c r="T1305" s="4"/>
      <c r="U1305" s="4" t="str">
        <f>IFERROR(__xludf.DUMMYFUNCTION("""COMPUTED_VALUE"""),"BAIK")</f>
        <v>BAIK</v>
      </c>
      <c r="V1305" s="4" t="str">
        <f>IFERROR(__xludf.DUMMYFUNCTION("""COMPUTED_VALUE"""),"Tidak Ada")</f>
        <v>Tidak Ada</v>
      </c>
      <c r="W1305" s="4"/>
      <c r="X1305" s="4"/>
      <c r="Y1305" s="4"/>
      <c r="Z1305" s="4"/>
      <c r="AA1305" s="4"/>
      <c r="AB1305" s="4"/>
      <c r="AC1305" s="4" t="str">
        <f>IFERROR(__xludf.DUMMYFUNCTION("""COMPUTED_VALUE"""),"INSPEKSI SUTM - T2_Images/d5c4b5ef.FOTO.030750.jpg")</f>
        <v>INSPEKSI SUTM - T2_Images/d5c4b5ef.FOTO.030750.jpg</v>
      </c>
      <c r="AD1305" s="4"/>
      <c r="AE1305" s="4"/>
      <c r="AF1305" s="4" t="str">
        <f>IFERROR(__xludf.DUMMYFUNCTION("""COMPUTED_VALUE"""),"BELUM")</f>
        <v>BELUM</v>
      </c>
      <c r="AG1305" s="6">
        <f>IFERROR(__xludf.DUMMYFUNCTION("""COMPUTED_VALUE"""),46142.0)</f>
        <v>46142</v>
      </c>
      <c r="AH1305" s="4"/>
      <c r="AI1305" s="4"/>
    </row>
    <row r="1306" ht="15.75" customHeight="1">
      <c r="A1306" s="4" t="str">
        <f>IFERROR(__xludf.DUMMYFUNCTION("""COMPUTED_VALUE"""),"d057f836")</f>
        <v>d057f836</v>
      </c>
      <c r="B1306" s="5">
        <f>IFERROR(__xludf.DUMMYFUNCTION("""COMPUTED_VALUE"""),46142.422372685185)</f>
        <v>46142.42237</v>
      </c>
      <c r="C1306" s="4" t="str">
        <f>IFERROR(__xludf.DUMMYFUNCTION("""COMPUTED_VALUE"""),"-6.953576, 107.640788")</f>
        <v>-6.953576, 107.640788</v>
      </c>
      <c r="D1306" s="4" t="str">
        <f>IFERROR(__xludf.DUMMYFUNCTION("""COMPUTED_VALUE"""),"Jihan kiki")</f>
        <v>Jihan kiki</v>
      </c>
      <c r="E1306" s="4" t="str">
        <f>IFERROR(__xludf.DUMMYFUNCTION("""COMPUTED_VALUE"""),"BANDUNG")</f>
        <v>BANDUNG</v>
      </c>
      <c r="F1306" s="4" t="str">
        <f>IFERROR(__xludf.DUMMYFUNCTION("""COMPUTED_VALUE"""),"CIJAWURA")</f>
        <v>CIJAWURA</v>
      </c>
      <c r="G1306" s="4" t="str">
        <f>IFERROR(__xludf.DUMMYFUNCTION("""COMPUTED_VALUE"""),"GIS KIARACONDONG")</f>
        <v>GIS KIARACONDONG</v>
      </c>
      <c r="H1306" s="4" t="str">
        <f>IFERROR(__xludf.DUMMYFUNCTION("""COMPUTED_VALUE"""),"KMO")</f>
        <v>KMO</v>
      </c>
      <c r="I1306" s="4" t="str">
        <f>IFERROR(__xludf.DUMMYFUNCTION("""COMPUTED_VALUE"""),"CGTB - KNR")</f>
        <v>CGTB - KNR</v>
      </c>
      <c r="J1306" s="4" t="str">
        <f>IFERROR(__xludf.DUMMYFUNCTION("""COMPUTED_VALUE"""),"ZONA 3")</f>
        <v>ZONA 3</v>
      </c>
      <c r="K1306" s="4" t="str">
        <f>IFERROR(__xludf.DUMMYFUNCTION("""COMPUTED_VALUE"""),"067L03R10")</f>
        <v>067L03R10</v>
      </c>
      <c r="L1306" s="4" t="str">
        <f>IFERROR(__xludf.DUMMYFUNCTION("""COMPUTED_VALUE"""),"TM - 8B/H (Percabangan)")</f>
        <v>TM - 8B/H (Percabangan)</v>
      </c>
      <c r="M1306" s="4" t="str">
        <f>IFERROR(__xludf.DUMMYFUNCTION("""COMPUTED_VALUE"""),"Tidak Ada")</f>
        <v>Tidak Ada</v>
      </c>
      <c r="N1306" s="4"/>
      <c r="O1306" s="4" t="str">
        <f>IFERROR(__xludf.DUMMYFUNCTION("""COMPUTED_VALUE"""),"PEMBANDING SEJENIS")</f>
        <v>PEMBANDING SEJENIS</v>
      </c>
      <c r="P1306" s="4" t="str">
        <f>IFERROR(__xludf.DUMMYFUNCTION("""COMPUTED_VALUE"""),"KONEKTOR/JUMPER")</f>
        <v>KONEKTOR/JUMPER</v>
      </c>
      <c r="Q1306" s="4">
        <f>IFERROR(__xludf.DUMMYFUNCTION("""COMPUTED_VALUE"""),23.0)</f>
        <v>23</v>
      </c>
      <c r="R1306" s="4">
        <f>IFERROR(__xludf.DUMMYFUNCTION("""COMPUTED_VALUE"""),22.0)</f>
        <v>22</v>
      </c>
      <c r="S1306" s="4">
        <f>IFERROR(__xludf.DUMMYFUNCTION("""COMPUTED_VALUE"""),22.0)</f>
        <v>22</v>
      </c>
      <c r="T1306" s="4"/>
      <c r="U1306" s="4" t="str">
        <f>IFERROR(__xludf.DUMMYFUNCTION("""COMPUTED_VALUE"""),"BAIK")</f>
        <v>BAIK</v>
      </c>
      <c r="V1306" s="4" t="str">
        <f>IFERROR(__xludf.DUMMYFUNCTION("""COMPUTED_VALUE"""),"Tidak Ada")</f>
        <v>Tidak Ada</v>
      </c>
      <c r="W1306" s="4"/>
      <c r="X1306" s="4"/>
      <c r="Y1306" s="4"/>
      <c r="Z1306" s="4"/>
      <c r="AA1306" s="4"/>
      <c r="AB1306" s="4"/>
      <c r="AC1306" s="4" t="str">
        <f>IFERROR(__xludf.DUMMYFUNCTION("""COMPUTED_VALUE"""),"INSPEKSI SUTM - T2_Images/d057f836.FOTO.030931.jpg")</f>
        <v>INSPEKSI SUTM - T2_Images/d057f836.FOTO.030931.jpg</v>
      </c>
      <c r="AD1306" s="4"/>
      <c r="AE1306" s="4"/>
      <c r="AF1306" s="4" t="str">
        <f>IFERROR(__xludf.DUMMYFUNCTION("""COMPUTED_VALUE"""),"BELUM")</f>
        <v>BELUM</v>
      </c>
      <c r="AG1306" s="6">
        <f>IFERROR(__xludf.DUMMYFUNCTION("""COMPUTED_VALUE"""),46142.0)</f>
        <v>46142</v>
      </c>
      <c r="AH1306" s="4"/>
      <c r="AI1306" s="4"/>
    </row>
    <row r="1307" ht="15.75" customHeight="1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</row>
    <row r="1308" ht="15.75" customHeight="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</row>
    <row r="1309" ht="15.75" customHeight="1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</row>
    <row r="1310" ht="15.75" customHeight="1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</row>
    <row r="1311" ht="15.75" customHeight="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</row>
    <row r="1312" ht="15.75" customHeight="1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</row>
    <row r="1313" ht="15.75" customHeight="1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</row>
    <row r="1314" ht="15.75" customHeight="1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</row>
    <row r="1315" ht="15.75" customHeight="1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</row>
    <row r="1316" ht="15.75" customHeight="1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</row>
    <row r="1317" ht="15.75" customHeight="1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</row>
    <row r="1318" ht="15.75" customHeight="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</row>
    <row r="1319" ht="15.75" customHeight="1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</row>
    <row r="1320" ht="15.75" customHeight="1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</row>
    <row r="1321" ht="15.75" customHeight="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</row>
    <row r="1322" ht="15.75" customHeight="1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</row>
    <row r="1323" ht="15.75" customHeight="1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</row>
    <row r="1324" ht="15.75" customHeight="1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</row>
    <row r="1325" ht="15.75" customHeight="1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</row>
    <row r="1326" ht="15.75" customHeight="1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</row>
    <row r="1327" ht="15.75" customHeight="1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</row>
    <row r="1328" ht="15.75" customHeight="1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</row>
    <row r="1329" ht="15.75" customHeight="1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</row>
    <row r="1330" ht="15.75" customHeight="1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</row>
    <row r="1331" ht="15.75" customHeight="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</row>
    <row r="1332" ht="15.75" customHeight="1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</row>
    <row r="1333" ht="15.75" customHeight="1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</row>
    <row r="1334" ht="15.75" customHeight="1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</row>
    <row r="1335" ht="15.75" customHeight="1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</row>
    <row r="1336" ht="15.75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</row>
    <row r="1337" ht="15.75" customHeight="1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</row>
    <row r="1338" ht="15.75" customHeight="1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</row>
    <row r="1339" ht="15.75" customHeight="1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</row>
    <row r="1340" ht="15.75" customHeight="1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</row>
    <row r="1341" ht="15.75" customHeight="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</row>
    <row r="1342" ht="15.75" customHeight="1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</row>
    <row r="1343" ht="15.75" customHeight="1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</row>
    <row r="1344" ht="15.75" customHeight="1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</row>
    <row r="1345" ht="15.75" customHeight="1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</row>
    <row r="1346" ht="15.75" customHeight="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</row>
    <row r="1347" ht="15.75" customHeight="1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</row>
    <row r="1348" ht="15.75" customHeight="1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</row>
    <row r="1349" ht="15.75" customHeight="1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</row>
    <row r="1350" ht="15.75" customHeight="1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</row>
    <row r="1351" ht="15.75" customHeight="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</row>
    <row r="1352" ht="15.75" customHeight="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</row>
    <row r="1353" ht="15.75" customHeight="1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</row>
    <row r="1354" ht="15.75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</row>
    <row r="1355" ht="15.75" customHeight="1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</row>
    <row r="1356" ht="15.75" customHeight="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</row>
    <row r="1357" ht="15.75" customHeight="1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</row>
    <row r="1358" ht="15.75" customHeight="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</row>
    <row r="1359" ht="15.75" customHeight="1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</row>
    <row r="1360" ht="15.7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</row>
    <row r="1361" ht="15.75" customHeight="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</row>
    <row r="1362" ht="15.75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</row>
    <row r="1363" ht="15.75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</row>
    <row r="1364" ht="15.75" customHeight="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</row>
    <row r="1365" ht="15.75" customHeight="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</row>
    <row r="1366" ht="15.75" customHeight="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</row>
    <row r="1367" ht="15.75" customHeight="1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</row>
    <row r="1368" ht="15.75" customHeight="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</row>
    <row r="1369" ht="15.75" customHeight="1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</row>
    <row r="1370" ht="15.75" customHeight="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</row>
    <row r="1371" ht="15.75" customHeight="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</row>
    <row r="1372" ht="15.75" customHeight="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</row>
    <row r="1373" ht="15.75" customHeight="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</row>
    <row r="1374" ht="15.75" customHeight="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</row>
    <row r="1375" ht="15.75" customHeight="1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</row>
    <row r="1376" ht="15.75" customHeight="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</row>
    <row r="1377" ht="15.75" customHeight="1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</row>
    <row r="1378" ht="15.75" customHeight="1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</row>
    <row r="1379" ht="15.75" customHeight="1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</row>
    <row r="1380" ht="15.75" customHeight="1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</row>
    <row r="1381" ht="15.75" customHeight="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</row>
    <row r="1382" ht="15.75" customHeight="1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</row>
    <row r="1383" ht="15.75" customHeight="1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</row>
    <row r="1384" ht="15.75" customHeight="1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</row>
    <row r="1385" ht="15.75" customHeight="1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</row>
    <row r="1386" ht="15.75" customHeight="1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</row>
    <row r="1387" ht="15.75" customHeight="1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</row>
    <row r="1388" ht="15.75" customHeight="1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</row>
    <row r="1389" ht="15.75" customHeight="1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</row>
    <row r="1390" ht="15.75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</row>
    <row r="1391" ht="15.75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</row>
    <row r="1392" ht="15.75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</row>
    <row r="1393" ht="15.75" customHeight="1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</row>
    <row r="1394" ht="15.75" customHeight="1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</row>
    <row r="1395" ht="15.75" customHeight="1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</row>
    <row r="1396" ht="15.75" customHeight="1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</row>
    <row r="1397" ht="15.75" customHeight="1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</row>
    <row r="1398" ht="15.75" customHeight="1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</row>
    <row r="1399" ht="15.75" customHeight="1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</row>
    <row r="1400" ht="15.75" customHeight="1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</row>
    <row r="1401" ht="15.75" customHeight="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</row>
    <row r="1402" ht="15.75" customHeight="1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</row>
    <row r="1403" ht="15.75" customHeight="1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</row>
    <row r="1404" ht="15.75" customHeight="1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</row>
    <row r="1405" ht="15.75" customHeight="1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</row>
    <row r="1406" ht="15.75" customHeight="1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</row>
    <row r="1407" ht="15.75" customHeight="1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</row>
    <row r="1408" ht="15.75" customHeight="1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</row>
    <row r="1409" ht="15.75" customHeight="1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</row>
    <row r="1410" ht="15.75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</row>
    <row r="1411" ht="15.75" customHeight="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</row>
    <row r="1412" ht="15.75" customHeight="1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</row>
    <row r="1413" ht="15.75" customHeight="1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</row>
    <row r="1414" ht="15.75" customHeight="1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</row>
    <row r="1415" ht="15.75" customHeight="1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</row>
    <row r="1416" ht="15.75" customHeight="1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</row>
    <row r="1417" ht="15.75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</row>
    <row r="1418" ht="15.75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</row>
    <row r="1419" ht="15.75" customHeight="1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</row>
    <row r="1420" ht="15.75" customHeight="1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</row>
    <row r="1421" ht="15.75" customHeight="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</row>
    <row r="1422" ht="15.75" customHeight="1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</row>
    <row r="1423" ht="15.75" customHeight="1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</row>
    <row r="1424" ht="15.75" customHeight="1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</row>
    <row r="1425" ht="15.75" customHeight="1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</row>
    <row r="1426" ht="15.75" customHeight="1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</row>
    <row r="1427" ht="15.75" customHeight="1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</row>
    <row r="1428" ht="15.75" customHeight="1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</row>
    <row r="1429" ht="15.75" customHeight="1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</row>
    <row r="1430" ht="15.75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</row>
    <row r="1431" ht="15.75" customHeight="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</row>
    <row r="1432" ht="15.75" customHeight="1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</row>
    <row r="1433" ht="15.75" customHeight="1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</row>
    <row r="1434" ht="15.75" customHeight="1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</row>
    <row r="1435" ht="15.75" customHeight="1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</row>
    <row r="1436" ht="15.75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</row>
    <row r="1437" ht="15.75" customHeight="1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</row>
    <row r="1438" ht="15.75" customHeight="1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</row>
    <row r="1439" ht="15.75" customHeight="1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</row>
    <row r="1440" ht="15.75" customHeight="1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</row>
    <row r="1441" ht="15.75" customHeight="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</row>
    <row r="1442" ht="15.75" customHeight="1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</row>
    <row r="1443" ht="15.75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</row>
    <row r="1444" ht="15.75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</row>
    <row r="1445" ht="15.75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</row>
    <row r="1446" ht="15.75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</row>
    <row r="1447" ht="15.75" customHeight="1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</row>
    <row r="1448" ht="15.75" customHeight="1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</row>
    <row r="1449" ht="15.75" customHeight="1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</row>
    <row r="1450" ht="15.75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</row>
    <row r="1451" ht="15.75" customHeight="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</row>
    <row r="1452" ht="15.75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</row>
    <row r="1453" ht="15.75" customHeight="1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</row>
    <row r="1454" ht="15.75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</row>
    <row r="1455" ht="15.75" customHeight="1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</row>
    <row r="1456" ht="15.75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</row>
    <row r="1457" ht="15.75" customHeight="1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</row>
    <row r="1458" ht="15.75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</row>
    <row r="1459" ht="15.75" customHeight="1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</row>
    <row r="1460" ht="15.75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</row>
    <row r="1461" ht="15.75" customHeight="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</row>
    <row r="1462" ht="15.7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</row>
    <row r="1463" ht="15.75" customHeight="1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</row>
    <row r="1464" ht="15.75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</row>
    <row r="1465" ht="15.75" customHeight="1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</row>
    <row r="1466" ht="15.75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</row>
    <row r="1467" ht="15.75" customHeight="1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</row>
    <row r="1468" ht="15.75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</row>
    <row r="1469" ht="15.75" customHeight="1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</row>
    <row r="1470" ht="15.75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</row>
    <row r="1471" ht="15.75" customHeight="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</row>
    <row r="1472" ht="15.75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</row>
    <row r="1473" ht="15.75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</row>
    <row r="1474" ht="15.75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</row>
    <row r="1475" ht="15.75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</row>
    <row r="1476" ht="15.7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</row>
    <row r="1477" ht="15.75" customHeight="1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</row>
    <row r="1478" ht="15.75" customHeight="1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</row>
    <row r="1479" ht="15.75" customHeight="1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</row>
    <row r="1480" ht="15.75" customHeight="1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</row>
    <row r="1481" ht="15.75" customHeight="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</row>
    <row r="1482" ht="15.75" customHeight="1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</row>
    <row r="1483" ht="15.75" customHeight="1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</row>
    <row r="1484" ht="15.75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</row>
    <row r="1485" ht="15.75" customHeight="1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</row>
    <row r="1486" ht="15.75" customHeight="1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</row>
    <row r="1487" ht="15.75" customHeight="1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</row>
    <row r="1488" ht="15.75" customHeight="1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</row>
    <row r="1489" ht="15.75" customHeight="1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</row>
    <row r="1490" ht="15.75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</row>
    <row r="1491" ht="15.75" customHeight="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</row>
    <row r="1492" ht="15.75" customHeight="1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</row>
    <row r="1493" ht="15.75" customHeight="1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</row>
    <row r="1494" ht="15.75" customHeight="1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</row>
    <row r="1495" ht="15.75" customHeight="1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</row>
    <row r="1496" ht="15.75" customHeight="1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</row>
    <row r="1497" ht="15.75" customHeight="1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</row>
    <row r="1498" ht="15.75" customHeight="1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</row>
    <row r="1499" ht="15.75" customHeight="1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</row>
    <row r="1500" ht="15.75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</row>
    <row r="1501" ht="15.75" customHeight="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</row>
    <row r="1502" ht="15.75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</row>
    <row r="1503" ht="15.75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</row>
    <row r="1504" ht="15.75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</row>
    <row r="1505" ht="15.75" customHeight="1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</row>
    <row r="1506" ht="15.75" customHeight="1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</row>
    <row r="1507" ht="15.75" customHeight="1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</row>
    <row r="1508" ht="15.7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</row>
    <row r="1509" ht="15.75" customHeight="1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</row>
    <row r="1510" ht="15.75" customHeight="1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</row>
    <row r="1511" ht="15.75" customHeight="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</row>
    <row r="1512" ht="15.75" customHeight="1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</row>
    <row r="1513" ht="15.75" customHeight="1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</row>
    <row r="1514" ht="15.75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</row>
    <row r="1515" ht="15.75" customHeight="1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</row>
    <row r="1516" ht="15.75" customHeight="1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</row>
    <row r="1517" ht="15.75" customHeight="1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</row>
    <row r="1518" ht="15.75" customHeight="1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</row>
    <row r="1519" ht="15.75" customHeight="1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</row>
    <row r="1520" ht="15.75" customHeight="1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</row>
    <row r="1521" ht="15.7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</row>
    <row r="1522" ht="15.75" customHeight="1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</row>
    <row r="1523" ht="15.75" customHeight="1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</row>
    <row r="1524" ht="15.75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</row>
    <row r="1525" ht="15.75" customHeight="1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</row>
    <row r="1526" ht="15.75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</row>
    <row r="1527" ht="15.75" customHeight="1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</row>
    <row r="1528" ht="15.75" customHeight="1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</row>
    <row r="1529" ht="15.75" customHeight="1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</row>
    <row r="1530" ht="15.75" customHeight="1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</row>
    <row r="1531" ht="15.75" customHeight="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</row>
    <row r="1532" ht="15.75" customHeight="1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</row>
    <row r="1533" ht="15.75" customHeight="1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</row>
    <row r="1534" ht="15.75" customHeight="1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</row>
    <row r="1535" ht="15.75" customHeight="1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</row>
    <row r="1536" ht="15.75" customHeight="1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</row>
    <row r="1537" ht="15.75" customHeight="1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</row>
    <row r="1538" ht="15.75" customHeight="1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</row>
    <row r="1539" ht="15.75" customHeight="1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</row>
    <row r="1540" ht="15.7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</row>
    <row r="1541" ht="15.75" customHeight="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</row>
    <row r="1542" ht="15.75" customHeight="1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</row>
    <row r="1543" ht="15.75" customHeight="1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</row>
    <row r="1544" ht="15.75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</row>
    <row r="1545" ht="15.75" customHeight="1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</row>
    <row r="1546" ht="15.75" customHeight="1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</row>
    <row r="1547" ht="15.75" customHeight="1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</row>
    <row r="1548" ht="15.75" customHeight="1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</row>
    <row r="1549" ht="15.75" customHeight="1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</row>
    <row r="1550" ht="15.75" customHeight="1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</row>
    <row r="1551" ht="15.75" customHeight="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</row>
    <row r="1552" ht="15.75" customHeight="1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</row>
    <row r="1553" ht="15.75" customHeight="1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</row>
    <row r="1554" ht="15.75" customHeight="1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</row>
    <row r="1555" ht="15.75" customHeight="1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</row>
    <row r="1556" ht="15.75" customHeight="1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</row>
    <row r="1557" ht="15.75" customHeight="1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</row>
    <row r="1558" ht="15.75" customHeight="1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</row>
    <row r="1559" ht="15.75" customHeight="1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</row>
    <row r="1560" ht="15.75" customHeight="1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</row>
    <row r="1561" ht="15.75" customHeight="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</row>
    <row r="1562" ht="15.75" customHeight="1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</row>
    <row r="1563" ht="15.75" customHeight="1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</row>
    <row r="1564" ht="15.75" customHeight="1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</row>
    <row r="1565" ht="15.75" customHeight="1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</row>
    <row r="1566" ht="15.75" customHeight="1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</row>
    <row r="1567" ht="15.75" customHeight="1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</row>
    <row r="1568" ht="15.75" customHeight="1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</row>
    <row r="1569" ht="15.75" customHeight="1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</row>
    <row r="1570" ht="15.75" customHeight="1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</row>
    <row r="1571" ht="15.75" customHeight="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</row>
    <row r="1572" ht="15.75" customHeight="1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</row>
    <row r="1573" ht="15.75" customHeight="1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</row>
    <row r="1574" ht="15.75" customHeight="1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</row>
    <row r="1575" ht="15.75" customHeight="1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</row>
    <row r="1576" ht="15.75" customHeight="1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</row>
    <row r="1577" ht="15.75" customHeight="1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</row>
    <row r="1578" ht="15.75" customHeight="1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</row>
    <row r="1579" ht="15.75" customHeight="1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</row>
    <row r="1580" ht="15.75" customHeight="1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</row>
    <row r="1581" ht="15.75" customHeight="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</row>
    <row r="1582" ht="15.75" customHeight="1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</row>
    <row r="1583" ht="15.75" customHeight="1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</row>
    <row r="1584" ht="15.75" customHeight="1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</row>
    <row r="1585" ht="15.75" customHeight="1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</row>
    <row r="1586" ht="15.75" customHeight="1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</row>
    <row r="1587" ht="15.75" customHeight="1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</row>
    <row r="1588" ht="15.75" customHeight="1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</row>
    <row r="1589" ht="15.75" customHeight="1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</row>
    <row r="1590" ht="15.75" customHeight="1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</row>
    <row r="1591" ht="15.75" customHeight="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</row>
    <row r="1592" ht="15.75" customHeight="1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</row>
    <row r="1593" ht="15.75" customHeight="1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</row>
    <row r="1594" ht="15.75" customHeight="1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</row>
    <row r="1595" ht="15.75" customHeight="1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</row>
    <row r="1596" ht="15.75" customHeight="1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</row>
    <row r="1597" ht="15.75" customHeight="1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</row>
    <row r="1598" ht="15.75" customHeight="1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</row>
    <row r="1599" ht="15.75" customHeight="1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</row>
    <row r="1600" ht="15.75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</row>
    <row r="1601" ht="15.75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</row>
    <row r="1602" ht="15.75" customHeight="1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</row>
    <row r="1603" ht="15.75" customHeight="1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</row>
    <row r="1604" ht="15.75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</row>
    <row r="1605" ht="15.75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</row>
    <row r="1606" ht="15.75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</row>
    <row r="1607" ht="15.75" customHeight="1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</row>
    <row r="1608" ht="15.7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</row>
    <row r="1609" ht="15.75" customHeight="1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</row>
    <row r="1610" ht="15.75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</row>
    <row r="1611" ht="15.75" customHeight="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</row>
    <row r="1612" ht="15.75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</row>
    <row r="1613" ht="15.75" customHeight="1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</row>
    <row r="1614" ht="15.75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</row>
    <row r="1615" ht="15.75" customHeight="1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</row>
    <row r="1616" ht="15.75" customHeight="1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</row>
    <row r="1617" ht="15.75" customHeight="1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</row>
    <row r="1618" ht="15.75" customHeight="1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</row>
    <row r="1619" ht="15.75" customHeight="1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</row>
    <row r="1620" ht="15.75" customHeight="1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</row>
    <row r="1621" ht="15.75" customHeight="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</row>
    <row r="1622" ht="15.75" customHeight="1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</row>
    <row r="1623" ht="15.75" customHeight="1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</row>
    <row r="1624" ht="15.75" customHeight="1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</row>
    <row r="1625" ht="15.75" customHeight="1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</row>
    <row r="1626" ht="15.75" customHeight="1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</row>
    <row r="1627" ht="15.75" customHeight="1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</row>
    <row r="1628" ht="15.75" customHeight="1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</row>
    <row r="1629" ht="15.75" customHeight="1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</row>
    <row r="1630" ht="15.75" customHeight="1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</row>
    <row r="1631" ht="15.75" customHeight="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</row>
    <row r="1632" ht="15.75" customHeight="1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</row>
    <row r="1633" ht="15.75" customHeight="1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</row>
    <row r="1634" ht="15.75" customHeight="1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</row>
    <row r="1635" ht="15.75" customHeight="1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</row>
    <row r="1636" ht="15.75" customHeight="1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</row>
    <row r="1637" ht="15.75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</row>
    <row r="1638" ht="15.75" customHeight="1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</row>
    <row r="1639" ht="15.75" customHeight="1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</row>
    <row r="1640" ht="15.75" customHeight="1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</row>
    <row r="1641" ht="15.75" customHeight="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</row>
    <row r="1642" ht="15.75" customHeight="1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</row>
    <row r="1643" ht="15.75" customHeight="1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</row>
    <row r="1644" ht="15.75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</row>
    <row r="1645" ht="15.75" customHeight="1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</row>
    <row r="1646" ht="15.75" customHeight="1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</row>
    <row r="1647" ht="15.75" customHeight="1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</row>
    <row r="1648" ht="15.75" customHeight="1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</row>
    <row r="1649" ht="15.75" customHeight="1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</row>
    <row r="1650" ht="15.75" customHeight="1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</row>
    <row r="1651" ht="15.75" customHeight="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</row>
    <row r="1652" ht="15.75" customHeight="1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</row>
    <row r="1653" ht="15.75" customHeight="1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</row>
    <row r="1654" ht="15.75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</row>
    <row r="1655" ht="15.75" customHeight="1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</row>
    <row r="1656" ht="15.75" customHeight="1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</row>
    <row r="1657" ht="15.75" customHeight="1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</row>
    <row r="1658" ht="15.75" customHeight="1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</row>
    <row r="1659" ht="15.75" customHeight="1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</row>
    <row r="1660" ht="15.75" customHeight="1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</row>
    <row r="1661" ht="15.75" customHeight="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</row>
    <row r="1662" ht="15.75" customHeight="1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</row>
    <row r="1663" ht="15.75" customHeight="1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</row>
    <row r="1664" ht="15.75" customHeight="1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</row>
    <row r="1665" ht="15.75" customHeight="1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</row>
    <row r="1666" ht="15.75" customHeight="1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</row>
    <row r="1667" ht="15.75" customHeight="1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</row>
    <row r="1668" ht="15.75" customHeight="1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</row>
    <row r="1669" ht="15.75" customHeight="1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</row>
    <row r="1670" ht="15.75" customHeight="1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</row>
    <row r="1671" ht="15.75" customHeight="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</row>
    <row r="1672" ht="15.75" customHeight="1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</row>
    <row r="1673" ht="15.75" customHeight="1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</row>
    <row r="1674" ht="15.75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</row>
    <row r="1675" ht="15.75" customHeight="1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</row>
    <row r="1676" ht="15.75" customHeight="1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</row>
    <row r="1677" ht="15.75" customHeight="1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</row>
    <row r="1678" ht="15.75" customHeight="1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</row>
    <row r="1679" ht="15.75" customHeight="1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</row>
    <row r="1680" ht="15.75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</row>
    <row r="1681" ht="15.75" customHeight="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</row>
    <row r="1682" ht="15.75" customHeight="1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</row>
    <row r="1683" ht="15.75" customHeight="1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</row>
    <row r="1684" ht="15.75" customHeight="1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</row>
    <row r="1685" ht="15.75" customHeight="1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</row>
    <row r="1686" ht="15.75" customHeight="1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</row>
    <row r="1687" ht="15.75" customHeight="1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</row>
    <row r="1688" ht="15.75" customHeight="1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</row>
    <row r="1689" ht="15.75" customHeight="1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</row>
    <row r="1690" ht="15.75" customHeight="1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</row>
    <row r="1691" ht="15.75" customHeight="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</row>
    <row r="1692" ht="15.7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</row>
    <row r="1693" ht="15.75" customHeight="1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</row>
    <row r="1694" ht="15.7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</row>
    <row r="1695" ht="15.75" customHeight="1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</row>
    <row r="1696" ht="15.75" customHeight="1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</row>
    <row r="1697" ht="15.75" customHeight="1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</row>
    <row r="1698" ht="15.75" customHeight="1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</row>
    <row r="1699" ht="15.75" customHeight="1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</row>
    <row r="1700" ht="15.7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</row>
    <row r="1701" ht="15.75" customHeight="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</row>
    <row r="1702" ht="15.75" customHeight="1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</row>
    <row r="1703" ht="15.75" customHeight="1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</row>
    <row r="1704" ht="15.75" customHeight="1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</row>
    <row r="1705" ht="15.75" customHeight="1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</row>
    <row r="1706" ht="15.75" customHeight="1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</row>
    <row r="1707" ht="15.75" customHeight="1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</row>
    <row r="1708" ht="15.75" customHeight="1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</row>
    <row r="1709" ht="15.75" customHeight="1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</row>
    <row r="1710" ht="15.75" customHeight="1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</row>
    <row r="1711" ht="15.75" customHeight="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</row>
    <row r="1712" ht="15.75" customHeight="1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</row>
    <row r="1713" ht="15.75" customHeight="1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</row>
    <row r="1714" ht="15.7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</row>
    <row r="1715" ht="15.75" customHeight="1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</row>
    <row r="1716" ht="15.75" customHeight="1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</row>
    <row r="1717" ht="15.75" customHeight="1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</row>
    <row r="1718" ht="15.75" customHeight="1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</row>
    <row r="1719" ht="15.75" customHeight="1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</row>
    <row r="1720" ht="15.75" customHeight="1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</row>
    <row r="1721" ht="15.75" customHeight="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</row>
    <row r="1722" ht="15.75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</row>
    <row r="1723" ht="15.75" customHeight="1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</row>
    <row r="1724" ht="15.75" customHeight="1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</row>
    <row r="1725" ht="15.75" customHeight="1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</row>
    <row r="1726" ht="15.75" customHeight="1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</row>
    <row r="1727" ht="15.75" customHeight="1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</row>
    <row r="1728" ht="15.75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</row>
    <row r="1729" ht="15.75" customHeight="1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</row>
    <row r="1730" ht="15.75" customHeight="1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</row>
    <row r="1731" ht="15.75" customHeight="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</row>
    <row r="1732" ht="15.75" customHeight="1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</row>
    <row r="1733" ht="15.75" customHeight="1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</row>
    <row r="1734" ht="15.75" customHeight="1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</row>
    <row r="1735" ht="15.75" customHeight="1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</row>
    <row r="1736" ht="15.75" customHeight="1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</row>
    <row r="1737" ht="15.75" customHeight="1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</row>
    <row r="1738" ht="15.7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</row>
    <row r="1739" ht="15.75" customHeight="1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</row>
    <row r="1740" ht="15.75" customHeight="1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</row>
    <row r="1741" ht="15.75" customHeight="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</row>
    <row r="1742" ht="15.75" customHeight="1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</row>
    <row r="1743" ht="15.75" customHeight="1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</row>
    <row r="1744" ht="15.75" customHeight="1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</row>
    <row r="1745" ht="15.75" customHeight="1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</row>
    <row r="1746" ht="15.75" customHeight="1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</row>
    <row r="1747" ht="15.75" customHeight="1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</row>
    <row r="1748" ht="15.75" customHeight="1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</row>
    <row r="1749" ht="15.75" customHeight="1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</row>
    <row r="1750" ht="15.75" customHeight="1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</row>
    <row r="1751" ht="15.75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</row>
    <row r="1752" ht="15.75" customHeight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</row>
    <row r="1753" ht="15.75" customHeight="1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</row>
    <row r="1754" ht="15.75" customHeight="1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</row>
    <row r="1755" ht="15.75" customHeight="1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</row>
    <row r="1756" ht="15.75" customHeight="1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</row>
    <row r="1757" ht="15.75" customHeight="1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</row>
    <row r="1758" ht="15.75" customHeight="1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</row>
    <row r="1759" ht="15.75" customHeight="1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</row>
    <row r="1760" ht="15.75" customHeight="1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</row>
    <row r="1761" ht="15.75" customHeight="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</row>
    <row r="1762" ht="15.75" customHeight="1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</row>
    <row r="1763" ht="15.75" customHeight="1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</row>
    <row r="1764" ht="15.75" customHeight="1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</row>
    <row r="1765" ht="15.75" customHeight="1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</row>
    <row r="1766" ht="15.75" customHeight="1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</row>
    <row r="1767" ht="15.75" customHeight="1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</row>
    <row r="1768" ht="15.75" customHeight="1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</row>
    <row r="1769" ht="15.75" customHeight="1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</row>
    <row r="1770" ht="15.7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</row>
    <row r="1771" ht="15.75" customHeight="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</row>
    <row r="1772" ht="15.75" customHeight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</row>
    <row r="1773" ht="15.75" customHeight="1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</row>
    <row r="1774" ht="15.75" customHeight="1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</row>
    <row r="1775" ht="15.75" customHeight="1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</row>
    <row r="1776" ht="15.75" customHeight="1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</row>
    <row r="1777" ht="15.75" customHeight="1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</row>
    <row r="1778" ht="15.75" customHeight="1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</row>
    <row r="1779" ht="15.75" customHeight="1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</row>
    <row r="1780" ht="15.75" customHeight="1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</row>
    <row r="1781" ht="15.75" customHeight="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</row>
    <row r="1782" ht="15.75" customHeight="1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</row>
    <row r="1783" ht="15.75" customHeight="1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</row>
    <row r="1784" ht="15.75" customHeight="1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</row>
    <row r="1785" ht="15.75" customHeight="1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</row>
    <row r="1786" ht="15.7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</row>
    <row r="1787" ht="15.75" customHeight="1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</row>
    <row r="1788" ht="15.75" customHeight="1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</row>
    <row r="1789" ht="15.75" customHeight="1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</row>
    <row r="1790" ht="15.75" customHeight="1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</row>
    <row r="1791" ht="15.75" customHeight="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</row>
    <row r="1792" ht="15.75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</row>
    <row r="1793" ht="15.75" customHeight="1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</row>
    <row r="1794" ht="15.75" customHeight="1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</row>
    <row r="1795" ht="15.75" customHeight="1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</row>
    <row r="1796" ht="15.75" customHeight="1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</row>
    <row r="1797" ht="15.75" customHeight="1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</row>
    <row r="1798" ht="15.75" customHeight="1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</row>
    <row r="1799" ht="15.75" customHeight="1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</row>
    <row r="1800" ht="15.75" customHeight="1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</row>
    <row r="1801" ht="15.75" customHeight="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</row>
    <row r="1802" ht="15.75" customHeight="1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</row>
    <row r="1803" ht="15.75" customHeight="1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</row>
    <row r="1804" ht="15.75" customHeight="1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</row>
    <row r="1805" ht="15.75" customHeight="1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</row>
    <row r="1806" ht="15.75" customHeight="1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</row>
    <row r="1807" ht="15.75" customHeight="1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</row>
    <row r="1808" ht="15.75" customHeight="1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</row>
    <row r="1809" ht="15.75" customHeight="1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</row>
    <row r="1810" ht="15.75" customHeight="1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</row>
    <row r="1811" ht="15.75" customHeight="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</row>
    <row r="1812" ht="15.75" customHeight="1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</row>
    <row r="1813" ht="15.75" customHeight="1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</row>
    <row r="1814" ht="15.75" customHeight="1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</row>
    <row r="1815" ht="15.75" customHeight="1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</row>
    <row r="1816" ht="15.75" customHeight="1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</row>
    <row r="1817" ht="15.75" customHeight="1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</row>
    <row r="1818" ht="15.75" customHeight="1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</row>
    <row r="1819" ht="15.75" customHeight="1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</row>
    <row r="1820" ht="15.75" customHeight="1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</row>
    <row r="1821" ht="15.75" customHeight="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</row>
    <row r="1822" ht="15.75" customHeight="1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</row>
    <row r="1823" ht="15.75" customHeight="1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</row>
    <row r="1824" ht="15.75" customHeight="1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</row>
    <row r="1825" ht="15.75" customHeight="1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</row>
    <row r="1826" ht="15.75" customHeight="1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</row>
    <row r="1827" ht="15.75" customHeight="1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</row>
    <row r="1828" ht="15.75" customHeight="1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</row>
    <row r="1829" ht="15.75" customHeight="1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</row>
    <row r="1830" ht="15.75" customHeight="1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</row>
    <row r="1831" ht="15.75" customHeight="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</row>
    <row r="1832" ht="15.75" customHeight="1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</row>
    <row r="1833" ht="15.75" customHeight="1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</row>
    <row r="1834" ht="15.75" customHeight="1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</row>
    <row r="1835" ht="15.75" customHeight="1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</row>
    <row r="1836" ht="15.75" customHeight="1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</row>
    <row r="1837" ht="15.75" customHeight="1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</row>
    <row r="1838" ht="15.75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</row>
    <row r="1839" ht="15.75" customHeight="1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</row>
    <row r="1840" ht="15.75" customHeight="1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</row>
    <row r="1841" ht="15.75" customHeight="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</row>
    <row r="1842" ht="15.75" customHeight="1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</row>
    <row r="1843" ht="15.75" customHeight="1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</row>
    <row r="1844" ht="15.75" customHeight="1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</row>
    <row r="1845" ht="15.75" customHeight="1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</row>
    <row r="1846" ht="15.75" customHeight="1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</row>
    <row r="1847" ht="15.75" customHeight="1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</row>
    <row r="1848" ht="15.75" customHeight="1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</row>
    <row r="1849" ht="15.75" customHeight="1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</row>
    <row r="1850" ht="15.75" customHeight="1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</row>
    <row r="1851" ht="15.75" customHeight="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</row>
    <row r="1852" ht="15.75" customHeight="1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</row>
    <row r="1853" ht="15.75" customHeight="1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</row>
    <row r="1854" ht="15.75" customHeight="1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</row>
    <row r="1855" ht="15.75" customHeight="1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</row>
    <row r="1856" ht="15.75" customHeight="1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</row>
    <row r="1857" ht="15.75" customHeight="1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</row>
    <row r="1858" ht="15.75" customHeight="1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</row>
    <row r="1859" ht="15.75" customHeight="1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</row>
    <row r="1860" ht="15.75" customHeight="1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</row>
    <row r="1861" ht="15.75" customHeight="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</row>
    <row r="1862" ht="15.75" customHeight="1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</row>
    <row r="1863" ht="15.75" customHeight="1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</row>
    <row r="1864" ht="15.75" customHeight="1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</row>
    <row r="1865" ht="15.75" customHeight="1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</row>
    <row r="1866" ht="15.75" customHeight="1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</row>
    <row r="1867" ht="15.75" customHeight="1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</row>
    <row r="1868" ht="15.75" customHeight="1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</row>
    <row r="1869" ht="15.75" customHeight="1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</row>
    <row r="1870" ht="15.75" customHeight="1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</row>
    <row r="1871" ht="15.75" customHeight="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</row>
    <row r="1872" ht="15.75" customHeight="1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</row>
    <row r="1873" ht="15.75" customHeight="1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</row>
    <row r="1874" ht="15.75" customHeight="1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</row>
    <row r="1875" ht="15.75" customHeight="1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</row>
    <row r="1876" ht="15.75" customHeight="1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</row>
    <row r="1877" ht="15.75" customHeight="1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</row>
    <row r="1878" ht="15.75" customHeight="1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</row>
    <row r="1879" ht="15.75" customHeight="1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</row>
    <row r="1880" ht="15.75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</row>
    <row r="1881" ht="15.75" customHeight="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</row>
    <row r="1882" ht="15.75" customHeight="1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</row>
    <row r="1883" ht="15.75" customHeight="1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</row>
    <row r="1884" ht="15.75" customHeight="1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</row>
    <row r="1885" ht="15.75" customHeight="1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</row>
    <row r="1886" ht="15.75" customHeight="1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</row>
    <row r="1887" ht="15.75" customHeight="1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</row>
    <row r="1888" ht="15.75" customHeight="1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</row>
    <row r="1889" ht="15.75" customHeight="1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</row>
    <row r="1890" ht="15.75" customHeight="1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</row>
    <row r="1891" ht="15.75" customHeight="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</row>
    <row r="1892" ht="15.75" customHeight="1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</row>
    <row r="1893" ht="15.75" customHeight="1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</row>
    <row r="1894" ht="15.75" customHeight="1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</row>
    <row r="1895" ht="15.75" customHeight="1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</row>
    <row r="1896" ht="15.75" customHeight="1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</row>
    <row r="1897" ht="15.75" customHeight="1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</row>
    <row r="1898" ht="15.75" customHeight="1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</row>
    <row r="1899" ht="15.75" customHeight="1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</row>
    <row r="1900" ht="15.75" customHeight="1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</row>
    <row r="1901" ht="15.75" customHeight="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</row>
    <row r="1902" ht="15.75" customHeight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</row>
    <row r="1903" ht="15.75" customHeight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</row>
    <row r="1904" ht="15.75" customHeight="1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</row>
    <row r="1905" ht="15.75" customHeight="1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</row>
    <row r="1906" ht="15.75" customHeight="1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</row>
    <row r="1907" ht="15.75" customHeight="1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</row>
    <row r="1908" ht="15.75" customHeight="1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</row>
    <row r="1909" ht="15.75" customHeight="1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</row>
    <row r="1910" ht="15.75" customHeight="1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</row>
    <row r="1911" ht="15.75" customHeight="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</row>
    <row r="1912" ht="15.75" customHeight="1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</row>
    <row r="1913" ht="15.75" customHeight="1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</row>
    <row r="1914" ht="15.75" customHeight="1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</row>
    <row r="1915" ht="15.75" customHeight="1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</row>
    <row r="1916" ht="15.75" customHeight="1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</row>
    <row r="1917" ht="15.75" customHeight="1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</row>
    <row r="1918" ht="15.75" customHeight="1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</row>
    <row r="1919" ht="15.75" customHeight="1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</row>
    <row r="1920" ht="15.75" customHeight="1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</row>
    <row r="1921" ht="15.75" customHeight="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</row>
    <row r="1922" ht="15.75" customHeight="1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</row>
    <row r="1923" ht="15.75" customHeight="1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</row>
    <row r="1924" ht="15.75" customHeight="1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</row>
    <row r="1925" ht="15.75" customHeight="1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</row>
    <row r="1926" ht="15.75" customHeight="1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</row>
    <row r="1927" ht="15.75" customHeight="1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</row>
    <row r="1928" ht="15.75" customHeight="1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</row>
    <row r="1929" ht="15.75" customHeight="1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</row>
    <row r="1930" ht="15.75" customHeight="1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</row>
    <row r="1931" ht="15.75" customHeight="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</row>
    <row r="1932" ht="15.75" customHeight="1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</row>
    <row r="1933" ht="15.75" customHeight="1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</row>
    <row r="1934" ht="15.75" customHeight="1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</row>
    <row r="1935" ht="15.75" customHeight="1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</row>
    <row r="1936" ht="15.75" customHeight="1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</row>
    <row r="1937" ht="15.75" customHeight="1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</row>
    <row r="1938" ht="15.75" customHeight="1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</row>
    <row r="1939" ht="15.75" customHeight="1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</row>
    <row r="1940" ht="15.75" customHeight="1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</row>
    <row r="1941" ht="15.75" customHeight="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</row>
    <row r="1942" ht="15.75" customHeight="1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</row>
    <row r="1943" ht="15.75" customHeight="1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</row>
    <row r="1944" ht="15.75" customHeight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</row>
    <row r="1945" ht="15.75" customHeight="1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</row>
    <row r="1946" ht="15.75" customHeight="1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</row>
    <row r="1947" ht="15.75" customHeight="1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</row>
    <row r="1948" ht="15.75" customHeight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</row>
    <row r="1949" ht="15.75" customHeight="1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</row>
    <row r="1950" ht="15.75" customHeight="1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</row>
    <row r="1951" ht="15.75" customHeight="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</row>
    <row r="1952" ht="15.75" customHeight="1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</row>
    <row r="1953" ht="15.75" customHeight="1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</row>
    <row r="1954" ht="15.75" customHeight="1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</row>
    <row r="1955" ht="15.75" customHeight="1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</row>
    <row r="1956" ht="15.75" customHeight="1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</row>
    <row r="1957" ht="15.75" customHeight="1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</row>
    <row r="1958" ht="15.75" customHeight="1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</row>
    <row r="1959" ht="15.75" customHeight="1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</row>
    <row r="1960" ht="15.75" customHeight="1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</row>
    <row r="1961" ht="15.75" customHeight="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</row>
    <row r="1962" ht="15.75" customHeight="1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</row>
    <row r="1963" ht="15.75" customHeight="1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</row>
    <row r="1964" ht="15.75" customHeight="1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</row>
    <row r="1965" ht="15.75" customHeight="1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</row>
    <row r="1966" ht="15.75" customHeight="1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</row>
    <row r="1967" ht="15.75" customHeight="1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</row>
    <row r="1968" ht="15.75" customHeight="1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</row>
    <row r="1969" ht="15.75" customHeight="1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</row>
    <row r="1970" ht="15.75" customHeight="1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</row>
    <row r="1971" ht="15.75" customHeight="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</row>
    <row r="1972" ht="15.75" customHeight="1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</row>
    <row r="1973" ht="15.75" customHeight="1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</row>
    <row r="1974" ht="15.75" customHeight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</row>
    <row r="1975" ht="15.75" customHeight="1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</row>
    <row r="1976" ht="15.75" customHeight="1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</row>
    <row r="1977" ht="15.75" customHeight="1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</row>
    <row r="1978" ht="15.75" customHeight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</row>
    <row r="1979" ht="15.75" customHeight="1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</row>
    <row r="1980" ht="15.75" customHeight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</row>
    <row r="1981" ht="15.75" customHeight="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</row>
    <row r="1982" ht="15.75" customHeight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</row>
    <row r="1983" ht="15.75" customHeight="1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</row>
    <row r="1984" ht="15.75" customHeight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</row>
    <row r="1985" ht="15.75" customHeight="1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</row>
    <row r="1986" ht="15.75" customHeight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</row>
    <row r="1987" ht="15.75" customHeight="1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</row>
    <row r="1988" ht="15.75" customHeight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</row>
    <row r="1989" ht="15.75" customHeight="1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</row>
    <row r="1990" ht="15.75" customHeight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</row>
    <row r="1991" ht="15.75" customHeight="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</row>
    <row r="1992" ht="15.75" customHeight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</row>
    <row r="1993" ht="15.75" customHeight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</row>
    <row r="1994" ht="15.75" customHeight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</row>
    <row r="1995" ht="15.75" customHeight="1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</row>
    <row r="1996" ht="15.75" customHeight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</row>
    <row r="1997" ht="15.75" customHeight="1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</row>
    <row r="1998" ht="15.75" customHeight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</row>
    <row r="1999" ht="15.75" customHeight="1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</row>
    <row r="2000" ht="15.75" customHeight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</row>
    <row r="2001" ht="15.75" customHeight="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</row>
    <row r="2002" ht="15.75" customHeight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</row>
    <row r="2003" ht="15.75" customHeight="1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</row>
    <row r="2004" ht="15.75" customHeight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</row>
    <row r="2005" ht="15.75" customHeight="1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</row>
    <row r="2006" ht="15.75" customHeight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</row>
    <row r="2007" ht="15.75" customHeight="1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</row>
    <row r="2008" ht="15.75" customHeight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</row>
    <row r="2009" ht="15.75" customHeight="1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</row>
    <row r="2010" ht="15.75" customHeight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</row>
    <row r="2011" ht="15.75" customHeight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</row>
    <row r="2012" ht="15.75" customHeight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</row>
    <row r="2013" ht="15.75" customHeight="1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</row>
    <row r="2014" ht="15.75" customHeight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</row>
    <row r="2015" ht="15.75" customHeight="1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</row>
    <row r="2016" ht="15.75" customHeight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</row>
    <row r="2017" ht="15.75" customHeight="1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</row>
    <row r="2018" ht="15.75" customHeight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</row>
    <row r="2019" ht="15.75" customHeight="1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</row>
    <row r="2020" ht="15.75" customHeight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</row>
    <row r="2021" ht="15.75" customHeight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</row>
    <row r="2022" ht="15.75" customHeight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</row>
    <row r="2023" ht="15.75" customHeight="1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</row>
    <row r="2024" ht="15.75" customHeight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</row>
    <row r="2025" ht="15.75" customHeight="1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</row>
    <row r="2026" ht="15.75" customHeight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</row>
    <row r="2027" ht="15.75" customHeight="1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</row>
    <row r="2028" ht="15.75" customHeight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</row>
    <row r="2029" ht="15.75" customHeight="1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</row>
    <row r="2030" ht="15.75" customHeight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</row>
    <row r="2031" ht="15.75" customHeight="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</row>
    <row r="2032" ht="15.75" customHeight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</row>
    <row r="2033" ht="15.75" customHeight="1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</row>
    <row r="2034" ht="15.75" customHeight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</row>
    <row r="2035" ht="15.75" customHeight="1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</row>
    <row r="2036" ht="15.75" customHeight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</row>
    <row r="2037" ht="15.75" customHeight="1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</row>
    <row r="2038" ht="15.75" customHeight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</row>
    <row r="2039" ht="15.75" customHeight="1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</row>
    <row r="2040" ht="15.75" customHeight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</row>
    <row r="2041" ht="15.75" customHeight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</row>
    <row r="2042" ht="15.75" customHeight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</row>
    <row r="2043" ht="15.75" customHeight="1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</row>
    <row r="2044" ht="15.75" customHeight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</row>
    <row r="2045" ht="15.75" customHeight="1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</row>
    <row r="2046" ht="15.75" customHeight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</row>
    <row r="2047" ht="15.75" customHeight="1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</row>
    <row r="2048" ht="15.75" customHeight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</row>
    <row r="2049" ht="15.75" customHeight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</row>
    <row r="2050" ht="15.75" customHeight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</row>
    <row r="2051" ht="15.75" customHeight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</row>
    <row r="2052" ht="15.75" customHeight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</row>
    <row r="2053" ht="15.75" customHeight="1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</row>
    <row r="2054" ht="15.75" customHeight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</row>
    <row r="2055" ht="15.75" customHeight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</row>
    <row r="2056" ht="15.75" customHeight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</row>
    <row r="2057" ht="15.75" customHeight="1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</row>
    <row r="2058" ht="15.75" customHeight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</row>
    <row r="2059" ht="15.75" customHeight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</row>
    <row r="2060" ht="15.75" customHeight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</row>
    <row r="2061" ht="15.75" customHeight="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</row>
    <row r="2062" ht="15.75" customHeight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</row>
    <row r="2063" ht="15.75" customHeight="1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</row>
    <row r="2064" ht="15.75" customHeight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</row>
    <row r="2065" ht="15.75" customHeight="1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</row>
    <row r="2066" ht="15.75" customHeight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</row>
    <row r="2067" ht="15.75" customHeight="1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</row>
    <row r="2068" ht="15.75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</row>
    <row r="2069" ht="15.75" customHeight="1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</row>
    <row r="2070" ht="15.75" customHeight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</row>
    <row r="2071" ht="15.75" customHeight="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</row>
    <row r="2072" ht="15.75" customHeight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</row>
    <row r="2073" ht="15.75" customHeight="1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</row>
    <row r="2074" ht="15.75" customHeight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</row>
    <row r="2075" ht="15.75" customHeight="1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</row>
    <row r="2076" ht="15.75" customHeight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</row>
    <row r="2077" ht="15.75" customHeight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</row>
    <row r="2078" ht="15.75" customHeight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</row>
    <row r="2079" ht="15.75" customHeight="1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</row>
    <row r="2080" ht="15.75" customHeight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</row>
    <row r="2081" ht="15.75" customHeight="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</row>
    <row r="2082" ht="15.75" customHeight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</row>
    <row r="2083" ht="15.75" customHeight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</row>
    <row r="2084" ht="15.75" customHeight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</row>
    <row r="2085" ht="15.75" customHeight="1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</row>
    <row r="2086" ht="15.75" customHeight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</row>
    <row r="2087" ht="15.75" customHeight="1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</row>
    <row r="2088" ht="15.75" customHeight="1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</row>
    <row r="2089" ht="15.75" customHeight="1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</row>
    <row r="2090" ht="15.75" customHeight="1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</row>
    <row r="2091" ht="15.75" customHeight="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</row>
    <row r="2092" ht="15.75" customHeight="1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</row>
    <row r="2093" ht="15.75" customHeight="1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</row>
    <row r="2094" ht="15.75" customHeight="1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</row>
    <row r="2095" ht="15.75" customHeight="1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</row>
    <row r="2096" ht="15.75" customHeight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</row>
    <row r="2097" ht="15.75" customHeight="1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</row>
    <row r="2098" ht="15.75" customHeight="1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</row>
    <row r="2099" ht="15.75" customHeight="1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</row>
    <row r="2100" ht="15.75" customHeight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</row>
    <row r="2101" ht="15.75" customHeight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</row>
    <row r="2102" ht="15.75" customHeight="1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</row>
    <row r="2103" ht="15.75" customHeight="1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</row>
    <row r="2104" ht="15.75" customHeight="1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</row>
    <row r="2105" ht="15.75" customHeight="1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</row>
    <row r="2106" ht="15.75" customHeight="1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</row>
    <row r="2107" ht="15.75" customHeight="1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</row>
    <row r="2108" ht="15.75" customHeight="1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</row>
    <row r="2109" ht="15.75" customHeight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</row>
    <row r="2110" ht="15.75" customHeight="1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</row>
    <row r="2111" ht="15.75" customHeight="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</row>
    <row r="2112" ht="15.75" customHeight="1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</row>
    <row r="2113" ht="15.75" customHeight="1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</row>
    <row r="2114" ht="15.75" customHeight="1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</row>
    <row r="2115" ht="15.75" customHeight="1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</row>
    <row r="2116" ht="15.75" customHeight="1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</row>
    <row r="2117" ht="15.75" customHeight="1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</row>
    <row r="2118" ht="15.75" customHeight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</row>
    <row r="2119" ht="15.75" customHeight="1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</row>
    <row r="2120" ht="15.75" customHeight="1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</row>
    <row r="2121" ht="15.75" customHeight="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</row>
    <row r="2122" ht="15.75" customHeight="1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</row>
    <row r="2123" ht="15.75" customHeight="1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</row>
    <row r="2124" ht="15.75" customHeight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</row>
    <row r="2125" ht="15.75" customHeight="1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</row>
    <row r="2126" ht="15.75" customHeight="1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</row>
    <row r="2127" ht="15.75" customHeight="1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</row>
    <row r="2128" ht="15.75" customHeight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</row>
    <row r="2129" ht="15.75" customHeight="1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</row>
    <row r="2130" ht="15.75" customHeight="1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</row>
    <row r="2131" ht="15.75" customHeight="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</row>
    <row r="2132" ht="15.75" customHeight="1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</row>
    <row r="2133" ht="15.75" customHeight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</row>
    <row r="2134" ht="15.75" customHeight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</row>
    <row r="2135" ht="15.75" customHeight="1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</row>
    <row r="2136" ht="15.75" customHeight="1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</row>
    <row r="2137" ht="15.75" customHeight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</row>
    <row r="2138" ht="15.75" customHeight="1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</row>
    <row r="2139" ht="15.75" customHeight="1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</row>
    <row r="2140" ht="15.75" customHeight="1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</row>
    <row r="2141" ht="15.75" customHeight="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</row>
    <row r="2142" ht="15.75" customHeight="1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</row>
    <row r="2143" ht="15.75" customHeight="1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</row>
    <row r="2144" ht="15.75" customHeight="1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</row>
    <row r="2145" ht="15.75" customHeight="1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</row>
    <row r="2146" ht="15.75" customHeight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</row>
    <row r="2147" ht="15.75" customHeight="1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</row>
    <row r="2148" ht="15.75" customHeight="1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</row>
    <row r="2149" ht="15.75" customHeight="1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</row>
    <row r="2150" ht="15.75" customHeight="1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</row>
    <row r="2151" ht="15.75" customHeight="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</row>
    <row r="2152" ht="15.75" customHeight="1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</row>
    <row r="2153" ht="15.75" customHeight="1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</row>
    <row r="2154" ht="15.75" customHeight="1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</row>
    <row r="2155" ht="15.75" customHeight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</row>
    <row r="2156" ht="15.75" customHeight="1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</row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8.29"/>
    <col customWidth="1" min="3" max="33" width="3.86"/>
    <col customWidth="1" min="34" max="34" width="7.0"/>
    <col customWidth="1" min="36" max="36" width="9.43"/>
    <col customWidth="1" min="37" max="37" width="19.86"/>
    <col customWidth="1" min="38" max="51" width="3.86"/>
    <col customWidth="1" min="52" max="68" width="4.57"/>
    <col customWidth="1" min="69" max="69" width="7.0"/>
    <col customWidth="1" min="71" max="71" width="12.14"/>
    <col customWidth="1" min="72" max="72" width="18.29"/>
    <col customWidth="1" min="87" max="87" width="18.29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</row>
    <row r="2">
      <c r="A2" s="8" t="s">
        <v>35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</row>
    <row r="3">
      <c r="A3" s="9" t="str">
        <f>TEXT(C5,"MMMM YYYY")</f>
        <v>Januari 2026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10" t="s">
        <v>36</v>
      </c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1" t="s">
        <v>37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12" t="s">
        <v>38</v>
      </c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13" t="s">
        <v>39</v>
      </c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11" t="str">
        <f>IFERROR(__xludf.DUMMYFUNCTION("IMPORTRANGE(""https://docs.google.com/spreadsheets/d/12TE8M_p6EnBoqpF6IdzWmRIv03v9u170E6-j1n9ONG4/edit"",""HARIAN Z2 2024!BS4:CF14"")"),"GANGGUAN ZONA 2 2024(BULANAN)")</f>
        <v>GANGGUAN ZONA 2 2024(BULANAN)</v>
      </c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11" t="s">
        <v>40</v>
      </c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</row>
    <row r="5" ht="43.5" customHeight="1">
      <c r="A5" s="14" t="s">
        <v>41</v>
      </c>
      <c r="B5" s="14" t="s">
        <v>42</v>
      </c>
      <c r="C5" s="15">
        <v>46023.0</v>
      </c>
      <c r="D5" s="15">
        <v>46024.0</v>
      </c>
      <c r="E5" s="15">
        <v>46025.0</v>
      </c>
      <c r="F5" s="15">
        <v>46026.0</v>
      </c>
      <c r="G5" s="15">
        <v>46027.0</v>
      </c>
      <c r="H5" s="15">
        <v>46028.0</v>
      </c>
      <c r="I5" s="15">
        <v>46029.0</v>
      </c>
      <c r="J5" s="15">
        <v>46030.0</v>
      </c>
      <c r="K5" s="15">
        <v>46031.0</v>
      </c>
      <c r="L5" s="15">
        <v>46032.0</v>
      </c>
      <c r="M5" s="15">
        <v>46033.0</v>
      </c>
      <c r="N5" s="15">
        <v>46034.0</v>
      </c>
      <c r="O5" s="15">
        <v>46035.0</v>
      </c>
      <c r="P5" s="15">
        <v>46036.0</v>
      </c>
      <c r="Q5" s="15">
        <v>46037.0</v>
      </c>
      <c r="R5" s="15">
        <v>46038.0</v>
      </c>
      <c r="S5" s="15">
        <v>46039.0</v>
      </c>
      <c r="T5" s="15">
        <v>46040.0</v>
      </c>
      <c r="U5" s="15">
        <v>46041.0</v>
      </c>
      <c r="V5" s="15">
        <v>46042.0</v>
      </c>
      <c r="W5" s="15">
        <v>46043.0</v>
      </c>
      <c r="X5" s="15">
        <v>46044.0</v>
      </c>
      <c r="Y5" s="15">
        <v>46045.0</v>
      </c>
      <c r="Z5" s="15">
        <v>46046.0</v>
      </c>
      <c r="AA5" s="15">
        <v>46047.0</v>
      </c>
      <c r="AB5" s="15">
        <v>46048.0</v>
      </c>
      <c r="AC5" s="15">
        <v>46049.0</v>
      </c>
      <c r="AD5" s="15">
        <v>46050.0</v>
      </c>
      <c r="AE5" s="15">
        <v>46051.0</v>
      </c>
      <c r="AF5" s="15">
        <v>46052.0</v>
      </c>
      <c r="AG5" s="15">
        <v>46053.0</v>
      </c>
      <c r="AH5" s="16" t="s">
        <v>43</v>
      </c>
      <c r="AI5" s="17"/>
      <c r="AJ5" s="18" t="s">
        <v>41</v>
      </c>
      <c r="AK5" s="18" t="s">
        <v>42</v>
      </c>
      <c r="AL5" s="19">
        <v>46023.0</v>
      </c>
      <c r="AM5" s="19">
        <v>46024.0</v>
      </c>
      <c r="AN5" s="19">
        <v>46025.0</v>
      </c>
      <c r="AO5" s="19">
        <v>46026.0</v>
      </c>
      <c r="AP5" s="19">
        <v>46027.0</v>
      </c>
      <c r="AQ5" s="19">
        <v>46028.0</v>
      </c>
      <c r="AR5" s="19">
        <v>46029.0</v>
      </c>
      <c r="AS5" s="19">
        <v>46030.0</v>
      </c>
      <c r="AT5" s="19">
        <v>46031.0</v>
      </c>
      <c r="AU5" s="19">
        <v>46032.0</v>
      </c>
      <c r="AV5" s="19">
        <v>46033.0</v>
      </c>
      <c r="AW5" s="19">
        <v>46034.0</v>
      </c>
      <c r="AX5" s="19">
        <v>46035.0</v>
      </c>
      <c r="AY5" s="19">
        <v>46036.0</v>
      </c>
      <c r="AZ5" s="19">
        <v>46037.0</v>
      </c>
      <c r="BA5" s="19">
        <v>46038.0</v>
      </c>
      <c r="BB5" s="19">
        <v>46039.0</v>
      </c>
      <c r="BC5" s="19">
        <v>46040.0</v>
      </c>
      <c r="BD5" s="19">
        <v>46041.0</v>
      </c>
      <c r="BE5" s="19">
        <v>46042.0</v>
      </c>
      <c r="BF5" s="19">
        <v>46043.0</v>
      </c>
      <c r="BG5" s="19">
        <v>46044.0</v>
      </c>
      <c r="BH5" s="19">
        <v>46045.0</v>
      </c>
      <c r="BI5" s="19">
        <v>46046.0</v>
      </c>
      <c r="BJ5" s="19">
        <v>46047.0</v>
      </c>
      <c r="BK5" s="19">
        <v>46048.0</v>
      </c>
      <c r="BL5" s="19">
        <v>46049.0</v>
      </c>
      <c r="BM5" s="19">
        <v>46050.0</v>
      </c>
      <c r="BN5" s="19">
        <v>46051.0</v>
      </c>
      <c r="BO5" s="19">
        <v>46052.0</v>
      </c>
      <c r="BP5" s="19">
        <v>46053.0</v>
      </c>
      <c r="BQ5" s="18" t="s">
        <v>43</v>
      </c>
      <c r="BR5" s="17"/>
      <c r="BS5" s="20" t="s">
        <v>41</v>
      </c>
      <c r="BT5" s="20" t="s">
        <v>42</v>
      </c>
      <c r="BU5" s="20" t="s">
        <v>44</v>
      </c>
      <c r="BV5" s="20" t="s">
        <v>45</v>
      </c>
      <c r="BW5" s="20" t="s">
        <v>46</v>
      </c>
      <c r="BX5" s="20" t="s">
        <v>47</v>
      </c>
      <c r="BY5" s="20" t="s">
        <v>48</v>
      </c>
      <c r="BZ5" s="20" t="s">
        <v>49</v>
      </c>
      <c r="CA5" s="20" t="s">
        <v>50</v>
      </c>
      <c r="CB5" s="20" t="s">
        <v>51</v>
      </c>
      <c r="CC5" s="20" t="s">
        <v>52</v>
      </c>
      <c r="CD5" s="20" t="s">
        <v>53</v>
      </c>
      <c r="CE5" s="20" t="s">
        <v>54</v>
      </c>
      <c r="CF5" s="20" t="s">
        <v>55</v>
      </c>
      <c r="CG5" s="21"/>
      <c r="CH5" s="20" t="s">
        <v>41</v>
      </c>
      <c r="CI5" s="20" t="s">
        <v>42</v>
      </c>
      <c r="CJ5" s="22" t="s">
        <v>56</v>
      </c>
      <c r="CK5" s="22" t="s">
        <v>57</v>
      </c>
      <c r="CL5" s="22" t="s">
        <v>58</v>
      </c>
      <c r="CM5" s="22" t="s">
        <v>59</v>
      </c>
      <c r="CN5" s="23"/>
      <c r="CO5" s="23"/>
      <c r="CP5" s="23"/>
      <c r="CQ5" s="23"/>
      <c r="CR5" s="23"/>
      <c r="CS5" s="23"/>
      <c r="CT5" s="23"/>
      <c r="CU5" s="23"/>
      <c r="CV5" s="17"/>
      <c r="CW5" s="24" t="s">
        <v>41</v>
      </c>
      <c r="CX5" s="24" t="s">
        <v>42</v>
      </c>
      <c r="CY5" s="24" t="s">
        <v>44</v>
      </c>
      <c r="CZ5" s="24" t="s">
        <v>45</v>
      </c>
      <c r="DA5" s="24" t="s">
        <v>46</v>
      </c>
      <c r="DB5" s="24" t="s">
        <v>47</v>
      </c>
      <c r="DC5" s="24" t="s">
        <v>48</v>
      </c>
      <c r="DD5" s="24" t="s">
        <v>49</v>
      </c>
      <c r="DE5" s="24" t="s">
        <v>50</v>
      </c>
      <c r="DF5" s="24" t="s">
        <v>51</v>
      </c>
      <c r="DG5" s="24" t="s">
        <v>52</v>
      </c>
      <c r="DH5" s="24" t="s">
        <v>53</v>
      </c>
      <c r="DI5" s="24" t="s">
        <v>54</v>
      </c>
      <c r="DJ5" s="24" t="s">
        <v>55</v>
      </c>
      <c r="DK5" s="17"/>
      <c r="DL5" s="25" t="str">
        <f>IFERROR(__xludf.DUMMYFUNCTION("""COMPUTED_VALUE"""),"NO")</f>
        <v>NO</v>
      </c>
      <c r="DM5" s="25" t="str">
        <f>IFERROR(__xludf.DUMMYFUNCTION("""COMPUTED_VALUE"""),"UNIT")</f>
        <v>UNIT</v>
      </c>
      <c r="DN5" s="26" t="str">
        <f>IFERROR(__xludf.DUMMYFUNCTION("""COMPUTED_VALUE"""),"JAN")</f>
        <v>JAN</v>
      </c>
      <c r="DO5" s="26" t="str">
        <f>IFERROR(__xludf.DUMMYFUNCTION("""COMPUTED_VALUE"""),"FEB")</f>
        <v>FEB</v>
      </c>
      <c r="DP5" s="26" t="str">
        <f>IFERROR(__xludf.DUMMYFUNCTION("""COMPUTED_VALUE"""),"MAR")</f>
        <v>MAR</v>
      </c>
      <c r="DQ5" s="26" t="str">
        <f>IFERROR(__xludf.DUMMYFUNCTION("""COMPUTED_VALUE"""),"APR")</f>
        <v>APR</v>
      </c>
      <c r="DR5" s="26" t="str">
        <f>IFERROR(__xludf.DUMMYFUNCTION("""COMPUTED_VALUE"""),"MEI")</f>
        <v>MEI</v>
      </c>
      <c r="DS5" s="26" t="str">
        <f>IFERROR(__xludf.DUMMYFUNCTION("""COMPUTED_VALUE"""),"JUN")</f>
        <v>JUN</v>
      </c>
      <c r="DT5" s="26" t="str">
        <f>IFERROR(__xludf.DUMMYFUNCTION("""COMPUTED_VALUE"""),"JUL")</f>
        <v>JUL</v>
      </c>
      <c r="DU5" s="26" t="str">
        <f>IFERROR(__xludf.DUMMYFUNCTION("""COMPUTED_VALUE"""),"AGT")</f>
        <v>AGT</v>
      </c>
      <c r="DV5" s="26" t="str">
        <f>IFERROR(__xludf.DUMMYFUNCTION("""COMPUTED_VALUE"""),"SEP")</f>
        <v>SEP</v>
      </c>
      <c r="DW5" s="26" t="str">
        <f>IFERROR(__xludf.DUMMYFUNCTION("""COMPUTED_VALUE"""),"OKT")</f>
        <v>OKT</v>
      </c>
      <c r="DX5" s="26" t="str">
        <f>IFERROR(__xludf.DUMMYFUNCTION("""COMPUTED_VALUE"""),"NOV")</f>
        <v>NOV</v>
      </c>
      <c r="DY5" s="26" t="str">
        <f>IFERROR(__xludf.DUMMYFUNCTION("""COMPUTED_VALUE"""),"DES")</f>
        <v>DES</v>
      </c>
      <c r="DZ5" s="27"/>
      <c r="EA5" s="17"/>
      <c r="EB5" s="14" t="s">
        <v>41</v>
      </c>
      <c r="EC5" s="14" t="s">
        <v>42</v>
      </c>
      <c r="ED5" s="14" t="s">
        <v>44</v>
      </c>
      <c r="EE5" s="14" t="s">
        <v>45</v>
      </c>
      <c r="EF5" s="14" t="s">
        <v>46</v>
      </c>
      <c r="EG5" s="14" t="s">
        <v>47</v>
      </c>
      <c r="EH5" s="14" t="s">
        <v>48</v>
      </c>
      <c r="EI5" s="14" t="s">
        <v>49</v>
      </c>
      <c r="EJ5" s="14" t="s">
        <v>50</v>
      </c>
      <c r="EK5" s="14" t="s">
        <v>51</v>
      </c>
      <c r="EL5" s="14" t="s">
        <v>52</v>
      </c>
      <c r="EM5" s="14" t="s">
        <v>53</v>
      </c>
      <c r="EN5" s="14" t="s">
        <v>54</v>
      </c>
      <c r="EO5" s="14" t="s">
        <v>55</v>
      </c>
    </row>
    <row r="6">
      <c r="A6" s="28">
        <v>1.0</v>
      </c>
      <c r="B6" s="29" t="s">
        <v>60</v>
      </c>
      <c r="C6" s="30">
        <f>COUNTIFS(
DATA!$F:$F,$B6,
DATA!$B:$B,"&gt;="&amp;DATE(2026,MONTH(C$5),DAY(C$5)),
DATA!$B:$B,"&lt;"&amp;DATE(2026,MONTH(C$5),DAY(C$5))+1
)</f>
        <v>0</v>
      </c>
      <c r="D6" s="30">
        <f>COUNTIFS(
DATA!$F:$F,$B6,
DATA!$B:$B,"&gt;="&amp;DATE(2026,MONTH(D$5),DAY(D$5)),
DATA!$B:$B,"&lt;"&amp;DATE(2026,MONTH(D$5),DAY(D$5))+1
)</f>
        <v>9</v>
      </c>
      <c r="E6" s="30">
        <f>COUNTIFS(
DATA!$F:$F,$B6,
DATA!$B:$B,"&gt;="&amp;DATE(2026,MONTH(E$5),DAY(E$5)),
DATA!$B:$B,"&lt;"&amp;DATE(2026,MONTH(E$5),DAY(E$5))+1
)</f>
        <v>0</v>
      </c>
      <c r="F6" s="30">
        <f>COUNTIFS(
DATA!$F:$F,$B6,
DATA!$B:$B,"&gt;="&amp;DATE(2026,MONTH(F$5),DAY(F$5)),
DATA!$B:$B,"&lt;"&amp;DATE(2026,MONTH(F$5),DAY(F$5))+1
)</f>
        <v>0</v>
      </c>
      <c r="G6" s="30">
        <f>COUNTIFS(
DATA!$F:$F,$B6,
DATA!$B:$B,"&gt;="&amp;DATE(2026,MONTH(G$5),DAY(G$5)),
DATA!$B:$B,"&lt;"&amp;DATE(2026,MONTH(G$5),DAY(G$5))+1
)</f>
        <v>0</v>
      </c>
      <c r="H6" s="30">
        <f>COUNTIFS(
DATA!$F:$F,$B6,
DATA!$B:$B,"&gt;="&amp;DATE(2026,MONTH(H$5),DAY(H$5)),
DATA!$B:$B,"&lt;"&amp;DATE(2026,MONTH(H$5),DAY(H$5))+1
)</f>
        <v>0</v>
      </c>
      <c r="I6" s="30">
        <f>COUNTIFS(
DATA!$F:$F,$B6,
DATA!$B:$B,"&gt;="&amp;DATE(2026,MONTH(I$5),DAY(I$5)),
DATA!$B:$B,"&lt;"&amp;DATE(2026,MONTH(I$5),DAY(I$5))+1
)</f>
        <v>0</v>
      </c>
      <c r="J6" s="30">
        <f>COUNTIFS(
DATA!$F:$F,$B6,
DATA!$B:$B,"&gt;="&amp;DATE(2026,MONTH(J$5),DAY(J$5)),
DATA!$B:$B,"&lt;"&amp;DATE(2026,MONTH(J$5),DAY(J$5))+1
)</f>
        <v>0</v>
      </c>
      <c r="K6" s="30">
        <f>COUNTIFS(
DATA!$F:$F,$B6,
DATA!$B:$B,"&gt;="&amp;DATE(2026,MONTH(K$5),DAY(K$5)),
DATA!$B:$B,"&lt;"&amp;DATE(2026,MONTH(K$5),DAY(K$5))+1
)</f>
        <v>0</v>
      </c>
      <c r="L6" s="30">
        <f>COUNTIFS(
DATA!$F:$F,$B6,
DATA!$B:$B,"&gt;="&amp;DATE(2026,MONTH(L$5),DAY(L$5)),
DATA!$B:$B,"&lt;"&amp;DATE(2026,MONTH(L$5),DAY(L$5))+1
)</f>
        <v>0</v>
      </c>
      <c r="M6" s="30">
        <f>COUNTIFS(
DATA!$F:$F,$B6,
DATA!$B:$B,"&gt;="&amp;DATE(2026,MONTH(M$5),DAY(M$5)),
DATA!$B:$B,"&lt;"&amp;DATE(2026,MONTH(M$5),DAY(M$5))+1
)</f>
        <v>0</v>
      </c>
      <c r="N6" s="30">
        <f>COUNTIFS(
DATA!$F:$F,$B6,
DATA!$B:$B,"&gt;="&amp;DATE(2026,MONTH(N$5),DAY(N$5)),
DATA!$B:$B,"&lt;"&amp;DATE(2026,MONTH(N$5),DAY(N$5))+1
)</f>
        <v>28</v>
      </c>
      <c r="O6" s="30">
        <f>COUNTIFS(
DATA!$F:$F,$B6,
DATA!$B:$B,"&gt;="&amp;DATE(2026,MONTH(O$5),DAY(O$5)),
DATA!$B:$B,"&lt;"&amp;DATE(2026,MONTH(O$5),DAY(O$5))+1
)</f>
        <v>0</v>
      </c>
      <c r="P6" s="30">
        <f>COUNTIFS(
DATA!$F:$F,$B6,
DATA!$B:$B,"&gt;="&amp;DATE(2026,MONTH(P$5),DAY(P$5)),
DATA!$B:$B,"&lt;"&amp;DATE(2026,MONTH(P$5),DAY(P$5))+1
)</f>
        <v>0</v>
      </c>
      <c r="Q6" s="30">
        <f>COUNTIFS(
DATA!$F:$F,$B6,
DATA!$B:$B,"&gt;="&amp;DATE(2026,MONTH(Q$5),DAY(Q$5)),
DATA!$B:$B,"&lt;"&amp;DATE(2026,MONTH(Q$5),DAY(Q$5))+1
)</f>
        <v>0</v>
      </c>
      <c r="R6" s="30">
        <f>COUNTIFS(
DATA!$F:$F,$B6,
DATA!$B:$B,"&gt;="&amp;DATE(2026,MONTH(R$5),DAY(R$5)),
DATA!$B:$B,"&lt;"&amp;DATE(2026,MONTH(R$5),DAY(R$5))+1
)</f>
        <v>0</v>
      </c>
      <c r="S6" s="30">
        <f>COUNTIFS(
DATA!$F:$F,$B6,
DATA!$B:$B,"&gt;="&amp;DATE(2026,MONTH(S$5),DAY(S$5)),
DATA!$B:$B,"&lt;"&amp;DATE(2026,MONTH(S$5),DAY(S$5))+1
)</f>
        <v>0</v>
      </c>
      <c r="T6" s="30">
        <f>COUNTIFS(
DATA!$F:$F,$B6,
DATA!$B:$B,"&gt;="&amp;DATE(2026,MONTH(T$5),DAY(T$5)),
DATA!$B:$B,"&lt;"&amp;DATE(2026,MONTH(T$5),DAY(T$5))+1
)</f>
        <v>0</v>
      </c>
      <c r="U6" s="30">
        <f>COUNTIFS(
DATA!$F:$F,$B6,
DATA!$B:$B,"&gt;="&amp;DATE(2026,MONTH(U$5),DAY(U$5)),
DATA!$B:$B,"&lt;"&amp;DATE(2026,MONTH(U$5),DAY(U$5))+1
)</f>
        <v>0</v>
      </c>
      <c r="V6" s="30">
        <f>COUNTIFS(
DATA!$F:$F,$B6,
DATA!$B:$B,"&gt;="&amp;DATE(2026,MONTH(V$5),DAY(V$5)),
DATA!$B:$B,"&lt;"&amp;DATE(2026,MONTH(V$5),DAY(V$5))+1
)</f>
        <v>0</v>
      </c>
      <c r="W6" s="30">
        <f>COUNTIFS(
DATA!$F:$F,$B6,
DATA!$B:$B,"&gt;="&amp;DATE(2026,MONTH(W$5),DAY(W$5)),
DATA!$B:$B,"&lt;"&amp;DATE(2026,MONTH(W$5),DAY(W$5))+1
)</f>
        <v>0</v>
      </c>
      <c r="X6" s="30">
        <f>COUNTIFS(
DATA!$F:$F,$B6,
DATA!$B:$B,"&gt;="&amp;DATE(2026,MONTH(X$5),DAY(X$5)),
DATA!$B:$B,"&lt;"&amp;DATE(2026,MONTH(X$5),DAY(X$5))+1
)</f>
        <v>0</v>
      </c>
      <c r="Y6" s="30">
        <f>COUNTIFS(
DATA!$F:$F,$B6,
DATA!$B:$B,"&gt;="&amp;DATE(2026,MONTH(Y$5),DAY(Y$5)),
DATA!$B:$B,"&lt;"&amp;DATE(2026,MONTH(Y$5),DAY(Y$5))+1
)</f>
        <v>0</v>
      </c>
      <c r="Z6" s="30">
        <f>COUNTIFS(
DATA!$F:$F,$B6,
DATA!$B:$B,"&gt;="&amp;DATE(2026,MONTH(Z$5),DAY(Z$5)),
DATA!$B:$B,"&lt;"&amp;DATE(2026,MONTH(Z$5),DAY(Z$5))+1
)</f>
        <v>0</v>
      </c>
      <c r="AA6" s="30">
        <f>COUNTIFS(
DATA!$F:$F,$B6,
DATA!$B:$B,"&gt;="&amp;DATE(2026,MONTH(AA$5),DAY(AA$5)),
DATA!$B:$B,"&lt;"&amp;DATE(2026,MONTH(AA$5),DAY(AA$5))+1
)</f>
        <v>0</v>
      </c>
      <c r="AB6" s="30">
        <f>COUNTIFS(
DATA!$F:$F,$B6,
DATA!$B:$B,"&gt;="&amp;DATE(2026,MONTH(AB$5),DAY(AB$5)),
DATA!$B:$B,"&lt;"&amp;DATE(2026,MONTH(AB$5),DAY(AB$5))+1
)</f>
        <v>0</v>
      </c>
      <c r="AC6" s="30">
        <f>COUNTIFS(
DATA!$F:$F,$B6,
DATA!$B:$B,"&gt;="&amp;DATE(2026,MONTH(AC$5),DAY(AC$5)),
DATA!$B:$B,"&lt;"&amp;DATE(2026,MONTH(AC$5),DAY(AC$5))+1
)</f>
        <v>0</v>
      </c>
      <c r="AD6" s="30">
        <f>COUNTIFS(
DATA!$F:$F,$B6,
DATA!$B:$B,"&gt;="&amp;DATE(2026,MONTH(AD$5),DAY(AD$5)),
DATA!$B:$B,"&lt;"&amp;DATE(2026,MONTH(AD$5),DAY(AD$5))+1
)</f>
        <v>0</v>
      </c>
      <c r="AE6" s="30">
        <f>COUNTIFS(
DATA!$F:$F,$B6,
DATA!$B:$B,"&gt;="&amp;DATE(2026,MONTH(AE$5),DAY(AE$5)),
DATA!$B:$B,"&lt;"&amp;DATE(2026,MONTH(AE$5),DAY(AE$5))+1
)</f>
        <v>0</v>
      </c>
      <c r="AF6" s="30">
        <f>COUNTIFS(
DATA!$F:$F,$B6,
DATA!$B:$B,"&gt;="&amp;DATE(2026,MONTH(AF$5),DAY(AF$5)),
DATA!$B:$B,"&lt;"&amp;DATE(2026,MONTH(AF$5),DAY(AF$5))+1
)</f>
        <v>0</v>
      </c>
      <c r="AG6" s="30">
        <f>COUNTIFS(
DATA!$F:$F,$B6,
DATA!$B:$B,"&gt;="&amp;DATE(2026,MONTH(AG$5),DAY(AG$5)),
DATA!$B:$B,"&lt;"&amp;DATE(2026,MONTH(AG$5),DAY(AG$5))+1
)</f>
        <v>0</v>
      </c>
      <c r="AH6" s="31">
        <f t="shared" ref="AH6:AH13" si="4">SUM(C6:AG6)</f>
        <v>37</v>
      </c>
      <c r="AI6" s="7"/>
      <c r="AJ6" s="30">
        <v>1.0</v>
      </c>
      <c r="AK6" s="32" t="s">
        <v>60</v>
      </c>
      <c r="AL6" s="30">
        <f t="shared" ref="AL6:AL14" si="5">C6</f>
        <v>0</v>
      </c>
      <c r="AM6" s="30">
        <f t="shared" ref="AM6:BP6" si="1">SUM($C6:D6)</f>
        <v>9</v>
      </c>
      <c r="AN6" s="30">
        <f t="shared" si="1"/>
        <v>9</v>
      </c>
      <c r="AO6" s="30">
        <f t="shared" si="1"/>
        <v>9</v>
      </c>
      <c r="AP6" s="30">
        <f t="shared" si="1"/>
        <v>9</v>
      </c>
      <c r="AQ6" s="30">
        <f t="shared" si="1"/>
        <v>9</v>
      </c>
      <c r="AR6" s="30">
        <f t="shared" si="1"/>
        <v>9</v>
      </c>
      <c r="AS6" s="30">
        <f t="shared" si="1"/>
        <v>9</v>
      </c>
      <c r="AT6" s="30">
        <f t="shared" si="1"/>
        <v>9</v>
      </c>
      <c r="AU6" s="30">
        <f t="shared" si="1"/>
        <v>9</v>
      </c>
      <c r="AV6" s="30">
        <f t="shared" si="1"/>
        <v>9</v>
      </c>
      <c r="AW6" s="30">
        <f t="shared" si="1"/>
        <v>37</v>
      </c>
      <c r="AX6" s="30">
        <f t="shared" si="1"/>
        <v>37</v>
      </c>
      <c r="AY6" s="30">
        <f t="shared" si="1"/>
        <v>37</v>
      </c>
      <c r="AZ6" s="30">
        <f t="shared" si="1"/>
        <v>37</v>
      </c>
      <c r="BA6" s="30">
        <f t="shared" si="1"/>
        <v>37</v>
      </c>
      <c r="BB6" s="30">
        <f t="shared" si="1"/>
        <v>37</v>
      </c>
      <c r="BC6" s="30">
        <f t="shared" si="1"/>
        <v>37</v>
      </c>
      <c r="BD6" s="30">
        <f t="shared" si="1"/>
        <v>37</v>
      </c>
      <c r="BE6" s="30">
        <f t="shared" si="1"/>
        <v>37</v>
      </c>
      <c r="BF6" s="30">
        <f t="shared" si="1"/>
        <v>37</v>
      </c>
      <c r="BG6" s="30">
        <f t="shared" si="1"/>
        <v>37</v>
      </c>
      <c r="BH6" s="30">
        <f t="shared" si="1"/>
        <v>37</v>
      </c>
      <c r="BI6" s="30">
        <f t="shared" si="1"/>
        <v>37</v>
      </c>
      <c r="BJ6" s="30">
        <f t="shared" si="1"/>
        <v>37</v>
      </c>
      <c r="BK6" s="30">
        <f t="shared" si="1"/>
        <v>37</v>
      </c>
      <c r="BL6" s="30">
        <f t="shared" si="1"/>
        <v>37</v>
      </c>
      <c r="BM6" s="30">
        <f t="shared" si="1"/>
        <v>37</v>
      </c>
      <c r="BN6" s="30">
        <f t="shared" si="1"/>
        <v>37</v>
      </c>
      <c r="BO6" s="30">
        <f t="shared" si="1"/>
        <v>37</v>
      </c>
      <c r="BP6" s="30">
        <f t="shared" si="1"/>
        <v>37</v>
      </c>
      <c r="BQ6" s="31">
        <f t="shared" ref="BQ6:BQ14" si="7">BP6</f>
        <v>37</v>
      </c>
      <c r="BR6" s="7"/>
      <c r="BS6" s="28">
        <v>1.0</v>
      </c>
      <c r="BT6" s="29" t="s">
        <v>60</v>
      </c>
      <c r="BU6" s="33">
        <f t="shared" ref="BU6:CF6" si="2">$CK6</f>
        <v>24.08333333</v>
      </c>
      <c r="BV6" s="33">
        <f t="shared" si="2"/>
        <v>24.08333333</v>
      </c>
      <c r="BW6" s="33">
        <f t="shared" si="2"/>
        <v>24.08333333</v>
      </c>
      <c r="BX6" s="33">
        <f t="shared" si="2"/>
        <v>24.08333333</v>
      </c>
      <c r="BY6" s="33">
        <f t="shared" si="2"/>
        <v>24.08333333</v>
      </c>
      <c r="BZ6" s="33">
        <f t="shared" si="2"/>
        <v>24.08333333</v>
      </c>
      <c r="CA6" s="33">
        <f t="shared" si="2"/>
        <v>24.08333333</v>
      </c>
      <c r="CB6" s="33">
        <f t="shared" si="2"/>
        <v>24.08333333</v>
      </c>
      <c r="CC6" s="33">
        <f t="shared" si="2"/>
        <v>24.08333333</v>
      </c>
      <c r="CD6" s="33">
        <f t="shared" si="2"/>
        <v>24.08333333</v>
      </c>
      <c r="CE6" s="33">
        <f t="shared" si="2"/>
        <v>24.08333333</v>
      </c>
      <c r="CF6" s="33">
        <f t="shared" si="2"/>
        <v>24.08333333</v>
      </c>
      <c r="CG6" s="34"/>
      <c r="CH6" s="28">
        <v>1.0</v>
      </c>
      <c r="CI6" s="29" t="s">
        <v>60</v>
      </c>
      <c r="CJ6" s="35">
        <v>289.0</v>
      </c>
      <c r="CK6" s="36">
        <f t="shared" ref="CK6:CK14" si="9">CJ6/12</f>
        <v>24.08333333</v>
      </c>
      <c r="CL6" s="36">
        <f t="shared" ref="CL6:CL14" si="10">CK6/4</f>
        <v>6.020833333</v>
      </c>
      <c r="CM6" s="36">
        <f t="shared" ref="CM6:CM14" si="11">CL6/5</f>
        <v>1.204166667</v>
      </c>
      <c r="CN6" s="34"/>
      <c r="CO6" s="34"/>
      <c r="CP6" s="34"/>
      <c r="CQ6" s="34"/>
      <c r="CR6" s="34"/>
      <c r="CS6" s="34"/>
      <c r="CT6" s="34"/>
      <c r="CU6" s="34"/>
      <c r="CV6" s="7"/>
      <c r="CW6" s="37">
        <v>1.0</v>
      </c>
      <c r="CX6" s="38" t="s">
        <v>60</v>
      </c>
      <c r="CY6" s="39">
        <v>328.07</v>
      </c>
      <c r="CZ6" s="40">
        <v>328.78</v>
      </c>
      <c r="DA6" s="40">
        <v>329.33</v>
      </c>
      <c r="DB6" s="40">
        <v>329.44</v>
      </c>
      <c r="DC6" s="40">
        <v>329.82</v>
      </c>
      <c r="DD6" s="40">
        <v>330.84</v>
      </c>
      <c r="DE6" s="41"/>
      <c r="DF6" s="41"/>
      <c r="DG6" s="41"/>
      <c r="DH6" s="41"/>
      <c r="DI6" s="41"/>
      <c r="DJ6" s="41"/>
      <c r="DK6" s="7"/>
      <c r="DL6" s="42">
        <f>IFERROR(__xludf.DUMMYFUNCTION("""COMPUTED_VALUE"""),1.0)</f>
        <v>1</v>
      </c>
      <c r="DM6" s="7" t="str">
        <f>IFERROR(__xludf.DUMMYFUNCTION("""COMPUTED_VALUE"""),"BANDUNG SELATAN")</f>
        <v>BANDUNG SELATAN</v>
      </c>
      <c r="DN6" s="42">
        <f>IFERROR(__xludf.DUMMYFUNCTION("""COMPUTED_VALUE"""),2.0)</f>
        <v>2</v>
      </c>
      <c r="DO6" s="42">
        <f>IFERROR(__xludf.DUMMYFUNCTION("""COMPUTED_VALUE"""),5.0)</f>
        <v>5</v>
      </c>
      <c r="DP6" s="42">
        <f>IFERROR(__xludf.DUMMYFUNCTION("""COMPUTED_VALUE"""),1.0)</f>
        <v>1</v>
      </c>
      <c r="DQ6" s="42">
        <f>IFERROR(__xludf.DUMMYFUNCTION("""COMPUTED_VALUE"""),2.0)</f>
        <v>2</v>
      </c>
      <c r="DR6" s="42">
        <f>IFERROR(__xludf.DUMMYFUNCTION("""COMPUTED_VALUE"""),1.0)</f>
        <v>1</v>
      </c>
      <c r="DS6" s="42">
        <f>IFERROR(__xludf.DUMMYFUNCTION("""COMPUTED_VALUE"""),0.0)</f>
        <v>0</v>
      </c>
      <c r="DT6" s="42">
        <f>IFERROR(__xludf.DUMMYFUNCTION("""COMPUTED_VALUE"""),3.0)</f>
        <v>3</v>
      </c>
      <c r="DU6" s="42">
        <f>IFERROR(__xludf.DUMMYFUNCTION("""COMPUTED_VALUE"""),0.0)</f>
        <v>0</v>
      </c>
      <c r="DV6" s="42">
        <f>IFERROR(__xludf.DUMMYFUNCTION("""COMPUTED_VALUE"""),0.0)</f>
        <v>0</v>
      </c>
      <c r="DW6" s="42">
        <f>IFERROR(__xludf.DUMMYFUNCTION("""COMPUTED_VALUE"""),0.0)</f>
        <v>0</v>
      </c>
      <c r="DX6" s="42">
        <f>IFERROR(__xludf.DUMMYFUNCTION("""COMPUTED_VALUE"""),0.0)</f>
        <v>0</v>
      </c>
      <c r="DY6" s="42">
        <f>IFERROR(__xludf.DUMMYFUNCTION("""COMPUTED_VALUE"""),0.0)</f>
        <v>0</v>
      </c>
      <c r="DZ6" s="7"/>
      <c r="EA6" s="7"/>
      <c r="EB6" s="28">
        <v>1.0</v>
      </c>
      <c r="EC6" s="29" t="s">
        <v>60</v>
      </c>
      <c r="ED6" s="33">
        <f t="shared" ref="ED6:EJ6" si="3">BU6+DN6</f>
        <v>26.08333333</v>
      </c>
      <c r="EE6" s="33">
        <f t="shared" si="3"/>
        <v>29.08333333</v>
      </c>
      <c r="EF6" s="33">
        <f t="shared" si="3"/>
        <v>25.08333333</v>
      </c>
      <c r="EG6" s="33">
        <f t="shared" si="3"/>
        <v>26.08333333</v>
      </c>
      <c r="EH6" s="33">
        <f t="shared" si="3"/>
        <v>25.08333333</v>
      </c>
      <c r="EI6" s="33">
        <f t="shared" si="3"/>
        <v>24.08333333</v>
      </c>
      <c r="EJ6" s="33">
        <f t="shared" si="3"/>
        <v>27.08333333</v>
      </c>
      <c r="EK6" s="41"/>
      <c r="EL6" s="41"/>
      <c r="EM6" s="41"/>
      <c r="EN6" s="41"/>
      <c r="EO6" s="41"/>
    </row>
    <row r="7">
      <c r="A7" s="28">
        <v>2.0</v>
      </c>
      <c r="B7" s="29" t="s">
        <v>61</v>
      </c>
      <c r="C7" s="30">
        <f>COUNTIFS(
DATA!$F:$F,$B7,
DATA!$B:$B,"&gt;="&amp;DATE(2026,MONTH(C$5),DAY(C$5)),
DATA!$B:$B,"&lt;"&amp;DATE(2026,MONTH(C$5),DAY(C$5))+1
)</f>
        <v>0</v>
      </c>
      <c r="D7" s="30">
        <f>COUNTIFS(
DATA!$F:$F,$B7,
DATA!$B:$B,"&gt;="&amp;DATE(2026,MONTH(D$5),DAY(D$5)),
DATA!$B:$B,"&lt;"&amp;DATE(2026,MONTH(D$5),DAY(D$5))+1
)</f>
        <v>0</v>
      </c>
      <c r="E7" s="30">
        <f>COUNTIFS(
DATA!$F:$F,$B7,
DATA!$B:$B,"&gt;="&amp;DATE(2026,MONTH(E$5),DAY(E$5)),
DATA!$B:$B,"&lt;"&amp;DATE(2026,MONTH(E$5),DAY(E$5))+1
)</f>
        <v>0</v>
      </c>
      <c r="F7" s="30">
        <f>COUNTIFS(
DATA!$F:$F,$B7,
DATA!$B:$B,"&gt;="&amp;DATE(2026,MONTH(F$5),DAY(F$5)),
DATA!$B:$B,"&lt;"&amp;DATE(2026,MONTH(F$5),DAY(F$5))+1
)</f>
        <v>0</v>
      </c>
      <c r="G7" s="30">
        <f>COUNTIFS(
DATA!$F:$F,$B7,
DATA!$B:$B,"&gt;="&amp;DATE(2026,MONTH(G$5),DAY(G$5)),
DATA!$B:$B,"&lt;"&amp;DATE(2026,MONTH(G$5),DAY(G$5))+1
)</f>
        <v>0</v>
      </c>
      <c r="H7" s="30">
        <f>COUNTIFS(
DATA!$F:$F,$B7,
DATA!$B:$B,"&gt;="&amp;DATE(2026,MONTH(H$5),DAY(H$5)),
DATA!$B:$B,"&lt;"&amp;DATE(2026,MONTH(H$5),DAY(H$5))+1
)</f>
        <v>0</v>
      </c>
      <c r="I7" s="30">
        <f>COUNTIFS(
DATA!$F:$F,$B7,
DATA!$B:$B,"&gt;="&amp;DATE(2026,MONTH(I$5),DAY(I$5)),
DATA!$B:$B,"&lt;"&amp;DATE(2026,MONTH(I$5),DAY(I$5))+1
)</f>
        <v>0</v>
      </c>
      <c r="J7" s="30">
        <f>COUNTIFS(
DATA!$F:$F,$B7,
DATA!$B:$B,"&gt;="&amp;DATE(2026,MONTH(J$5),DAY(J$5)),
DATA!$B:$B,"&lt;"&amp;DATE(2026,MONTH(J$5),DAY(J$5))+1
)</f>
        <v>0</v>
      </c>
      <c r="K7" s="30">
        <f>COUNTIFS(
DATA!$F:$F,$B7,
DATA!$B:$B,"&gt;="&amp;DATE(2026,MONTH(K$5),DAY(K$5)),
DATA!$B:$B,"&lt;"&amp;DATE(2026,MONTH(K$5),DAY(K$5))+1
)</f>
        <v>0</v>
      </c>
      <c r="L7" s="30">
        <f>COUNTIFS(
DATA!$F:$F,$B7,
DATA!$B:$B,"&gt;="&amp;DATE(2026,MONTH(L$5),DAY(L$5)),
DATA!$B:$B,"&lt;"&amp;DATE(2026,MONTH(L$5),DAY(L$5))+1
)</f>
        <v>0</v>
      </c>
      <c r="M7" s="30">
        <f>COUNTIFS(
DATA!$F:$F,$B7,
DATA!$B:$B,"&gt;="&amp;DATE(2026,MONTH(M$5),DAY(M$5)),
DATA!$B:$B,"&lt;"&amp;DATE(2026,MONTH(M$5),DAY(M$5))+1
)</f>
        <v>0</v>
      </c>
      <c r="N7" s="30">
        <f>COUNTIFS(
DATA!$F:$F,$B7,
DATA!$B:$B,"&gt;="&amp;DATE(2026,MONTH(N$5),DAY(N$5)),
DATA!$B:$B,"&lt;"&amp;DATE(2026,MONTH(N$5),DAY(N$5))+1
)</f>
        <v>0</v>
      </c>
      <c r="O7" s="30">
        <f>COUNTIFS(
DATA!$F:$F,$B7,
DATA!$B:$B,"&gt;="&amp;DATE(2026,MONTH(O$5),DAY(O$5)),
DATA!$B:$B,"&lt;"&amp;DATE(2026,MONTH(O$5),DAY(O$5))+1
)</f>
        <v>0</v>
      </c>
      <c r="P7" s="30">
        <f>COUNTIFS(
DATA!$F:$F,$B7,
DATA!$B:$B,"&gt;="&amp;DATE(2026,MONTH(P$5),DAY(P$5)),
DATA!$B:$B,"&lt;"&amp;DATE(2026,MONTH(P$5),DAY(P$5))+1
)</f>
        <v>0</v>
      </c>
      <c r="Q7" s="30">
        <f>COUNTIFS(
DATA!$F:$F,$B7,
DATA!$B:$B,"&gt;="&amp;DATE(2026,MONTH(Q$5),DAY(Q$5)),
DATA!$B:$B,"&lt;"&amp;DATE(2026,MONTH(Q$5),DAY(Q$5))+1
)</f>
        <v>0</v>
      </c>
      <c r="R7" s="30">
        <f>COUNTIFS(
DATA!$F:$F,$B7,
DATA!$B:$B,"&gt;="&amp;DATE(2026,MONTH(R$5),DAY(R$5)),
DATA!$B:$B,"&lt;"&amp;DATE(2026,MONTH(R$5),DAY(R$5))+1
)</f>
        <v>0</v>
      </c>
      <c r="S7" s="30">
        <f>COUNTIFS(
DATA!$F:$F,$B7,
DATA!$B:$B,"&gt;="&amp;DATE(2026,MONTH(S$5),DAY(S$5)),
DATA!$B:$B,"&lt;"&amp;DATE(2026,MONTH(S$5),DAY(S$5))+1
)</f>
        <v>0</v>
      </c>
      <c r="T7" s="30">
        <f>COUNTIFS(
DATA!$F:$F,$B7,
DATA!$B:$B,"&gt;="&amp;DATE(2026,MONTH(T$5),DAY(T$5)),
DATA!$B:$B,"&lt;"&amp;DATE(2026,MONTH(T$5),DAY(T$5))+1
)</f>
        <v>0</v>
      </c>
      <c r="U7" s="30">
        <f>COUNTIFS(
DATA!$F:$F,$B7,
DATA!$B:$B,"&gt;="&amp;DATE(2026,MONTH(U$5),DAY(U$5)),
DATA!$B:$B,"&lt;"&amp;DATE(2026,MONTH(U$5),DAY(U$5))+1
)</f>
        <v>0</v>
      </c>
      <c r="V7" s="30">
        <f>COUNTIFS(
DATA!$F:$F,$B7,
DATA!$B:$B,"&gt;="&amp;DATE(2026,MONTH(V$5),DAY(V$5)),
DATA!$B:$B,"&lt;"&amp;DATE(2026,MONTH(V$5),DAY(V$5))+1
)</f>
        <v>0</v>
      </c>
      <c r="W7" s="30">
        <f>COUNTIFS(
DATA!$F:$F,$B7,
DATA!$B:$B,"&gt;="&amp;DATE(2026,MONTH(W$5),DAY(W$5)),
DATA!$B:$B,"&lt;"&amp;DATE(2026,MONTH(W$5),DAY(W$5))+1
)</f>
        <v>0</v>
      </c>
      <c r="X7" s="30">
        <f>COUNTIFS(
DATA!$F:$F,$B7,
DATA!$B:$B,"&gt;="&amp;DATE(2026,MONTH(X$5),DAY(X$5)),
DATA!$B:$B,"&lt;"&amp;DATE(2026,MONTH(X$5),DAY(X$5))+1
)</f>
        <v>0</v>
      </c>
      <c r="Y7" s="30">
        <f>COUNTIFS(
DATA!$F:$F,$B7,
DATA!$B:$B,"&gt;="&amp;DATE(2026,MONTH(Y$5),DAY(Y$5)),
DATA!$B:$B,"&lt;"&amp;DATE(2026,MONTH(Y$5),DAY(Y$5))+1
)</f>
        <v>0</v>
      </c>
      <c r="Z7" s="30">
        <f>COUNTIFS(
DATA!$F:$F,$B7,
DATA!$B:$B,"&gt;="&amp;DATE(2026,MONTH(Z$5),DAY(Z$5)),
DATA!$B:$B,"&lt;"&amp;DATE(2026,MONTH(Z$5),DAY(Z$5))+1
)</f>
        <v>0</v>
      </c>
      <c r="AA7" s="30">
        <f>COUNTIFS(
DATA!$F:$F,$B7,
DATA!$B:$B,"&gt;="&amp;DATE(2026,MONTH(AA$5),DAY(AA$5)),
DATA!$B:$B,"&lt;"&amp;DATE(2026,MONTH(AA$5),DAY(AA$5))+1
)</f>
        <v>0</v>
      </c>
      <c r="AB7" s="30">
        <f>COUNTIFS(
DATA!$F:$F,$B7,
DATA!$B:$B,"&gt;="&amp;DATE(2026,MONTH(AB$5),DAY(AB$5)),
DATA!$B:$B,"&lt;"&amp;DATE(2026,MONTH(AB$5),DAY(AB$5))+1
)</f>
        <v>0</v>
      </c>
      <c r="AC7" s="30">
        <f>COUNTIFS(
DATA!$F:$F,$B7,
DATA!$B:$B,"&gt;="&amp;DATE(2026,MONTH(AC$5),DAY(AC$5)),
DATA!$B:$B,"&lt;"&amp;DATE(2026,MONTH(AC$5),DAY(AC$5))+1
)</f>
        <v>0</v>
      </c>
      <c r="AD7" s="30">
        <f>COUNTIFS(
DATA!$F:$F,$B7,
DATA!$B:$B,"&gt;="&amp;DATE(2026,MONTH(AD$5),DAY(AD$5)),
DATA!$B:$B,"&lt;"&amp;DATE(2026,MONTH(AD$5),DAY(AD$5))+1
)</f>
        <v>0</v>
      </c>
      <c r="AE7" s="30">
        <f>COUNTIFS(
DATA!$F:$F,$B7,
DATA!$B:$B,"&gt;="&amp;DATE(2026,MONTH(AE$5),DAY(AE$5)),
DATA!$B:$B,"&lt;"&amp;DATE(2026,MONTH(AE$5),DAY(AE$5))+1
)</f>
        <v>0</v>
      </c>
      <c r="AF7" s="30">
        <f>COUNTIFS(
DATA!$F:$F,$B7,
DATA!$B:$B,"&gt;="&amp;DATE(2026,MONTH(AF$5),DAY(AF$5)),
DATA!$B:$B,"&lt;"&amp;DATE(2026,MONTH(AF$5),DAY(AF$5))+1
)</f>
        <v>0</v>
      </c>
      <c r="AG7" s="30">
        <f>COUNTIFS(
DATA!$F:$F,$B7,
DATA!$B:$B,"&gt;="&amp;DATE(2026,MONTH(AG$5),DAY(AG$5)),
DATA!$B:$B,"&lt;"&amp;DATE(2026,MONTH(AG$5),DAY(AG$5))+1
)</f>
        <v>0</v>
      </c>
      <c r="AH7" s="31">
        <f t="shared" si="4"/>
        <v>0</v>
      </c>
      <c r="AI7" s="7"/>
      <c r="AJ7" s="30">
        <v>2.0</v>
      </c>
      <c r="AK7" s="32" t="s">
        <v>61</v>
      </c>
      <c r="AL7" s="30">
        <f t="shared" si="5"/>
        <v>0</v>
      </c>
      <c r="AM7" s="30">
        <f t="shared" ref="AM7:AM14" si="13">SUM(C7:D7)</f>
        <v>0</v>
      </c>
      <c r="AN7" s="30">
        <f t="shared" ref="AN7:BP7" si="6">SUM($C7:E7)</f>
        <v>0</v>
      </c>
      <c r="AO7" s="30">
        <f t="shared" si="6"/>
        <v>0</v>
      </c>
      <c r="AP7" s="30">
        <f t="shared" si="6"/>
        <v>0</v>
      </c>
      <c r="AQ7" s="30">
        <f t="shared" si="6"/>
        <v>0</v>
      </c>
      <c r="AR7" s="30">
        <f t="shared" si="6"/>
        <v>0</v>
      </c>
      <c r="AS7" s="30">
        <f t="shared" si="6"/>
        <v>0</v>
      </c>
      <c r="AT7" s="30">
        <f t="shared" si="6"/>
        <v>0</v>
      </c>
      <c r="AU7" s="30">
        <f t="shared" si="6"/>
        <v>0</v>
      </c>
      <c r="AV7" s="30">
        <f t="shared" si="6"/>
        <v>0</v>
      </c>
      <c r="AW7" s="30">
        <f t="shared" si="6"/>
        <v>0</v>
      </c>
      <c r="AX7" s="30">
        <f t="shared" si="6"/>
        <v>0</v>
      </c>
      <c r="AY7" s="30">
        <f t="shared" si="6"/>
        <v>0</v>
      </c>
      <c r="AZ7" s="30">
        <f t="shared" si="6"/>
        <v>0</v>
      </c>
      <c r="BA7" s="30">
        <f t="shared" si="6"/>
        <v>0</v>
      </c>
      <c r="BB7" s="30">
        <f t="shared" si="6"/>
        <v>0</v>
      </c>
      <c r="BC7" s="30">
        <f t="shared" si="6"/>
        <v>0</v>
      </c>
      <c r="BD7" s="30">
        <f t="shared" si="6"/>
        <v>0</v>
      </c>
      <c r="BE7" s="30">
        <f t="shared" si="6"/>
        <v>0</v>
      </c>
      <c r="BF7" s="30">
        <f t="shared" si="6"/>
        <v>0</v>
      </c>
      <c r="BG7" s="30">
        <f t="shared" si="6"/>
        <v>0</v>
      </c>
      <c r="BH7" s="30">
        <f t="shared" si="6"/>
        <v>0</v>
      </c>
      <c r="BI7" s="30">
        <f t="shared" si="6"/>
        <v>0</v>
      </c>
      <c r="BJ7" s="30">
        <f t="shared" si="6"/>
        <v>0</v>
      </c>
      <c r="BK7" s="30">
        <f t="shared" si="6"/>
        <v>0</v>
      </c>
      <c r="BL7" s="30">
        <f t="shared" si="6"/>
        <v>0</v>
      </c>
      <c r="BM7" s="30">
        <f t="shared" si="6"/>
        <v>0</v>
      </c>
      <c r="BN7" s="30">
        <f t="shared" si="6"/>
        <v>0</v>
      </c>
      <c r="BO7" s="30">
        <f t="shared" si="6"/>
        <v>0</v>
      </c>
      <c r="BP7" s="30">
        <f t="shared" si="6"/>
        <v>0</v>
      </c>
      <c r="BQ7" s="31">
        <f t="shared" si="7"/>
        <v>0</v>
      </c>
      <c r="BR7" s="7"/>
      <c r="BS7" s="28">
        <v>2.0</v>
      </c>
      <c r="BT7" s="29" t="s">
        <v>61</v>
      </c>
      <c r="BU7" s="33">
        <f t="shared" ref="BU7:CF7" si="8">$CK7</f>
        <v>5</v>
      </c>
      <c r="BV7" s="33">
        <f t="shared" si="8"/>
        <v>5</v>
      </c>
      <c r="BW7" s="33">
        <f t="shared" si="8"/>
        <v>5</v>
      </c>
      <c r="BX7" s="33">
        <f t="shared" si="8"/>
        <v>5</v>
      </c>
      <c r="BY7" s="33">
        <f t="shared" si="8"/>
        <v>5</v>
      </c>
      <c r="BZ7" s="33">
        <f t="shared" si="8"/>
        <v>5</v>
      </c>
      <c r="CA7" s="33">
        <f t="shared" si="8"/>
        <v>5</v>
      </c>
      <c r="CB7" s="33">
        <f t="shared" si="8"/>
        <v>5</v>
      </c>
      <c r="CC7" s="33">
        <f t="shared" si="8"/>
        <v>5</v>
      </c>
      <c r="CD7" s="33">
        <f t="shared" si="8"/>
        <v>5</v>
      </c>
      <c r="CE7" s="33">
        <f t="shared" si="8"/>
        <v>5</v>
      </c>
      <c r="CF7" s="33">
        <f t="shared" si="8"/>
        <v>5</v>
      </c>
      <c r="CG7" s="34"/>
      <c r="CH7" s="28">
        <v>2.0</v>
      </c>
      <c r="CI7" s="29" t="s">
        <v>61</v>
      </c>
      <c r="CJ7" s="35">
        <v>60.0</v>
      </c>
      <c r="CK7" s="36">
        <f t="shared" si="9"/>
        <v>5</v>
      </c>
      <c r="CL7" s="36">
        <f t="shared" si="10"/>
        <v>1.25</v>
      </c>
      <c r="CM7" s="36">
        <f t="shared" si="11"/>
        <v>0.25</v>
      </c>
      <c r="CN7" s="34"/>
      <c r="CO7" s="34"/>
      <c r="CP7" s="34"/>
      <c r="CQ7" s="34"/>
      <c r="CR7" s="34"/>
      <c r="CS7" s="34"/>
      <c r="CT7" s="34"/>
      <c r="CU7" s="34"/>
      <c r="CV7" s="7"/>
      <c r="CW7" s="37">
        <v>2.0</v>
      </c>
      <c r="CX7" s="38" t="s">
        <v>61</v>
      </c>
      <c r="CY7" s="43">
        <v>196.83</v>
      </c>
      <c r="CZ7" s="44">
        <v>196.83</v>
      </c>
      <c r="DA7" s="44">
        <v>197.06</v>
      </c>
      <c r="DB7" s="44">
        <v>197.53</v>
      </c>
      <c r="DC7" s="44">
        <v>197.53</v>
      </c>
      <c r="DD7" s="44">
        <v>197.53</v>
      </c>
      <c r="DE7" s="41"/>
      <c r="DF7" s="41"/>
      <c r="DG7" s="41"/>
      <c r="DH7" s="41"/>
      <c r="DI7" s="41"/>
      <c r="DJ7" s="41"/>
      <c r="DK7" s="7"/>
      <c r="DL7" s="42">
        <f>IFERROR(__xludf.DUMMYFUNCTION("""COMPUTED_VALUE"""),2.0)</f>
        <v>2</v>
      </c>
      <c r="DM7" s="7" t="str">
        <f>IFERROR(__xludf.DUMMYFUNCTION("""COMPUTED_VALUE"""),"BANDUNG BARAT")</f>
        <v>BANDUNG BARAT</v>
      </c>
      <c r="DN7" s="42">
        <f>IFERROR(__xludf.DUMMYFUNCTION("""COMPUTED_VALUE"""),0.0)</f>
        <v>0</v>
      </c>
      <c r="DO7" s="42">
        <f>IFERROR(__xludf.DUMMYFUNCTION("""COMPUTED_VALUE"""),0.0)</f>
        <v>0</v>
      </c>
      <c r="DP7" s="42">
        <f>IFERROR(__xludf.DUMMYFUNCTION("""COMPUTED_VALUE"""),1.0)</f>
        <v>1</v>
      </c>
      <c r="DQ7" s="42">
        <f>IFERROR(__xludf.DUMMYFUNCTION("""COMPUTED_VALUE"""),1.0)</f>
        <v>1</v>
      </c>
      <c r="DR7" s="42">
        <f>IFERROR(__xludf.DUMMYFUNCTION("""COMPUTED_VALUE"""),1.0)</f>
        <v>1</v>
      </c>
      <c r="DS7" s="42">
        <f>IFERROR(__xludf.DUMMYFUNCTION("""COMPUTED_VALUE"""),0.0)</f>
        <v>0</v>
      </c>
      <c r="DT7" s="42">
        <f>IFERROR(__xludf.DUMMYFUNCTION("""COMPUTED_VALUE"""),0.0)</f>
        <v>0</v>
      </c>
      <c r="DU7" s="42">
        <f>IFERROR(__xludf.DUMMYFUNCTION("""COMPUTED_VALUE"""),0.0)</f>
        <v>0</v>
      </c>
      <c r="DV7" s="42">
        <f>IFERROR(__xludf.DUMMYFUNCTION("""COMPUTED_VALUE"""),0.0)</f>
        <v>0</v>
      </c>
      <c r="DW7" s="42">
        <f>IFERROR(__xludf.DUMMYFUNCTION("""COMPUTED_VALUE"""),2.0)</f>
        <v>2</v>
      </c>
      <c r="DX7" s="42">
        <f>IFERROR(__xludf.DUMMYFUNCTION("""COMPUTED_VALUE"""),1.0)</f>
        <v>1</v>
      </c>
      <c r="DY7" s="42">
        <f>IFERROR(__xludf.DUMMYFUNCTION("""COMPUTED_VALUE"""),1.0)</f>
        <v>1</v>
      </c>
      <c r="DZ7" s="7"/>
      <c r="EA7" s="7"/>
      <c r="EB7" s="28">
        <v>2.0</v>
      </c>
      <c r="EC7" s="29" t="s">
        <v>61</v>
      </c>
      <c r="ED7" s="33">
        <f t="shared" ref="ED7:EJ7" si="12">BU7+DN7</f>
        <v>5</v>
      </c>
      <c r="EE7" s="33">
        <f t="shared" si="12"/>
        <v>5</v>
      </c>
      <c r="EF7" s="33">
        <f t="shared" si="12"/>
        <v>6</v>
      </c>
      <c r="EG7" s="33">
        <f t="shared" si="12"/>
        <v>6</v>
      </c>
      <c r="EH7" s="33">
        <f t="shared" si="12"/>
        <v>6</v>
      </c>
      <c r="EI7" s="33">
        <f t="shared" si="12"/>
        <v>5</v>
      </c>
      <c r="EJ7" s="33">
        <f t="shared" si="12"/>
        <v>5</v>
      </c>
      <c r="EK7" s="41"/>
      <c r="EL7" s="41"/>
      <c r="EM7" s="41"/>
      <c r="EN7" s="41"/>
      <c r="EO7" s="41"/>
    </row>
    <row r="8">
      <c r="A8" s="28">
        <v>3.0</v>
      </c>
      <c r="B8" s="29" t="s">
        <v>62</v>
      </c>
      <c r="C8" s="30">
        <f>COUNTIFS(
DATA!$F:$F,$B8,
DATA!$B:$B,"&gt;="&amp;DATE(2026,MONTH(C$5),DAY(C$5)),
DATA!$B:$B,"&lt;"&amp;DATE(2026,MONTH(C$5),DAY(C$5))+1
)</f>
        <v>0</v>
      </c>
      <c r="D8" s="30">
        <f>COUNTIFS(
DATA!$F:$F,$B8,
DATA!$B:$B,"&gt;="&amp;DATE(2026,MONTH(D$5),DAY(D$5)),
DATA!$B:$B,"&lt;"&amp;DATE(2026,MONTH(D$5),DAY(D$5))+1
)</f>
        <v>0</v>
      </c>
      <c r="E8" s="30">
        <f>COUNTIFS(
DATA!$F:$F,$B8,
DATA!$B:$B,"&gt;="&amp;DATE(2026,MONTH(E$5),DAY(E$5)),
DATA!$B:$B,"&lt;"&amp;DATE(2026,MONTH(E$5),DAY(E$5))+1
)</f>
        <v>0</v>
      </c>
      <c r="F8" s="30">
        <f>COUNTIFS(
DATA!$F:$F,$B8,
DATA!$B:$B,"&gt;="&amp;DATE(2026,MONTH(F$5),DAY(F$5)),
DATA!$B:$B,"&lt;"&amp;DATE(2026,MONTH(F$5),DAY(F$5))+1
)</f>
        <v>0</v>
      </c>
      <c r="G8" s="30">
        <f>COUNTIFS(
DATA!$F:$F,$B8,
DATA!$B:$B,"&gt;="&amp;DATE(2026,MONTH(G$5),DAY(G$5)),
DATA!$B:$B,"&lt;"&amp;DATE(2026,MONTH(G$5),DAY(G$5))+1
)</f>
        <v>0</v>
      </c>
      <c r="H8" s="30">
        <f>COUNTIFS(
DATA!$F:$F,$B8,
DATA!$B:$B,"&gt;="&amp;DATE(2026,MONTH(H$5),DAY(H$5)),
DATA!$B:$B,"&lt;"&amp;DATE(2026,MONTH(H$5),DAY(H$5))+1
)</f>
        <v>0</v>
      </c>
      <c r="I8" s="30">
        <f>COUNTIFS(
DATA!$F:$F,$B8,
DATA!$B:$B,"&gt;="&amp;DATE(2026,MONTH(I$5),DAY(I$5)),
DATA!$B:$B,"&lt;"&amp;DATE(2026,MONTH(I$5),DAY(I$5))+1
)</f>
        <v>0</v>
      </c>
      <c r="J8" s="30">
        <f>COUNTIFS(
DATA!$F:$F,$B8,
DATA!$B:$B,"&gt;="&amp;DATE(2026,MONTH(J$5),DAY(J$5)),
DATA!$B:$B,"&lt;"&amp;DATE(2026,MONTH(J$5),DAY(J$5))+1
)</f>
        <v>0</v>
      </c>
      <c r="K8" s="30">
        <f>COUNTIFS(
DATA!$F:$F,$B8,
DATA!$B:$B,"&gt;="&amp;DATE(2026,MONTH(K$5),DAY(K$5)),
DATA!$B:$B,"&lt;"&amp;DATE(2026,MONTH(K$5),DAY(K$5))+1
)</f>
        <v>0</v>
      </c>
      <c r="L8" s="30">
        <f>COUNTIFS(
DATA!$F:$F,$B8,
DATA!$B:$B,"&gt;="&amp;DATE(2026,MONTH(L$5),DAY(L$5)),
DATA!$B:$B,"&lt;"&amp;DATE(2026,MONTH(L$5),DAY(L$5))+1
)</f>
        <v>20</v>
      </c>
      <c r="M8" s="30">
        <f>COUNTIFS(
DATA!$F:$F,$B8,
DATA!$B:$B,"&gt;="&amp;DATE(2026,MONTH(M$5),DAY(M$5)),
DATA!$B:$B,"&lt;"&amp;DATE(2026,MONTH(M$5),DAY(M$5))+1
)</f>
        <v>0</v>
      </c>
      <c r="N8" s="30">
        <f>COUNTIFS(
DATA!$F:$F,$B8,
DATA!$B:$B,"&gt;="&amp;DATE(2026,MONTH(N$5),DAY(N$5)),
DATA!$B:$B,"&lt;"&amp;DATE(2026,MONTH(N$5),DAY(N$5))+1
)</f>
        <v>0</v>
      </c>
      <c r="O8" s="30">
        <f>COUNTIFS(
DATA!$F:$F,$B8,
DATA!$B:$B,"&gt;="&amp;DATE(2026,MONTH(O$5),DAY(O$5)),
DATA!$B:$B,"&lt;"&amp;DATE(2026,MONTH(O$5),DAY(O$5))+1
)</f>
        <v>0</v>
      </c>
      <c r="P8" s="30">
        <f>COUNTIFS(
DATA!$F:$F,$B8,
DATA!$B:$B,"&gt;="&amp;DATE(2026,MONTH(P$5),DAY(P$5)),
DATA!$B:$B,"&lt;"&amp;DATE(2026,MONTH(P$5),DAY(P$5))+1
)</f>
        <v>0</v>
      </c>
      <c r="Q8" s="30">
        <f>COUNTIFS(
DATA!$F:$F,$B8,
DATA!$B:$B,"&gt;="&amp;DATE(2026,MONTH(Q$5),DAY(Q$5)),
DATA!$B:$B,"&lt;"&amp;DATE(2026,MONTH(Q$5),DAY(Q$5))+1
)</f>
        <v>0</v>
      </c>
      <c r="R8" s="30">
        <f>COUNTIFS(
DATA!$F:$F,$B8,
DATA!$B:$B,"&gt;="&amp;DATE(2026,MONTH(R$5),DAY(R$5)),
DATA!$B:$B,"&lt;"&amp;DATE(2026,MONTH(R$5),DAY(R$5))+1
)</f>
        <v>0</v>
      </c>
      <c r="S8" s="30">
        <f>COUNTIFS(
DATA!$F:$F,$B8,
DATA!$B:$B,"&gt;="&amp;DATE(2026,MONTH(S$5),DAY(S$5)),
DATA!$B:$B,"&lt;"&amp;DATE(2026,MONTH(S$5),DAY(S$5))+1
)</f>
        <v>0</v>
      </c>
      <c r="T8" s="30">
        <f>COUNTIFS(
DATA!$F:$F,$B8,
DATA!$B:$B,"&gt;="&amp;DATE(2026,MONTH(T$5),DAY(T$5)),
DATA!$B:$B,"&lt;"&amp;DATE(2026,MONTH(T$5),DAY(T$5))+1
)</f>
        <v>0</v>
      </c>
      <c r="U8" s="30">
        <f>COUNTIFS(
DATA!$F:$F,$B8,
DATA!$B:$B,"&gt;="&amp;DATE(2026,MONTH(U$5),DAY(U$5)),
DATA!$B:$B,"&lt;"&amp;DATE(2026,MONTH(U$5),DAY(U$5))+1
)</f>
        <v>0</v>
      </c>
      <c r="V8" s="30">
        <f>COUNTIFS(
DATA!$F:$F,$B8,
DATA!$B:$B,"&gt;="&amp;DATE(2026,MONTH(V$5),DAY(V$5)),
DATA!$B:$B,"&lt;"&amp;DATE(2026,MONTH(V$5),DAY(V$5))+1
)</f>
        <v>0</v>
      </c>
      <c r="W8" s="30">
        <f>COUNTIFS(
DATA!$F:$F,$B8,
DATA!$B:$B,"&gt;="&amp;DATE(2026,MONTH(W$5),DAY(W$5)),
DATA!$B:$B,"&lt;"&amp;DATE(2026,MONTH(W$5),DAY(W$5))+1
)</f>
        <v>0</v>
      </c>
      <c r="X8" s="30">
        <f>COUNTIFS(
DATA!$F:$F,$B8,
DATA!$B:$B,"&gt;="&amp;DATE(2026,MONTH(X$5),DAY(X$5)),
DATA!$B:$B,"&lt;"&amp;DATE(2026,MONTH(X$5),DAY(X$5))+1
)</f>
        <v>0</v>
      </c>
      <c r="Y8" s="30">
        <f>COUNTIFS(
DATA!$F:$F,$B8,
DATA!$B:$B,"&gt;="&amp;DATE(2026,MONTH(Y$5),DAY(Y$5)),
DATA!$B:$B,"&lt;"&amp;DATE(2026,MONTH(Y$5),DAY(Y$5))+1
)</f>
        <v>15</v>
      </c>
      <c r="Z8" s="30">
        <f>COUNTIFS(
DATA!$F:$F,$B8,
DATA!$B:$B,"&gt;="&amp;DATE(2026,MONTH(Z$5),DAY(Z$5)),
DATA!$B:$B,"&lt;"&amp;DATE(2026,MONTH(Z$5),DAY(Z$5))+1
)</f>
        <v>0</v>
      </c>
      <c r="AA8" s="30">
        <f>COUNTIFS(
DATA!$F:$F,$B8,
DATA!$B:$B,"&gt;="&amp;DATE(2026,MONTH(AA$5),DAY(AA$5)),
DATA!$B:$B,"&lt;"&amp;DATE(2026,MONTH(AA$5),DAY(AA$5))+1
)</f>
        <v>0</v>
      </c>
      <c r="AB8" s="30">
        <f>COUNTIFS(
DATA!$F:$F,$B8,
DATA!$B:$B,"&gt;="&amp;DATE(2026,MONTH(AB$5),DAY(AB$5)),
DATA!$B:$B,"&lt;"&amp;DATE(2026,MONTH(AB$5),DAY(AB$5))+1
)</f>
        <v>0</v>
      </c>
      <c r="AC8" s="30">
        <f>COUNTIFS(
DATA!$F:$F,$B8,
DATA!$B:$B,"&gt;="&amp;DATE(2026,MONTH(AC$5),DAY(AC$5)),
DATA!$B:$B,"&lt;"&amp;DATE(2026,MONTH(AC$5),DAY(AC$5))+1
)</f>
        <v>0</v>
      </c>
      <c r="AD8" s="30">
        <f>COUNTIFS(
DATA!$F:$F,$B8,
DATA!$B:$B,"&gt;="&amp;DATE(2026,MONTH(AD$5),DAY(AD$5)),
DATA!$B:$B,"&lt;"&amp;DATE(2026,MONTH(AD$5),DAY(AD$5))+1
)</f>
        <v>0</v>
      </c>
      <c r="AE8" s="30">
        <f>COUNTIFS(
DATA!$F:$F,$B8,
DATA!$B:$B,"&gt;="&amp;DATE(2026,MONTH(AE$5),DAY(AE$5)),
DATA!$B:$B,"&lt;"&amp;DATE(2026,MONTH(AE$5),DAY(AE$5))+1
)</f>
        <v>0</v>
      </c>
      <c r="AF8" s="30">
        <f>COUNTIFS(
DATA!$F:$F,$B8,
DATA!$B:$B,"&gt;="&amp;DATE(2026,MONTH(AF$5),DAY(AF$5)),
DATA!$B:$B,"&lt;"&amp;DATE(2026,MONTH(AF$5),DAY(AF$5))+1
)</f>
        <v>0</v>
      </c>
      <c r="AG8" s="30">
        <f>COUNTIFS(
DATA!$F:$F,$B8,
DATA!$B:$B,"&gt;="&amp;DATE(2026,MONTH(AG$5),DAY(AG$5)),
DATA!$B:$B,"&lt;"&amp;DATE(2026,MONTH(AG$5),DAY(AG$5))+1
)</f>
        <v>0</v>
      </c>
      <c r="AH8" s="31">
        <f t="shared" si="4"/>
        <v>35</v>
      </c>
      <c r="AI8" s="7"/>
      <c r="AJ8" s="30">
        <v>3.0</v>
      </c>
      <c r="AK8" s="32" t="s">
        <v>62</v>
      </c>
      <c r="AL8" s="30">
        <f t="shared" si="5"/>
        <v>0</v>
      </c>
      <c r="AM8" s="30">
        <f t="shared" si="13"/>
        <v>0</v>
      </c>
      <c r="AN8" s="30">
        <f t="shared" ref="AN8:BP8" si="14">SUM($C8:E8)</f>
        <v>0</v>
      </c>
      <c r="AO8" s="30">
        <f t="shared" si="14"/>
        <v>0</v>
      </c>
      <c r="AP8" s="30">
        <f t="shared" si="14"/>
        <v>0</v>
      </c>
      <c r="AQ8" s="30">
        <f t="shared" si="14"/>
        <v>0</v>
      </c>
      <c r="AR8" s="30">
        <f t="shared" si="14"/>
        <v>0</v>
      </c>
      <c r="AS8" s="30">
        <f t="shared" si="14"/>
        <v>0</v>
      </c>
      <c r="AT8" s="30">
        <f t="shared" si="14"/>
        <v>0</v>
      </c>
      <c r="AU8" s="30">
        <f t="shared" si="14"/>
        <v>20</v>
      </c>
      <c r="AV8" s="30">
        <f t="shared" si="14"/>
        <v>20</v>
      </c>
      <c r="AW8" s="30">
        <f t="shared" si="14"/>
        <v>20</v>
      </c>
      <c r="AX8" s="30">
        <f t="shared" si="14"/>
        <v>20</v>
      </c>
      <c r="AY8" s="30">
        <f t="shared" si="14"/>
        <v>20</v>
      </c>
      <c r="AZ8" s="30">
        <f t="shared" si="14"/>
        <v>20</v>
      </c>
      <c r="BA8" s="30">
        <f t="shared" si="14"/>
        <v>20</v>
      </c>
      <c r="BB8" s="30">
        <f t="shared" si="14"/>
        <v>20</v>
      </c>
      <c r="BC8" s="30">
        <f t="shared" si="14"/>
        <v>20</v>
      </c>
      <c r="BD8" s="30">
        <f t="shared" si="14"/>
        <v>20</v>
      </c>
      <c r="BE8" s="30">
        <f t="shared" si="14"/>
        <v>20</v>
      </c>
      <c r="BF8" s="30">
        <f t="shared" si="14"/>
        <v>20</v>
      </c>
      <c r="BG8" s="30">
        <f t="shared" si="14"/>
        <v>20</v>
      </c>
      <c r="BH8" s="30">
        <f t="shared" si="14"/>
        <v>35</v>
      </c>
      <c r="BI8" s="30">
        <f t="shared" si="14"/>
        <v>35</v>
      </c>
      <c r="BJ8" s="30">
        <f t="shared" si="14"/>
        <v>35</v>
      </c>
      <c r="BK8" s="30">
        <f t="shared" si="14"/>
        <v>35</v>
      </c>
      <c r="BL8" s="30">
        <f t="shared" si="14"/>
        <v>35</v>
      </c>
      <c r="BM8" s="30">
        <f t="shared" si="14"/>
        <v>35</v>
      </c>
      <c r="BN8" s="30">
        <f t="shared" si="14"/>
        <v>35</v>
      </c>
      <c r="BO8" s="30">
        <f t="shared" si="14"/>
        <v>35</v>
      </c>
      <c r="BP8" s="30">
        <f t="shared" si="14"/>
        <v>35</v>
      </c>
      <c r="BQ8" s="31">
        <f t="shared" si="7"/>
        <v>35</v>
      </c>
      <c r="BR8" s="7"/>
      <c r="BS8" s="28">
        <v>3.0</v>
      </c>
      <c r="BT8" s="29" t="s">
        <v>62</v>
      </c>
      <c r="BU8" s="33">
        <f t="shared" ref="BU8:CF8" si="15">$CK8</f>
        <v>21.16666667</v>
      </c>
      <c r="BV8" s="33">
        <f t="shared" si="15"/>
        <v>21.16666667</v>
      </c>
      <c r="BW8" s="33">
        <f t="shared" si="15"/>
        <v>21.16666667</v>
      </c>
      <c r="BX8" s="33">
        <f t="shared" si="15"/>
        <v>21.16666667</v>
      </c>
      <c r="BY8" s="33">
        <f t="shared" si="15"/>
        <v>21.16666667</v>
      </c>
      <c r="BZ8" s="33">
        <f t="shared" si="15"/>
        <v>21.16666667</v>
      </c>
      <c r="CA8" s="33">
        <f t="shared" si="15"/>
        <v>21.16666667</v>
      </c>
      <c r="CB8" s="33">
        <f t="shared" si="15"/>
        <v>21.16666667</v>
      </c>
      <c r="CC8" s="33">
        <f t="shared" si="15"/>
        <v>21.16666667</v>
      </c>
      <c r="CD8" s="33">
        <f t="shared" si="15"/>
        <v>21.16666667</v>
      </c>
      <c r="CE8" s="33">
        <f t="shared" si="15"/>
        <v>21.16666667</v>
      </c>
      <c r="CF8" s="33">
        <f t="shared" si="15"/>
        <v>21.16666667</v>
      </c>
      <c r="CG8" s="34"/>
      <c r="CH8" s="28">
        <v>3.0</v>
      </c>
      <c r="CI8" s="29" t="s">
        <v>62</v>
      </c>
      <c r="CJ8" s="35">
        <v>254.0</v>
      </c>
      <c r="CK8" s="36">
        <f t="shared" si="9"/>
        <v>21.16666667</v>
      </c>
      <c r="CL8" s="36">
        <f t="shared" si="10"/>
        <v>5.291666667</v>
      </c>
      <c r="CM8" s="36">
        <f t="shared" si="11"/>
        <v>1.058333333</v>
      </c>
      <c r="CN8" s="34"/>
      <c r="CO8" s="34"/>
      <c r="CP8" s="34"/>
      <c r="CQ8" s="34"/>
      <c r="CR8" s="34"/>
      <c r="CS8" s="34"/>
      <c r="CT8" s="34"/>
      <c r="CU8" s="34"/>
      <c r="CV8" s="7"/>
      <c r="CW8" s="37">
        <v>3.0</v>
      </c>
      <c r="CX8" s="38" t="s">
        <v>62</v>
      </c>
      <c r="CY8" s="43">
        <v>313.63</v>
      </c>
      <c r="CZ8" s="44">
        <v>313.63</v>
      </c>
      <c r="DA8" s="44">
        <v>314.54</v>
      </c>
      <c r="DB8" s="44">
        <v>314.54</v>
      </c>
      <c r="DC8" s="44">
        <v>314.61</v>
      </c>
      <c r="DD8" s="44">
        <v>314.61</v>
      </c>
      <c r="DE8" s="41"/>
      <c r="DF8" s="41"/>
      <c r="DG8" s="41"/>
      <c r="DH8" s="41"/>
      <c r="DI8" s="41"/>
      <c r="DJ8" s="41"/>
      <c r="DK8" s="7"/>
      <c r="DL8" s="42">
        <f>IFERROR(__xludf.DUMMYFUNCTION("""COMPUTED_VALUE"""),3.0)</f>
        <v>3</v>
      </c>
      <c r="DM8" s="7" t="str">
        <f>IFERROR(__xludf.DUMMYFUNCTION("""COMPUTED_VALUE"""),"BANDUNG UTARA")</f>
        <v>BANDUNG UTARA</v>
      </c>
      <c r="DN8" s="42">
        <f>IFERROR(__xludf.DUMMYFUNCTION("""COMPUTED_VALUE"""),1.0)</f>
        <v>1</v>
      </c>
      <c r="DO8" s="42">
        <f>IFERROR(__xludf.DUMMYFUNCTION("""COMPUTED_VALUE"""),3.0)</f>
        <v>3</v>
      </c>
      <c r="DP8" s="42">
        <f>IFERROR(__xludf.DUMMYFUNCTION("""COMPUTED_VALUE"""),1.0)</f>
        <v>1</v>
      </c>
      <c r="DQ8" s="42">
        <f>IFERROR(__xludf.DUMMYFUNCTION("""COMPUTED_VALUE"""),6.0)</f>
        <v>6</v>
      </c>
      <c r="DR8" s="42">
        <f>IFERROR(__xludf.DUMMYFUNCTION("""COMPUTED_VALUE"""),3.0)</f>
        <v>3</v>
      </c>
      <c r="DS8" s="42">
        <f>IFERROR(__xludf.DUMMYFUNCTION("""COMPUTED_VALUE"""),1.0)</f>
        <v>1</v>
      </c>
      <c r="DT8" s="42">
        <f>IFERROR(__xludf.DUMMYFUNCTION("""COMPUTED_VALUE"""),3.0)</f>
        <v>3</v>
      </c>
      <c r="DU8" s="42">
        <f>IFERROR(__xludf.DUMMYFUNCTION("""COMPUTED_VALUE"""),1.0)</f>
        <v>1</v>
      </c>
      <c r="DV8" s="42">
        <f>IFERROR(__xludf.DUMMYFUNCTION("""COMPUTED_VALUE"""),3.0)</f>
        <v>3</v>
      </c>
      <c r="DW8" s="42">
        <f>IFERROR(__xludf.DUMMYFUNCTION("""COMPUTED_VALUE"""),0.0)</f>
        <v>0</v>
      </c>
      <c r="DX8" s="42">
        <f>IFERROR(__xludf.DUMMYFUNCTION("""COMPUTED_VALUE"""),1.0)</f>
        <v>1</v>
      </c>
      <c r="DY8" s="42">
        <f>IFERROR(__xludf.DUMMYFUNCTION("""COMPUTED_VALUE"""),2.0)</f>
        <v>2</v>
      </c>
      <c r="DZ8" s="7"/>
      <c r="EA8" s="7"/>
      <c r="EB8" s="28">
        <v>3.0</v>
      </c>
      <c r="EC8" s="29" t="s">
        <v>62</v>
      </c>
      <c r="ED8" s="33">
        <f t="shared" ref="ED8:EJ8" si="16">BU8+DN8</f>
        <v>22.16666667</v>
      </c>
      <c r="EE8" s="33">
        <f t="shared" si="16"/>
        <v>24.16666667</v>
      </c>
      <c r="EF8" s="33">
        <f t="shared" si="16"/>
        <v>22.16666667</v>
      </c>
      <c r="EG8" s="33">
        <f t="shared" si="16"/>
        <v>27.16666667</v>
      </c>
      <c r="EH8" s="33">
        <f t="shared" si="16"/>
        <v>24.16666667</v>
      </c>
      <c r="EI8" s="33">
        <f t="shared" si="16"/>
        <v>22.16666667</v>
      </c>
      <c r="EJ8" s="33">
        <f t="shared" si="16"/>
        <v>24.16666667</v>
      </c>
      <c r="EK8" s="41"/>
      <c r="EL8" s="41"/>
      <c r="EM8" s="41"/>
      <c r="EN8" s="41"/>
      <c r="EO8" s="41"/>
    </row>
    <row r="9">
      <c r="A9" s="28">
        <v>4.0</v>
      </c>
      <c r="B9" s="29" t="s">
        <v>63</v>
      </c>
      <c r="C9" s="30">
        <f>COUNTIFS(
DATA!$F:$F,$B9,
DATA!$B:$B,"&gt;="&amp;DATE(2026,MONTH(C$5),DAY(C$5)),
DATA!$B:$B,"&lt;"&amp;DATE(2026,MONTH(C$5),DAY(C$5))+1
)</f>
        <v>0</v>
      </c>
      <c r="D9" s="30">
        <f>COUNTIFS(
DATA!$F:$F,$B9,
DATA!$B:$B,"&gt;="&amp;DATE(2026,MONTH(D$5),DAY(D$5)),
DATA!$B:$B,"&lt;"&amp;DATE(2026,MONTH(D$5),DAY(D$5))+1
)</f>
        <v>0</v>
      </c>
      <c r="E9" s="30">
        <f>COUNTIFS(
DATA!$F:$F,$B9,
DATA!$B:$B,"&gt;="&amp;DATE(2026,MONTH(E$5),DAY(E$5)),
DATA!$B:$B,"&lt;"&amp;DATE(2026,MONTH(E$5),DAY(E$5))+1
)</f>
        <v>0</v>
      </c>
      <c r="F9" s="30">
        <f>COUNTIFS(
DATA!$F:$F,$B9,
DATA!$B:$B,"&gt;="&amp;DATE(2026,MONTH(F$5),DAY(F$5)),
DATA!$B:$B,"&lt;"&amp;DATE(2026,MONTH(F$5),DAY(F$5))+1
)</f>
        <v>0</v>
      </c>
      <c r="G9" s="30">
        <f>COUNTIFS(
DATA!$F:$F,$B9,
DATA!$B:$B,"&gt;="&amp;DATE(2026,MONTH(G$5),DAY(G$5)),
DATA!$B:$B,"&lt;"&amp;DATE(2026,MONTH(G$5),DAY(G$5))+1
)</f>
        <v>0</v>
      </c>
      <c r="H9" s="30">
        <f>COUNTIFS(
DATA!$F:$F,$B9,
DATA!$B:$B,"&gt;="&amp;DATE(2026,MONTH(H$5),DAY(H$5)),
DATA!$B:$B,"&lt;"&amp;DATE(2026,MONTH(H$5),DAY(H$5))+1
)</f>
        <v>0</v>
      </c>
      <c r="I9" s="30">
        <f>COUNTIFS(
DATA!$F:$F,$B9,
DATA!$B:$B,"&gt;="&amp;DATE(2026,MONTH(I$5),DAY(I$5)),
DATA!$B:$B,"&lt;"&amp;DATE(2026,MONTH(I$5),DAY(I$5))+1
)</f>
        <v>0</v>
      </c>
      <c r="J9" s="30">
        <f>COUNTIFS(
DATA!$F:$F,$B9,
DATA!$B:$B,"&gt;="&amp;DATE(2026,MONTH(J$5),DAY(J$5)),
DATA!$B:$B,"&lt;"&amp;DATE(2026,MONTH(J$5),DAY(J$5))+1
)</f>
        <v>12</v>
      </c>
      <c r="K9" s="30">
        <f>COUNTIFS(
DATA!$F:$F,$B9,
DATA!$B:$B,"&gt;="&amp;DATE(2026,MONTH(K$5),DAY(K$5)),
DATA!$B:$B,"&lt;"&amp;DATE(2026,MONTH(K$5),DAY(K$5))+1
)</f>
        <v>16</v>
      </c>
      <c r="L9" s="30">
        <f>COUNTIFS(
DATA!$F:$F,$B9,
DATA!$B:$B,"&gt;="&amp;DATE(2026,MONTH(L$5),DAY(L$5)),
DATA!$B:$B,"&lt;"&amp;DATE(2026,MONTH(L$5),DAY(L$5))+1
)</f>
        <v>0</v>
      </c>
      <c r="M9" s="30">
        <f>COUNTIFS(
DATA!$F:$F,$B9,
DATA!$B:$B,"&gt;="&amp;DATE(2026,MONTH(M$5),DAY(M$5)),
DATA!$B:$B,"&lt;"&amp;DATE(2026,MONTH(M$5),DAY(M$5))+1
)</f>
        <v>0</v>
      </c>
      <c r="N9" s="30">
        <f>COUNTIFS(
DATA!$F:$F,$B9,
DATA!$B:$B,"&gt;="&amp;DATE(2026,MONTH(N$5),DAY(N$5)),
DATA!$B:$B,"&lt;"&amp;DATE(2026,MONTH(N$5),DAY(N$5))+1
)</f>
        <v>0</v>
      </c>
      <c r="O9" s="30">
        <f>COUNTIFS(
DATA!$F:$F,$B9,
DATA!$B:$B,"&gt;="&amp;DATE(2026,MONTH(O$5),DAY(O$5)),
DATA!$B:$B,"&lt;"&amp;DATE(2026,MONTH(O$5),DAY(O$5))+1
)</f>
        <v>0</v>
      </c>
      <c r="P9" s="30">
        <f>COUNTIFS(
DATA!$F:$F,$B9,
DATA!$B:$B,"&gt;="&amp;DATE(2026,MONTH(P$5),DAY(P$5)),
DATA!$B:$B,"&lt;"&amp;DATE(2026,MONTH(P$5),DAY(P$5))+1
)</f>
        <v>0</v>
      </c>
      <c r="Q9" s="30">
        <f>COUNTIFS(
DATA!$F:$F,$B9,
DATA!$B:$B,"&gt;="&amp;DATE(2026,MONTH(Q$5),DAY(Q$5)),
DATA!$B:$B,"&lt;"&amp;DATE(2026,MONTH(Q$5),DAY(Q$5))+1
)</f>
        <v>21</v>
      </c>
      <c r="R9" s="30">
        <f>COUNTIFS(
DATA!$F:$F,$B9,
DATA!$B:$B,"&gt;="&amp;DATE(2026,MONTH(R$5),DAY(R$5)),
DATA!$B:$B,"&lt;"&amp;DATE(2026,MONTH(R$5),DAY(R$5))+1
)</f>
        <v>0</v>
      </c>
      <c r="S9" s="30">
        <f>COUNTIFS(
DATA!$F:$F,$B9,
DATA!$B:$B,"&gt;="&amp;DATE(2026,MONTH(S$5),DAY(S$5)),
DATA!$B:$B,"&lt;"&amp;DATE(2026,MONTH(S$5),DAY(S$5))+1
)</f>
        <v>0</v>
      </c>
      <c r="T9" s="30">
        <f>COUNTIFS(
DATA!$F:$F,$B9,
DATA!$B:$B,"&gt;="&amp;DATE(2026,MONTH(T$5),DAY(T$5)),
DATA!$B:$B,"&lt;"&amp;DATE(2026,MONTH(T$5),DAY(T$5))+1
)</f>
        <v>0</v>
      </c>
      <c r="U9" s="30">
        <f>COUNTIFS(
DATA!$F:$F,$B9,
DATA!$B:$B,"&gt;="&amp;DATE(2026,MONTH(U$5),DAY(U$5)),
DATA!$B:$B,"&lt;"&amp;DATE(2026,MONTH(U$5),DAY(U$5))+1
)</f>
        <v>0</v>
      </c>
      <c r="V9" s="30">
        <f>COUNTIFS(
DATA!$F:$F,$B9,
DATA!$B:$B,"&gt;="&amp;DATE(2026,MONTH(V$5),DAY(V$5)),
DATA!$B:$B,"&lt;"&amp;DATE(2026,MONTH(V$5),DAY(V$5))+1
)</f>
        <v>0</v>
      </c>
      <c r="W9" s="30">
        <f>COUNTIFS(
DATA!$F:$F,$B9,
DATA!$B:$B,"&gt;="&amp;DATE(2026,MONTH(W$5),DAY(W$5)),
DATA!$B:$B,"&lt;"&amp;DATE(2026,MONTH(W$5),DAY(W$5))+1
)</f>
        <v>0</v>
      </c>
      <c r="X9" s="30">
        <f>COUNTIFS(
DATA!$F:$F,$B9,
DATA!$B:$B,"&gt;="&amp;DATE(2026,MONTH(X$5),DAY(X$5)),
DATA!$B:$B,"&lt;"&amp;DATE(2026,MONTH(X$5),DAY(X$5))+1
)</f>
        <v>0</v>
      </c>
      <c r="Y9" s="30">
        <f>COUNTIFS(
DATA!$F:$F,$B9,
DATA!$B:$B,"&gt;="&amp;DATE(2026,MONTH(Y$5),DAY(Y$5)),
DATA!$B:$B,"&lt;"&amp;DATE(2026,MONTH(Y$5),DAY(Y$5))+1
)</f>
        <v>0</v>
      </c>
      <c r="Z9" s="30">
        <f>COUNTIFS(
DATA!$F:$F,$B9,
DATA!$B:$B,"&gt;="&amp;DATE(2026,MONTH(Z$5),DAY(Z$5)),
DATA!$B:$B,"&lt;"&amp;DATE(2026,MONTH(Z$5),DAY(Z$5))+1
)</f>
        <v>0</v>
      </c>
      <c r="AA9" s="30">
        <f>COUNTIFS(
DATA!$F:$F,$B9,
DATA!$B:$B,"&gt;="&amp;DATE(2026,MONTH(AA$5),DAY(AA$5)),
DATA!$B:$B,"&lt;"&amp;DATE(2026,MONTH(AA$5),DAY(AA$5))+1
)</f>
        <v>0</v>
      </c>
      <c r="AB9" s="30">
        <f>COUNTIFS(
DATA!$F:$F,$B9,
DATA!$B:$B,"&gt;="&amp;DATE(2026,MONTH(AB$5),DAY(AB$5)),
DATA!$B:$B,"&lt;"&amp;DATE(2026,MONTH(AB$5),DAY(AB$5))+1
)</f>
        <v>0</v>
      </c>
      <c r="AC9" s="30">
        <f>COUNTIFS(
DATA!$F:$F,$B9,
DATA!$B:$B,"&gt;="&amp;DATE(2026,MONTH(AC$5),DAY(AC$5)),
DATA!$B:$B,"&lt;"&amp;DATE(2026,MONTH(AC$5),DAY(AC$5))+1
)</f>
        <v>0</v>
      </c>
      <c r="AD9" s="30">
        <f>COUNTIFS(
DATA!$F:$F,$B9,
DATA!$B:$B,"&gt;="&amp;DATE(2026,MONTH(AD$5),DAY(AD$5)),
DATA!$B:$B,"&lt;"&amp;DATE(2026,MONTH(AD$5),DAY(AD$5))+1
)</f>
        <v>0</v>
      </c>
      <c r="AE9" s="30">
        <f>COUNTIFS(
DATA!$F:$F,$B9,
DATA!$B:$B,"&gt;="&amp;DATE(2026,MONTH(AE$5),DAY(AE$5)),
DATA!$B:$B,"&lt;"&amp;DATE(2026,MONTH(AE$5),DAY(AE$5))+1
)</f>
        <v>0</v>
      </c>
      <c r="AF9" s="30">
        <f>COUNTIFS(
DATA!$F:$F,$B9,
DATA!$B:$B,"&gt;="&amp;DATE(2026,MONTH(AF$5),DAY(AF$5)),
DATA!$B:$B,"&lt;"&amp;DATE(2026,MONTH(AF$5),DAY(AF$5))+1
)</f>
        <v>0</v>
      </c>
      <c r="AG9" s="30">
        <f>COUNTIFS(
DATA!$F:$F,$B9,
DATA!$B:$B,"&gt;="&amp;DATE(2026,MONTH(AG$5),DAY(AG$5)),
DATA!$B:$B,"&lt;"&amp;DATE(2026,MONTH(AG$5),DAY(AG$5))+1
)</f>
        <v>0</v>
      </c>
      <c r="AH9" s="31">
        <f t="shared" si="4"/>
        <v>49</v>
      </c>
      <c r="AI9" s="7"/>
      <c r="AJ9" s="30">
        <v>4.0</v>
      </c>
      <c r="AK9" s="32" t="s">
        <v>63</v>
      </c>
      <c r="AL9" s="30">
        <f t="shared" si="5"/>
        <v>0</v>
      </c>
      <c r="AM9" s="30">
        <f t="shared" si="13"/>
        <v>0</v>
      </c>
      <c r="AN9" s="30">
        <f t="shared" ref="AN9:BP9" si="17">SUM($C9:E9)</f>
        <v>0</v>
      </c>
      <c r="AO9" s="30">
        <f t="shared" si="17"/>
        <v>0</v>
      </c>
      <c r="AP9" s="30">
        <f t="shared" si="17"/>
        <v>0</v>
      </c>
      <c r="AQ9" s="30">
        <f t="shared" si="17"/>
        <v>0</v>
      </c>
      <c r="AR9" s="30">
        <f t="shared" si="17"/>
        <v>0</v>
      </c>
      <c r="AS9" s="30">
        <f t="shared" si="17"/>
        <v>12</v>
      </c>
      <c r="AT9" s="30">
        <f t="shared" si="17"/>
        <v>28</v>
      </c>
      <c r="AU9" s="30">
        <f t="shared" si="17"/>
        <v>28</v>
      </c>
      <c r="AV9" s="30">
        <f t="shared" si="17"/>
        <v>28</v>
      </c>
      <c r="AW9" s="30">
        <f t="shared" si="17"/>
        <v>28</v>
      </c>
      <c r="AX9" s="30">
        <f t="shared" si="17"/>
        <v>28</v>
      </c>
      <c r="AY9" s="30">
        <f t="shared" si="17"/>
        <v>28</v>
      </c>
      <c r="AZ9" s="30">
        <f t="shared" si="17"/>
        <v>49</v>
      </c>
      <c r="BA9" s="30">
        <f t="shared" si="17"/>
        <v>49</v>
      </c>
      <c r="BB9" s="30">
        <f t="shared" si="17"/>
        <v>49</v>
      </c>
      <c r="BC9" s="30">
        <f t="shared" si="17"/>
        <v>49</v>
      </c>
      <c r="BD9" s="30">
        <f t="shared" si="17"/>
        <v>49</v>
      </c>
      <c r="BE9" s="30">
        <f t="shared" si="17"/>
        <v>49</v>
      </c>
      <c r="BF9" s="30">
        <f t="shared" si="17"/>
        <v>49</v>
      </c>
      <c r="BG9" s="30">
        <f t="shared" si="17"/>
        <v>49</v>
      </c>
      <c r="BH9" s="30">
        <f t="shared" si="17"/>
        <v>49</v>
      </c>
      <c r="BI9" s="30">
        <f t="shared" si="17"/>
        <v>49</v>
      </c>
      <c r="BJ9" s="30">
        <f t="shared" si="17"/>
        <v>49</v>
      </c>
      <c r="BK9" s="30">
        <f t="shared" si="17"/>
        <v>49</v>
      </c>
      <c r="BL9" s="30">
        <f t="shared" si="17"/>
        <v>49</v>
      </c>
      <c r="BM9" s="30">
        <f t="shared" si="17"/>
        <v>49</v>
      </c>
      <c r="BN9" s="30">
        <f t="shared" si="17"/>
        <v>49</v>
      </c>
      <c r="BO9" s="30">
        <f t="shared" si="17"/>
        <v>49</v>
      </c>
      <c r="BP9" s="30">
        <f t="shared" si="17"/>
        <v>49</v>
      </c>
      <c r="BQ9" s="31">
        <f t="shared" si="7"/>
        <v>49</v>
      </c>
      <c r="BR9" s="7"/>
      <c r="BS9" s="28">
        <v>4.0</v>
      </c>
      <c r="BT9" s="29" t="s">
        <v>63</v>
      </c>
      <c r="BU9" s="33">
        <f t="shared" ref="BU9:CF9" si="18">$CK9</f>
        <v>31</v>
      </c>
      <c r="BV9" s="33">
        <f t="shared" si="18"/>
        <v>31</v>
      </c>
      <c r="BW9" s="33">
        <f t="shared" si="18"/>
        <v>31</v>
      </c>
      <c r="BX9" s="33">
        <f t="shared" si="18"/>
        <v>31</v>
      </c>
      <c r="BY9" s="33">
        <f t="shared" si="18"/>
        <v>31</v>
      </c>
      <c r="BZ9" s="33">
        <f t="shared" si="18"/>
        <v>31</v>
      </c>
      <c r="CA9" s="33">
        <f t="shared" si="18"/>
        <v>31</v>
      </c>
      <c r="CB9" s="33">
        <f t="shared" si="18"/>
        <v>31</v>
      </c>
      <c r="CC9" s="33">
        <f t="shared" si="18"/>
        <v>31</v>
      </c>
      <c r="CD9" s="33">
        <f t="shared" si="18"/>
        <v>31</v>
      </c>
      <c r="CE9" s="33">
        <f t="shared" si="18"/>
        <v>31</v>
      </c>
      <c r="CF9" s="33">
        <f t="shared" si="18"/>
        <v>31</v>
      </c>
      <c r="CG9" s="34"/>
      <c r="CH9" s="28">
        <v>4.0</v>
      </c>
      <c r="CI9" s="29" t="s">
        <v>63</v>
      </c>
      <c r="CJ9" s="35">
        <v>372.0</v>
      </c>
      <c r="CK9" s="36">
        <f t="shared" si="9"/>
        <v>31</v>
      </c>
      <c r="CL9" s="36">
        <f t="shared" si="10"/>
        <v>7.75</v>
      </c>
      <c r="CM9" s="36">
        <f t="shared" si="11"/>
        <v>1.55</v>
      </c>
      <c r="CN9" s="34"/>
      <c r="CO9" s="34"/>
      <c r="CP9" s="34"/>
      <c r="CQ9" s="34"/>
      <c r="CR9" s="34"/>
      <c r="CS9" s="34"/>
      <c r="CT9" s="34"/>
      <c r="CU9" s="34"/>
      <c r="CV9" s="7"/>
      <c r="CW9" s="37">
        <v>4.0</v>
      </c>
      <c r="CX9" s="38" t="s">
        <v>63</v>
      </c>
      <c r="CY9" s="43">
        <v>230.11</v>
      </c>
      <c r="CZ9" s="44">
        <v>230.15</v>
      </c>
      <c r="DA9" s="44">
        <v>230.42</v>
      </c>
      <c r="DB9" s="44">
        <v>230.42</v>
      </c>
      <c r="DC9" s="44">
        <v>230.62</v>
      </c>
      <c r="DD9" s="44">
        <v>230.62</v>
      </c>
      <c r="DE9" s="41"/>
      <c r="DF9" s="41"/>
      <c r="DG9" s="41"/>
      <c r="DH9" s="41"/>
      <c r="DI9" s="41"/>
      <c r="DJ9" s="41"/>
      <c r="DK9" s="7"/>
      <c r="DL9" s="42">
        <f>IFERROR(__xludf.DUMMYFUNCTION("""COMPUTED_VALUE"""),4.0)</f>
        <v>4</v>
      </c>
      <c r="DM9" s="7" t="str">
        <f>IFERROR(__xludf.DUMMYFUNCTION("""COMPUTED_VALUE"""),"BANDUNG TIMUR")</f>
        <v>BANDUNG TIMUR</v>
      </c>
      <c r="DN9" s="42">
        <f>IFERROR(__xludf.DUMMYFUNCTION("""COMPUTED_VALUE"""),1.0)</f>
        <v>1</v>
      </c>
      <c r="DO9" s="42">
        <f>IFERROR(__xludf.DUMMYFUNCTION("""COMPUTED_VALUE"""),6.0)</f>
        <v>6</v>
      </c>
      <c r="DP9" s="42">
        <f>IFERROR(__xludf.DUMMYFUNCTION("""COMPUTED_VALUE"""),1.0)</f>
        <v>1</v>
      </c>
      <c r="DQ9" s="42">
        <f>IFERROR(__xludf.DUMMYFUNCTION("""COMPUTED_VALUE"""),1.0)</f>
        <v>1</v>
      </c>
      <c r="DR9" s="42">
        <f>IFERROR(__xludf.DUMMYFUNCTION("""COMPUTED_VALUE"""),3.0)</f>
        <v>3</v>
      </c>
      <c r="DS9" s="42">
        <f>IFERROR(__xludf.DUMMYFUNCTION("""COMPUTED_VALUE"""),0.0)</f>
        <v>0</v>
      </c>
      <c r="DT9" s="42">
        <f>IFERROR(__xludf.DUMMYFUNCTION("""COMPUTED_VALUE"""),1.0)</f>
        <v>1</v>
      </c>
      <c r="DU9" s="42">
        <f>IFERROR(__xludf.DUMMYFUNCTION("""COMPUTED_VALUE"""),1.0)</f>
        <v>1</v>
      </c>
      <c r="DV9" s="42">
        <f>IFERROR(__xludf.DUMMYFUNCTION("""COMPUTED_VALUE"""),2.0)</f>
        <v>2</v>
      </c>
      <c r="DW9" s="42">
        <f>IFERROR(__xludf.DUMMYFUNCTION("""COMPUTED_VALUE"""),2.0)</f>
        <v>2</v>
      </c>
      <c r="DX9" s="42">
        <f>IFERROR(__xludf.DUMMYFUNCTION("""COMPUTED_VALUE"""),0.0)</f>
        <v>0</v>
      </c>
      <c r="DY9" s="42">
        <f>IFERROR(__xludf.DUMMYFUNCTION("""COMPUTED_VALUE"""),0.0)</f>
        <v>0</v>
      </c>
      <c r="DZ9" s="7"/>
      <c r="EA9" s="7"/>
      <c r="EB9" s="28">
        <v>4.0</v>
      </c>
      <c r="EC9" s="29" t="s">
        <v>63</v>
      </c>
      <c r="ED9" s="33">
        <f t="shared" ref="ED9:EJ9" si="19">BU9+DN9</f>
        <v>32</v>
      </c>
      <c r="EE9" s="33">
        <f t="shared" si="19"/>
        <v>37</v>
      </c>
      <c r="EF9" s="33">
        <f t="shared" si="19"/>
        <v>32</v>
      </c>
      <c r="EG9" s="33">
        <f t="shared" si="19"/>
        <v>32</v>
      </c>
      <c r="EH9" s="33">
        <f t="shared" si="19"/>
        <v>34</v>
      </c>
      <c r="EI9" s="33">
        <f t="shared" si="19"/>
        <v>31</v>
      </c>
      <c r="EJ9" s="33">
        <f t="shared" si="19"/>
        <v>32</v>
      </c>
      <c r="EK9" s="41"/>
      <c r="EL9" s="41"/>
      <c r="EM9" s="41"/>
      <c r="EN9" s="41"/>
      <c r="EO9" s="41"/>
    </row>
    <row r="10">
      <c r="A10" s="28">
        <v>5.0</v>
      </c>
      <c r="B10" s="29" t="s">
        <v>64</v>
      </c>
      <c r="C10" s="30">
        <f>COUNTIFS(
DATA!$F:$F,$B10,
DATA!$B:$B,"&gt;="&amp;DATE(2026,MONTH(C$5),DAY(C$5)),
DATA!$B:$B,"&lt;"&amp;DATE(2026,MONTH(C$5),DAY(C$5))+1
)</f>
        <v>0</v>
      </c>
      <c r="D10" s="30">
        <f>COUNTIFS(
DATA!$F:$F,$B10,
DATA!$B:$B,"&gt;="&amp;DATE(2026,MONTH(D$5),DAY(D$5)),
DATA!$B:$B,"&lt;"&amp;DATE(2026,MONTH(D$5),DAY(D$5))+1
)</f>
        <v>0</v>
      </c>
      <c r="E10" s="30">
        <f>COUNTIFS(
DATA!$F:$F,$B10,
DATA!$B:$B,"&gt;="&amp;DATE(2026,MONTH(E$5),DAY(E$5)),
DATA!$B:$B,"&lt;"&amp;DATE(2026,MONTH(E$5),DAY(E$5))+1
)</f>
        <v>0</v>
      </c>
      <c r="F10" s="30">
        <f>COUNTIFS(
DATA!$F:$F,$B10,
DATA!$B:$B,"&gt;="&amp;DATE(2026,MONTH(F$5),DAY(F$5)),
DATA!$B:$B,"&lt;"&amp;DATE(2026,MONTH(F$5),DAY(F$5))+1
)</f>
        <v>0</v>
      </c>
      <c r="G10" s="30">
        <f>COUNTIFS(
DATA!$F:$F,$B10,
DATA!$B:$B,"&gt;="&amp;DATE(2026,MONTH(G$5),DAY(G$5)),
DATA!$B:$B,"&lt;"&amp;DATE(2026,MONTH(G$5),DAY(G$5))+1
)</f>
        <v>0</v>
      </c>
      <c r="H10" s="30">
        <f>COUNTIFS(
DATA!$F:$F,$B10,
DATA!$B:$B,"&gt;="&amp;DATE(2026,MONTH(H$5),DAY(H$5)),
DATA!$B:$B,"&lt;"&amp;DATE(2026,MONTH(H$5),DAY(H$5))+1
)</f>
        <v>0</v>
      </c>
      <c r="I10" s="30">
        <f>COUNTIFS(
DATA!$F:$F,$B10,
DATA!$B:$B,"&gt;="&amp;DATE(2026,MONTH(I$5),DAY(I$5)),
DATA!$B:$B,"&lt;"&amp;DATE(2026,MONTH(I$5),DAY(I$5))+1
)</f>
        <v>0</v>
      </c>
      <c r="J10" s="30">
        <f>COUNTIFS(
DATA!$F:$F,$B10,
DATA!$B:$B,"&gt;="&amp;DATE(2026,MONTH(J$5),DAY(J$5)),
DATA!$B:$B,"&lt;"&amp;DATE(2026,MONTH(J$5),DAY(J$5))+1
)</f>
        <v>0</v>
      </c>
      <c r="K10" s="30">
        <f>COUNTIFS(
DATA!$F:$F,$B10,
DATA!$B:$B,"&gt;="&amp;DATE(2026,MONTH(K$5),DAY(K$5)),
DATA!$B:$B,"&lt;"&amp;DATE(2026,MONTH(K$5),DAY(K$5))+1
)</f>
        <v>0</v>
      </c>
      <c r="L10" s="30">
        <f>COUNTIFS(
DATA!$F:$F,$B10,
DATA!$B:$B,"&gt;="&amp;DATE(2026,MONTH(L$5),DAY(L$5)),
DATA!$B:$B,"&lt;"&amp;DATE(2026,MONTH(L$5),DAY(L$5))+1
)</f>
        <v>0</v>
      </c>
      <c r="M10" s="30">
        <f>COUNTIFS(
DATA!$F:$F,$B10,
DATA!$B:$B,"&gt;="&amp;DATE(2026,MONTH(M$5),DAY(M$5)),
DATA!$B:$B,"&lt;"&amp;DATE(2026,MONTH(M$5),DAY(M$5))+1
)</f>
        <v>0</v>
      </c>
      <c r="N10" s="30">
        <f>COUNTIFS(
DATA!$F:$F,$B10,
DATA!$B:$B,"&gt;="&amp;DATE(2026,MONTH(N$5),DAY(N$5)),
DATA!$B:$B,"&lt;"&amp;DATE(2026,MONTH(N$5),DAY(N$5))+1
)</f>
        <v>0</v>
      </c>
      <c r="O10" s="30">
        <f>COUNTIFS(
DATA!$F:$F,$B10,
DATA!$B:$B,"&gt;="&amp;DATE(2026,MONTH(O$5),DAY(O$5)),
DATA!$B:$B,"&lt;"&amp;DATE(2026,MONTH(O$5),DAY(O$5))+1
)</f>
        <v>0</v>
      </c>
      <c r="P10" s="30">
        <f>COUNTIFS(
DATA!$F:$F,$B10,
DATA!$B:$B,"&gt;="&amp;DATE(2026,MONTH(P$5),DAY(P$5)),
DATA!$B:$B,"&lt;"&amp;DATE(2026,MONTH(P$5),DAY(P$5))+1
)</f>
        <v>0</v>
      </c>
      <c r="Q10" s="30">
        <f>COUNTIFS(
DATA!$F:$F,$B10,
DATA!$B:$B,"&gt;="&amp;DATE(2026,MONTH(Q$5),DAY(Q$5)),
DATA!$B:$B,"&lt;"&amp;DATE(2026,MONTH(Q$5),DAY(Q$5))+1
)</f>
        <v>0</v>
      </c>
      <c r="R10" s="30">
        <f>COUNTIFS(
DATA!$F:$F,$B10,
DATA!$B:$B,"&gt;="&amp;DATE(2026,MONTH(R$5),DAY(R$5)),
DATA!$B:$B,"&lt;"&amp;DATE(2026,MONTH(R$5),DAY(R$5))+1
)</f>
        <v>0</v>
      </c>
      <c r="S10" s="30">
        <f>COUNTIFS(
DATA!$F:$F,$B10,
DATA!$B:$B,"&gt;="&amp;DATE(2026,MONTH(S$5),DAY(S$5)),
DATA!$B:$B,"&lt;"&amp;DATE(2026,MONTH(S$5),DAY(S$5))+1
)</f>
        <v>0</v>
      </c>
      <c r="T10" s="30">
        <f>COUNTIFS(
DATA!$F:$F,$B10,
DATA!$B:$B,"&gt;="&amp;DATE(2026,MONTH(T$5),DAY(T$5)),
DATA!$B:$B,"&lt;"&amp;DATE(2026,MONTH(T$5),DAY(T$5))+1
)</f>
        <v>0</v>
      </c>
      <c r="U10" s="30">
        <f>COUNTIFS(
DATA!$F:$F,$B10,
DATA!$B:$B,"&gt;="&amp;DATE(2026,MONTH(U$5),DAY(U$5)),
DATA!$B:$B,"&lt;"&amp;DATE(2026,MONTH(U$5),DAY(U$5))+1
)</f>
        <v>0</v>
      </c>
      <c r="V10" s="30">
        <f>COUNTIFS(
DATA!$F:$F,$B10,
DATA!$B:$B,"&gt;="&amp;DATE(2026,MONTH(V$5),DAY(V$5)),
DATA!$B:$B,"&lt;"&amp;DATE(2026,MONTH(V$5),DAY(V$5))+1
)</f>
        <v>0</v>
      </c>
      <c r="W10" s="30">
        <f>COUNTIFS(
DATA!$F:$F,$B10,
DATA!$B:$B,"&gt;="&amp;DATE(2026,MONTH(W$5),DAY(W$5)),
DATA!$B:$B,"&lt;"&amp;DATE(2026,MONTH(W$5),DAY(W$5))+1
)</f>
        <v>0</v>
      </c>
      <c r="X10" s="30">
        <f>COUNTIFS(
DATA!$F:$F,$B10,
DATA!$B:$B,"&gt;="&amp;DATE(2026,MONTH(X$5),DAY(X$5)),
DATA!$B:$B,"&lt;"&amp;DATE(2026,MONTH(X$5),DAY(X$5))+1
)</f>
        <v>0</v>
      </c>
      <c r="Y10" s="30">
        <f>COUNTIFS(
DATA!$F:$F,$B10,
DATA!$B:$B,"&gt;="&amp;DATE(2026,MONTH(Y$5),DAY(Y$5)),
DATA!$B:$B,"&lt;"&amp;DATE(2026,MONTH(Y$5),DAY(Y$5))+1
)</f>
        <v>0</v>
      </c>
      <c r="Z10" s="30">
        <f>COUNTIFS(
DATA!$F:$F,$B10,
DATA!$B:$B,"&gt;="&amp;DATE(2026,MONTH(Z$5),DAY(Z$5)),
DATA!$B:$B,"&lt;"&amp;DATE(2026,MONTH(Z$5),DAY(Z$5))+1
)</f>
        <v>0</v>
      </c>
      <c r="AA10" s="30">
        <f>COUNTIFS(
DATA!$F:$F,$B10,
DATA!$B:$B,"&gt;="&amp;DATE(2026,MONTH(AA$5),DAY(AA$5)),
DATA!$B:$B,"&lt;"&amp;DATE(2026,MONTH(AA$5),DAY(AA$5))+1
)</f>
        <v>0</v>
      </c>
      <c r="AB10" s="30">
        <f>COUNTIFS(
DATA!$F:$F,$B10,
DATA!$B:$B,"&gt;="&amp;DATE(2026,MONTH(AB$5),DAY(AB$5)),
DATA!$B:$B,"&lt;"&amp;DATE(2026,MONTH(AB$5),DAY(AB$5))+1
)</f>
        <v>0</v>
      </c>
      <c r="AC10" s="30">
        <f>COUNTIFS(
DATA!$F:$F,$B10,
DATA!$B:$B,"&gt;="&amp;DATE(2026,MONTH(AC$5),DAY(AC$5)),
DATA!$B:$B,"&lt;"&amp;DATE(2026,MONTH(AC$5),DAY(AC$5))+1
)</f>
        <v>0</v>
      </c>
      <c r="AD10" s="30">
        <f>COUNTIFS(
DATA!$F:$F,$B10,
DATA!$B:$B,"&gt;="&amp;DATE(2026,MONTH(AD$5),DAY(AD$5)),
DATA!$B:$B,"&lt;"&amp;DATE(2026,MONTH(AD$5),DAY(AD$5))+1
)</f>
        <v>0</v>
      </c>
      <c r="AE10" s="30">
        <f>COUNTIFS(
DATA!$F:$F,$B10,
DATA!$B:$B,"&gt;="&amp;DATE(2026,MONTH(AE$5),DAY(AE$5)),
DATA!$B:$B,"&lt;"&amp;DATE(2026,MONTH(AE$5),DAY(AE$5))+1
)</f>
        <v>0</v>
      </c>
      <c r="AF10" s="30">
        <f>COUNTIFS(
DATA!$F:$F,$B10,
DATA!$B:$B,"&gt;="&amp;DATE(2026,MONTH(AF$5),DAY(AF$5)),
DATA!$B:$B,"&lt;"&amp;DATE(2026,MONTH(AF$5),DAY(AF$5))+1
)</f>
        <v>53</v>
      </c>
      <c r="AG10" s="30">
        <f>COUNTIFS(
DATA!$F:$F,$B10,
DATA!$B:$B,"&gt;="&amp;DATE(2026,MONTH(AG$5),DAY(AG$5)),
DATA!$B:$B,"&lt;"&amp;DATE(2026,MONTH(AG$5),DAY(AG$5))+1
)</f>
        <v>0</v>
      </c>
      <c r="AH10" s="31">
        <f t="shared" si="4"/>
        <v>53</v>
      </c>
      <c r="AI10" s="7"/>
      <c r="AJ10" s="30">
        <v>5.0</v>
      </c>
      <c r="AK10" s="32" t="s">
        <v>64</v>
      </c>
      <c r="AL10" s="30">
        <f t="shared" si="5"/>
        <v>0</v>
      </c>
      <c r="AM10" s="30">
        <f t="shared" si="13"/>
        <v>0</v>
      </c>
      <c r="AN10" s="30">
        <f t="shared" ref="AN10:BP10" si="20">SUM($C10:E10)</f>
        <v>0</v>
      </c>
      <c r="AO10" s="30">
        <f t="shared" si="20"/>
        <v>0</v>
      </c>
      <c r="AP10" s="30">
        <f t="shared" si="20"/>
        <v>0</v>
      </c>
      <c r="AQ10" s="30">
        <f t="shared" si="20"/>
        <v>0</v>
      </c>
      <c r="AR10" s="30">
        <f t="shared" si="20"/>
        <v>0</v>
      </c>
      <c r="AS10" s="30">
        <f t="shared" si="20"/>
        <v>0</v>
      </c>
      <c r="AT10" s="30">
        <f t="shared" si="20"/>
        <v>0</v>
      </c>
      <c r="AU10" s="30">
        <f t="shared" si="20"/>
        <v>0</v>
      </c>
      <c r="AV10" s="30">
        <f t="shared" si="20"/>
        <v>0</v>
      </c>
      <c r="AW10" s="30">
        <f t="shared" si="20"/>
        <v>0</v>
      </c>
      <c r="AX10" s="30">
        <f t="shared" si="20"/>
        <v>0</v>
      </c>
      <c r="AY10" s="30">
        <f t="shared" si="20"/>
        <v>0</v>
      </c>
      <c r="AZ10" s="30">
        <f t="shared" si="20"/>
        <v>0</v>
      </c>
      <c r="BA10" s="30">
        <f t="shared" si="20"/>
        <v>0</v>
      </c>
      <c r="BB10" s="30">
        <f t="shared" si="20"/>
        <v>0</v>
      </c>
      <c r="BC10" s="30">
        <f t="shared" si="20"/>
        <v>0</v>
      </c>
      <c r="BD10" s="30">
        <f t="shared" si="20"/>
        <v>0</v>
      </c>
      <c r="BE10" s="30">
        <f t="shared" si="20"/>
        <v>0</v>
      </c>
      <c r="BF10" s="30">
        <f t="shared" si="20"/>
        <v>0</v>
      </c>
      <c r="BG10" s="30">
        <f t="shared" si="20"/>
        <v>0</v>
      </c>
      <c r="BH10" s="30">
        <f t="shared" si="20"/>
        <v>0</v>
      </c>
      <c r="BI10" s="30">
        <f t="shared" si="20"/>
        <v>0</v>
      </c>
      <c r="BJ10" s="30">
        <f t="shared" si="20"/>
        <v>0</v>
      </c>
      <c r="BK10" s="30">
        <f t="shared" si="20"/>
        <v>0</v>
      </c>
      <c r="BL10" s="30">
        <f t="shared" si="20"/>
        <v>0</v>
      </c>
      <c r="BM10" s="30">
        <f t="shared" si="20"/>
        <v>0</v>
      </c>
      <c r="BN10" s="30">
        <f t="shared" si="20"/>
        <v>0</v>
      </c>
      <c r="BO10" s="30">
        <f t="shared" si="20"/>
        <v>53</v>
      </c>
      <c r="BP10" s="30">
        <f t="shared" si="20"/>
        <v>53</v>
      </c>
      <c r="BQ10" s="31">
        <f t="shared" si="7"/>
        <v>53</v>
      </c>
      <c r="BR10" s="7"/>
      <c r="BS10" s="28">
        <v>5.0</v>
      </c>
      <c r="BT10" s="29" t="s">
        <v>64</v>
      </c>
      <c r="BU10" s="33">
        <f t="shared" ref="BU10:CF10" si="21">$CK10</f>
        <v>59.41666667</v>
      </c>
      <c r="BV10" s="33">
        <f t="shared" si="21"/>
        <v>59.41666667</v>
      </c>
      <c r="BW10" s="33">
        <f t="shared" si="21"/>
        <v>59.41666667</v>
      </c>
      <c r="BX10" s="33">
        <f t="shared" si="21"/>
        <v>59.41666667</v>
      </c>
      <c r="BY10" s="33">
        <f t="shared" si="21"/>
        <v>59.41666667</v>
      </c>
      <c r="BZ10" s="33">
        <f t="shared" si="21"/>
        <v>59.41666667</v>
      </c>
      <c r="CA10" s="33">
        <f t="shared" si="21"/>
        <v>59.41666667</v>
      </c>
      <c r="CB10" s="33">
        <f t="shared" si="21"/>
        <v>59.41666667</v>
      </c>
      <c r="CC10" s="33">
        <f t="shared" si="21"/>
        <v>59.41666667</v>
      </c>
      <c r="CD10" s="33">
        <f t="shared" si="21"/>
        <v>59.41666667</v>
      </c>
      <c r="CE10" s="33">
        <f t="shared" si="21"/>
        <v>59.41666667</v>
      </c>
      <c r="CF10" s="33">
        <f t="shared" si="21"/>
        <v>59.41666667</v>
      </c>
      <c r="CG10" s="34"/>
      <c r="CH10" s="28">
        <v>5.0</v>
      </c>
      <c r="CI10" s="29" t="s">
        <v>64</v>
      </c>
      <c r="CJ10" s="35">
        <v>713.0</v>
      </c>
      <c r="CK10" s="36">
        <f t="shared" si="9"/>
        <v>59.41666667</v>
      </c>
      <c r="CL10" s="36">
        <f t="shared" si="10"/>
        <v>14.85416667</v>
      </c>
      <c r="CM10" s="36">
        <f t="shared" si="11"/>
        <v>2.970833333</v>
      </c>
      <c r="CN10" s="34"/>
      <c r="CO10" s="34"/>
      <c r="CP10" s="34"/>
      <c r="CQ10" s="34"/>
      <c r="CR10" s="34"/>
      <c r="CS10" s="34"/>
      <c r="CT10" s="34"/>
      <c r="CU10" s="34"/>
      <c r="CV10" s="7"/>
      <c r="CW10" s="37">
        <v>5.0</v>
      </c>
      <c r="CX10" s="38" t="s">
        <v>64</v>
      </c>
      <c r="CY10" s="43">
        <v>186.72</v>
      </c>
      <c r="CZ10" s="44">
        <v>186.72</v>
      </c>
      <c r="DA10" s="44">
        <v>186.91</v>
      </c>
      <c r="DB10" s="44">
        <v>187.1</v>
      </c>
      <c r="DC10" s="44">
        <v>187.26</v>
      </c>
      <c r="DD10" s="44">
        <v>189.56</v>
      </c>
      <c r="DE10" s="41"/>
      <c r="DF10" s="41"/>
      <c r="DG10" s="41"/>
      <c r="DH10" s="41"/>
      <c r="DI10" s="41"/>
      <c r="DJ10" s="41"/>
      <c r="DK10" s="7"/>
      <c r="DL10" s="42">
        <f>IFERROR(__xludf.DUMMYFUNCTION("""COMPUTED_VALUE"""),5.0)</f>
        <v>5</v>
      </c>
      <c r="DM10" s="7" t="str">
        <f>IFERROR(__xludf.DUMMYFUNCTION("""COMPUTED_VALUE"""),"CIJAWURA")</f>
        <v>CIJAWURA</v>
      </c>
      <c r="DN10" s="42">
        <f>IFERROR(__xludf.DUMMYFUNCTION("""COMPUTED_VALUE"""),2.0)</f>
        <v>2</v>
      </c>
      <c r="DO10" s="42">
        <f>IFERROR(__xludf.DUMMYFUNCTION("""COMPUTED_VALUE"""),1.0)</f>
        <v>1</v>
      </c>
      <c r="DP10" s="42">
        <f>IFERROR(__xludf.DUMMYFUNCTION("""COMPUTED_VALUE"""),2.0)</f>
        <v>2</v>
      </c>
      <c r="DQ10" s="42">
        <f>IFERROR(__xludf.DUMMYFUNCTION("""COMPUTED_VALUE"""),3.0)</f>
        <v>3</v>
      </c>
      <c r="DR10" s="42">
        <f>IFERROR(__xludf.DUMMYFUNCTION("""COMPUTED_VALUE"""),1.0)</f>
        <v>1</v>
      </c>
      <c r="DS10" s="42">
        <f>IFERROR(__xludf.DUMMYFUNCTION("""COMPUTED_VALUE"""),0.0)</f>
        <v>0</v>
      </c>
      <c r="DT10" s="42">
        <f>IFERROR(__xludf.DUMMYFUNCTION("""COMPUTED_VALUE"""),0.0)</f>
        <v>0</v>
      </c>
      <c r="DU10" s="42">
        <f>IFERROR(__xludf.DUMMYFUNCTION("""COMPUTED_VALUE"""),0.0)</f>
        <v>0</v>
      </c>
      <c r="DV10" s="42">
        <f>IFERROR(__xludf.DUMMYFUNCTION("""COMPUTED_VALUE"""),0.0)</f>
        <v>0</v>
      </c>
      <c r="DW10" s="42">
        <f>IFERROR(__xludf.DUMMYFUNCTION("""COMPUTED_VALUE"""),1.0)</f>
        <v>1</v>
      </c>
      <c r="DX10" s="42">
        <f>IFERROR(__xludf.DUMMYFUNCTION("""COMPUTED_VALUE"""),4.0)</f>
        <v>4</v>
      </c>
      <c r="DY10" s="42">
        <f>IFERROR(__xludf.DUMMYFUNCTION("""COMPUTED_VALUE"""),2.0)</f>
        <v>2</v>
      </c>
      <c r="DZ10" s="7"/>
      <c r="EA10" s="7"/>
      <c r="EB10" s="28">
        <v>5.0</v>
      </c>
      <c r="EC10" s="29" t="s">
        <v>64</v>
      </c>
      <c r="ED10" s="33">
        <f t="shared" ref="ED10:EJ10" si="22">BU10+DN10</f>
        <v>61.41666667</v>
      </c>
      <c r="EE10" s="33">
        <f t="shared" si="22"/>
        <v>60.41666667</v>
      </c>
      <c r="EF10" s="33">
        <f t="shared" si="22"/>
        <v>61.41666667</v>
      </c>
      <c r="EG10" s="33">
        <f t="shared" si="22"/>
        <v>62.41666667</v>
      </c>
      <c r="EH10" s="33">
        <f t="shared" si="22"/>
        <v>60.41666667</v>
      </c>
      <c r="EI10" s="33">
        <f t="shared" si="22"/>
        <v>59.41666667</v>
      </c>
      <c r="EJ10" s="33">
        <f t="shared" si="22"/>
        <v>59.41666667</v>
      </c>
      <c r="EK10" s="41"/>
      <c r="EL10" s="41"/>
      <c r="EM10" s="41"/>
      <c r="EN10" s="41"/>
      <c r="EO10" s="41"/>
    </row>
    <row r="11">
      <c r="A11" s="28">
        <v>6.0</v>
      </c>
      <c r="B11" s="29" t="s">
        <v>65</v>
      </c>
      <c r="C11" s="30">
        <f>COUNTIFS(
DATA!$F:$F,$B11,
DATA!$B:$B,"&gt;="&amp;DATE(2026,MONTH(C$5),DAY(C$5)),
DATA!$B:$B,"&lt;"&amp;DATE(2026,MONTH(C$5),DAY(C$5))+1
)</f>
        <v>0</v>
      </c>
      <c r="D11" s="30">
        <f>COUNTIFS(
DATA!$F:$F,$B11,
DATA!$B:$B,"&gt;="&amp;DATE(2026,MONTH(D$5),DAY(D$5)),
DATA!$B:$B,"&lt;"&amp;DATE(2026,MONTH(D$5),DAY(D$5))+1
)</f>
        <v>0</v>
      </c>
      <c r="E11" s="30">
        <f>COUNTIFS(
DATA!$F:$F,$B11,
DATA!$B:$B,"&gt;="&amp;DATE(2026,MONTH(E$5),DAY(E$5)),
DATA!$B:$B,"&lt;"&amp;DATE(2026,MONTH(E$5),DAY(E$5))+1
)</f>
        <v>0</v>
      </c>
      <c r="F11" s="30">
        <f>COUNTIFS(
DATA!$F:$F,$B11,
DATA!$B:$B,"&gt;="&amp;DATE(2026,MONTH(F$5),DAY(F$5)),
DATA!$B:$B,"&lt;"&amp;DATE(2026,MONTH(F$5),DAY(F$5))+1
)</f>
        <v>0</v>
      </c>
      <c r="G11" s="30">
        <f>COUNTIFS(
DATA!$F:$F,$B11,
DATA!$B:$B,"&gt;="&amp;DATE(2026,MONTH(G$5),DAY(G$5)),
DATA!$B:$B,"&lt;"&amp;DATE(2026,MONTH(G$5),DAY(G$5))+1
)</f>
        <v>0</v>
      </c>
      <c r="H11" s="30">
        <f>COUNTIFS(
DATA!$F:$F,$B11,
DATA!$B:$B,"&gt;="&amp;DATE(2026,MONTH(H$5),DAY(H$5)),
DATA!$B:$B,"&lt;"&amp;DATE(2026,MONTH(H$5),DAY(H$5))+1
)</f>
        <v>0</v>
      </c>
      <c r="I11" s="30">
        <f>COUNTIFS(
DATA!$F:$F,$B11,
DATA!$B:$B,"&gt;="&amp;DATE(2026,MONTH(I$5),DAY(I$5)),
DATA!$B:$B,"&lt;"&amp;DATE(2026,MONTH(I$5),DAY(I$5))+1
)</f>
        <v>0</v>
      </c>
      <c r="J11" s="30">
        <f>COUNTIFS(
DATA!$F:$F,$B11,
DATA!$B:$B,"&gt;="&amp;DATE(2026,MONTH(J$5),DAY(J$5)),
DATA!$B:$B,"&lt;"&amp;DATE(2026,MONTH(J$5),DAY(J$5))+1
)</f>
        <v>0</v>
      </c>
      <c r="K11" s="30">
        <f>COUNTIFS(
DATA!$F:$F,$B11,
DATA!$B:$B,"&gt;="&amp;DATE(2026,MONTH(K$5),DAY(K$5)),
DATA!$B:$B,"&lt;"&amp;DATE(2026,MONTH(K$5),DAY(K$5))+1
)</f>
        <v>0</v>
      </c>
      <c r="L11" s="30">
        <f>COUNTIFS(
DATA!$F:$F,$B11,
DATA!$B:$B,"&gt;="&amp;DATE(2026,MONTH(L$5),DAY(L$5)),
DATA!$B:$B,"&lt;"&amp;DATE(2026,MONTH(L$5),DAY(L$5))+1
)</f>
        <v>0</v>
      </c>
      <c r="M11" s="30">
        <f>COUNTIFS(
DATA!$F:$F,$B11,
DATA!$B:$B,"&gt;="&amp;DATE(2026,MONTH(M$5),DAY(M$5)),
DATA!$B:$B,"&lt;"&amp;DATE(2026,MONTH(M$5),DAY(M$5))+1
)</f>
        <v>0</v>
      </c>
      <c r="N11" s="30">
        <f>COUNTIFS(
DATA!$F:$F,$B11,
DATA!$B:$B,"&gt;="&amp;DATE(2026,MONTH(N$5),DAY(N$5)),
DATA!$B:$B,"&lt;"&amp;DATE(2026,MONTH(N$5),DAY(N$5))+1
)</f>
        <v>0</v>
      </c>
      <c r="O11" s="30">
        <f>COUNTIFS(
DATA!$F:$F,$B11,
DATA!$B:$B,"&gt;="&amp;DATE(2026,MONTH(O$5),DAY(O$5)),
DATA!$B:$B,"&lt;"&amp;DATE(2026,MONTH(O$5),DAY(O$5))+1
)</f>
        <v>0</v>
      </c>
      <c r="P11" s="30">
        <f>COUNTIFS(
DATA!$F:$F,$B11,
DATA!$B:$B,"&gt;="&amp;DATE(2026,MONTH(P$5),DAY(P$5)),
DATA!$B:$B,"&lt;"&amp;DATE(2026,MONTH(P$5),DAY(P$5))+1
)</f>
        <v>0</v>
      </c>
      <c r="Q11" s="30">
        <f>COUNTIFS(
DATA!$F:$F,$B11,
DATA!$B:$B,"&gt;="&amp;DATE(2026,MONTH(Q$5),DAY(Q$5)),
DATA!$B:$B,"&lt;"&amp;DATE(2026,MONTH(Q$5),DAY(Q$5))+1
)</f>
        <v>4</v>
      </c>
      <c r="R11" s="30">
        <f>COUNTIFS(
DATA!$F:$F,$B11,
DATA!$B:$B,"&gt;="&amp;DATE(2026,MONTH(R$5),DAY(R$5)),
DATA!$B:$B,"&lt;"&amp;DATE(2026,MONTH(R$5),DAY(R$5))+1
)</f>
        <v>0</v>
      </c>
      <c r="S11" s="30">
        <f>COUNTIFS(
DATA!$F:$F,$B11,
DATA!$B:$B,"&gt;="&amp;DATE(2026,MONTH(S$5),DAY(S$5)),
DATA!$B:$B,"&lt;"&amp;DATE(2026,MONTH(S$5),DAY(S$5))+1
)</f>
        <v>0</v>
      </c>
      <c r="T11" s="30">
        <f>COUNTIFS(
DATA!$F:$F,$B11,
DATA!$B:$B,"&gt;="&amp;DATE(2026,MONTH(T$5),DAY(T$5)),
DATA!$B:$B,"&lt;"&amp;DATE(2026,MONTH(T$5),DAY(T$5))+1
)</f>
        <v>0</v>
      </c>
      <c r="U11" s="30">
        <f>COUNTIFS(
DATA!$F:$F,$B11,
DATA!$B:$B,"&gt;="&amp;DATE(2026,MONTH(U$5),DAY(U$5)),
DATA!$B:$B,"&lt;"&amp;DATE(2026,MONTH(U$5),DAY(U$5))+1
)</f>
        <v>0</v>
      </c>
      <c r="V11" s="30">
        <f>COUNTIFS(
DATA!$F:$F,$B11,
DATA!$B:$B,"&gt;="&amp;DATE(2026,MONTH(V$5),DAY(V$5)),
DATA!$B:$B,"&lt;"&amp;DATE(2026,MONTH(V$5),DAY(V$5))+1
)</f>
        <v>0</v>
      </c>
      <c r="W11" s="30">
        <f>COUNTIFS(
DATA!$F:$F,$B11,
DATA!$B:$B,"&gt;="&amp;DATE(2026,MONTH(W$5),DAY(W$5)),
DATA!$B:$B,"&lt;"&amp;DATE(2026,MONTH(W$5),DAY(W$5))+1
)</f>
        <v>0</v>
      </c>
      <c r="X11" s="30">
        <f>COUNTIFS(
DATA!$F:$F,$B11,
DATA!$B:$B,"&gt;="&amp;DATE(2026,MONTH(X$5),DAY(X$5)),
DATA!$B:$B,"&lt;"&amp;DATE(2026,MONTH(X$5),DAY(X$5))+1
)</f>
        <v>0</v>
      </c>
      <c r="Y11" s="30">
        <f>COUNTIFS(
DATA!$F:$F,$B11,
DATA!$B:$B,"&gt;="&amp;DATE(2026,MONTH(Y$5),DAY(Y$5)),
DATA!$B:$B,"&lt;"&amp;DATE(2026,MONTH(Y$5),DAY(Y$5))+1
)</f>
        <v>0</v>
      </c>
      <c r="Z11" s="30">
        <f>COUNTIFS(
DATA!$F:$F,$B11,
DATA!$B:$B,"&gt;="&amp;DATE(2026,MONTH(Z$5),DAY(Z$5)),
DATA!$B:$B,"&lt;"&amp;DATE(2026,MONTH(Z$5),DAY(Z$5))+1
)</f>
        <v>0</v>
      </c>
      <c r="AA11" s="30">
        <f>COUNTIFS(
DATA!$F:$F,$B11,
DATA!$B:$B,"&gt;="&amp;DATE(2026,MONTH(AA$5),DAY(AA$5)),
DATA!$B:$B,"&lt;"&amp;DATE(2026,MONTH(AA$5),DAY(AA$5))+1
)</f>
        <v>0</v>
      </c>
      <c r="AB11" s="30">
        <f>COUNTIFS(
DATA!$F:$F,$B11,
DATA!$B:$B,"&gt;="&amp;DATE(2026,MONTH(AB$5),DAY(AB$5)),
DATA!$B:$B,"&lt;"&amp;DATE(2026,MONTH(AB$5),DAY(AB$5))+1
)</f>
        <v>0</v>
      </c>
      <c r="AC11" s="30">
        <f>COUNTIFS(
DATA!$F:$F,$B11,
DATA!$B:$B,"&gt;="&amp;DATE(2026,MONTH(AC$5),DAY(AC$5)),
DATA!$B:$B,"&lt;"&amp;DATE(2026,MONTH(AC$5),DAY(AC$5))+1
)</f>
        <v>3</v>
      </c>
      <c r="AD11" s="30">
        <f>COUNTIFS(
DATA!$F:$F,$B11,
DATA!$B:$B,"&gt;="&amp;DATE(2026,MONTH(AD$5),DAY(AD$5)),
DATA!$B:$B,"&lt;"&amp;DATE(2026,MONTH(AD$5),DAY(AD$5))+1
)</f>
        <v>0</v>
      </c>
      <c r="AE11" s="30">
        <f>COUNTIFS(
DATA!$F:$F,$B11,
DATA!$B:$B,"&gt;="&amp;DATE(2026,MONTH(AE$5),DAY(AE$5)),
DATA!$B:$B,"&lt;"&amp;DATE(2026,MONTH(AE$5),DAY(AE$5))+1
)</f>
        <v>0</v>
      </c>
      <c r="AF11" s="30">
        <f>COUNTIFS(
DATA!$F:$F,$B11,
DATA!$B:$B,"&gt;="&amp;DATE(2026,MONTH(AF$5),DAY(AF$5)),
DATA!$B:$B,"&lt;"&amp;DATE(2026,MONTH(AF$5),DAY(AF$5))+1
)</f>
        <v>0</v>
      </c>
      <c r="AG11" s="30">
        <f>COUNTIFS(
DATA!$F:$F,$B11,
DATA!$B:$B,"&gt;="&amp;DATE(2026,MONTH(AG$5),DAY(AG$5)),
DATA!$B:$B,"&lt;"&amp;DATE(2026,MONTH(AG$5),DAY(AG$5))+1
)</f>
        <v>0</v>
      </c>
      <c r="AH11" s="31">
        <f t="shared" si="4"/>
        <v>7</v>
      </c>
      <c r="AI11" s="7"/>
      <c r="AJ11" s="30">
        <v>6.0</v>
      </c>
      <c r="AK11" s="32" t="s">
        <v>66</v>
      </c>
      <c r="AL11" s="30">
        <f t="shared" si="5"/>
        <v>0</v>
      </c>
      <c r="AM11" s="30">
        <f t="shared" si="13"/>
        <v>0</v>
      </c>
      <c r="AN11" s="30">
        <f t="shared" ref="AN11:BP11" si="23">SUM($C11:E11)</f>
        <v>0</v>
      </c>
      <c r="AO11" s="30">
        <f t="shared" si="23"/>
        <v>0</v>
      </c>
      <c r="AP11" s="30">
        <f t="shared" si="23"/>
        <v>0</v>
      </c>
      <c r="AQ11" s="30">
        <f t="shared" si="23"/>
        <v>0</v>
      </c>
      <c r="AR11" s="30">
        <f t="shared" si="23"/>
        <v>0</v>
      </c>
      <c r="AS11" s="30">
        <f t="shared" si="23"/>
        <v>0</v>
      </c>
      <c r="AT11" s="30">
        <f t="shared" si="23"/>
        <v>0</v>
      </c>
      <c r="AU11" s="30">
        <f t="shared" si="23"/>
        <v>0</v>
      </c>
      <c r="AV11" s="30">
        <f t="shared" si="23"/>
        <v>0</v>
      </c>
      <c r="AW11" s="30">
        <f t="shared" si="23"/>
        <v>0</v>
      </c>
      <c r="AX11" s="30">
        <f t="shared" si="23"/>
        <v>0</v>
      </c>
      <c r="AY11" s="30">
        <f t="shared" si="23"/>
        <v>0</v>
      </c>
      <c r="AZ11" s="30">
        <f t="shared" si="23"/>
        <v>4</v>
      </c>
      <c r="BA11" s="30">
        <f t="shared" si="23"/>
        <v>4</v>
      </c>
      <c r="BB11" s="30">
        <f t="shared" si="23"/>
        <v>4</v>
      </c>
      <c r="BC11" s="30">
        <f t="shared" si="23"/>
        <v>4</v>
      </c>
      <c r="BD11" s="30">
        <f t="shared" si="23"/>
        <v>4</v>
      </c>
      <c r="BE11" s="30">
        <f t="shared" si="23"/>
        <v>4</v>
      </c>
      <c r="BF11" s="30">
        <f t="shared" si="23"/>
        <v>4</v>
      </c>
      <c r="BG11" s="30">
        <f t="shared" si="23"/>
        <v>4</v>
      </c>
      <c r="BH11" s="30">
        <f t="shared" si="23"/>
        <v>4</v>
      </c>
      <c r="BI11" s="30">
        <f t="shared" si="23"/>
        <v>4</v>
      </c>
      <c r="BJ11" s="30">
        <f t="shared" si="23"/>
        <v>4</v>
      </c>
      <c r="BK11" s="30">
        <f t="shared" si="23"/>
        <v>4</v>
      </c>
      <c r="BL11" s="30">
        <f t="shared" si="23"/>
        <v>7</v>
      </c>
      <c r="BM11" s="30">
        <f t="shared" si="23"/>
        <v>7</v>
      </c>
      <c r="BN11" s="30">
        <f t="shared" si="23"/>
        <v>7</v>
      </c>
      <c r="BO11" s="30">
        <f t="shared" si="23"/>
        <v>7</v>
      </c>
      <c r="BP11" s="30">
        <f t="shared" si="23"/>
        <v>7</v>
      </c>
      <c r="BQ11" s="31">
        <f t="shared" si="7"/>
        <v>7</v>
      </c>
      <c r="BR11" s="7"/>
      <c r="BS11" s="28">
        <v>6.0</v>
      </c>
      <c r="BT11" s="29" t="s">
        <v>66</v>
      </c>
      <c r="BU11" s="33">
        <f t="shared" ref="BU11:CF11" si="24">$CK11</f>
        <v>115.8333333</v>
      </c>
      <c r="BV11" s="33">
        <f t="shared" si="24"/>
        <v>115.8333333</v>
      </c>
      <c r="BW11" s="33">
        <f t="shared" si="24"/>
        <v>115.8333333</v>
      </c>
      <c r="BX11" s="33">
        <f t="shared" si="24"/>
        <v>115.8333333</v>
      </c>
      <c r="BY11" s="33">
        <f t="shared" si="24"/>
        <v>115.8333333</v>
      </c>
      <c r="BZ11" s="33">
        <f t="shared" si="24"/>
        <v>115.8333333</v>
      </c>
      <c r="CA11" s="33">
        <f t="shared" si="24"/>
        <v>115.8333333</v>
      </c>
      <c r="CB11" s="33">
        <f t="shared" si="24"/>
        <v>115.8333333</v>
      </c>
      <c r="CC11" s="33">
        <f t="shared" si="24"/>
        <v>115.8333333</v>
      </c>
      <c r="CD11" s="33">
        <f t="shared" si="24"/>
        <v>115.8333333</v>
      </c>
      <c r="CE11" s="33">
        <f t="shared" si="24"/>
        <v>115.8333333</v>
      </c>
      <c r="CF11" s="33">
        <f t="shared" si="24"/>
        <v>115.8333333</v>
      </c>
      <c r="CG11" s="34"/>
      <c r="CH11" s="28">
        <v>6.0</v>
      </c>
      <c r="CI11" s="29" t="s">
        <v>66</v>
      </c>
      <c r="CJ11" s="35">
        <v>1390.0</v>
      </c>
      <c r="CK11" s="36">
        <f t="shared" si="9"/>
        <v>115.8333333</v>
      </c>
      <c r="CL11" s="36">
        <f t="shared" si="10"/>
        <v>28.95833333</v>
      </c>
      <c r="CM11" s="36">
        <f t="shared" si="11"/>
        <v>5.791666667</v>
      </c>
      <c r="CN11" s="34"/>
      <c r="CO11" s="34"/>
      <c r="CP11" s="34"/>
      <c r="CQ11" s="34"/>
      <c r="CR11" s="34"/>
      <c r="CS11" s="34"/>
      <c r="CT11" s="34"/>
      <c r="CU11" s="34"/>
      <c r="CV11" s="7"/>
      <c r="CW11" s="37">
        <v>6.0</v>
      </c>
      <c r="CX11" s="38" t="s">
        <v>66</v>
      </c>
      <c r="CY11" s="43">
        <v>270.88</v>
      </c>
      <c r="CZ11" s="44">
        <v>270.88</v>
      </c>
      <c r="DA11" s="44">
        <v>271.2</v>
      </c>
      <c r="DB11" s="44">
        <v>272.24</v>
      </c>
      <c r="DC11" s="44">
        <v>272.67</v>
      </c>
      <c r="DD11" s="44">
        <v>273.33</v>
      </c>
      <c r="DE11" s="41"/>
      <c r="DF11" s="41"/>
      <c r="DG11" s="41"/>
      <c r="DH11" s="41"/>
      <c r="DI11" s="41"/>
      <c r="DJ11" s="41"/>
      <c r="DK11" s="7"/>
      <c r="DL11" s="42">
        <f>IFERROR(__xludf.DUMMYFUNCTION("""COMPUTED_VALUE"""),6.0)</f>
        <v>6</v>
      </c>
      <c r="DM11" s="7" t="str">
        <f>IFERROR(__xludf.DUMMYFUNCTION("""COMPUTED_VALUE"""),"UJUNG BERUNG")</f>
        <v>UJUNG BERUNG</v>
      </c>
      <c r="DN11" s="42">
        <f>IFERROR(__xludf.DUMMYFUNCTION("""COMPUTED_VALUE"""),0.0)</f>
        <v>0</v>
      </c>
      <c r="DO11" s="42">
        <f>IFERROR(__xludf.DUMMYFUNCTION("""COMPUTED_VALUE"""),3.0)</f>
        <v>3</v>
      </c>
      <c r="DP11" s="42">
        <f>IFERROR(__xludf.DUMMYFUNCTION("""COMPUTED_VALUE"""),4.0)</f>
        <v>4</v>
      </c>
      <c r="DQ11" s="42">
        <f>IFERROR(__xludf.DUMMYFUNCTION("""COMPUTED_VALUE"""),2.0)</f>
        <v>2</v>
      </c>
      <c r="DR11" s="42">
        <f>IFERROR(__xludf.DUMMYFUNCTION("""COMPUTED_VALUE"""),3.0)</f>
        <v>3</v>
      </c>
      <c r="DS11" s="42">
        <f>IFERROR(__xludf.DUMMYFUNCTION("""COMPUTED_VALUE"""),1.0)</f>
        <v>1</v>
      </c>
      <c r="DT11" s="42">
        <f>IFERROR(__xludf.DUMMYFUNCTION("""COMPUTED_VALUE"""),2.0)</f>
        <v>2</v>
      </c>
      <c r="DU11" s="42">
        <f>IFERROR(__xludf.DUMMYFUNCTION("""COMPUTED_VALUE"""),2.0)</f>
        <v>2</v>
      </c>
      <c r="DV11" s="42">
        <f>IFERROR(__xludf.DUMMYFUNCTION("""COMPUTED_VALUE"""),1.0)</f>
        <v>1</v>
      </c>
      <c r="DW11" s="42">
        <f>IFERROR(__xludf.DUMMYFUNCTION("""COMPUTED_VALUE"""),0.0)</f>
        <v>0</v>
      </c>
      <c r="DX11" s="42">
        <f>IFERROR(__xludf.DUMMYFUNCTION("""COMPUTED_VALUE"""),0.0)</f>
        <v>0</v>
      </c>
      <c r="DY11" s="42">
        <f>IFERROR(__xludf.DUMMYFUNCTION("""COMPUTED_VALUE"""),0.0)</f>
        <v>0</v>
      </c>
      <c r="DZ11" s="7"/>
      <c r="EA11" s="7"/>
      <c r="EB11" s="28">
        <v>6.0</v>
      </c>
      <c r="EC11" s="29" t="s">
        <v>66</v>
      </c>
      <c r="ED11" s="33">
        <f t="shared" ref="ED11:EJ11" si="25">BU11+DN11</f>
        <v>115.8333333</v>
      </c>
      <c r="EE11" s="33">
        <f t="shared" si="25"/>
        <v>118.8333333</v>
      </c>
      <c r="EF11" s="33">
        <f t="shared" si="25"/>
        <v>119.8333333</v>
      </c>
      <c r="EG11" s="33">
        <f t="shared" si="25"/>
        <v>117.8333333</v>
      </c>
      <c r="EH11" s="33">
        <f t="shared" si="25"/>
        <v>118.8333333</v>
      </c>
      <c r="EI11" s="33">
        <f t="shared" si="25"/>
        <v>116.8333333</v>
      </c>
      <c r="EJ11" s="33">
        <f t="shared" si="25"/>
        <v>117.8333333</v>
      </c>
      <c r="EK11" s="41"/>
      <c r="EL11" s="41"/>
      <c r="EM11" s="41"/>
      <c r="EN11" s="41"/>
      <c r="EO11" s="41"/>
    </row>
    <row r="12">
      <c r="A12" s="28">
        <v>7.0</v>
      </c>
      <c r="B12" s="29" t="s">
        <v>67</v>
      </c>
      <c r="C12" s="30">
        <f>COUNTIFS(
DATA!$F:$F,$B12,
DATA!$B:$B,"&gt;="&amp;DATE(2026,MONTH(C$5),DAY(C$5)),
DATA!$B:$B,"&lt;"&amp;DATE(2026,MONTH(C$5),DAY(C$5))+1
)</f>
        <v>0</v>
      </c>
      <c r="D12" s="30">
        <f>COUNTIFS(
DATA!$F:$F,$B12,
DATA!$B:$B,"&gt;="&amp;DATE(2026,MONTH(D$5),DAY(D$5)),
DATA!$B:$B,"&lt;"&amp;DATE(2026,MONTH(D$5),DAY(D$5))+1
)</f>
        <v>0</v>
      </c>
      <c r="E12" s="30">
        <f>COUNTIFS(
DATA!$F:$F,$B12,
DATA!$B:$B,"&gt;="&amp;DATE(2026,MONTH(E$5),DAY(E$5)),
DATA!$B:$B,"&lt;"&amp;DATE(2026,MONTH(E$5),DAY(E$5))+1
)</f>
        <v>0</v>
      </c>
      <c r="F12" s="30">
        <f>COUNTIFS(
DATA!$F:$F,$B12,
DATA!$B:$B,"&gt;="&amp;DATE(2026,MONTH(F$5),DAY(F$5)),
DATA!$B:$B,"&lt;"&amp;DATE(2026,MONTH(F$5),DAY(F$5))+1
)</f>
        <v>0</v>
      </c>
      <c r="G12" s="30">
        <f>COUNTIFS(
DATA!$F:$F,$B12,
DATA!$B:$B,"&gt;="&amp;DATE(2026,MONTH(G$5),DAY(G$5)),
DATA!$B:$B,"&lt;"&amp;DATE(2026,MONTH(G$5),DAY(G$5))+1
)</f>
        <v>0</v>
      </c>
      <c r="H12" s="30">
        <f>COUNTIFS(
DATA!$F:$F,$B12,
DATA!$B:$B,"&gt;="&amp;DATE(2026,MONTH(H$5),DAY(H$5)),
DATA!$B:$B,"&lt;"&amp;DATE(2026,MONTH(H$5),DAY(H$5))+1
)</f>
        <v>0</v>
      </c>
      <c r="I12" s="30">
        <f>COUNTIFS(
DATA!$F:$F,$B12,
DATA!$B:$B,"&gt;="&amp;DATE(2026,MONTH(I$5),DAY(I$5)),
DATA!$B:$B,"&lt;"&amp;DATE(2026,MONTH(I$5),DAY(I$5))+1
)</f>
        <v>0</v>
      </c>
      <c r="J12" s="30">
        <f>COUNTIFS(
DATA!$F:$F,$B12,
DATA!$B:$B,"&gt;="&amp;DATE(2026,MONTH(J$5),DAY(J$5)),
DATA!$B:$B,"&lt;"&amp;DATE(2026,MONTH(J$5),DAY(J$5))+1
)</f>
        <v>0</v>
      </c>
      <c r="K12" s="30">
        <f>COUNTIFS(
DATA!$F:$F,$B12,
DATA!$B:$B,"&gt;="&amp;DATE(2026,MONTH(K$5),DAY(K$5)),
DATA!$B:$B,"&lt;"&amp;DATE(2026,MONTH(K$5),DAY(K$5))+1
)</f>
        <v>0</v>
      </c>
      <c r="L12" s="30">
        <f>COUNTIFS(
DATA!$F:$F,$B12,
DATA!$B:$B,"&gt;="&amp;DATE(2026,MONTH(L$5),DAY(L$5)),
DATA!$B:$B,"&lt;"&amp;DATE(2026,MONTH(L$5),DAY(L$5))+1
)</f>
        <v>0</v>
      </c>
      <c r="M12" s="30">
        <f>COUNTIFS(
DATA!$F:$F,$B12,
DATA!$B:$B,"&gt;="&amp;DATE(2026,MONTH(M$5),DAY(M$5)),
DATA!$B:$B,"&lt;"&amp;DATE(2026,MONTH(M$5),DAY(M$5))+1
)</f>
        <v>0</v>
      </c>
      <c r="N12" s="30">
        <f>COUNTIFS(
DATA!$F:$F,$B12,
DATA!$B:$B,"&gt;="&amp;DATE(2026,MONTH(N$5),DAY(N$5)),
DATA!$B:$B,"&lt;"&amp;DATE(2026,MONTH(N$5),DAY(N$5))+1
)</f>
        <v>0</v>
      </c>
      <c r="O12" s="30">
        <f>COUNTIFS(
DATA!$F:$F,$B12,
DATA!$B:$B,"&gt;="&amp;DATE(2026,MONTH(O$5),DAY(O$5)),
DATA!$B:$B,"&lt;"&amp;DATE(2026,MONTH(O$5),DAY(O$5))+1
)</f>
        <v>0</v>
      </c>
      <c r="P12" s="30">
        <f>COUNTIFS(
DATA!$F:$F,$B12,
DATA!$B:$B,"&gt;="&amp;DATE(2026,MONTH(P$5),DAY(P$5)),
DATA!$B:$B,"&lt;"&amp;DATE(2026,MONTH(P$5),DAY(P$5))+1
)</f>
        <v>0</v>
      </c>
      <c r="Q12" s="30">
        <f>COUNTIFS(
DATA!$F:$F,$B12,
DATA!$B:$B,"&gt;="&amp;DATE(2026,MONTH(Q$5),DAY(Q$5)),
DATA!$B:$B,"&lt;"&amp;DATE(2026,MONTH(Q$5),DAY(Q$5))+1
)</f>
        <v>0</v>
      </c>
      <c r="R12" s="30">
        <f>COUNTIFS(
DATA!$F:$F,$B12,
DATA!$B:$B,"&gt;="&amp;DATE(2026,MONTH(R$5),DAY(R$5)),
DATA!$B:$B,"&lt;"&amp;DATE(2026,MONTH(R$5),DAY(R$5))+1
)</f>
        <v>0</v>
      </c>
      <c r="S12" s="30">
        <f>COUNTIFS(
DATA!$F:$F,$B12,
DATA!$B:$B,"&gt;="&amp;DATE(2026,MONTH(S$5),DAY(S$5)),
DATA!$B:$B,"&lt;"&amp;DATE(2026,MONTH(S$5),DAY(S$5))+1
)</f>
        <v>0</v>
      </c>
      <c r="T12" s="30">
        <f>COUNTIFS(
DATA!$F:$F,$B12,
DATA!$B:$B,"&gt;="&amp;DATE(2026,MONTH(T$5),DAY(T$5)),
DATA!$B:$B,"&lt;"&amp;DATE(2026,MONTH(T$5),DAY(T$5))+1
)</f>
        <v>0</v>
      </c>
      <c r="U12" s="30">
        <f>COUNTIFS(
DATA!$F:$F,$B12,
DATA!$B:$B,"&gt;="&amp;DATE(2026,MONTH(U$5),DAY(U$5)),
DATA!$B:$B,"&lt;"&amp;DATE(2026,MONTH(U$5),DAY(U$5))+1
)</f>
        <v>0</v>
      </c>
      <c r="V12" s="30">
        <f>COUNTIFS(
DATA!$F:$F,$B12,
DATA!$B:$B,"&gt;="&amp;DATE(2026,MONTH(V$5),DAY(V$5)),
DATA!$B:$B,"&lt;"&amp;DATE(2026,MONTH(V$5),DAY(V$5))+1
)</f>
        <v>52</v>
      </c>
      <c r="W12" s="30">
        <f>COUNTIFS(
DATA!$F:$F,$B12,
DATA!$B:$B,"&gt;="&amp;DATE(2026,MONTH(W$5),DAY(W$5)),
DATA!$B:$B,"&lt;"&amp;DATE(2026,MONTH(W$5),DAY(W$5))+1
)</f>
        <v>0</v>
      </c>
      <c r="X12" s="30">
        <f>COUNTIFS(
DATA!$F:$F,$B12,
DATA!$B:$B,"&gt;="&amp;DATE(2026,MONTH(X$5),DAY(X$5)),
DATA!$B:$B,"&lt;"&amp;DATE(2026,MONTH(X$5),DAY(X$5))+1
)</f>
        <v>0</v>
      </c>
      <c r="Y12" s="30">
        <f>COUNTIFS(
DATA!$F:$F,$B12,
DATA!$B:$B,"&gt;="&amp;DATE(2026,MONTH(Y$5),DAY(Y$5)),
DATA!$B:$B,"&lt;"&amp;DATE(2026,MONTH(Y$5),DAY(Y$5))+1
)</f>
        <v>0</v>
      </c>
      <c r="Z12" s="30">
        <f>COUNTIFS(
DATA!$F:$F,$B12,
DATA!$B:$B,"&gt;="&amp;DATE(2026,MONTH(Z$5),DAY(Z$5)),
DATA!$B:$B,"&lt;"&amp;DATE(2026,MONTH(Z$5),DAY(Z$5))+1
)</f>
        <v>0</v>
      </c>
      <c r="AA12" s="30">
        <f>COUNTIFS(
DATA!$F:$F,$B12,
DATA!$B:$B,"&gt;="&amp;DATE(2026,MONTH(AA$5),DAY(AA$5)),
DATA!$B:$B,"&lt;"&amp;DATE(2026,MONTH(AA$5),DAY(AA$5))+1
)</f>
        <v>0</v>
      </c>
      <c r="AB12" s="30">
        <f>COUNTIFS(
DATA!$F:$F,$B12,
DATA!$B:$B,"&gt;="&amp;DATE(2026,MONTH(AB$5),DAY(AB$5)),
DATA!$B:$B,"&lt;"&amp;DATE(2026,MONTH(AB$5),DAY(AB$5))+1
)</f>
        <v>0</v>
      </c>
      <c r="AC12" s="30">
        <f>COUNTIFS(
DATA!$F:$F,$B12,
DATA!$B:$B,"&gt;="&amp;DATE(2026,MONTH(AC$5),DAY(AC$5)),
DATA!$B:$B,"&lt;"&amp;DATE(2026,MONTH(AC$5),DAY(AC$5))+1
)</f>
        <v>0</v>
      </c>
      <c r="AD12" s="30">
        <f>COUNTIFS(
DATA!$F:$F,$B12,
DATA!$B:$B,"&gt;="&amp;DATE(2026,MONTH(AD$5),DAY(AD$5)),
DATA!$B:$B,"&lt;"&amp;DATE(2026,MONTH(AD$5),DAY(AD$5))+1
)</f>
        <v>0</v>
      </c>
      <c r="AE12" s="30">
        <f>COUNTIFS(
DATA!$F:$F,$B12,
DATA!$B:$B,"&gt;="&amp;DATE(2026,MONTH(AE$5),DAY(AE$5)),
DATA!$B:$B,"&lt;"&amp;DATE(2026,MONTH(AE$5),DAY(AE$5))+1
)</f>
        <v>0</v>
      </c>
      <c r="AF12" s="30">
        <f>COUNTIFS(
DATA!$F:$F,$B12,
DATA!$B:$B,"&gt;="&amp;DATE(2026,MONTH(AF$5),DAY(AF$5)),
DATA!$B:$B,"&lt;"&amp;DATE(2026,MONTH(AF$5),DAY(AF$5))+1
)</f>
        <v>0</v>
      </c>
      <c r="AG12" s="30">
        <f>COUNTIFS(
DATA!$F:$F,$B12,
DATA!$B:$B,"&gt;="&amp;DATE(2026,MONTH(AG$5),DAY(AG$5)),
DATA!$B:$B,"&lt;"&amp;DATE(2026,MONTH(AG$5),DAY(AG$5))+1
)</f>
        <v>0</v>
      </c>
      <c r="AH12" s="31">
        <f t="shared" si="4"/>
        <v>52</v>
      </c>
      <c r="AI12" s="7"/>
      <c r="AJ12" s="30">
        <v>7.0</v>
      </c>
      <c r="AK12" s="32" t="s">
        <v>67</v>
      </c>
      <c r="AL12" s="30">
        <f t="shared" si="5"/>
        <v>0</v>
      </c>
      <c r="AM12" s="30">
        <f t="shared" si="13"/>
        <v>0</v>
      </c>
      <c r="AN12" s="30">
        <f t="shared" ref="AN12:BP12" si="26">SUM($C12:E12)</f>
        <v>0</v>
      </c>
      <c r="AO12" s="30">
        <f t="shared" si="26"/>
        <v>0</v>
      </c>
      <c r="AP12" s="30">
        <f t="shared" si="26"/>
        <v>0</v>
      </c>
      <c r="AQ12" s="30">
        <f t="shared" si="26"/>
        <v>0</v>
      </c>
      <c r="AR12" s="30">
        <f t="shared" si="26"/>
        <v>0</v>
      </c>
      <c r="AS12" s="30">
        <f t="shared" si="26"/>
        <v>0</v>
      </c>
      <c r="AT12" s="30">
        <f t="shared" si="26"/>
        <v>0</v>
      </c>
      <c r="AU12" s="30">
        <f t="shared" si="26"/>
        <v>0</v>
      </c>
      <c r="AV12" s="30">
        <f t="shared" si="26"/>
        <v>0</v>
      </c>
      <c r="AW12" s="30">
        <f t="shared" si="26"/>
        <v>0</v>
      </c>
      <c r="AX12" s="30">
        <f t="shared" si="26"/>
        <v>0</v>
      </c>
      <c r="AY12" s="30">
        <f t="shared" si="26"/>
        <v>0</v>
      </c>
      <c r="AZ12" s="30">
        <f t="shared" si="26"/>
        <v>0</v>
      </c>
      <c r="BA12" s="30">
        <f t="shared" si="26"/>
        <v>0</v>
      </c>
      <c r="BB12" s="30">
        <f t="shared" si="26"/>
        <v>0</v>
      </c>
      <c r="BC12" s="30">
        <f t="shared" si="26"/>
        <v>0</v>
      </c>
      <c r="BD12" s="30">
        <f t="shared" si="26"/>
        <v>0</v>
      </c>
      <c r="BE12" s="30">
        <f t="shared" si="26"/>
        <v>52</v>
      </c>
      <c r="BF12" s="30">
        <f t="shared" si="26"/>
        <v>52</v>
      </c>
      <c r="BG12" s="30">
        <f t="shared" si="26"/>
        <v>52</v>
      </c>
      <c r="BH12" s="30">
        <f t="shared" si="26"/>
        <v>52</v>
      </c>
      <c r="BI12" s="30">
        <f t="shared" si="26"/>
        <v>52</v>
      </c>
      <c r="BJ12" s="30">
        <f t="shared" si="26"/>
        <v>52</v>
      </c>
      <c r="BK12" s="30">
        <f t="shared" si="26"/>
        <v>52</v>
      </c>
      <c r="BL12" s="30">
        <f t="shared" si="26"/>
        <v>52</v>
      </c>
      <c r="BM12" s="30">
        <f t="shared" si="26"/>
        <v>52</v>
      </c>
      <c r="BN12" s="30">
        <f t="shared" si="26"/>
        <v>52</v>
      </c>
      <c r="BO12" s="30">
        <f t="shared" si="26"/>
        <v>52</v>
      </c>
      <c r="BP12" s="30">
        <f t="shared" si="26"/>
        <v>52</v>
      </c>
      <c r="BQ12" s="31">
        <f t="shared" si="7"/>
        <v>52</v>
      </c>
      <c r="BR12" s="7"/>
      <c r="BS12" s="28">
        <v>7.0</v>
      </c>
      <c r="BT12" s="29" t="s">
        <v>67</v>
      </c>
      <c r="BU12" s="33">
        <f t="shared" ref="BU12:CF12" si="27">$CK12</f>
        <v>50.41666667</v>
      </c>
      <c r="BV12" s="33">
        <f t="shared" si="27"/>
        <v>50.41666667</v>
      </c>
      <c r="BW12" s="33">
        <f t="shared" si="27"/>
        <v>50.41666667</v>
      </c>
      <c r="BX12" s="33">
        <f t="shared" si="27"/>
        <v>50.41666667</v>
      </c>
      <c r="BY12" s="33">
        <f t="shared" si="27"/>
        <v>50.41666667</v>
      </c>
      <c r="BZ12" s="33">
        <f t="shared" si="27"/>
        <v>50.41666667</v>
      </c>
      <c r="CA12" s="33">
        <f t="shared" si="27"/>
        <v>50.41666667</v>
      </c>
      <c r="CB12" s="33">
        <f t="shared" si="27"/>
        <v>50.41666667</v>
      </c>
      <c r="CC12" s="33">
        <f t="shared" si="27"/>
        <v>50.41666667</v>
      </c>
      <c r="CD12" s="33">
        <f t="shared" si="27"/>
        <v>50.41666667</v>
      </c>
      <c r="CE12" s="33">
        <f t="shared" si="27"/>
        <v>50.41666667</v>
      </c>
      <c r="CF12" s="33">
        <f t="shared" si="27"/>
        <v>50.41666667</v>
      </c>
      <c r="CG12" s="34"/>
      <c r="CH12" s="28">
        <v>7.0</v>
      </c>
      <c r="CI12" s="29" t="s">
        <v>67</v>
      </c>
      <c r="CJ12" s="35">
        <v>605.0</v>
      </c>
      <c r="CK12" s="36">
        <f t="shared" si="9"/>
        <v>50.41666667</v>
      </c>
      <c r="CL12" s="36">
        <f t="shared" si="10"/>
        <v>12.60416667</v>
      </c>
      <c r="CM12" s="36">
        <f t="shared" si="11"/>
        <v>2.520833333</v>
      </c>
      <c r="CN12" s="34"/>
      <c r="CO12" s="34"/>
      <c r="CP12" s="34"/>
      <c r="CQ12" s="34"/>
      <c r="CR12" s="34"/>
      <c r="CS12" s="34"/>
      <c r="CT12" s="34"/>
      <c r="CU12" s="34"/>
      <c r="CV12" s="7"/>
      <c r="CW12" s="37">
        <v>7.0</v>
      </c>
      <c r="CX12" s="38" t="s">
        <v>67</v>
      </c>
      <c r="CY12" s="43">
        <v>170.83</v>
      </c>
      <c r="CZ12" s="44">
        <v>170.96</v>
      </c>
      <c r="DA12" s="44">
        <v>170.96</v>
      </c>
      <c r="DB12" s="44">
        <v>170.96</v>
      </c>
      <c r="DC12" s="44">
        <v>170.96</v>
      </c>
      <c r="DD12" s="44">
        <v>170.96</v>
      </c>
      <c r="DE12" s="41"/>
      <c r="DF12" s="41"/>
      <c r="DG12" s="41"/>
      <c r="DH12" s="41"/>
      <c r="DI12" s="41"/>
      <c r="DJ12" s="41"/>
      <c r="DK12" s="7"/>
      <c r="DL12" s="42">
        <f>IFERROR(__xludf.DUMMYFUNCTION("""COMPUTED_VALUE"""),7.0)</f>
        <v>7</v>
      </c>
      <c r="DM12" s="7" t="str">
        <f>IFERROR(__xludf.DUMMYFUNCTION("""COMPUTED_VALUE"""),"KOPO")</f>
        <v>KOPO</v>
      </c>
      <c r="DN12" s="42">
        <f>IFERROR(__xludf.DUMMYFUNCTION("""COMPUTED_VALUE"""),1.0)</f>
        <v>1</v>
      </c>
      <c r="DO12" s="42">
        <f>IFERROR(__xludf.DUMMYFUNCTION("""COMPUTED_VALUE"""),2.0)</f>
        <v>2</v>
      </c>
      <c r="DP12" s="42">
        <f>IFERROR(__xludf.DUMMYFUNCTION("""COMPUTED_VALUE"""),2.0)</f>
        <v>2</v>
      </c>
      <c r="DQ12" s="42">
        <f>IFERROR(__xludf.DUMMYFUNCTION("""COMPUTED_VALUE"""),0.0)</f>
        <v>0</v>
      </c>
      <c r="DR12" s="42">
        <f>IFERROR(__xludf.DUMMYFUNCTION("""COMPUTED_VALUE"""),3.0)</f>
        <v>3</v>
      </c>
      <c r="DS12" s="42">
        <f>IFERROR(__xludf.DUMMYFUNCTION("""COMPUTED_VALUE"""),0.0)</f>
        <v>0</v>
      </c>
      <c r="DT12" s="42">
        <f>IFERROR(__xludf.DUMMYFUNCTION("""COMPUTED_VALUE"""),0.0)</f>
        <v>0</v>
      </c>
      <c r="DU12" s="42">
        <f>IFERROR(__xludf.DUMMYFUNCTION("""COMPUTED_VALUE"""),2.0)</f>
        <v>2</v>
      </c>
      <c r="DV12" s="42">
        <f>IFERROR(__xludf.DUMMYFUNCTION("""COMPUTED_VALUE"""),2.0)</f>
        <v>2</v>
      </c>
      <c r="DW12" s="42">
        <f>IFERROR(__xludf.DUMMYFUNCTION("""COMPUTED_VALUE"""),0.0)</f>
        <v>0</v>
      </c>
      <c r="DX12" s="42">
        <f>IFERROR(__xludf.DUMMYFUNCTION("""COMPUTED_VALUE"""),1.0)</f>
        <v>1</v>
      </c>
      <c r="DY12" s="42">
        <f>IFERROR(__xludf.DUMMYFUNCTION("""COMPUTED_VALUE"""),0.0)</f>
        <v>0</v>
      </c>
      <c r="DZ12" s="7"/>
      <c r="EA12" s="7"/>
      <c r="EB12" s="28">
        <v>7.0</v>
      </c>
      <c r="EC12" s="29" t="s">
        <v>67</v>
      </c>
      <c r="ED12" s="33">
        <f t="shared" ref="ED12:EJ12" si="28">BU12+DN12</f>
        <v>51.41666667</v>
      </c>
      <c r="EE12" s="33">
        <f t="shared" si="28"/>
        <v>52.41666667</v>
      </c>
      <c r="EF12" s="33">
        <f t="shared" si="28"/>
        <v>52.41666667</v>
      </c>
      <c r="EG12" s="33">
        <f t="shared" si="28"/>
        <v>50.41666667</v>
      </c>
      <c r="EH12" s="33">
        <f t="shared" si="28"/>
        <v>53.41666667</v>
      </c>
      <c r="EI12" s="33">
        <f t="shared" si="28"/>
        <v>50.41666667</v>
      </c>
      <c r="EJ12" s="33">
        <f t="shared" si="28"/>
        <v>50.41666667</v>
      </c>
      <c r="EK12" s="41"/>
      <c r="EL12" s="41"/>
      <c r="EM12" s="41"/>
      <c r="EN12" s="41"/>
      <c r="EO12" s="41"/>
    </row>
    <row r="13">
      <c r="A13" s="28">
        <v>8.0</v>
      </c>
      <c r="B13" s="29" t="s">
        <v>68</v>
      </c>
      <c r="C13" s="30">
        <f>COUNTIFS(
DATA!$F:$F,$B13,
DATA!$B:$B,"&gt;="&amp;DATE(2026,MONTH(C$5),DAY(C$5)),
DATA!$B:$B,"&lt;"&amp;DATE(2026,MONTH(C$5),DAY(C$5))+1
)</f>
        <v>0</v>
      </c>
      <c r="D13" s="30">
        <f>COUNTIFS(
DATA!$F:$F,$B13,
DATA!$B:$B,"&gt;="&amp;DATE(2026,MONTH(D$5),DAY(D$5)),
DATA!$B:$B,"&lt;"&amp;DATE(2026,MONTH(D$5),DAY(D$5))+1
)</f>
        <v>0</v>
      </c>
      <c r="E13" s="30">
        <f>COUNTIFS(
DATA!$F:$F,$B13,
DATA!$B:$B,"&gt;="&amp;DATE(2026,MONTH(E$5),DAY(E$5)),
DATA!$B:$B,"&lt;"&amp;DATE(2026,MONTH(E$5),DAY(E$5))+1
)</f>
        <v>0</v>
      </c>
      <c r="F13" s="30">
        <f>COUNTIFS(
DATA!$F:$F,$B13,
DATA!$B:$B,"&gt;="&amp;DATE(2026,MONTH(F$5),DAY(F$5)),
DATA!$B:$B,"&lt;"&amp;DATE(2026,MONTH(F$5),DAY(F$5))+1
)</f>
        <v>0</v>
      </c>
      <c r="G13" s="30">
        <f>COUNTIFS(
DATA!$F:$F,$B13,
DATA!$B:$B,"&gt;="&amp;DATE(2026,MONTH(G$5),DAY(G$5)),
DATA!$B:$B,"&lt;"&amp;DATE(2026,MONTH(G$5),DAY(G$5))+1
)</f>
        <v>0</v>
      </c>
      <c r="H13" s="30">
        <f>COUNTIFS(
DATA!$F:$F,$B13,
DATA!$B:$B,"&gt;="&amp;DATE(2026,MONTH(H$5),DAY(H$5)),
DATA!$B:$B,"&lt;"&amp;DATE(2026,MONTH(H$5),DAY(H$5))+1
)</f>
        <v>0</v>
      </c>
      <c r="I13" s="30">
        <f>COUNTIFS(
DATA!$F:$F,$B13,
DATA!$B:$B,"&gt;="&amp;DATE(2026,MONTH(I$5),DAY(I$5)),
DATA!$B:$B,"&lt;"&amp;DATE(2026,MONTH(I$5),DAY(I$5))+1
)</f>
        <v>0</v>
      </c>
      <c r="J13" s="30">
        <f>COUNTIFS(
DATA!$F:$F,$B13,
DATA!$B:$B,"&gt;="&amp;DATE(2026,MONTH(J$5),DAY(J$5)),
DATA!$B:$B,"&lt;"&amp;DATE(2026,MONTH(J$5),DAY(J$5))+1
)</f>
        <v>0</v>
      </c>
      <c r="K13" s="30">
        <f>COUNTIFS(
DATA!$F:$F,$B13,
DATA!$B:$B,"&gt;="&amp;DATE(2026,MONTH(K$5),DAY(K$5)),
DATA!$B:$B,"&lt;"&amp;DATE(2026,MONTH(K$5),DAY(K$5))+1
)</f>
        <v>0</v>
      </c>
      <c r="L13" s="30">
        <f>COUNTIFS(
DATA!$F:$F,$B13,
DATA!$B:$B,"&gt;="&amp;DATE(2026,MONTH(L$5),DAY(L$5)),
DATA!$B:$B,"&lt;"&amp;DATE(2026,MONTH(L$5),DAY(L$5))+1
)</f>
        <v>0</v>
      </c>
      <c r="M13" s="30">
        <f>COUNTIFS(
DATA!$F:$F,$B13,
DATA!$B:$B,"&gt;="&amp;DATE(2026,MONTH(M$5),DAY(M$5)),
DATA!$B:$B,"&lt;"&amp;DATE(2026,MONTH(M$5),DAY(M$5))+1
)</f>
        <v>0</v>
      </c>
      <c r="N13" s="30">
        <f>COUNTIFS(
DATA!$F:$F,$B13,
DATA!$B:$B,"&gt;="&amp;DATE(2026,MONTH(N$5),DAY(N$5)),
DATA!$B:$B,"&lt;"&amp;DATE(2026,MONTH(N$5),DAY(N$5))+1
)</f>
        <v>0</v>
      </c>
      <c r="O13" s="30">
        <f>COUNTIFS(
DATA!$F:$F,$B13,
DATA!$B:$B,"&gt;="&amp;DATE(2026,MONTH(O$5),DAY(O$5)),
DATA!$B:$B,"&lt;"&amp;DATE(2026,MONTH(O$5),DAY(O$5))+1
)</f>
        <v>0</v>
      </c>
      <c r="P13" s="30">
        <f>COUNTIFS(
DATA!$F:$F,$B13,
DATA!$B:$B,"&gt;="&amp;DATE(2026,MONTH(P$5),DAY(P$5)),
DATA!$B:$B,"&lt;"&amp;DATE(2026,MONTH(P$5),DAY(P$5))+1
)</f>
        <v>0</v>
      </c>
      <c r="Q13" s="30">
        <f>COUNTIFS(
DATA!$F:$F,$B13,
DATA!$B:$B,"&gt;="&amp;DATE(2026,MONTH(Q$5),DAY(Q$5)),
DATA!$B:$B,"&lt;"&amp;DATE(2026,MONTH(Q$5),DAY(Q$5))+1
)</f>
        <v>0</v>
      </c>
      <c r="R13" s="30">
        <f>COUNTIFS(
DATA!$F:$F,$B13,
DATA!$B:$B,"&gt;="&amp;DATE(2026,MONTH(R$5),DAY(R$5)),
DATA!$B:$B,"&lt;"&amp;DATE(2026,MONTH(R$5),DAY(R$5))+1
)</f>
        <v>0</v>
      </c>
      <c r="S13" s="30">
        <f>COUNTIFS(
DATA!$F:$F,$B13,
DATA!$B:$B,"&gt;="&amp;DATE(2026,MONTH(S$5),DAY(S$5)),
DATA!$B:$B,"&lt;"&amp;DATE(2026,MONTH(S$5),DAY(S$5))+1
)</f>
        <v>0</v>
      </c>
      <c r="T13" s="30">
        <f>COUNTIFS(
DATA!$F:$F,$B13,
DATA!$B:$B,"&gt;="&amp;DATE(2026,MONTH(T$5),DAY(T$5)),
DATA!$B:$B,"&lt;"&amp;DATE(2026,MONTH(T$5),DAY(T$5))+1
)</f>
        <v>0</v>
      </c>
      <c r="U13" s="30">
        <f>COUNTIFS(
DATA!$F:$F,$B13,
DATA!$B:$B,"&gt;="&amp;DATE(2026,MONTH(U$5),DAY(U$5)),
DATA!$B:$B,"&lt;"&amp;DATE(2026,MONTH(U$5),DAY(U$5))+1
)</f>
        <v>0</v>
      </c>
      <c r="V13" s="30">
        <f>COUNTIFS(
DATA!$F:$F,$B13,
DATA!$B:$B,"&gt;="&amp;DATE(2026,MONTH(V$5),DAY(V$5)),
DATA!$B:$B,"&lt;"&amp;DATE(2026,MONTH(V$5),DAY(V$5))+1
)</f>
        <v>0</v>
      </c>
      <c r="W13" s="30">
        <f>COUNTIFS(
DATA!$F:$F,$B13,
DATA!$B:$B,"&gt;="&amp;DATE(2026,MONTH(W$5),DAY(W$5)),
DATA!$B:$B,"&lt;"&amp;DATE(2026,MONTH(W$5),DAY(W$5))+1
)</f>
        <v>0</v>
      </c>
      <c r="X13" s="30">
        <f>COUNTIFS(
DATA!$F:$F,$B13,
DATA!$B:$B,"&gt;="&amp;DATE(2026,MONTH(X$5),DAY(X$5)),
DATA!$B:$B,"&lt;"&amp;DATE(2026,MONTH(X$5),DAY(X$5))+1
)</f>
        <v>0</v>
      </c>
      <c r="Y13" s="30">
        <f>COUNTIFS(
DATA!$F:$F,$B13,
DATA!$B:$B,"&gt;="&amp;DATE(2026,MONTH(Y$5),DAY(Y$5)),
DATA!$B:$B,"&lt;"&amp;DATE(2026,MONTH(Y$5),DAY(Y$5))+1
)</f>
        <v>0</v>
      </c>
      <c r="Z13" s="30">
        <f>COUNTIFS(
DATA!$F:$F,$B13,
DATA!$B:$B,"&gt;="&amp;DATE(2026,MONTH(Z$5),DAY(Z$5)),
DATA!$B:$B,"&lt;"&amp;DATE(2026,MONTH(Z$5),DAY(Z$5))+1
)</f>
        <v>0</v>
      </c>
      <c r="AA13" s="30">
        <f>COUNTIFS(
DATA!$F:$F,$B13,
DATA!$B:$B,"&gt;="&amp;DATE(2026,MONTH(AA$5),DAY(AA$5)),
DATA!$B:$B,"&lt;"&amp;DATE(2026,MONTH(AA$5),DAY(AA$5))+1
)</f>
        <v>0</v>
      </c>
      <c r="AB13" s="30">
        <f>COUNTIFS(
DATA!$F:$F,$B13,
DATA!$B:$B,"&gt;="&amp;DATE(2026,MONTH(AB$5),DAY(AB$5)),
DATA!$B:$B,"&lt;"&amp;DATE(2026,MONTH(AB$5),DAY(AB$5))+1
)</f>
        <v>0</v>
      </c>
      <c r="AC13" s="30">
        <f>COUNTIFS(
DATA!$F:$F,$B13,
DATA!$B:$B,"&gt;="&amp;DATE(2026,MONTH(AC$5),DAY(AC$5)),
DATA!$B:$B,"&lt;"&amp;DATE(2026,MONTH(AC$5),DAY(AC$5))+1
)</f>
        <v>0</v>
      </c>
      <c r="AD13" s="30">
        <f>COUNTIFS(
DATA!$F:$F,$B13,
DATA!$B:$B,"&gt;="&amp;DATE(2026,MONTH(AD$5),DAY(AD$5)),
DATA!$B:$B,"&lt;"&amp;DATE(2026,MONTH(AD$5),DAY(AD$5))+1
)</f>
        <v>0</v>
      </c>
      <c r="AE13" s="30">
        <f>COUNTIFS(
DATA!$F:$F,$B13,
DATA!$B:$B,"&gt;="&amp;DATE(2026,MONTH(AE$5),DAY(AE$5)),
DATA!$B:$B,"&lt;"&amp;DATE(2026,MONTH(AE$5),DAY(AE$5))+1
)</f>
        <v>0</v>
      </c>
      <c r="AF13" s="30">
        <f>COUNTIFS(
DATA!$F:$F,$B13,
DATA!$B:$B,"&gt;="&amp;DATE(2026,MONTH(AF$5),DAY(AF$5)),
DATA!$B:$B,"&lt;"&amp;DATE(2026,MONTH(AF$5),DAY(AF$5))+1
)</f>
        <v>0</v>
      </c>
      <c r="AG13" s="30">
        <f>COUNTIFS(
DATA!$F:$F,$B13,
DATA!$B:$B,"&gt;="&amp;DATE(2026,MONTH(AG$5),DAY(AG$5)),
DATA!$B:$B,"&lt;"&amp;DATE(2026,MONTH(AG$5),DAY(AG$5))+1
)</f>
        <v>0</v>
      </c>
      <c r="AH13" s="31">
        <f t="shared" si="4"/>
        <v>0</v>
      </c>
      <c r="AI13" s="7"/>
      <c r="AJ13" s="30">
        <v>8.0</v>
      </c>
      <c r="AK13" s="32" t="s">
        <v>68</v>
      </c>
      <c r="AL13" s="30">
        <f t="shared" si="5"/>
        <v>0</v>
      </c>
      <c r="AM13" s="30">
        <f t="shared" si="13"/>
        <v>0</v>
      </c>
      <c r="AN13" s="30">
        <f t="shared" ref="AN13:BP13" si="29">SUM($C13:E13)</f>
        <v>0</v>
      </c>
      <c r="AO13" s="30">
        <f t="shared" si="29"/>
        <v>0</v>
      </c>
      <c r="AP13" s="30">
        <f t="shared" si="29"/>
        <v>0</v>
      </c>
      <c r="AQ13" s="30">
        <f t="shared" si="29"/>
        <v>0</v>
      </c>
      <c r="AR13" s="30">
        <f t="shared" si="29"/>
        <v>0</v>
      </c>
      <c r="AS13" s="30">
        <f t="shared" si="29"/>
        <v>0</v>
      </c>
      <c r="AT13" s="30">
        <f t="shared" si="29"/>
        <v>0</v>
      </c>
      <c r="AU13" s="30">
        <f t="shared" si="29"/>
        <v>0</v>
      </c>
      <c r="AV13" s="30">
        <f t="shared" si="29"/>
        <v>0</v>
      </c>
      <c r="AW13" s="30">
        <f t="shared" si="29"/>
        <v>0</v>
      </c>
      <c r="AX13" s="30">
        <f t="shared" si="29"/>
        <v>0</v>
      </c>
      <c r="AY13" s="30">
        <f t="shared" si="29"/>
        <v>0</v>
      </c>
      <c r="AZ13" s="30">
        <f t="shared" si="29"/>
        <v>0</v>
      </c>
      <c r="BA13" s="30">
        <f t="shared" si="29"/>
        <v>0</v>
      </c>
      <c r="BB13" s="30">
        <f t="shared" si="29"/>
        <v>0</v>
      </c>
      <c r="BC13" s="30">
        <f t="shared" si="29"/>
        <v>0</v>
      </c>
      <c r="BD13" s="30">
        <f t="shared" si="29"/>
        <v>0</v>
      </c>
      <c r="BE13" s="30">
        <f t="shared" si="29"/>
        <v>0</v>
      </c>
      <c r="BF13" s="30">
        <f t="shared" si="29"/>
        <v>0</v>
      </c>
      <c r="BG13" s="30">
        <f t="shared" si="29"/>
        <v>0</v>
      </c>
      <c r="BH13" s="30">
        <f t="shared" si="29"/>
        <v>0</v>
      </c>
      <c r="BI13" s="30">
        <f t="shared" si="29"/>
        <v>0</v>
      </c>
      <c r="BJ13" s="30">
        <f t="shared" si="29"/>
        <v>0</v>
      </c>
      <c r="BK13" s="30">
        <f t="shared" si="29"/>
        <v>0</v>
      </c>
      <c r="BL13" s="30">
        <f t="shared" si="29"/>
        <v>0</v>
      </c>
      <c r="BM13" s="30">
        <f t="shared" si="29"/>
        <v>0</v>
      </c>
      <c r="BN13" s="30">
        <f t="shared" si="29"/>
        <v>0</v>
      </c>
      <c r="BO13" s="30">
        <f t="shared" si="29"/>
        <v>0</v>
      </c>
      <c r="BP13" s="30">
        <f t="shared" si="29"/>
        <v>0</v>
      </c>
      <c r="BQ13" s="31">
        <f t="shared" si="7"/>
        <v>0</v>
      </c>
      <c r="BR13" s="7"/>
      <c r="BS13" s="28">
        <v>8.0</v>
      </c>
      <c r="BT13" s="29" t="s">
        <v>68</v>
      </c>
      <c r="BU13" s="33">
        <f t="shared" ref="BU13:CF13" si="30">$CK13</f>
        <v>0</v>
      </c>
      <c r="BV13" s="33">
        <f t="shared" si="30"/>
        <v>0</v>
      </c>
      <c r="BW13" s="33">
        <f t="shared" si="30"/>
        <v>0</v>
      </c>
      <c r="BX13" s="33">
        <f t="shared" si="30"/>
        <v>0</v>
      </c>
      <c r="BY13" s="33">
        <f t="shared" si="30"/>
        <v>0</v>
      </c>
      <c r="BZ13" s="33">
        <f t="shared" si="30"/>
        <v>0</v>
      </c>
      <c r="CA13" s="33">
        <f t="shared" si="30"/>
        <v>0</v>
      </c>
      <c r="CB13" s="33">
        <f t="shared" si="30"/>
        <v>0</v>
      </c>
      <c r="CC13" s="33">
        <f t="shared" si="30"/>
        <v>0</v>
      </c>
      <c r="CD13" s="33">
        <f t="shared" si="30"/>
        <v>0</v>
      </c>
      <c r="CE13" s="33">
        <f t="shared" si="30"/>
        <v>0</v>
      </c>
      <c r="CF13" s="33">
        <f t="shared" si="30"/>
        <v>0</v>
      </c>
      <c r="CG13" s="34"/>
      <c r="CH13" s="28">
        <v>8.0</v>
      </c>
      <c r="CI13" s="29" t="s">
        <v>68</v>
      </c>
      <c r="CJ13" s="35">
        <v>0.0</v>
      </c>
      <c r="CK13" s="36">
        <f t="shared" si="9"/>
        <v>0</v>
      </c>
      <c r="CL13" s="36">
        <f t="shared" si="10"/>
        <v>0</v>
      </c>
      <c r="CM13" s="36">
        <f t="shared" si="11"/>
        <v>0</v>
      </c>
      <c r="CN13" s="34"/>
      <c r="CO13" s="34"/>
      <c r="CP13" s="34"/>
      <c r="CQ13" s="34"/>
      <c r="CR13" s="34"/>
      <c r="CS13" s="34"/>
      <c r="CT13" s="34"/>
      <c r="CU13" s="34"/>
      <c r="CV13" s="7"/>
      <c r="CW13" s="37">
        <v>8.0</v>
      </c>
      <c r="CX13" s="38" t="s">
        <v>68</v>
      </c>
      <c r="CY13" s="43">
        <v>417.15</v>
      </c>
      <c r="CZ13" s="44">
        <v>417.15</v>
      </c>
      <c r="DA13" s="44">
        <v>417.15</v>
      </c>
      <c r="DB13" s="44">
        <v>417.15</v>
      </c>
      <c r="DC13" s="44">
        <v>417.15</v>
      </c>
      <c r="DD13" s="44">
        <v>418.6</v>
      </c>
      <c r="DE13" s="41"/>
      <c r="DF13" s="41"/>
      <c r="DG13" s="41"/>
      <c r="DH13" s="41"/>
      <c r="DI13" s="41"/>
      <c r="DJ13" s="41"/>
      <c r="DK13" s="7"/>
      <c r="DL13" s="42">
        <f>IFERROR(__xludf.DUMMYFUNCTION("""COMPUTED_VALUE"""),8.0)</f>
        <v>8</v>
      </c>
      <c r="DM13" s="7" t="str">
        <f>IFERROR(__xludf.DUMMYFUNCTION("""COMPUTED_VALUE"""),"PRIMA PRIANGAN")</f>
        <v>PRIMA PRIANGAN</v>
      </c>
      <c r="DN13" s="42">
        <f>IFERROR(__xludf.DUMMYFUNCTION("""COMPUTED_VALUE"""),0.0)</f>
        <v>0</v>
      </c>
      <c r="DO13" s="42">
        <f>IFERROR(__xludf.DUMMYFUNCTION("""COMPUTED_VALUE"""),0.0)</f>
        <v>0</v>
      </c>
      <c r="DP13" s="42">
        <f>IFERROR(__xludf.DUMMYFUNCTION("""COMPUTED_VALUE"""),1.0)</f>
        <v>1</v>
      </c>
      <c r="DQ13" s="42">
        <f>IFERROR(__xludf.DUMMYFUNCTION("""COMPUTED_VALUE"""),0.0)</f>
        <v>0</v>
      </c>
      <c r="DR13" s="42">
        <f>IFERROR(__xludf.DUMMYFUNCTION("""COMPUTED_VALUE"""),1.0)</f>
        <v>1</v>
      </c>
      <c r="DS13" s="42">
        <f>IFERROR(__xludf.DUMMYFUNCTION("""COMPUTED_VALUE"""),1.0)</f>
        <v>1</v>
      </c>
      <c r="DT13" s="42">
        <f>IFERROR(__xludf.DUMMYFUNCTION("""COMPUTED_VALUE"""),1.0)</f>
        <v>1</v>
      </c>
      <c r="DU13" s="42">
        <f>IFERROR(__xludf.DUMMYFUNCTION("""COMPUTED_VALUE"""),0.0)</f>
        <v>0</v>
      </c>
      <c r="DV13" s="42">
        <f>IFERROR(__xludf.DUMMYFUNCTION("""COMPUTED_VALUE"""),1.0)</f>
        <v>1</v>
      </c>
      <c r="DW13" s="42">
        <f>IFERROR(__xludf.DUMMYFUNCTION("""COMPUTED_VALUE"""),1.0)</f>
        <v>1</v>
      </c>
      <c r="DX13" s="42">
        <f>IFERROR(__xludf.DUMMYFUNCTION("""COMPUTED_VALUE"""),0.0)</f>
        <v>0</v>
      </c>
      <c r="DY13" s="42">
        <f>IFERROR(__xludf.DUMMYFUNCTION("""COMPUTED_VALUE"""),0.0)</f>
        <v>0</v>
      </c>
      <c r="DZ13" s="7"/>
      <c r="EA13" s="7"/>
      <c r="EB13" s="28">
        <v>8.0</v>
      </c>
      <c r="EC13" s="29" t="s">
        <v>68</v>
      </c>
      <c r="ED13" s="33">
        <f t="shared" ref="ED13:EJ13" si="31">BU13+DN13</f>
        <v>0</v>
      </c>
      <c r="EE13" s="33">
        <f t="shared" si="31"/>
        <v>0</v>
      </c>
      <c r="EF13" s="33">
        <f t="shared" si="31"/>
        <v>1</v>
      </c>
      <c r="EG13" s="33">
        <f t="shared" si="31"/>
        <v>0</v>
      </c>
      <c r="EH13" s="33">
        <f t="shared" si="31"/>
        <v>1</v>
      </c>
      <c r="EI13" s="33">
        <f t="shared" si="31"/>
        <v>1</v>
      </c>
      <c r="EJ13" s="33">
        <f t="shared" si="31"/>
        <v>1</v>
      </c>
      <c r="EK13" s="41"/>
      <c r="EL13" s="41"/>
      <c r="EM13" s="41"/>
      <c r="EN13" s="41"/>
      <c r="EO13" s="41"/>
    </row>
    <row r="14">
      <c r="A14" s="45"/>
      <c r="B14" s="46" t="s">
        <v>69</v>
      </c>
      <c r="C14" s="47">
        <f t="shared" ref="C14:AG14" si="32">SUM(C6:C13)</f>
        <v>0</v>
      </c>
      <c r="D14" s="47">
        <f t="shared" si="32"/>
        <v>9</v>
      </c>
      <c r="E14" s="47">
        <f t="shared" si="32"/>
        <v>0</v>
      </c>
      <c r="F14" s="47">
        <f t="shared" si="32"/>
        <v>0</v>
      </c>
      <c r="G14" s="47">
        <f t="shared" si="32"/>
        <v>0</v>
      </c>
      <c r="H14" s="47">
        <f t="shared" si="32"/>
        <v>0</v>
      </c>
      <c r="I14" s="47">
        <f t="shared" si="32"/>
        <v>0</v>
      </c>
      <c r="J14" s="47">
        <f t="shared" si="32"/>
        <v>12</v>
      </c>
      <c r="K14" s="47">
        <f t="shared" si="32"/>
        <v>16</v>
      </c>
      <c r="L14" s="47">
        <f t="shared" si="32"/>
        <v>20</v>
      </c>
      <c r="M14" s="47">
        <f t="shared" si="32"/>
        <v>0</v>
      </c>
      <c r="N14" s="47">
        <f t="shared" si="32"/>
        <v>28</v>
      </c>
      <c r="O14" s="47">
        <f t="shared" si="32"/>
        <v>0</v>
      </c>
      <c r="P14" s="47">
        <f t="shared" si="32"/>
        <v>0</v>
      </c>
      <c r="Q14" s="47">
        <f t="shared" si="32"/>
        <v>25</v>
      </c>
      <c r="R14" s="47">
        <f t="shared" si="32"/>
        <v>0</v>
      </c>
      <c r="S14" s="47">
        <f t="shared" si="32"/>
        <v>0</v>
      </c>
      <c r="T14" s="47">
        <f t="shared" si="32"/>
        <v>0</v>
      </c>
      <c r="U14" s="47">
        <f t="shared" si="32"/>
        <v>0</v>
      </c>
      <c r="V14" s="47">
        <f t="shared" si="32"/>
        <v>52</v>
      </c>
      <c r="W14" s="47">
        <f t="shared" si="32"/>
        <v>0</v>
      </c>
      <c r="X14" s="47">
        <f t="shared" si="32"/>
        <v>0</v>
      </c>
      <c r="Y14" s="47">
        <f t="shared" si="32"/>
        <v>15</v>
      </c>
      <c r="Z14" s="47">
        <f t="shared" si="32"/>
        <v>0</v>
      </c>
      <c r="AA14" s="47">
        <f t="shared" si="32"/>
        <v>0</v>
      </c>
      <c r="AB14" s="47">
        <f t="shared" si="32"/>
        <v>0</v>
      </c>
      <c r="AC14" s="47">
        <f t="shared" si="32"/>
        <v>3</v>
      </c>
      <c r="AD14" s="47">
        <f t="shared" si="32"/>
        <v>0</v>
      </c>
      <c r="AE14" s="47">
        <f t="shared" si="32"/>
        <v>0</v>
      </c>
      <c r="AF14" s="47">
        <f t="shared" si="32"/>
        <v>53</v>
      </c>
      <c r="AG14" s="47">
        <f t="shared" si="32"/>
        <v>0</v>
      </c>
      <c r="AH14" s="48">
        <f>SUBTOTAL(9,C14:AG14)</f>
        <v>233</v>
      </c>
      <c r="AI14" s="7"/>
      <c r="AJ14" s="45"/>
      <c r="AK14" s="46" t="s">
        <v>69</v>
      </c>
      <c r="AL14" s="47">
        <f t="shared" si="5"/>
        <v>0</v>
      </c>
      <c r="AM14" s="47">
        <f t="shared" si="13"/>
        <v>9</v>
      </c>
      <c r="AN14" s="47">
        <f t="shared" ref="AN14:BP14" si="33">SUM($C14:E14)</f>
        <v>9</v>
      </c>
      <c r="AO14" s="47">
        <f t="shared" si="33"/>
        <v>9</v>
      </c>
      <c r="AP14" s="47">
        <f t="shared" si="33"/>
        <v>9</v>
      </c>
      <c r="AQ14" s="47">
        <f t="shared" si="33"/>
        <v>9</v>
      </c>
      <c r="AR14" s="47">
        <f t="shared" si="33"/>
        <v>9</v>
      </c>
      <c r="AS14" s="47">
        <f t="shared" si="33"/>
        <v>21</v>
      </c>
      <c r="AT14" s="47">
        <f t="shared" si="33"/>
        <v>37</v>
      </c>
      <c r="AU14" s="47">
        <f t="shared" si="33"/>
        <v>57</v>
      </c>
      <c r="AV14" s="47">
        <f t="shared" si="33"/>
        <v>57</v>
      </c>
      <c r="AW14" s="47">
        <f t="shared" si="33"/>
        <v>85</v>
      </c>
      <c r="AX14" s="47">
        <f t="shared" si="33"/>
        <v>85</v>
      </c>
      <c r="AY14" s="47">
        <f t="shared" si="33"/>
        <v>85</v>
      </c>
      <c r="AZ14" s="47">
        <f t="shared" si="33"/>
        <v>110</v>
      </c>
      <c r="BA14" s="47">
        <f t="shared" si="33"/>
        <v>110</v>
      </c>
      <c r="BB14" s="47">
        <f t="shared" si="33"/>
        <v>110</v>
      </c>
      <c r="BC14" s="47">
        <f t="shared" si="33"/>
        <v>110</v>
      </c>
      <c r="BD14" s="47">
        <f t="shared" si="33"/>
        <v>110</v>
      </c>
      <c r="BE14" s="47">
        <f t="shared" si="33"/>
        <v>162</v>
      </c>
      <c r="BF14" s="47">
        <f t="shared" si="33"/>
        <v>162</v>
      </c>
      <c r="BG14" s="47">
        <f t="shared" si="33"/>
        <v>162</v>
      </c>
      <c r="BH14" s="47">
        <f t="shared" si="33"/>
        <v>177</v>
      </c>
      <c r="BI14" s="47">
        <f t="shared" si="33"/>
        <v>177</v>
      </c>
      <c r="BJ14" s="47">
        <f t="shared" si="33"/>
        <v>177</v>
      </c>
      <c r="BK14" s="47">
        <f t="shared" si="33"/>
        <v>177</v>
      </c>
      <c r="BL14" s="47">
        <f t="shared" si="33"/>
        <v>180</v>
      </c>
      <c r="BM14" s="47">
        <f t="shared" si="33"/>
        <v>180</v>
      </c>
      <c r="BN14" s="47">
        <f t="shared" si="33"/>
        <v>180</v>
      </c>
      <c r="BO14" s="47">
        <f t="shared" si="33"/>
        <v>233</v>
      </c>
      <c r="BP14" s="47">
        <f t="shared" si="33"/>
        <v>233</v>
      </c>
      <c r="BQ14" s="49">
        <f t="shared" si="7"/>
        <v>233</v>
      </c>
      <c r="BR14" s="7"/>
      <c r="BS14" s="50"/>
      <c r="BT14" s="51" t="s">
        <v>69</v>
      </c>
      <c r="BU14" s="52">
        <f t="shared" ref="BU14:CF14" si="34">$CK14</f>
        <v>306.9166667</v>
      </c>
      <c r="BV14" s="52">
        <f t="shared" si="34"/>
        <v>306.9166667</v>
      </c>
      <c r="BW14" s="52">
        <f t="shared" si="34"/>
        <v>306.9166667</v>
      </c>
      <c r="BX14" s="52">
        <f t="shared" si="34"/>
        <v>306.9166667</v>
      </c>
      <c r="BY14" s="52">
        <f t="shared" si="34"/>
        <v>306.9166667</v>
      </c>
      <c r="BZ14" s="52">
        <f t="shared" si="34"/>
        <v>306.9166667</v>
      </c>
      <c r="CA14" s="52">
        <f t="shared" si="34"/>
        <v>306.9166667</v>
      </c>
      <c r="CB14" s="52">
        <f t="shared" si="34"/>
        <v>306.9166667</v>
      </c>
      <c r="CC14" s="52">
        <f t="shared" si="34"/>
        <v>306.9166667</v>
      </c>
      <c r="CD14" s="52">
        <f t="shared" si="34"/>
        <v>306.9166667</v>
      </c>
      <c r="CE14" s="52">
        <f t="shared" si="34"/>
        <v>306.9166667</v>
      </c>
      <c r="CF14" s="52">
        <f t="shared" si="34"/>
        <v>306.9166667</v>
      </c>
      <c r="CG14" s="34"/>
      <c r="CH14" s="50"/>
      <c r="CI14" s="51" t="s">
        <v>69</v>
      </c>
      <c r="CJ14" s="53">
        <f>SUM(CJ6:CJ13)</f>
        <v>3683</v>
      </c>
      <c r="CK14" s="54">
        <f t="shared" si="9"/>
        <v>306.9166667</v>
      </c>
      <c r="CL14" s="54">
        <f t="shared" si="10"/>
        <v>76.72916667</v>
      </c>
      <c r="CM14" s="54">
        <f t="shared" si="11"/>
        <v>15.34583333</v>
      </c>
      <c r="CN14" s="34"/>
      <c r="CO14" s="34"/>
      <c r="CP14" s="34"/>
      <c r="CQ14" s="34"/>
      <c r="CR14" s="34"/>
      <c r="CS14" s="34"/>
      <c r="CT14" s="34"/>
      <c r="CU14" s="34"/>
      <c r="CV14" s="7"/>
      <c r="CW14" s="55"/>
      <c r="CX14" s="56" t="s">
        <v>69</v>
      </c>
      <c r="CY14" s="57">
        <v>2114.21</v>
      </c>
      <c r="CZ14" s="58">
        <v>2115.42</v>
      </c>
      <c r="DA14" s="58">
        <v>2117.57</v>
      </c>
      <c r="DB14" s="58">
        <v>2119.37</v>
      </c>
      <c r="DC14" s="58">
        <v>2120.61</v>
      </c>
      <c r="DD14" s="58">
        <v>2126.05</v>
      </c>
      <c r="DE14" s="55"/>
      <c r="DF14" s="55"/>
      <c r="DG14" s="55"/>
      <c r="DH14" s="55"/>
      <c r="DI14" s="55"/>
      <c r="DJ14" s="55"/>
      <c r="DK14" s="7"/>
      <c r="DL14" s="59"/>
      <c r="DM14" s="59" t="str">
        <f>IFERROR(__xludf.DUMMYFUNCTION("""COMPUTED_VALUE"""),"UP3 BANDUNG")</f>
        <v>UP3 BANDUNG</v>
      </c>
      <c r="DN14" s="60">
        <f>IFERROR(__xludf.DUMMYFUNCTION("""COMPUTED_VALUE"""),7.0)</f>
        <v>7</v>
      </c>
      <c r="DO14" s="60">
        <f>IFERROR(__xludf.DUMMYFUNCTION("""COMPUTED_VALUE"""),20.0)</f>
        <v>20</v>
      </c>
      <c r="DP14" s="60">
        <f>IFERROR(__xludf.DUMMYFUNCTION("""COMPUTED_VALUE"""),13.0)</f>
        <v>13</v>
      </c>
      <c r="DQ14" s="60">
        <f>IFERROR(__xludf.DUMMYFUNCTION("""COMPUTED_VALUE"""),15.0)</f>
        <v>15</v>
      </c>
      <c r="DR14" s="60">
        <f>IFERROR(__xludf.DUMMYFUNCTION("""COMPUTED_VALUE"""),16.0)</f>
        <v>16</v>
      </c>
      <c r="DS14" s="60">
        <f>IFERROR(__xludf.DUMMYFUNCTION("""COMPUTED_VALUE"""),3.0)</f>
        <v>3</v>
      </c>
      <c r="DT14" s="60">
        <f>IFERROR(__xludf.DUMMYFUNCTION("""COMPUTED_VALUE"""),10.0)</f>
        <v>10</v>
      </c>
      <c r="DU14" s="60">
        <f>IFERROR(__xludf.DUMMYFUNCTION("""COMPUTED_VALUE"""),6.0)</f>
        <v>6</v>
      </c>
      <c r="DV14" s="60">
        <f>IFERROR(__xludf.DUMMYFUNCTION("""COMPUTED_VALUE"""),9.0)</f>
        <v>9</v>
      </c>
      <c r="DW14" s="60">
        <f>IFERROR(__xludf.DUMMYFUNCTION("""COMPUTED_VALUE"""),6.0)</f>
        <v>6</v>
      </c>
      <c r="DX14" s="60">
        <f>IFERROR(__xludf.DUMMYFUNCTION("""COMPUTED_VALUE"""),7.0)</f>
        <v>7</v>
      </c>
      <c r="DY14" s="60">
        <f>IFERROR(__xludf.DUMMYFUNCTION("""COMPUTED_VALUE"""),5.0)</f>
        <v>5</v>
      </c>
      <c r="DZ14" s="59"/>
      <c r="EA14" s="7"/>
      <c r="EB14" s="61"/>
      <c r="EC14" s="62" t="s">
        <v>69</v>
      </c>
      <c r="ED14" s="33">
        <f t="shared" ref="ED14:EJ14" si="35">BU14+DN14</f>
        <v>313.9166667</v>
      </c>
      <c r="EE14" s="33">
        <f t="shared" si="35"/>
        <v>326.9166667</v>
      </c>
      <c r="EF14" s="33">
        <f t="shared" si="35"/>
        <v>319.9166667</v>
      </c>
      <c r="EG14" s="33">
        <f t="shared" si="35"/>
        <v>321.9166667</v>
      </c>
      <c r="EH14" s="33">
        <f t="shared" si="35"/>
        <v>322.9166667</v>
      </c>
      <c r="EI14" s="33">
        <f t="shared" si="35"/>
        <v>309.9166667</v>
      </c>
      <c r="EJ14" s="33">
        <f t="shared" si="35"/>
        <v>316.9166667</v>
      </c>
      <c r="EK14" s="61"/>
      <c r="EL14" s="61"/>
      <c r="EM14" s="61"/>
      <c r="EN14" s="61"/>
      <c r="EO14" s="61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</row>
    <row r="16">
      <c r="A16" s="8" t="s">
        <v>35</v>
      </c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</row>
    <row r="17">
      <c r="A17" s="9" t="str">
        <f>TEXT(C19,"MMMM YYYY")</f>
        <v>Februari 2026</v>
      </c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10" t="s">
        <v>70</v>
      </c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63" t="s">
        <v>71</v>
      </c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11" t="s">
        <v>72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12" t="s">
        <v>38</v>
      </c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11" t="s">
        <v>73</v>
      </c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11" t="str">
        <f>IFERROR(__xludf.DUMMYFUNCTION("IMPORTRANGE(""https://docs.google.com/spreadsheets/d/12TE8M_p6EnBoqpF6IdzWmRIv03v9u170E6-j1n9ONG4/edit"",""HARIAN Z2 2024!BS17:CF27"")"),"GANGGUAN ZONA 2 (KUMULATIF)")</f>
        <v>GANGGUAN ZONA 2 (KUMULATIF)</v>
      </c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11" t="s">
        <v>74</v>
      </c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</row>
    <row r="19" ht="43.5" customHeight="1">
      <c r="A19" s="14" t="s">
        <v>41</v>
      </c>
      <c r="B19" s="14" t="s">
        <v>42</v>
      </c>
      <c r="C19" s="64">
        <v>46054.0</v>
      </c>
      <c r="D19" s="64">
        <v>46055.0</v>
      </c>
      <c r="E19" s="64">
        <v>46056.0</v>
      </c>
      <c r="F19" s="64">
        <v>46057.0</v>
      </c>
      <c r="G19" s="64">
        <v>46058.0</v>
      </c>
      <c r="H19" s="64">
        <v>46059.0</v>
      </c>
      <c r="I19" s="64">
        <v>46060.0</v>
      </c>
      <c r="J19" s="64">
        <v>46061.0</v>
      </c>
      <c r="K19" s="64">
        <v>46062.0</v>
      </c>
      <c r="L19" s="64">
        <v>46063.0</v>
      </c>
      <c r="M19" s="64">
        <v>46064.0</v>
      </c>
      <c r="N19" s="64">
        <v>46065.0</v>
      </c>
      <c r="O19" s="64">
        <v>46066.0</v>
      </c>
      <c r="P19" s="64">
        <v>46067.0</v>
      </c>
      <c r="Q19" s="64">
        <v>46068.0</v>
      </c>
      <c r="R19" s="64">
        <v>46069.0</v>
      </c>
      <c r="S19" s="64">
        <v>46070.0</v>
      </c>
      <c r="T19" s="64">
        <v>46071.0</v>
      </c>
      <c r="U19" s="64">
        <v>46072.0</v>
      </c>
      <c r="V19" s="64">
        <v>46073.0</v>
      </c>
      <c r="W19" s="64">
        <v>46074.0</v>
      </c>
      <c r="X19" s="64">
        <v>46075.0</v>
      </c>
      <c r="Y19" s="64">
        <v>46076.0</v>
      </c>
      <c r="Z19" s="64">
        <v>46077.0</v>
      </c>
      <c r="AA19" s="64">
        <v>46078.0</v>
      </c>
      <c r="AB19" s="64">
        <v>46079.0</v>
      </c>
      <c r="AC19" s="64">
        <v>46080.0</v>
      </c>
      <c r="AD19" s="64">
        <v>46081.0</v>
      </c>
      <c r="AE19" s="65"/>
      <c r="AF19" s="65"/>
      <c r="AG19" s="65"/>
      <c r="AH19" s="16" t="s">
        <v>43</v>
      </c>
      <c r="AI19" s="17"/>
      <c r="AJ19" s="18" t="s">
        <v>41</v>
      </c>
      <c r="AK19" s="18" t="s">
        <v>42</v>
      </c>
      <c r="AL19" s="66">
        <v>46054.0</v>
      </c>
      <c r="AM19" s="66">
        <v>46055.0</v>
      </c>
      <c r="AN19" s="66">
        <v>46056.0</v>
      </c>
      <c r="AO19" s="66">
        <v>46057.0</v>
      </c>
      <c r="AP19" s="66">
        <v>46058.0</v>
      </c>
      <c r="AQ19" s="66">
        <v>46059.0</v>
      </c>
      <c r="AR19" s="66">
        <v>46060.0</v>
      </c>
      <c r="AS19" s="66">
        <v>46061.0</v>
      </c>
      <c r="AT19" s="66">
        <v>46062.0</v>
      </c>
      <c r="AU19" s="66">
        <v>46063.0</v>
      </c>
      <c r="AV19" s="66">
        <v>46064.0</v>
      </c>
      <c r="AW19" s="66">
        <v>46065.0</v>
      </c>
      <c r="AX19" s="66">
        <v>46066.0</v>
      </c>
      <c r="AY19" s="66">
        <v>46067.0</v>
      </c>
      <c r="AZ19" s="66">
        <v>46068.0</v>
      </c>
      <c r="BA19" s="66">
        <v>46069.0</v>
      </c>
      <c r="BB19" s="66">
        <v>46070.0</v>
      </c>
      <c r="BC19" s="66">
        <v>46071.0</v>
      </c>
      <c r="BD19" s="66">
        <v>46072.0</v>
      </c>
      <c r="BE19" s="66">
        <v>46073.0</v>
      </c>
      <c r="BF19" s="66">
        <v>46074.0</v>
      </c>
      <c r="BG19" s="66">
        <v>46075.0</v>
      </c>
      <c r="BH19" s="66">
        <v>46076.0</v>
      </c>
      <c r="BI19" s="66">
        <v>46077.0</v>
      </c>
      <c r="BJ19" s="66">
        <v>46078.0</v>
      </c>
      <c r="BK19" s="66">
        <v>46079.0</v>
      </c>
      <c r="BL19" s="66">
        <v>46080.0</v>
      </c>
      <c r="BM19" s="66">
        <v>46081.0</v>
      </c>
      <c r="BN19" s="67"/>
      <c r="BO19" s="67"/>
      <c r="BP19" s="67"/>
      <c r="BQ19" s="18" t="s">
        <v>43</v>
      </c>
      <c r="BR19" s="17"/>
      <c r="BS19" s="20" t="s">
        <v>41</v>
      </c>
      <c r="BT19" s="20" t="s">
        <v>42</v>
      </c>
      <c r="BU19" s="20" t="s">
        <v>44</v>
      </c>
      <c r="BV19" s="20" t="s">
        <v>45</v>
      </c>
      <c r="BW19" s="20" t="s">
        <v>46</v>
      </c>
      <c r="BX19" s="20" t="s">
        <v>47</v>
      </c>
      <c r="BY19" s="20" t="s">
        <v>48</v>
      </c>
      <c r="BZ19" s="20" t="s">
        <v>49</v>
      </c>
      <c r="CA19" s="20" t="s">
        <v>50</v>
      </c>
      <c r="CB19" s="20" t="s">
        <v>51</v>
      </c>
      <c r="CC19" s="20" t="s">
        <v>52</v>
      </c>
      <c r="CD19" s="20" t="s">
        <v>53</v>
      </c>
      <c r="CE19" s="20" t="s">
        <v>54</v>
      </c>
      <c r="CF19" s="20" t="s">
        <v>55</v>
      </c>
      <c r="CG19" s="68"/>
      <c r="CH19" s="68"/>
      <c r="CI19" s="68"/>
      <c r="CJ19" s="68"/>
      <c r="CK19" s="68"/>
      <c r="CL19" s="68"/>
      <c r="CM19" s="68"/>
      <c r="CN19" s="17"/>
      <c r="CO19" s="17"/>
      <c r="CP19" s="17"/>
      <c r="CQ19" s="17"/>
      <c r="CR19" s="17"/>
      <c r="CS19" s="17"/>
      <c r="CT19" s="17"/>
      <c r="CU19" s="17"/>
      <c r="CV19" s="17"/>
      <c r="CW19" s="14" t="s">
        <v>41</v>
      </c>
      <c r="CX19" s="14" t="s">
        <v>42</v>
      </c>
      <c r="CY19" s="14" t="s">
        <v>44</v>
      </c>
      <c r="CZ19" s="14" t="s">
        <v>45</v>
      </c>
      <c r="DA19" s="14" t="s">
        <v>46</v>
      </c>
      <c r="DB19" s="14" t="s">
        <v>47</v>
      </c>
      <c r="DC19" s="14" t="s">
        <v>48</v>
      </c>
      <c r="DD19" s="14" t="s">
        <v>49</v>
      </c>
      <c r="DE19" s="14" t="s">
        <v>50</v>
      </c>
      <c r="DF19" s="14" t="s">
        <v>51</v>
      </c>
      <c r="DG19" s="14" t="s">
        <v>52</v>
      </c>
      <c r="DH19" s="14" t="s">
        <v>53</v>
      </c>
      <c r="DI19" s="14" t="s">
        <v>54</v>
      </c>
      <c r="DJ19" s="14" t="s">
        <v>55</v>
      </c>
      <c r="DK19" s="17"/>
      <c r="DL19" s="25" t="str">
        <f>IFERROR(__xludf.DUMMYFUNCTION("""COMPUTED_VALUE"""),"NO")</f>
        <v>NO</v>
      </c>
      <c r="DM19" s="25" t="str">
        <f>IFERROR(__xludf.DUMMYFUNCTION("""COMPUTED_VALUE"""),"UNIT")</f>
        <v>UNIT</v>
      </c>
      <c r="DN19" s="26" t="str">
        <f>IFERROR(__xludf.DUMMYFUNCTION("""COMPUTED_VALUE"""),"JAN")</f>
        <v>JAN</v>
      </c>
      <c r="DO19" s="26" t="str">
        <f>IFERROR(__xludf.DUMMYFUNCTION("""COMPUTED_VALUE"""),"FEB")</f>
        <v>FEB</v>
      </c>
      <c r="DP19" s="26" t="str">
        <f>IFERROR(__xludf.DUMMYFUNCTION("""COMPUTED_VALUE"""),"MAR")</f>
        <v>MAR</v>
      </c>
      <c r="DQ19" s="26" t="str">
        <f>IFERROR(__xludf.DUMMYFUNCTION("""COMPUTED_VALUE"""),"APR")</f>
        <v>APR</v>
      </c>
      <c r="DR19" s="26" t="str">
        <f>IFERROR(__xludf.DUMMYFUNCTION("""COMPUTED_VALUE"""),"MEI")</f>
        <v>MEI</v>
      </c>
      <c r="DS19" s="26" t="str">
        <f>IFERROR(__xludf.DUMMYFUNCTION("""COMPUTED_VALUE"""),"JUN")</f>
        <v>JUN</v>
      </c>
      <c r="DT19" s="26" t="str">
        <f>IFERROR(__xludf.DUMMYFUNCTION("""COMPUTED_VALUE"""),"JUL")</f>
        <v>JUL</v>
      </c>
      <c r="DU19" s="26" t="str">
        <f>IFERROR(__xludf.DUMMYFUNCTION("""COMPUTED_VALUE"""),"AGT")</f>
        <v>AGT</v>
      </c>
      <c r="DV19" s="26" t="str">
        <f>IFERROR(__xludf.DUMMYFUNCTION("""COMPUTED_VALUE"""),"SEP")</f>
        <v>SEP</v>
      </c>
      <c r="DW19" s="26" t="str">
        <f>IFERROR(__xludf.DUMMYFUNCTION("""COMPUTED_VALUE"""),"OKT")</f>
        <v>OKT</v>
      </c>
      <c r="DX19" s="26" t="str">
        <f>IFERROR(__xludf.DUMMYFUNCTION("""COMPUTED_VALUE"""),"NOV")</f>
        <v>NOV</v>
      </c>
      <c r="DY19" s="26" t="str">
        <f>IFERROR(__xludf.DUMMYFUNCTION("""COMPUTED_VALUE"""),"DES")</f>
        <v>DES</v>
      </c>
      <c r="DZ19" s="27"/>
      <c r="EA19" s="17"/>
      <c r="EB19" s="14" t="s">
        <v>41</v>
      </c>
      <c r="EC19" s="14" t="s">
        <v>42</v>
      </c>
      <c r="ED19" s="14" t="s">
        <v>44</v>
      </c>
      <c r="EE19" s="14" t="s">
        <v>45</v>
      </c>
      <c r="EF19" s="14" t="s">
        <v>46</v>
      </c>
      <c r="EG19" s="14" t="s">
        <v>47</v>
      </c>
      <c r="EH19" s="14" t="s">
        <v>48</v>
      </c>
      <c r="EI19" s="14" t="s">
        <v>49</v>
      </c>
      <c r="EJ19" s="14" t="s">
        <v>50</v>
      </c>
      <c r="EK19" s="14" t="s">
        <v>51</v>
      </c>
      <c r="EL19" s="14" t="s">
        <v>52</v>
      </c>
      <c r="EM19" s="14" t="s">
        <v>53</v>
      </c>
      <c r="EN19" s="14" t="s">
        <v>54</v>
      </c>
      <c r="EO19" s="14" t="s">
        <v>55</v>
      </c>
    </row>
    <row r="20">
      <c r="A20" s="28">
        <v>1.0</v>
      </c>
      <c r="B20" s="29" t="s">
        <v>60</v>
      </c>
      <c r="C20" s="30">
        <f>COUNTIFS(
DATA!$F:$F,$B20,
DATA!$B:$B,"&gt;="&amp;DATE(2026,MONTH(C$19),DAY(C$19)),
DATA!$B:$B,"&lt;"&amp;DATE(2026,MONTH(C$19),DAY(C$19))+1
)</f>
        <v>0</v>
      </c>
      <c r="D20" s="30">
        <f>COUNTIFS(
DATA!$F:$F,$B20,
DATA!$B:$B,"&gt;="&amp;DATE(2026,MONTH(D$19),DAY(D$19)),
DATA!$B:$B,"&lt;"&amp;DATE(2026,MONTH(D$19),DAY(D$19))+1
)</f>
        <v>0</v>
      </c>
      <c r="E20" s="30">
        <f>COUNTIFS(
DATA!$F:$F,$B20,
DATA!$B:$B,"&gt;="&amp;DATE(2026,MONTH(E$19),DAY(E$19)),
DATA!$B:$B,"&lt;"&amp;DATE(2026,MONTH(E$19),DAY(E$19))+1
)</f>
        <v>0</v>
      </c>
      <c r="F20" s="30">
        <f>COUNTIFS(
DATA!$F:$F,$B20,
DATA!$B:$B,"&gt;="&amp;DATE(2026,MONTH(F$19),DAY(F$19)),
DATA!$B:$B,"&lt;"&amp;DATE(2026,MONTH(F$19),DAY(F$19))+1
)</f>
        <v>0</v>
      </c>
      <c r="G20" s="30">
        <f>COUNTIFS(
DATA!$F:$F,$B20,
DATA!$B:$B,"&gt;="&amp;DATE(2026,MONTH(G$19),DAY(G$19)),
DATA!$B:$B,"&lt;"&amp;DATE(2026,MONTH(G$19),DAY(G$19))+1
)</f>
        <v>0</v>
      </c>
      <c r="H20" s="30">
        <f>COUNTIFS(
DATA!$F:$F,$B20,
DATA!$B:$B,"&gt;="&amp;DATE(2026,MONTH(H$19),DAY(H$19)),
DATA!$B:$B,"&lt;"&amp;DATE(2026,MONTH(H$19),DAY(H$19))+1
)</f>
        <v>0</v>
      </c>
      <c r="I20" s="30">
        <f>COUNTIFS(
DATA!$F:$F,$B20,
DATA!$B:$B,"&gt;="&amp;DATE(2026,MONTH(I$19),DAY(I$19)),
DATA!$B:$B,"&lt;"&amp;DATE(2026,MONTH(I$19),DAY(I$19))+1
)</f>
        <v>0</v>
      </c>
      <c r="J20" s="30">
        <f>COUNTIFS(
DATA!$F:$F,$B20,
DATA!$B:$B,"&gt;="&amp;DATE(2026,MONTH(J$19),DAY(J$19)),
DATA!$B:$B,"&lt;"&amp;DATE(2026,MONTH(J$19),DAY(J$19))+1
)</f>
        <v>0</v>
      </c>
      <c r="K20" s="30">
        <f>COUNTIFS(
DATA!$F:$F,$B20,
DATA!$B:$B,"&gt;="&amp;DATE(2026,MONTH(K$19),DAY(K$19)),
DATA!$B:$B,"&lt;"&amp;DATE(2026,MONTH(K$19),DAY(K$19))+1
)</f>
        <v>0</v>
      </c>
      <c r="L20" s="30">
        <f>COUNTIFS(
DATA!$F:$F,$B20,
DATA!$B:$B,"&gt;="&amp;DATE(2026,MONTH(L$19),DAY(L$19)),
DATA!$B:$B,"&lt;"&amp;DATE(2026,MONTH(L$19),DAY(L$19))+1
)</f>
        <v>0</v>
      </c>
      <c r="M20" s="30">
        <f>COUNTIFS(
DATA!$F:$F,$B20,
DATA!$B:$B,"&gt;="&amp;DATE(2026,MONTH(M$19),DAY(M$19)),
DATA!$B:$B,"&lt;"&amp;DATE(2026,MONTH(M$19),DAY(M$19))+1
)</f>
        <v>0</v>
      </c>
      <c r="N20" s="30">
        <f>COUNTIFS(
DATA!$F:$F,$B20,
DATA!$B:$B,"&gt;="&amp;DATE(2026,MONTH(N$19),DAY(N$19)),
DATA!$B:$B,"&lt;"&amp;DATE(2026,MONTH(N$19),DAY(N$19))+1
)</f>
        <v>0</v>
      </c>
      <c r="O20" s="30">
        <f>COUNTIFS(
DATA!$F:$F,$B20,
DATA!$B:$B,"&gt;="&amp;DATE(2026,MONTH(O$19),DAY(O$19)),
DATA!$B:$B,"&lt;"&amp;DATE(2026,MONTH(O$19),DAY(O$19))+1
)</f>
        <v>0</v>
      </c>
      <c r="P20" s="30">
        <f>COUNTIFS(
DATA!$F:$F,$B20,
DATA!$B:$B,"&gt;="&amp;DATE(2026,MONTH(P$19),DAY(P$19)),
DATA!$B:$B,"&lt;"&amp;DATE(2026,MONTH(P$19),DAY(P$19))+1
)</f>
        <v>0</v>
      </c>
      <c r="Q20" s="30">
        <f>COUNTIFS(
DATA!$F:$F,$B20,
DATA!$B:$B,"&gt;="&amp;DATE(2026,MONTH(Q$19),DAY(Q$19)),
DATA!$B:$B,"&lt;"&amp;DATE(2026,MONTH(Q$19),DAY(Q$19))+1
)</f>
        <v>0</v>
      </c>
      <c r="R20" s="30">
        <f>COUNTIFS(
DATA!$F:$F,$B20,
DATA!$B:$B,"&gt;="&amp;DATE(2026,MONTH(R$19),DAY(R$19)),
DATA!$B:$B,"&lt;"&amp;DATE(2026,MONTH(R$19),DAY(R$19))+1
)</f>
        <v>0</v>
      </c>
      <c r="S20" s="30">
        <f>COUNTIFS(
DATA!$F:$F,$B20,
DATA!$B:$B,"&gt;="&amp;DATE(2026,MONTH(S$19),DAY(S$19)),
DATA!$B:$B,"&lt;"&amp;DATE(2026,MONTH(S$19),DAY(S$19))+1
)</f>
        <v>0</v>
      </c>
      <c r="T20" s="30">
        <f>COUNTIFS(
DATA!$F:$F,$B20,
DATA!$B:$B,"&gt;="&amp;DATE(2026,MONTH(T$19),DAY(T$19)),
DATA!$B:$B,"&lt;"&amp;DATE(2026,MONTH(T$19),DAY(T$19))+1
)</f>
        <v>0</v>
      </c>
      <c r="U20" s="30">
        <f>COUNTIFS(
DATA!$F:$F,$B20,
DATA!$B:$B,"&gt;="&amp;DATE(2026,MONTH(U$19),DAY(U$19)),
DATA!$B:$B,"&lt;"&amp;DATE(2026,MONTH(U$19),DAY(U$19))+1
)</f>
        <v>0</v>
      </c>
      <c r="V20" s="30">
        <f>COUNTIFS(
DATA!$F:$F,$B20,
DATA!$B:$B,"&gt;="&amp;DATE(2026,MONTH(V$19),DAY(V$19)),
DATA!$B:$B,"&lt;"&amp;DATE(2026,MONTH(V$19),DAY(V$19))+1
)</f>
        <v>14</v>
      </c>
      <c r="W20" s="30">
        <f>COUNTIFS(
DATA!$F:$F,$B20,
DATA!$B:$B,"&gt;="&amp;DATE(2026,MONTH(W$19),DAY(W$19)),
DATA!$B:$B,"&lt;"&amp;DATE(2026,MONTH(W$19),DAY(W$19))+1
)</f>
        <v>0</v>
      </c>
      <c r="X20" s="30">
        <f>COUNTIFS(
DATA!$F:$F,$B20,
DATA!$B:$B,"&gt;="&amp;DATE(2026,MONTH(X$19),DAY(X$19)),
DATA!$B:$B,"&lt;"&amp;DATE(2026,MONTH(X$19),DAY(X$19))+1
)</f>
        <v>0</v>
      </c>
      <c r="Y20" s="30">
        <f>COUNTIFS(
DATA!$F:$F,$B20,
DATA!$B:$B,"&gt;="&amp;DATE(2026,MONTH(Y$19),DAY(Y$19)),
DATA!$B:$B,"&lt;"&amp;DATE(2026,MONTH(Y$19),DAY(Y$19))+1
)</f>
        <v>18</v>
      </c>
      <c r="Z20" s="30">
        <f>COUNTIFS(
DATA!$F:$F,$B20,
DATA!$B:$B,"&gt;="&amp;DATE(2026,MONTH(Z$19),DAY(Z$19)),
DATA!$B:$B,"&lt;"&amp;DATE(2026,MONTH(Z$19),DAY(Z$19))+1
)</f>
        <v>0</v>
      </c>
      <c r="AA20" s="30">
        <f>COUNTIFS(
DATA!$F:$F,$B20,
DATA!$B:$B,"&gt;="&amp;DATE(2026,MONTH(AA$19),DAY(AA$19)),
DATA!$B:$B,"&lt;"&amp;DATE(2026,MONTH(AA$19),DAY(AA$19))+1
)</f>
        <v>0</v>
      </c>
      <c r="AB20" s="30">
        <f>COUNTIFS(
DATA!$F:$F,$B20,
DATA!$B:$B,"&gt;="&amp;DATE(2026,MONTH(AB$19),DAY(AB$19)),
DATA!$B:$B,"&lt;"&amp;DATE(2026,MONTH(AB$19),DAY(AB$19))+1
)</f>
        <v>0</v>
      </c>
      <c r="AC20" s="30">
        <f>COUNTIFS(
DATA!$F:$F,$B20,
DATA!$B:$B,"&gt;="&amp;DATE(2026,MONTH(AC$19),DAY(AC$19)),
DATA!$B:$B,"&lt;"&amp;DATE(2026,MONTH(AC$19),DAY(AC$19))+1
)</f>
        <v>0</v>
      </c>
      <c r="AD20" s="30">
        <f>COUNTIFS(
DATA!$F:$F,$B20,
DATA!$B:$B,"&gt;="&amp;DATE(2026,MONTH(AD$19),DAY(AD$19)),
DATA!$B:$B,"&lt;"&amp;DATE(2026,MONTH(AD$19),DAY(AD$19))+1
)</f>
        <v>0</v>
      </c>
      <c r="AE20" s="41"/>
      <c r="AF20" s="41"/>
      <c r="AG20" s="41"/>
      <c r="AH20" s="31">
        <f t="shared" ref="AH20:AH27" si="40">SUBTOTAL(9,C20:AG20)</f>
        <v>32</v>
      </c>
      <c r="AI20" s="7"/>
      <c r="AJ20" s="30">
        <v>1.0</v>
      </c>
      <c r="AK20" s="32" t="s">
        <v>60</v>
      </c>
      <c r="AL20" s="30">
        <f t="shared" ref="AL20:AL28" si="41">C20</f>
        <v>0</v>
      </c>
      <c r="AM20" s="30">
        <f t="shared" ref="AM20:BP20" si="36">SUM($C20:D20)</f>
        <v>0</v>
      </c>
      <c r="AN20" s="30">
        <f t="shared" si="36"/>
        <v>0</v>
      </c>
      <c r="AO20" s="30">
        <f t="shared" si="36"/>
        <v>0</v>
      </c>
      <c r="AP20" s="30">
        <f t="shared" si="36"/>
        <v>0</v>
      </c>
      <c r="AQ20" s="30">
        <f t="shared" si="36"/>
        <v>0</v>
      </c>
      <c r="AR20" s="30">
        <f t="shared" si="36"/>
        <v>0</v>
      </c>
      <c r="AS20" s="30">
        <f t="shared" si="36"/>
        <v>0</v>
      </c>
      <c r="AT20" s="30">
        <f t="shared" si="36"/>
        <v>0</v>
      </c>
      <c r="AU20" s="30">
        <f t="shared" si="36"/>
        <v>0</v>
      </c>
      <c r="AV20" s="30">
        <f t="shared" si="36"/>
        <v>0</v>
      </c>
      <c r="AW20" s="30">
        <f t="shared" si="36"/>
        <v>0</v>
      </c>
      <c r="AX20" s="30">
        <f t="shared" si="36"/>
        <v>0</v>
      </c>
      <c r="AY20" s="30">
        <f t="shared" si="36"/>
        <v>0</v>
      </c>
      <c r="AZ20" s="30">
        <f t="shared" si="36"/>
        <v>0</v>
      </c>
      <c r="BA20" s="30">
        <f t="shared" si="36"/>
        <v>0</v>
      </c>
      <c r="BB20" s="30">
        <f t="shared" si="36"/>
        <v>0</v>
      </c>
      <c r="BC20" s="30">
        <f t="shared" si="36"/>
        <v>0</v>
      </c>
      <c r="BD20" s="30">
        <f t="shared" si="36"/>
        <v>0</v>
      </c>
      <c r="BE20" s="30">
        <f t="shared" si="36"/>
        <v>14</v>
      </c>
      <c r="BF20" s="30">
        <f t="shared" si="36"/>
        <v>14</v>
      </c>
      <c r="BG20" s="30">
        <f t="shared" si="36"/>
        <v>14</v>
      </c>
      <c r="BH20" s="30">
        <f t="shared" si="36"/>
        <v>32</v>
      </c>
      <c r="BI20" s="30">
        <f t="shared" si="36"/>
        <v>32</v>
      </c>
      <c r="BJ20" s="30">
        <f t="shared" si="36"/>
        <v>32</v>
      </c>
      <c r="BK20" s="30">
        <f t="shared" si="36"/>
        <v>32</v>
      </c>
      <c r="BL20" s="30">
        <f t="shared" si="36"/>
        <v>32</v>
      </c>
      <c r="BM20" s="30">
        <f t="shared" si="36"/>
        <v>32</v>
      </c>
      <c r="BN20" s="30">
        <f t="shared" si="36"/>
        <v>32</v>
      </c>
      <c r="BO20" s="30">
        <f t="shared" si="36"/>
        <v>32</v>
      </c>
      <c r="BP20" s="30">
        <f t="shared" si="36"/>
        <v>32</v>
      </c>
      <c r="BQ20" s="31">
        <f t="shared" ref="BQ20:BQ28" si="43">BP20</f>
        <v>32</v>
      </c>
      <c r="BR20" s="7"/>
      <c r="BS20" s="28">
        <v>1.0</v>
      </c>
      <c r="BT20" s="29" t="s">
        <v>60</v>
      </c>
      <c r="BU20" s="33">
        <f t="shared" ref="BU20:BU27" si="44">BU6</f>
        <v>24.08333333</v>
      </c>
      <c r="BV20" s="33">
        <f t="shared" ref="BV20:CF20" si="37">SUM($BU6:BV6)</f>
        <v>48.16666667</v>
      </c>
      <c r="BW20" s="33">
        <f t="shared" si="37"/>
        <v>72.25</v>
      </c>
      <c r="BX20" s="33">
        <f t="shared" si="37"/>
        <v>96.33333333</v>
      </c>
      <c r="BY20" s="33">
        <f t="shared" si="37"/>
        <v>120.4166667</v>
      </c>
      <c r="BZ20" s="33">
        <f t="shared" si="37"/>
        <v>144.5</v>
      </c>
      <c r="CA20" s="33">
        <f t="shared" si="37"/>
        <v>168.5833333</v>
      </c>
      <c r="CB20" s="33">
        <f t="shared" si="37"/>
        <v>192.6666667</v>
      </c>
      <c r="CC20" s="33">
        <f t="shared" si="37"/>
        <v>216.75</v>
      </c>
      <c r="CD20" s="33">
        <f t="shared" si="37"/>
        <v>240.8333333</v>
      </c>
      <c r="CE20" s="33">
        <f t="shared" si="37"/>
        <v>264.9166667</v>
      </c>
      <c r="CF20" s="33">
        <f t="shared" si="37"/>
        <v>289</v>
      </c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28">
        <v>1.0</v>
      </c>
      <c r="CX20" s="29" t="s">
        <v>60</v>
      </c>
      <c r="CY20" s="39">
        <f t="shared" ref="CY20:DB20" si="38">(ED6/CY6)*100</f>
        <v>7.950539011</v>
      </c>
      <c r="CZ20" s="39">
        <f t="shared" si="38"/>
        <v>8.845834094</v>
      </c>
      <c r="DA20" s="39">
        <f t="shared" si="38"/>
        <v>7.616473851</v>
      </c>
      <c r="DB20" s="39">
        <f t="shared" si="38"/>
        <v>7.917476121</v>
      </c>
      <c r="DC20" s="39">
        <f t="shared" ref="DC20:DC28" si="47">(EH6/DB6)*100</f>
        <v>7.613930711</v>
      </c>
      <c r="DD20" s="69"/>
      <c r="DE20" s="69"/>
      <c r="DF20" s="69"/>
      <c r="DG20" s="69"/>
      <c r="DH20" s="69"/>
      <c r="DI20" s="69"/>
      <c r="DJ20" s="69"/>
      <c r="DK20" s="70"/>
      <c r="DL20" s="71">
        <f>IFERROR(__xludf.DUMMYFUNCTION("""COMPUTED_VALUE"""),1.0)</f>
        <v>1</v>
      </c>
      <c r="DM20" s="72" t="str">
        <f>IFERROR(__xludf.DUMMYFUNCTION("""COMPUTED_VALUE"""),"BANDUNG SELATAN")</f>
        <v>BANDUNG SELATAN</v>
      </c>
      <c r="DN20" s="73">
        <f>IFERROR(__xludf.DUMMYFUNCTION("""COMPUTED_VALUE"""),2.0)</f>
        <v>2</v>
      </c>
      <c r="DO20" s="73">
        <f>IFERROR(__xludf.DUMMYFUNCTION("""COMPUTED_VALUE"""),7.0)</f>
        <v>7</v>
      </c>
      <c r="DP20" s="73">
        <f>IFERROR(__xludf.DUMMYFUNCTION("""COMPUTED_VALUE"""),8.0)</f>
        <v>8</v>
      </c>
      <c r="DQ20" s="73">
        <f>IFERROR(__xludf.DUMMYFUNCTION("""COMPUTED_VALUE"""),10.0)</f>
        <v>10</v>
      </c>
      <c r="DR20" s="73">
        <f>IFERROR(__xludf.DUMMYFUNCTION("""COMPUTED_VALUE"""),11.0)</f>
        <v>11</v>
      </c>
      <c r="DS20" s="73">
        <f>IFERROR(__xludf.DUMMYFUNCTION("""COMPUTED_VALUE"""),11.0)</f>
        <v>11</v>
      </c>
      <c r="DT20" s="73">
        <f>IFERROR(__xludf.DUMMYFUNCTION("""COMPUTED_VALUE"""),14.0)</f>
        <v>14</v>
      </c>
      <c r="DU20" s="73">
        <f>IFERROR(__xludf.DUMMYFUNCTION("""COMPUTED_VALUE"""),14.0)</f>
        <v>14</v>
      </c>
      <c r="DV20" s="73">
        <f>IFERROR(__xludf.DUMMYFUNCTION("""COMPUTED_VALUE"""),14.0)</f>
        <v>14</v>
      </c>
      <c r="DW20" s="73">
        <f>IFERROR(__xludf.DUMMYFUNCTION("""COMPUTED_VALUE"""),14.0)</f>
        <v>14</v>
      </c>
      <c r="DX20" s="73">
        <f>IFERROR(__xludf.DUMMYFUNCTION("""COMPUTED_VALUE"""),14.0)</f>
        <v>14</v>
      </c>
      <c r="DY20" s="73">
        <f>IFERROR(__xludf.DUMMYFUNCTION("""COMPUTED_VALUE"""),14.0)</f>
        <v>14</v>
      </c>
      <c r="DZ20" s="72"/>
      <c r="EA20" s="7"/>
      <c r="EB20" s="28">
        <v>1.0</v>
      </c>
      <c r="EC20" s="29" t="s">
        <v>60</v>
      </c>
      <c r="ED20" s="33">
        <f t="shared" ref="ED20:ED28" si="48">ED6</f>
        <v>26.08333333</v>
      </c>
      <c r="EE20" s="33">
        <f t="shared" ref="EE20:EO20" si="39">ED20+EE6</f>
        <v>55.16666667</v>
      </c>
      <c r="EF20" s="33">
        <f t="shared" si="39"/>
        <v>80.25</v>
      </c>
      <c r="EG20" s="33">
        <f t="shared" si="39"/>
        <v>106.3333333</v>
      </c>
      <c r="EH20" s="33">
        <f t="shared" si="39"/>
        <v>131.4166667</v>
      </c>
      <c r="EI20" s="33">
        <f t="shared" si="39"/>
        <v>155.5</v>
      </c>
      <c r="EJ20" s="33">
        <f t="shared" si="39"/>
        <v>182.5833333</v>
      </c>
      <c r="EK20" s="33">
        <f t="shared" si="39"/>
        <v>182.5833333</v>
      </c>
      <c r="EL20" s="33">
        <f t="shared" si="39"/>
        <v>182.5833333</v>
      </c>
      <c r="EM20" s="33">
        <f t="shared" si="39"/>
        <v>182.5833333</v>
      </c>
      <c r="EN20" s="33">
        <f t="shared" si="39"/>
        <v>182.5833333</v>
      </c>
      <c r="EO20" s="33">
        <f t="shared" si="39"/>
        <v>182.5833333</v>
      </c>
    </row>
    <row r="21">
      <c r="A21" s="28">
        <v>2.0</v>
      </c>
      <c r="B21" s="29" t="s">
        <v>61</v>
      </c>
      <c r="C21" s="30">
        <f>COUNTIFS(
DATA!$F:$F,$B21,
DATA!$B:$B,"&gt;="&amp;DATE(2026,MONTH(C$19),DAY(C$19)),
DATA!$B:$B,"&lt;"&amp;DATE(2026,MONTH(C$19),DAY(C$19))+1
)</f>
        <v>0</v>
      </c>
      <c r="D21" s="30">
        <f>COUNTIFS(
DATA!$F:$F,$B21,
DATA!$B:$B,"&gt;="&amp;DATE(2026,MONTH(D$19),DAY(D$19)),
DATA!$B:$B,"&lt;"&amp;DATE(2026,MONTH(D$19),DAY(D$19))+1
)</f>
        <v>0</v>
      </c>
      <c r="E21" s="30">
        <f>COUNTIFS(
DATA!$F:$F,$B21,
DATA!$B:$B,"&gt;="&amp;DATE(2026,MONTH(E$19),DAY(E$19)),
DATA!$B:$B,"&lt;"&amp;DATE(2026,MONTH(E$19),DAY(E$19))+1
)</f>
        <v>0</v>
      </c>
      <c r="F21" s="30">
        <f>COUNTIFS(
DATA!$F:$F,$B21,
DATA!$B:$B,"&gt;="&amp;DATE(2026,MONTH(F$19),DAY(F$19)),
DATA!$B:$B,"&lt;"&amp;DATE(2026,MONTH(F$19),DAY(F$19))+1
)</f>
        <v>0</v>
      </c>
      <c r="G21" s="30">
        <f>COUNTIFS(
DATA!$F:$F,$B21,
DATA!$B:$B,"&gt;="&amp;DATE(2026,MONTH(G$19),DAY(G$19)),
DATA!$B:$B,"&lt;"&amp;DATE(2026,MONTH(G$19),DAY(G$19))+1
)</f>
        <v>0</v>
      </c>
      <c r="H21" s="30">
        <f>COUNTIFS(
DATA!$F:$F,$B21,
DATA!$B:$B,"&gt;="&amp;DATE(2026,MONTH(H$19),DAY(H$19)),
DATA!$B:$B,"&lt;"&amp;DATE(2026,MONTH(H$19),DAY(H$19))+1
)</f>
        <v>0</v>
      </c>
      <c r="I21" s="30">
        <f>COUNTIFS(
DATA!$F:$F,$B21,
DATA!$B:$B,"&gt;="&amp;DATE(2026,MONTH(I$19),DAY(I$19)),
DATA!$B:$B,"&lt;"&amp;DATE(2026,MONTH(I$19),DAY(I$19))+1
)</f>
        <v>0</v>
      </c>
      <c r="J21" s="30">
        <f>COUNTIFS(
DATA!$F:$F,$B21,
DATA!$B:$B,"&gt;="&amp;DATE(2026,MONTH(J$19),DAY(J$19)),
DATA!$B:$B,"&lt;"&amp;DATE(2026,MONTH(J$19),DAY(J$19))+1
)</f>
        <v>0</v>
      </c>
      <c r="K21" s="30">
        <f>COUNTIFS(
DATA!$F:$F,$B21,
DATA!$B:$B,"&gt;="&amp;DATE(2026,MONTH(K$19),DAY(K$19)),
DATA!$B:$B,"&lt;"&amp;DATE(2026,MONTH(K$19),DAY(K$19))+1
)</f>
        <v>0</v>
      </c>
      <c r="L21" s="30">
        <f>COUNTIFS(
DATA!$F:$F,$B21,
DATA!$B:$B,"&gt;="&amp;DATE(2026,MONTH(L$19),DAY(L$19)),
DATA!$B:$B,"&lt;"&amp;DATE(2026,MONTH(L$19),DAY(L$19))+1
)</f>
        <v>0</v>
      </c>
      <c r="M21" s="30">
        <f>COUNTIFS(
DATA!$F:$F,$B21,
DATA!$B:$B,"&gt;="&amp;DATE(2026,MONTH(M$19),DAY(M$19)),
DATA!$B:$B,"&lt;"&amp;DATE(2026,MONTH(M$19),DAY(M$19))+1
)</f>
        <v>0</v>
      </c>
      <c r="N21" s="30">
        <f>COUNTIFS(
DATA!$F:$F,$B21,
DATA!$B:$B,"&gt;="&amp;DATE(2026,MONTH(N$19),DAY(N$19)),
DATA!$B:$B,"&lt;"&amp;DATE(2026,MONTH(N$19),DAY(N$19))+1
)</f>
        <v>0</v>
      </c>
      <c r="O21" s="30">
        <f>COUNTIFS(
DATA!$F:$F,$B21,
DATA!$B:$B,"&gt;="&amp;DATE(2026,MONTH(O$19),DAY(O$19)),
DATA!$B:$B,"&lt;"&amp;DATE(2026,MONTH(O$19),DAY(O$19))+1
)</f>
        <v>0</v>
      </c>
      <c r="P21" s="30">
        <f>COUNTIFS(
DATA!$F:$F,$B21,
DATA!$B:$B,"&gt;="&amp;DATE(2026,MONTH(P$19),DAY(P$19)),
DATA!$B:$B,"&lt;"&amp;DATE(2026,MONTH(P$19),DAY(P$19))+1
)</f>
        <v>0</v>
      </c>
      <c r="Q21" s="30">
        <f>COUNTIFS(
DATA!$F:$F,$B21,
DATA!$B:$B,"&gt;="&amp;DATE(2026,MONTH(Q$19),DAY(Q$19)),
DATA!$B:$B,"&lt;"&amp;DATE(2026,MONTH(Q$19),DAY(Q$19))+1
)</f>
        <v>0</v>
      </c>
      <c r="R21" s="30">
        <f>COUNTIFS(
DATA!$F:$F,$B21,
DATA!$B:$B,"&gt;="&amp;DATE(2026,MONTH(R$19),DAY(R$19)),
DATA!$B:$B,"&lt;"&amp;DATE(2026,MONTH(R$19),DAY(R$19))+1
)</f>
        <v>0</v>
      </c>
      <c r="S21" s="30">
        <f>COUNTIFS(
DATA!$F:$F,$B21,
DATA!$B:$B,"&gt;="&amp;DATE(2026,MONTH(S$19),DAY(S$19)),
DATA!$B:$B,"&lt;"&amp;DATE(2026,MONTH(S$19),DAY(S$19))+1
)</f>
        <v>0</v>
      </c>
      <c r="T21" s="30">
        <f>COUNTIFS(
DATA!$F:$F,$B21,
DATA!$B:$B,"&gt;="&amp;DATE(2026,MONTH(T$19),DAY(T$19)),
DATA!$B:$B,"&lt;"&amp;DATE(2026,MONTH(T$19),DAY(T$19))+1
)</f>
        <v>0</v>
      </c>
      <c r="U21" s="30">
        <f>COUNTIFS(
DATA!$F:$F,$B21,
DATA!$B:$B,"&gt;="&amp;DATE(2026,MONTH(U$19),DAY(U$19)),
DATA!$B:$B,"&lt;"&amp;DATE(2026,MONTH(U$19),DAY(U$19))+1
)</f>
        <v>0</v>
      </c>
      <c r="V21" s="30">
        <f>COUNTIFS(
DATA!$F:$F,$B21,
DATA!$B:$B,"&gt;="&amp;DATE(2026,MONTH(V$19),DAY(V$19)),
DATA!$B:$B,"&lt;"&amp;DATE(2026,MONTH(V$19),DAY(V$19))+1
)</f>
        <v>0</v>
      </c>
      <c r="W21" s="30">
        <f>COUNTIFS(
DATA!$F:$F,$B21,
DATA!$B:$B,"&gt;="&amp;DATE(2026,MONTH(W$19),DAY(W$19)),
DATA!$B:$B,"&lt;"&amp;DATE(2026,MONTH(W$19),DAY(W$19))+1
)</f>
        <v>0</v>
      </c>
      <c r="X21" s="30">
        <f>COUNTIFS(
DATA!$F:$F,$B21,
DATA!$B:$B,"&gt;="&amp;DATE(2026,MONTH(X$19),DAY(X$19)),
DATA!$B:$B,"&lt;"&amp;DATE(2026,MONTH(X$19),DAY(X$19))+1
)</f>
        <v>0</v>
      </c>
      <c r="Y21" s="30">
        <f>COUNTIFS(
DATA!$F:$F,$B21,
DATA!$B:$B,"&gt;="&amp;DATE(2026,MONTH(Y$19),DAY(Y$19)),
DATA!$B:$B,"&lt;"&amp;DATE(2026,MONTH(Y$19),DAY(Y$19))+1
)</f>
        <v>0</v>
      </c>
      <c r="Z21" s="30">
        <f>COUNTIFS(
DATA!$F:$F,$B21,
DATA!$B:$B,"&gt;="&amp;DATE(2026,MONTH(Z$19),DAY(Z$19)),
DATA!$B:$B,"&lt;"&amp;DATE(2026,MONTH(Z$19),DAY(Z$19))+1
)</f>
        <v>0</v>
      </c>
      <c r="AA21" s="30">
        <f>COUNTIFS(
DATA!$F:$F,$B21,
DATA!$B:$B,"&gt;="&amp;DATE(2026,MONTH(AA$19),DAY(AA$19)),
DATA!$B:$B,"&lt;"&amp;DATE(2026,MONTH(AA$19),DAY(AA$19))+1
)</f>
        <v>0</v>
      </c>
      <c r="AB21" s="30">
        <f>COUNTIFS(
DATA!$F:$F,$B21,
DATA!$B:$B,"&gt;="&amp;DATE(2026,MONTH(AB$19),DAY(AB$19)),
DATA!$B:$B,"&lt;"&amp;DATE(2026,MONTH(AB$19),DAY(AB$19))+1
)</f>
        <v>0</v>
      </c>
      <c r="AC21" s="30">
        <f>COUNTIFS(
DATA!$F:$F,$B21,
DATA!$B:$B,"&gt;="&amp;DATE(2026,MONTH(AC$19),DAY(AC$19)),
DATA!$B:$B,"&lt;"&amp;DATE(2026,MONTH(AC$19),DAY(AC$19))+1
)</f>
        <v>0</v>
      </c>
      <c r="AD21" s="30">
        <f>COUNTIFS(
DATA!$F:$F,$B21,
DATA!$B:$B,"&gt;="&amp;DATE(2026,MONTH(AD$19),DAY(AD$19)),
DATA!$B:$B,"&lt;"&amp;DATE(2026,MONTH(AD$19),DAY(AD$19))+1
)</f>
        <v>13</v>
      </c>
      <c r="AE21" s="41"/>
      <c r="AF21" s="41"/>
      <c r="AG21" s="41"/>
      <c r="AH21" s="31">
        <f t="shared" si="40"/>
        <v>13</v>
      </c>
      <c r="AI21" s="7"/>
      <c r="AJ21" s="30">
        <v>2.0</v>
      </c>
      <c r="AK21" s="32" t="s">
        <v>61</v>
      </c>
      <c r="AL21" s="30">
        <f t="shared" si="41"/>
        <v>0</v>
      </c>
      <c r="AM21" s="30">
        <f t="shared" ref="AM21:AM28" si="50">SUM(C21:D21)</f>
        <v>0</v>
      </c>
      <c r="AN21" s="30">
        <f t="shared" ref="AN21:BP21" si="42">SUM($C21:E21)</f>
        <v>0</v>
      </c>
      <c r="AO21" s="30">
        <f t="shared" si="42"/>
        <v>0</v>
      </c>
      <c r="AP21" s="30">
        <f t="shared" si="42"/>
        <v>0</v>
      </c>
      <c r="AQ21" s="30">
        <f t="shared" si="42"/>
        <v>0</v>
      </c>
      <c r="AR21" s="30">
        <f t="shared" si="42"/>
        <v>0</v>
      </c>
      <c r="AS21" s="30">
        <f t="shared" si="42"/>
        <v>0</v>
      </c>
      <c r="AT21" s="30">
        <f t="shared" si="42"/>
        <v>0</v>
      </c>
      <c r="AU21" s="30">
        <f t="shared" si="42"/>
        <v>0</v>
      </c>
      <c r="AV21" s="30">
        <f t="shared" si="42"/>
        <v>0</v>
      </c>
      <c r="AW21" s="30">
        <f t="shared" si="42"/>
        <v>0</v>
      </c>
      <c r="AX21" s="30">
        <f t="shared" si="42"/>
        <v>0</v>
      </c>
      <c r="AY21" s="30">
        <f t="shared" si="42"/>
        <v>0</v>
      </c>
      <c r="AZ21" s="30">
        <f t="shared" si="42"/>
        <v>0</v>
      </c>
      <c r="BA21" s="30">
        <f t="shared" si="42"/>
        <v>0</v>
      </c>
      <c r="BB21" s="30">
        <f t="shared" si="42"/>
        <v>0</v>
      </c>
      <c r="BC21" s="30">
        <f t="shared" si="42"/>
        <v>0</v>
      </c>
      <c r="BD21" s="30">
        <f t="shared" si="42"/>
        <v>0</v>
      </c>
      <c r="BE21" s="30">
        <f t="shared" si="42"/>
        <v>0</v>
      </c>
      <c r="BF21" s="30">
        <f t="shared" si="42"/>
        <v>0</v>
      </c>
      <c r="BG21" s="30">
        <f t="shared" si="42"/>
        <v>0</v>
      </c>
      <c r="BH21" s="30">
        <f t="shared" si="42"/>
        <v>0</v>
      </c>
      <c r="BI21" s="30">
        <f t="shared" si="42"/>
        <v>0</v>
      </c>
      <c r="BJ21" s="30">
        <f t="shared" si="42"/>
        <v>0</v>
      </c>
      <c r="BK21" s="30">
        <f t="shared" si="42"/>
        <v>0</v>
      </c>
      <c r="BL21" s="30">
        <f t="shared" si="42"/>
        <v>0</v>
      </c>
      <c r="BM21" s="30">
        <f t="shared" si="42"/>
        <v>13</v>
      </c>
      <c r="BN21" s="30">
        <f t="shared" si="42"/>
        <v>13</v>
      </c>
      <c r="BO21" s="30">
        <f t="shared" si="42"/>
        <v>13</v>
      </c>
      <c r="BP21" s="30">
        <f t="shared" si="42"/>
        <v>13</v>
      </c>
      <c r="BQ21" s="31">
        <f t="shared" si="43"/>
        <v>13</v>
      </c>
      <c r="BR21" s="7"/>
      <c r="BS21" s="28">
        <v>2.0</v>
      </c>
      <c r="BT21" s="29" t="s">
        <v>61</v>
      </c>
      <c r="BU21" s="33">
        <f t="shared" si="44"/>
        <v>5</v>
      </c>
      <c r="BV21" s="33">
        <f t="shared" ref="BV21:CF21" si="45">SUM($BU7:BV7)</f>
        <v>10</v>
      </c>
      <c r="BW21" s="33">
        <f t="shared" si="45"/>
        <v>15</v>
      </c>
      <c r="BX21" s="33">
        <f t="shared" si="45"/>
        <v>20</v>
      </c>
      <c r="BY21" s="33">
        <f t="shared" si="45"/>
        <v>25</v>
      </c>
      <c r="BZ21" s="33">
        <f t="shared" si="45"/>
        <v>30</v>
      </c>
      <c r="CA21" s="33">
        <f t="shared" si="45"/>
        <v>35</v>
      </c>
      <c r="CB21" s="33">
        <f t="shared" si="45"/>
        <v>40</v>
      </c>
      <c r="CC21" s="33">
        <f t="shared" si="45"/>
        <v>45</v>
      </c>
      <c r="CD21" s="33">
        <f t="shared" si="45"/>
        <v>50</v>
      </c>
      <c r="CE21" s="33">
        <f t="shared" si="45"/>
        <v>55</v>
      </c>
      <c r="CF21" s="33">
        <f t="shared" si="45"/>
        <v>60</v>
      </c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28">
        <v>2.0</v>
      </c>
      <c r="CX21" s="29" t="s">
        <v>61</v>
      </c>
      <c r="CY21" s="39">
        <f t="shared" ref="CY21:DB21" si="46">(ED7/CY7)*100</f>
        <v>2.540263171</v>
      </c>
      <c r="CZ21" s="39">
        <f t="shared" si="46"/>
        <v>2.540263171</v>
      </c>
      <c r="DA21" s="39">
        <f t="shared" si="46"/>
        <v>3.044757942</v>
      </c>
      <c r="DB21" s="39">
        <f t="shared" si="46"/>
        <v>3.037513289</v>
      </c>
      <c r="DC21" s="39">
        <f t="shared" si="47"/>
        <v>3.037513289</v>
      </c>
      <c r="DD21" s="69"/>
      <c r="DE21" s="69"/>
      <c r="DF21" s="69"/>
      <c r="DG21" s="69"/>
      <c r="DH21" s="69"/>
      <c r="DI21" s="69"/>
      <c r="DJ21" s="69"/>
      <c r="DK21" s="70"/>
      <c r="DL21" s="71">
        <f>IFERROR(__xludf.DUMMYFUNCTION("""COMPUTED_VALUE"""),2.0)</f>
        <v>2</v>
      </c>
      <c r="DM21" s="72" t="str">
        <f>IFERROR(__xludf.DUMMYFUNCTION("""COMPUTED_VALUE"""),"BANDUNG BARAT")</f>
        <v>BANDUNG BARAT</v>
      </c>
      <c r="DN21" s="73">
        <f>IFERROR(__xludf.DUMMYFUNCTION("""COMPUTED_VALUE"""),0.0)</f>
        <v>0</v>
      </c>
      <c r="DO21" s="73">
        <f>IFERROR(__xludf.DUMMYFUNCTION("""COMPUTED_VALUE"""),0.0)</f>
        <v>0</v>
      </c>
      <c r="DP21" s="73">
        <f>IFERROR(__xludf.DUMMYFUNCTION("""COMPUTED_VALUE"""),1.0)</f>
        <v>1</v>
      </c>
      <c r="DQ21" s="73">
        <f>IFERROR(__xludf.DUMMYFUNCTION("""COMPUTED_VALUE"""),2.0)</f>
        <v>2</v>
      </c>
      <c r="DR21" s="73">
        <f>IFERROR(__xludf.DUMMYFUNCTION("""COMPUTED_VALUE"""),3.0)</f>
        <v>3</v>
      </c>
      <c r="DS21" s="73">
        <f>IFERROR(__xludf.DUMMYFUNCTION("""COMPUTED_VALUE"""),3.0)</f>
        <v>3</v>
      </c>
      <c r="DT21" s="73">
        <f>IFERROR(__xludf.DUMMYFUNCTION("""COMPUTED_VALUE"""),3.0)</f>
        <v>3</v>
      </c>
      <c r="DU21" s="73">
        <f>IFERROR(__xludf.DUMMYFUNCTION("""COMPUTED_VALUE"""),3.0)</f>
        <v>3</v>
      </c>
      <c r="DV21" s="73">
        <f>IFERROR(__xludf.DUMMYFUNCTION("""COMPUTED_VALUE"""),3.0)</f>
        <v>3</v>
      </c>
      <c r="DW21" s="73">
        <f>IFERROR(__xludf.DUMMYFUNCTION("""COMPUTED_VALUE"""),5.0)</f>
        <v>5</v>
      </c>
      <c r="DX21" s="73">
        <f>IFERROR(__xludf.DUMMYFUNCTION("""COMPUTED_VALUE"""),6.0)</f>
        <v>6</v>
      </c>
      <c r="DY21" s="73">
        <f>IFERROR(__xludf.DUMMYFUNCTION("""COMPUTED_VALUE"""),7.0)</f>
        <v>7</v>
      </c>
      <c r="DZ21" s="72"/>
      <c r="EA21" s="7"/>
      <c r="EB21" s="28">
        <v>2.0</v>
      </c>
      <c r="EC21" s="29" t="s">
        <v>61</v>
      </c>
      <c r="ED21" s="33">
        <f t="shared" si="48"/>
        <v>5</v>
      </c>
      <c r="EE21" s="33">
        <f t="shared" ref="EE21:EO21" si="49">ED21+EE7</f>
        <v>10</v>
      </c>
      <c r="EF21" s="33">
        <f t="shared" si="49"/>
        <v>16</v>
      </c>
      <c r="EG21" s="33">
        <f t="shared" si="49"/>
        <v>22</v>
      </c>
      <c r="EH21" s="33">
        <f t="shared" si="49"/>
        <v>28</v>
      </c>
      <c r="EI21" s="33">
        <f t="shared" si="49"/>
        <v>33</v>
      </c>
      <c r="EJ21" s="33">
        <f t="shared" si="49"/>
        <v>38</v>
      </c>
      <c r="EK21" s="33">
        <f t="shared" si="49"/>
        <v>38</v>
      </c>
      <c r="EL21" s="33">
        <f t="shared" si="49"/>
        <v>38</v>
      </c>
      <c r="EM21" s="33">
        <f t="shared" si="49"/>
        <v>38</v>
      </c>
      <c r="EN21" s="33">
        <f t="shared" si="49"/>
        <v>38</v>
      </c>
      <c r="EO21" s="33">
        <f t="shared" si="49"/>
        <v>38</v>
      </c>
    </row>
    <row r="22">
      <c r="A22" s="28">
        <v>3.0</v>
      </c>
      <c r="B22" s="29" t="s">
        <v>62</v>
      </c>
      <c r="C22" s="30">
        <f>COUNTIFS(
DATA!$F:$F,$B22,
DATA!$B:$B,"&gt;="&amp;DATE(2026,MONTH(C$19),DAY(C$19)),
DATA!$B:$B,"&lt;"&amp;DATE(2026,MONTH(C$19),DAY(C$19))+1
)</f>
        <v>0</v>
      </c>
      <c r="D22" s="30">
        <f>COUNTIFS(
DATA!$F:$F,$B22,
DATA!$B:$B,"&gt;="&amp;DATE(2026,MONTH(D$19),DAY(D$19)),
DATA!$B:$B,"&lt;"&amp;DATE(2026,MONTH(D$19),DAY(D$19))+1
)</f>
        <v>0</v>
      </c>
      <c r="E22" s="30">
        <f>COUNTIFS(
DATA!$F:$F,$B22,
DATA!$B:$B,"&gt;="&amp;DATE(2026,MONTH(E$19),DAY(E$19)),
DATA!$B:$B,"&lt;"&amp;DATE(2026,MONTH(E$19),DAY(E$19))+1
)</f>
        <v>0</v>
      </c>
      <c r="F22" s="30">
        <f>COUNTIFS(
DATA!$F:$F,$B22,
DATA!$B:$B,"&gt;="&amp;DATE(2026,MONTH(F$19),DAY(F$19)),
DATA!$B:$B,"&lt;"&amp;DATE(2026,MONTH(F$19),DAY(F$19))+1
)</f>
        <v>0</v>
      </c>
      <c r="G22" s="30">
        <f>COUNTIFS(
DATA!$F:$F,$B22,
DATA!$B:$B,"&gt;="&amp;DATE(2026,MONTH(G$19),DAY(G$19)),
DATA!$B:$B,"&lt;"&amp;DATE(2026,MONTH(G$19),DAY(G$19))+1
)</f>
        <v>0</v>
      </c>
      <c r="H22" s="30">
        <f>COUNTIFS(
DATA!$F:$F,$B22,
DATA!$B:$B,"&gt;="&amp;DATE(2026,MONTH(H$19),DAY(H$19)),
DATA!$B:$B,"&lt;"&amp;DATE(2026,MONTH(H$19),DAY(H$19))+1
)</f>
        <v>0</v>
      </c>
      <c r="I22" s="30">
        <f>COUNTIFS(
DATA!$F:$F,$B22,
DATA!$B:$B,"&gt;="&amp;DATE(2026,MONTH(I$19),DAY(I$19)),
DATA!$B:$B,"&lt;"&amp;DATE(2026,MONTH(I$19),DAY(I$19))+1
)</f>
        <v>0</v>
      </c>
      <c r="J22" s="30">
        <f>COUNTIFS(
DATA!$F:$F,$B22,
DATA!$B:$B,"&gt;="&amp;DATE(2026,MONTH(J$19),DAY(J$19)),
DATA!$B:$B,"&lt;"&amp;DATE(2026,MONTH(J$19),DAY(J$19))+1
)</f>
        <v>0</v>
      </c>
      <c r="K22" s="30">
        <f>COUNTIFS(
DATA!$F:$F,$B22,
DATA!$B:$B,"&gt;="&amp;DATE(2026,MONTH(K$19),DAY(K$19)),
DATA!$B:$B,"&lt;"&amp;DATE(2026,MONTH(K$19),DAY(K$19))+1
)</f>
        <v>0</v>
      </c>
      <c r="L22" s="30">
        <f>COUNTIFS(
DATA!$F:$F,$B22,
DATA!$B:$B,"&gt;="&amp;DATE(2026,MONTH(L$19),DAY(L$19)),
DATA!$B:$B,"&lt;"&amp;DATE(2026,MONTH(L$19),DAY(L$19))+1
)</f>
        <v>0</v>
      </c>
      <c r="M22" s="30">
        <f>COUNTIFS(
DATA!$F:$F,$B22,
DATA!$B:$B,"&gt;="&amp;DATE(2026,MONTH(M$19),DAY(M$19)),
DATA!$B:$B,"&lt;"&amp;DATE(2026,MONTH(M$19),DAY(M$19))+1
)</f>
        <v>0</v>
      </c>
      <c r="N22" s="30">
        <f>COUNTIFS(
DATA!$F:$F,$B22,
DATA!$B:$B,"&gt;="&amp;DATE(2026,MONTH(N$19),DAY(N$19)),
DATA!$B:$B,"&lt;"&amp;DATE(2026,MONTH(N$19),DAY(N$19))+1
)</f>
        <v>0</v>
      </c>
      <c r="O22" s="30">
        <f>COUNTIFS(
DATA!$F:$F,$B22,
DATA!$B:$B,"&gt;="&amp;DATE(2026,MONTH(O$19),DAY(O$19)),
DATA!$B:$B,"&lt;"&amp;DATE(2026,MONTH(O$19),DAY(O$19))+1
)</f>
        <v>0</v>
      </c>
      <c r="P22" s="30">
        <f>COUNTIFS(
DATA!$F:$F,$B22,
DATA!$B:$B,"&gt;="&amp;DATE(2026,MONTH(P$19),DAY(P$19)),
DATA!$B:$B,"&lt;"&amp;DATE(2026,MONTH(P$19),DAY(P$19))+1
)</f>
        <v>0</v>
      </c>
      <c r="Q22" s="30">
        <f>COUNTIFS(
DATA!$F:$F,$B22,
DATA!$B:$B,"&gt;="&amp;DATE(2026,MONTH(Q$19),DAY(Q$19)),
DATA!$B:$B,"&lt;"&amp;DATE(2026,MONTH(Q$19),DAY(Q$19))+1
)</f>
        <v>0</v>
      </c>
      <c r="R22" s="30">
        <f>COUNTIFS(
DATA!$F:$F,$B22,
DATA!$B:$B,"&gt;="&amp;DATE(2026,MONTH(R$19),DAY(R$19)),
DATA!$B:$B,"&lt;"&amp;DATE(2026,MONTH(R$19),DAY(R$19))+1
)</f>
        <v>0</v>
      </c>
      <c r="S22" s="30">
        <f>COUNTIFS(
DATA!$F:$F,$B22,
DATA!$B:$B,"&gt;="&amp;DATE(2026,MONTH(S$19),DAY(S$19)),
DATA!$B:$B,"&lt;"&amp;DATE(2026,MONTH(S$19),DAY(S$19))+1
)</f>
        <v>0</v>
      </c>
      <c r="T22" s="30">
        <f>COUNTIFS(
DATA!$F:$F,$B22,
DATA!$B:$B,"&gt;="&amp;DATE(2026,MONTH(T$19),DAY(T$19)),
DATA!$B:$B,"&lt;"&amp;DATE(2026,MONTH(T$19),DAY(T$19))+1
)</f>
        <v>0</v>
      </c>
      <c r="U22" s="30">
        <f>COUNTIFS(
DATA!$F:$F,$B22,
DATA!$B:$B,"&gt;="&amp;DATE(2026,MONTH(U$19),DAY(U$19)),
DATA!$B:$B,"&lt;"&amp;DATE(2026,MONTH(U$19),DAY(U$19))+1
)</f>
        <v>0</v>
      </c>
      <c r="V22" s="30">
        <f>COUNTIFS(
DATA!$F:$F,$B22,
DATA!$B:$B,"&gt;="&amp;DATE(2026,MONTH(V$19),DAY(V$19)),
DATA!$B:$B,"&lt;"&amp;DATE(2026,MONTH(V$19),DAY(V$19))+1
)</f>
        <v>16</v>
      </c>
      <c r="W22" s="30">
        <f>COUNTIFS(
DATA!$F:$F,$B22,
DATA!$B:$B,"&gt;="&amp;DATE(2026,MONTH(W$19),DAY(W$19)),
DATA!$B:$B,"&lt;"&amp;DATE(2026,MONTH(W$19),DAY(W$19))+1
)</f>
        <v>0</v>
      </c>
      <c r="X22" s="30">
        <f>COUNTIFS(
DATA!$F:$F,$B22,
DATA!$B:$B,"&gt;="&amp;DATE(2026,MONTH(X$19),DAY(X$19)),
DATA!$B:$B,"&lt;"&amp;DATE(2026,MONTH(X$19),DAY(X$19))+1
)</f>
        <v>0</v>
      </c>
      <c r="Y22" s="30">
        <f>COUNTIFS(
DATA!$F:$F,$B22,
DATA!$B:$B,"&gt;="&amp;DATE(2026,MONTH(Y$19),DAY(Y$19)),
DATA!$B:$B,"&lt;"&amp;DATE(2026,MONTH(Y$19),DAY(Y$19))+1
)</f>
        <v>0</v>
      </c>
      <c r="Z22" s="30">
        <f>COUNTIFS(
DATA!$F:$F,$B22,
DATA!$B:$B,"&gt;="&amp;DATE(2026,MONTH(Z$19),DAY(Z$19)),
DATA!$B:$B,"&lt;"&amp;DATE(2026,MONTH(Z$19),DAY(Z$19))+1
)</f>
        <v>0</v>
      </c>
      <c r="AA22" s="30">
        <f>COUNTIFS(
DATA!$F:$F,$B22,
DATA!$B:$B,"&gt;="&amp;DATE(2026,MONTH(AA$19),DAY(AA$19)),
DATA!$B:$B,"&lt;"&amp;DATE(2026,MONTH(AA$19),DAY(AA$19))+1
)</f>
        <v>0</v>
      </c>
      <c r="AB22" s="30">
        <f>COUNTIFS(
DATA!$F:$F,$B22,
DATA!$B:$B,"&gt;="&amp;DATE(2026,MONTH(AB$19),DAY(AB$19)),
DATA!$B:$B,"&lt;"&amp;DATE(2026,MONTH(AB$19),DAY(AB$19))+1
)</f>
        <v>0</v>
      </c>
      <c r="AC22" s="30">
        <f>COUNTIFS(
DATA!$F:$F,$B22,
DATA!$B:$B,"&gt;="&amp;DATE(2026,MONTH(AC$19),DAY(AC$19)),
DATA!$B:$B,"&lt;"&amp;DATE(2026,MONTH(AC$19),DAY(AC$19))+1
)</f>
        <v>0</v>
      </c>
      <c r="AD22" s="30">
        <f>COUNTIFS(
DATA!$F:$F,$B22,
DATA!$B:$B,"&gt;="&amp;DATE(2026,MONTH(AD$19),DAY(AD$19)),
DATA!$B:$B,"&lt;"&amp;DATE(2026,MONTH(AD$19),DAY(AD$19))+1
)</f>
        <v>0</v>
      </c>
      <c r="AE22" s="41"/>
      <c r="AF22" s="41"/>
      <c r="AG22" s="41"/>
      <c r="AH22" s="31">
        <f t="shared" si="40"/>
        <v>16</v>
      </c>
      <c r="AI22" s="7"/>
      <c r="AJ22" s="30">
        <v>3.0</v>
      </c>
      <c r="AK22" s="32" t="s">
        <v>62</v>
      </c>
      <c r="AL22" s="30">
        <f t="shared" si="41"/>
        <v>0</v>
      </c>
      <c r="AM22" s="30">
        <f t="shared" si="50"/>
        <v>0</v>
      </c>
      <c r="AN22" s="30">
        <f t="shared" ref="AN22:BP22" si="51">SUM($C22:E22)</f>
        <v>0</v>
      </c>
      <c r="AO22" s="30">
        <f t="shared" si="51"/>
        <v>0</v>
      </c>
      <c r="AP22" s="30">
        <f t="shared" si="51"/>
        <v>0</v>
      </c>
      <c r="AQ22" s="30">
        <f t="shared" si="51"/>
        <v>0</v>
      </c>
      <c r="AR22" s="30">
        <f t="shared" si="51"/>
        <v>0</v>
      </c>
      <c r="AS22" s="30">
        <f t="shared" si="51"/>
        <v>0</v>
      </c>
      <c r="AT22" s="30">
        <f t="shared" si="51"/>
        <v>0</v>
      </c>
      <c r="AU22" s="30">
        <f t="shared" si="51"/>
        <v>0</v>
      </c>
      <c r="AV22" s="30">
        <f t="shared" si="51"/>
        <v>0</v>
      </c>
      <c r="AW22" s="30">
        <f t="shared" si="51"/>
        <v>0</v>
      </c>
      <c r="AX22" s="30">
        <f t="shared" si="51"/>
        <v>0</v>
      </c>
      <c r="AY22" s="30">
        <f t="shared" si="51"/>
        <v>0</v>
      </c>
      <c r="AZ22" s="30">
        <f t="shared" si="51"/>
        <v>0</v>
      </c>
      <c r="BA22" s="30">
        <f t="shared" si="51"/>
        <v>0</v>
      </c>
      <c r="BB22" s="30">
        <f t="shared" si="51"/>
        <v>0</v>
      </c>
      <c r="BC22" s="30">
        <f t="shared" si="51"/>
        <v>0</v>
      </c>
      <c r="BD22" s="30">
        <f t="shared" si="51"/>
        <v>0</v>
      </c>
      <c r="BE22" s="30">
        <f t="shared" si="51"/>
        <v>16</v>
      </c>
      <c r="BF22" s="30">
        <f t="shared" si="51"/>
        <v>16</v>
      </c>
      <c r="BG22" s="30">
        <f t="shared" si="51"/>
        <v>16</v>
      </c>
      <c r="BH22" s="30">
        <f t="shared" si="51"/>
        <v>16</v>
      </c>
      <c r="BI22" s="30">
        <f t="shared" si="51"/>
        <v>16</v>
      </c>
      <c r="BJ22" s="30">
        <f t="shared" si="51"/>
        <v>16</v>
      </c>
      <c r="BK22" s="30">
        <f t="shared" si="51"/>
        <v>16</v>
      </c>
      <c r="BL22" s="30">
        <f t="shared" si="51"/>
        <v>16</v>
      </c>
      <c r="BM22" s="30">
        <f t="shared" si="51"/>
        <v>16</v>
      </c>
      <c r="BN22" s="30">
        <f t="shared" si="51"/>
        <v>16</v>
      </c>
      <c r="BO22" s="30">
        <f t="shared" si="51"/>
        <v>16</v>
      </c>
      <c r="BP22" s="30">
        <f t="shared" si="51"/>
        <v>16</v>
      </c>
      <c r="BQ22" s="31">
        <f t="shared" si="43"/>
        <v>16</v>
      </c>
      <c r="BR22" s="7"/>
      <c r="BS22" s="28">
        <v>3.0</v>
      </c>
      <c r="BT22" s="29" t="s">
        <v>62</v>
      </c>
      <c r="BU22" s="33">
        <f t="shared" si="44"/>
        <v>21.16666667</v>
      </c>
      <c r="BV22" s="33">
        <f t="shared" ref="BV22:CF22" si="52">SUM($BU8:BV8)</f>
        <v>42.33333333</v>
      </c>
      <c r="BW22" s="33">
        <f t="shared" si="52"/>
        <v>63.5</v>
      </c>
      <c r="BX22" s="33">
        <f t="shared" si="52"/>
        <v>84.66666667</v>
      </c>
      <c r="BY22" s="33">
        <f t="shared" si="52"/>
        <v>105.8333333</v>
      </c>
      <c r="BZ22" s="33">
        <f t="shared" si="52"/>
        <v>127</v>
      </c>
      <c r="CA22" s="33">
        <f t="shared" si="52"/>
        <v>148.1666667</v>
      </c>
      <c r="CB22" s="33">
        <f t="shared" si="52"/>
        <v>169.3333333</v>
      </c>
      <c r="CC22" s="33">
        <f t="shared" si="52"/>
        <v>190.5</v>
      </c>
      <c r="CD22" s="33">
        <f t="shared" si="52"/>
        <v>211.6666667</v>
      </c>
      <c r="CE22" s="33">
        <f t="shared" si="52"/>
        <v>232.8333333</v>
      </c>
      <c r="CF22" s="33">
        <f t="shared" si="52"/>
        <v>254</v>
      </c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28">
        <v>3.0</v>
      </c>
      <c r="CX22" s="29" t="s">
        <v>62</v>
      </c>
      <c r="CY22" s="39">
        <f t="shared" ref="CY22:DB22" si="53">(ED8/CY8)*100</f>
        <v>7.067776254</v>
      </c>
      <c r="CZ22" s="39">
        <f t="shared" si="53"/>
        <v>7.705470353</v>
      </c>
      <c r="DA22" s="39">
        <f t="shared" si="53"/>
        <v>7.047328374</v>
      </c>
      <c r="DB22" s="39">
        <f t="shared" si="53"/>
        <v>8.636951315</v>
      </c>
      <c r="DC22" s="39">
        <f t="shared" si="47"/>
        <v>7.68317755</v>
      </c>
      <c r="DD22" s="69"/>
      <c r="DE22" s="69"/>
      <c r="DF22" s="69"/>
      <c r="DG22" s="69"/>
      <c r="DH22" s="69"/>
      <c r="DI22" s="69"/>
      <c r="DJ22" s="69"/>
      <c r="DK22" s="70"/>
      <c r="DL22" s="71">
        <f>IFERROR(__xludf.DUMMYFUNCTION("""COMPUTED_VALUE"""),3.0)</f>
        <v>3</v>
      </c>
      <c r="DM22" s="72" t="str">
        <f>IFERROR(__xludf.DUMMYFUNCTION("""COMPUTED_VALUE"""),"BANDUNG UTARA")</f>
        <v>BANDUNG UTARA</v>
      </c>
      <c r="DN22" s="73">
        <f>IFERROR(__xludf.DUMMYFUNCTION("""COMPUTED_VALUE"""),1.0)</f>
        <v>1</v>
      </c>
      <c r="DO22" s="73">
        <f>IFERROR(__xludf.DUMMYFUNCTION("""COMPUTED_VALUE"""),4.0)</f>
        <v>4</v>
      </c>
      <c r="DP22" s="73">
        <f>IFERROR(__xludf.DUMMYFUNCTION("""COMPUTED_VALUE"""),5.0)</f>
        <v>5</v>
      </c>
      <c r="DQ22" s="73">
        <f>IFERROR(__xludf.DUMMYFUNCTION("""COMPUTED_VALUE"""),11.0)</f>
        <v>11</v>
      </c>
      <c r="DR22" s="73">
        <f>IFERROR(__xludf.DUMMYFUNCTION("""COMPUTED_VALUE"""),14.0)</f>
        <v>14</v>
      </c>
      <c r="DS22" s="73">
        <f>IFERROR(__xludf.DUMMYFUNCTION("""COMPUTED_VALUE"""),15.0)</f>
        <v>15</v>
      </c>
      <c r="DT22" s="73">
        <f>IFERROR(__xludf.DUMMYFUNCTION("""COMPUTED_VALUE"""),18.0)</f>
        <v>18</v>
      </c>
      <c r="DU22" s="73">
        <f>IFERROR(__xludf.DUMMYFUNCTION("""COMPUTED_VALUE"""),19.0)</f>
        <v>19</v>
      </c>
      <c r="DV22" s="73">
        <f>IFERROR(__xludf.DUMMYFUNCTION("""COMPUTED_VALUE"""),22.0)</f>
        <v>22</v>
      </c>
      <c r="DW22" s="73">
        <f>IFERROR(__xludf.DUMMYFUNCTION("""COMPUTED_VALUE"""),22.0)</f>
        <v>22</v>
      </c>
      <c r="DX22" s="73">
        <f>IFERROR(__xludf.DUMMYFUNCTION("""COMPUTED_VALUE"""),23.0)</f>
        <v>23</v>
      </c>
      <c r="DY22" s="73">
        <f>IFERROR(__xludf.DUMMYFUNCTION("""COMPUTED_VALUE"""),25.0)</f>
        <v>25</v>
      </c>
      <c r="DZ22" s="72"/>
      <c r="EA22" s="7"/>
      <c r="EB22" s="28">
        <v>3.0</v>
      </c>
      <c r="EC22" s="29" t="s">
        <v>62</v>
      </c>
      <c r="ED22" s="33">
        <f t="shared" si="48"/>
        <v>22.16666667</v>
      </c>
      <c r="EE22" s="33">
        <f t="shared" ref="EE22:EO22" si="54">ED22+EE8</f>
        <v>46.33333333</v>
      </c>
      <c r="EF22" s="33">
        <f t="shared" si="54"/>
        <v>68.5</v>
      </c>
      <c r="EG22" s="33">
        <f t="shared" si="54"/>
        <v>95.66666667</v>
      </c>
      <c r="EH22" s="33">
        <f t="shared" si="54"/>
        <v>119.8333333</v>
      </c>
      <c r="EI22" s="33">
        <f t="shared" si="54"/>
        <v>142</v>
      </c>
      <c r="EJ22" s="33">
        <f t="shared" si="54"/>
        <v>166.1666667</v>
      </c>
      <c r="EK22" s="33">
        <f t="shared" si="54"/>
        <v>166.1666667</v>
      </c>
      <c r="EL22" s="33">
        <f t="shared" si="54"/>
        <v>166.1666667</v>
      </c>
      <c r="EM22" s="33">
        <f t="shared" si="54"/>
        <v>166.1666667</v>
      </c>
      <c r="EN22" s="33">
        <f t="shared" si="54"/>
        <v>166.1666667</v>
      </c>
      <c r="EO22" s="33">
        <f t="shared" si="54"/>
        <v>166.1666667</v>
      </c>
    </row>
    <row r="23">
      <c r="A23" s="28">
        <v>4.0</v>
      </c>
      <c r="B23" s="29" t="s">
        <v>63</v>
      </c>
      <c r="C23" s="30">
        <f>COUNTIFS(
DATA!$F:$F,$B23,
DATA!$B:$B,"&gt;="&amp;DATE(2026,MONTH(C$19),DAY(C$19)),
DATA!$B:$B,"&lt;"&amp;DATE(2026,MONTH(C$19),DAY(C$19))+1
)</f>
        <v>0</v>
      </c>
      <c r="D23" s="30">
        <f>COUNTIFS(
DATA!$F:$F,$B23,
DATA!$B:$B,"&gt;="&amp;DATE(2026,MONTH(D$19),DAY(D$19)),
DATA!$B:$B,"&lt;"&amp;DATE(2026,MONTH(D$19),DAY(D$19))+1
)</f>
        <v>0</v>
      </c>
      <c r="E23" s="30">
        <f>COUNTIFS(
DATA!$F:$F,$B23,
DATA!$B:$B,"&gt;="&amp;DATE(2026,MONTH(E$19),DAY(E$19)),
DATA!$B:$B,"&lt;"&amp;DATE(2026,MONTH(E$19),DAY(E$19))+1
)</f>
        <v>0</v>
      </c>
      <c r="F23" s="30">
        <f>COUNTIFS(
DATA!$F:$F,$B23,
DATA!$B:$B,"&gt;="&amp;DATE(2026,MONTH(F$19),DAY(F$19)),
DATA!$B:$B,"&lt;"&amp;DATE(2026,MONTH(F$19),DAY(F$19))+1
)</f>
        <v>0</v>
      </c>
      <c r="G23" s="30">
        <f>COUNTIFS(
DATA!$F:$F,$B23,
DATA!$B:$B,"&gt;="&amp;DATE(2026,MONTH(G$19),DAY(G$19)),
DATA!$B:$B,"&lt;"&amp;DATE(2026,MONTH(G$19),DAY(G$19))+1
)</f>
        <v>0</v>
      </c>
      <c r="H23" s="30">
        <f>COUNTIFS(
DATA!$F:$F,$B23,
DATA!$B:$B,"&gt;="&amp;DATE(2026,MONTH(H$19),DAY(H$19)),
DATA!$B:$B,"&lt;"&amp;DATE(2026,MONTH(H$19),DAY(H$19))+1
)</f>
        <v>0</v>
      </c>
      <c r="I23" s="30">
        <f>COUNTIFS(
DATA!$F:$F,$B23,
DATA!$B:$B,"&gt;="&amp;DATE(2026,MONTH(I$19),DAY(I$19)),
DATA!$B:$B,"&lt;"&amp;DATE(2026,MONTH(I$19),DAY(I$19))+1
)</f>
        <v>0</v>
      </c>
      <c r="J23" s="30">
        <f>COUNTIFS(
DATA!$F:$F,$B23,
DATA!$B:$B,"&gt;="&amp;DATE(2026,MONTH(J$19),DAY(J$19)),
DATA!$B:$B,"&lt;"&amp;DATE(2026,MONTH(J$19),DAY(J$19))+1
)</f>
        <v>0</v>
      </c>
      <c r="K23" s="30">
        <f>COUNTIFS(
DATA!$F:$F,$B23,
DATA!$B:$B,"&gt;="&amp;DATE(2026,MONTH(K$19),DAY(K$19)),
DATA!$B:$B,"&lt;"&amp;DATE(2026,MONTH(K$19),DAY(K$19))+1
)</f>
        <v>0</v>
      </c>
      <c r="L23" s="30">
        <f>COUNTIFS(
DATA!$F:$F,$B23,
DATA!$B:$B,"&gt;="&amp;DATE(2026,MONTH(L$19),DAY(L$19)),
DATA!$B:$B,"&lt;"&amp;DATE(2026,MONTH(L$19),DAY(L$19))+1
)</f>
        <v>0</v>
      </c>
      <c r="M23" s="30">
        <f>COUNTIFS(
DATA!$F:$F,$B23,
DATA!$B:$B,"&gt;="&amp;DATE(2026,MONTH(M$19),DAY(M$19)),
DATA!$B:$B,"&lt;"&amp;DATE(2026,MONTH(M$19),DAY(M$19))+1
)</f>
        <v>0</v>
      </c>
      <c r="N23" s="30">
        <f>COUNTIFS(
DATA!$F:$F,$B23,
DATA!$B:$B,"&gt;="&amp;DATE(2026,MONTH(N$19),DAY(N$19)),
DATA!$B:$B,"&lt;"&amp;DATE(2026,MONTH(N$19),DAY(N$19))+1
)</f>
        <v>0</v>
      </c>
      <c r="O23" s="30">
        <f>COUNTIFS(
DATA!$F:$F,$B23,
DATA!$B:$B,"&gt;="&amp;DATE(2026,MONTH(O$19),DAY(O$19)),
DATA!$B:$B,"&lt;"&amp;DATE(2026,MONTH(O$19),DAY(O$19))+1
)</f>
        <v>18</v>
      </c>
      <c r="P23" s="30">
        <f>COUNTIFS(
DATA!$F:$F,$B23,
DATA!$B:$B,"&gt;="&amp;DATE(2026,MONTH(P$19),DAY(P$19)),
DATA!$B:$B,"&lt;"&amp;DATE(2026,MONTH(P$19),DAY(P$19))+1
)</f>
        <v>0</v>
      </c>
      <c r="Q23" s="30">
        <f>COUNTIFS(
DATA!$F:$F,$B23,
DATA!$B:$B,"&gt;="&amp;DATE(2026,MONTH(Q$19),DAY(Q$19)),
DATA!$B:$B,"&lt;"&amp;DATE(2026,MONTH(Q$19),DAY(Q$19))+1
)</f>
        <v>0</v>
      </c>
      <c r="R23" s="30">
        <f>COUNTIFS(
DATA!$F:$F,$B23,
DATA!$B:$B,"&gt;="&amp;DATE(2026,MONTH(R$19),DAY(R$19)),
DATA!$B:$B,"&lt;"&amp;DATE(2026,MONTH(R$19),DAY(R$19))+1
)</f>
        <v>0</v>
      </c>
      <c r="S23" s="30">
        <f>COUNTIFS(
DATA!$F:$F,$B23,
DATA!$B:$B,"&gt;="&amp;DATE(2026,MONTH(S$19),DAY(S$19)),
DATA!$B:$B,"&lt;"&amp;DATE(2026,MONTH(S$19),DAY(S$19))+1
)</f>
        <v>0</v>
      </c>
      <c r="T23" s="30">
        <f>COUNTIFS(
DATA!$F:$F,$B23,
DATA!$B:$B,"&gt;="&amp;DATE(2026,MONTH(T$19),DAY(T$19)),
DATA!$B:$B,"&lt;"&amp;DATE(2026,MONTH(T$19),DAY(T$19))+1
)</f>
        <v>0</v>
      </c>
      <c r="U23" s="30">
        <f>COUNTIFS(
DATA!$F:$F,$B23,
DATA!$B:$B,"&gt;="&amp;DATE(2026,MONTH(U$19),DAY(U$19)),
DATA!$B:$B,"&lt;"&amp;DATE(2026,MONTH(U$19),DAY(U$19))+1
)</f>
        <v>0</v>
      </c>
      <c r="V23" s="30">
        <f>COUNTIFS(
DATA!$F:$F,$B23,
DATA!$B:$B,"&gt;="&amp;DATE(2026,MONTH(V$19),DAY(V$19)),
DATA!$B:$B,"&lt;"&amp;DATE(2026,MONTH(V$19),DAY(V$19))+1
)</f>
        <v>26</v>
      </c>
      <c r="W23" s="30">
        <f>COUNTIFS(
DATA!$F:$F,$B23,
DATA!$B:$B,"&gt;="&amp;DATE(2026,MONTH(W$19),DAY(W$19)),
DATA!$B:$B,"&lt;"&amp;DATE(2026,MONTH(W$19),DAY(W$19))+1
)</f>
        <v>0</v>
      </c>
      <c r="X23" s="30">
        <f>COUNTIFS(
DATA!$F:$F,$B23,
DATA!$B:$B,"&gt;="&amp;DATE(2026,MONTH(X$19),DAY(X$19)),
DATA!$B:$B,"&lt;"&amp;DATE(2026,MONTH(X$19),DAY(X$19))+1
)</f>
        <v>0</v>
      </c>
      <c r="Y23" s="30">
        <f>COUNTIFS(
DATA!$F:$F,$B23,
DATA!$B:$B,"&gt;="&amp;DATE(2026,MONTH(Y$19),DAY(Y$19)),
DATA!$B:$B,"&lt;"&amp;DATE(2026,MONTH(Y$19),DAY(Y$19))+1
)</f>
        <v>0</v>
      </c>
      <c r="Z23" s="30">
        <f>COUNTIFS(
DATA!$F:$F,$B23,
DATA!$B:$B,"&gt;="&amp;DATE(2026,MONTH(Z$19),DAY(Z$19)),
DATA!$B:$B,"&lt;"&amp;DATE(2026,MONTH(Z$19),DAY(Z$19))+1
)</f>
        <v>0</v>
      </c>
      <c r="AA23" s="30">
        <f>COUNTIFS(
DATA!$F:$F,$B23,
DATA!$B:$B,"&gt;="&amp;DATE(2026,MONTH(AA$19),DAY(AA$19)),
DATA!$B:$B,"&lt;"&amp;DATE(2026,MONTH(AA$19),DAY(AA$19))+1
)</f>
        <v>0</v>
      </c>
      <c r="AB23" s="30">
        <f>COUNTIFS(
DATA!$F:$F,$B23,
DATA!$B:$B,"&gt;="&amp;DATE(2026,MONTH(AB$19),DAY(AB$19)),
DATA!$B:$B,"&lt;"&amp;DATE(2026,MONTH(AB$19),DAY(AB$19))+1
)</f>
        <v>0</v>
      </c>
      <c r="AC23" s="30">
        <f>COUNTIFS(
DATA!$F:$F,$B23,
DATA!$B:$B,"&gt;="&amp;DATE(2026,MONTH(AC$19),DAY(AC$19)),
DATA!$B:$B,"&lt;"&amp;DATE(2026,MONTH(AC$19),DAY(AC$19))+1
)</f>
        <v>0</v>
      </c>
      <c r="AD23" s="30">
        <f>COUNTIFS(
DATA!$F:$F,$B23,
DATA!$B:$B,"&gt;="&amp;DATE(2026,MONTH(AD$19),DAY(AD$19)),
DATA!$B:$B,"&lt;"&amp;DATE(2026,MONTH(AD$19),DAY(AD$19))+1
)</f>
        <v>0</v>
      </c>
      <c r="AE23" s="41"/>
      <c r="AF23" s="41"/>
      <c r="AG23" s="41"/>
      <c r="AH23" s="31">
        <f t="shared" si="40"/>
        <v>44</v>
      </c>
      <c r="AI23" s="7"/>
      <c r="AJ23" s="30">
        <v>4.0</v>
      </c>
      <c r="AK23" s="32" t="s">
        <v>63</v>
      </c>
      <c r="AL23" s="30">
        <f t="shared" si="41"/>
        <v>0</v>
      </c>
      <c r="AM23" s="30">
        <f t="shared" si="50"/>
        <v>0</v>
      </c>
      <c r="AN23" s="30">
        <f t="shared" ref="AN23:BP23" si="55">SUM($C23:E23)</f>
        <v>0</v>
      </c>
      <c r="AO23" s="30">
        <f t="shared" si="55"/>
        <v>0</v>
      </c>
      <c r="AP23" s="30">
        <f t="shared" si="55"/>
        <v>0</v>
      </c>
      <c r="AQ23" s="30">
        <f t="shared" si="55"/>
        <v>0</v>
      </c>
      <c r="AR23" s="30">
        <f t="shared" si="55"/>
        <v>0</v>
      </c>
      <c r="AS23" s="30">
        <f t="shared" si="55"/>
        <v>0</v>
      </c>
      <c r="AT23" s="30">
        <f t="shared" si="55"/>
        <v>0</v>
      </c>
      <c r="AU23" s="30">
        <f t="shared" si="55"/>
        <v>0</v>
      </c>
      <c r="AV23" s="30">
        <f t="shared" si="55"/>
        <v>0</v>
      </c>
      <c r="AW23" s="30">
        <f t="shared" si="55"/>
        <v>0</v>
      </c>
      <c r="AX23" s="30">
        <f t="shared" si="55"/>
        <v>18</v>
      </c>
      <c r="AY23" s="30">
        <f t="shared" si="55"/>
        <v>18</v>
      </c>
      <c r="AZ23" s="30">
        <f t="shared" si="55"/>
        <v>18</v>
      </c>
      <c r="BA23" s="30">
        <f t="shared" si="55"/>
        <v>18</v>
      </c>
      <c r="BB23" s="30">
        <f t="shared" si="55"/>
        <v>18</v>
      </c>
      <c r="BC23" s="30">
        <f t="shared" si="55"/>
        <v>18</v>
      </c>
      <c r="BD23" s="30">
        <f t="shared" si="55"/>
        <v>18</v>
      </c>
      <c r="BE23" s="30">
        <f t="shared" si="55"/>
        <v>44</v>
      </c>
      <c r="BF23" s="30">
        <f t="shared" si="55"/>
        <v>44</v>
      </c>
      <c r="BG23" s="30">
        <f t="shared" si="55"/>
        <v>44</v>
      </c>
      <c r="BH23" s="30">
        <f t="shared" si="55"/>
        <v>44</v>
      </c>
      <c r="BI23" s="30">
        <f t="shared" si="55"/>
        <v>44</v>
      </c>
      <c r="BJ23" s="30">
        <f t="shared" si="55"/>
        <v>44</v>
      </c>
      <c r="BK23" s="30">
        <f t="shared" si="55"/>
        <v>44</v>
      </c>
      <c r="BL23" s="30">
        <f t="shared" si="55"/>
        <v>44</v>
      </c>
      <c r="BM23" s="30">
        <f t="shared" si="55"/>
        <v>44</v>
      </c>
      <c r="BN23" s="30">
        <f t="shared" si="55"/>
        <v>44</v>
      </c>
      <c r="BO23" s="30">
        <f t="shared" si="55"/>
        <v>44</v>
      </c>
      <c r="BP23" s="30">
        <f t="shared" si="55"/>
        <v>44</v>
      </c>
      <c r="BQ23" s="31">
        <f t="shared" si="43"/>
        <v>44</v>
      </c>
      <c r="BR23" s="7"/>
      <c r="BS23" s="28">
        <v>4.0</v>
      </c>
      <c r="BT23" s="29" t="s">
        <v>63</v>
      </c>
      <c r="BU23" s="33">
        <f t="shared" si="44"/>
        <v>31</v>
      </c>
      <c r="BV23" s="33">
        <f t="shared" ref="BV23:CF23" si="56">SUM($BU9:BV9)</f>
        <v>62</v>
      </c>
      <c r="BW23" s="33">
        <f t="shared" si="56"/>
        <v>93</v>
      </c>
      <c r="BX23" s="33">
        <f t="shared" si="56"/>
        <v>124</v>
      </c>
      <c r="BY23" s="33">
        <f t="shared" si="56"/>
        <v>155</v>
      </c>
      <c r="BZ23" s="33">
        <f t="shared" si="56"/>
        <v>186</v>
      </c>
      <c r="CA23" s="33">
        <f t="shared" si="56"/>
        <v>217</v>
      </c>
      <c r="CB23" s="33">
        <f t="shared" si="56"/>
        <v>248</v>
      </c>
      <c r="CC23" s="33">
        <f t="shared" si="56"/>
        <v>279</v>
      </c>
      <c r="CD23" s="33">
        <f t="shared" si="56"/>
        <v>310</v>
      </c>
      <c r="CE23" s="33">
        <f t="shared" si="56"/>
        <v>341</v>
      </c>
      <c r="CF23" s="33">
        <f t="shared" si="56"/>
        <v>372</v>
      </c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28">
        <v>4.0</v>
      </c>
      <c r="CX23" s="29" t="s">
        <v>63</v>
      </c>
      <c r="CY23" s="39">
        <f t="shared" ref="CY23:DB23" si="57">(ED9/CY9)*100</f>
        <v>13.90639259</v>
      </c>
      <c r="CZ23" s="39">
        <f t="shared" si="57"/>
        <v>16.07647187</v>
      </c>
      <c r="DA23" s="39">
        <f t="shared" si="57"/>
        <v>13.88768336</v>
      </c>
      <c r="DB23" s="39">
        <f t="shared" si="57"/>
        <v>13.88768336</v>
      </c>
      <c r="DC23" s="39">
        <f t="shared" si="47"/>
        <v>14.75566357</v>
      </c>
      <c r="DD23" s="69"/>
      <c r="DE23" s="69"/>
      <c r="DF23" s="69"/>
      <c r="DG23" s="69"/>
      <c r="DH23" s="69"/>
      <c r="DI23" s="69"/>
      <c r="DJ23" s="69"/>
      <c r="DK23" s="70"/>
      <c r="DL23" s="71">
        <f>IFERROR(__xludf.DUMMYFUNCTION("""COMPUTED_VALUE"""),4.0)</f>
        <v>4</v>
      </c>
      <c r="DM23" s="72" t="str">
        <f>IFERROR(__xludf.DUMMYFUNCTION("""COMPUTED_VALUE"""),"BANDUNG TIMUR")</f>
        <v>BANDUNG TIMUR</v>
      </c>
      <c r="DN23" s="73">
        <f>IFERROR(__xludf.DUMMYFUNCTION("""COMPUTED_VALUE"""),1.0)</f>
        <v>1</v>
      </c>
      <c r="DO23" s="73">
        <f>IFERROR(__xludf.DUMMYFUNCTION("""COMPUTED_VALUE"""),7.0)</f>
        <v>7</v>
      </c>
      <c r="DP23" s="73">
        <f>IFERROR(__xludf.DUMMYFUNCTION("""COMPUTED_VALUE"""),8.0)</f>
        <v>8</v>
      </c>
      <c r="DQ23" s="73">
        <f>IFERROR(__xludf.DUMMYFUNCTION("""COMPUTED_VALUE"""),9.0)</f>
        <v>9</v>
      </c>
      <c r="DR23" s="73">
        <f>IFERROR(__xludf.DUMMYFUNCTION("""COMPUTED_VALUE"""),12.0)</f>
        <v>12</v>
      </c>
      <c r="DS23" s="73">
        <f>IFERROR(__xludf.DUMMYFUNCTION("""COMPUTED_VALUE"""),12.0)</f>
        <v>12</v>
      </c>
      <c r="DT23" s="73">
        <f>IFERROR(__xludf.DUMMYFUNCTION("""COMPUTED_VALUE"""),13.0)</f>
        <v>13</v>
      </c>
      <c r="DU23" s="73">
        <f>IFERROR(__xludf.DUMMYFUNCTION("""COMPUTED_VALUE"""),14.0)</f>
        <v>14</v>
      </c>
      <c r="DV23" s="73">
        <f>IFERROR(__xludf.DUMMYFUNCTION("""COMPUTED_VALUE"""),16.0)</f>
        <v>16</v>
      </c>
      <c r="DW23" s="73">
        <f>IFERROR(__xludf.DUMMYFUNCTION("""COMPUTED_VALUE"""),18.0)</f>
        <v>18</v>
      </c>
      <c r="DX23" s="73">
        <f>IFERROR(__xludf.DUMMYFUNCTION("""COMPUTED_VALUE"""),18.0)</f>
        <v>18</v>
      </c>
      <c r="DY23" s="73">
        <f>IFERROR(__xludf.DUMMYFUNCTION("""COMPUTED_VALUE"""),18.0)</f>
        <v>18</v>
      </c>
      <c r="DZ23" s="72"/>
      <c r="EA23" s="7"/>
      <c r="EB23" s="28">
        <v>4.0</v>
      </c>
      <c r="EC23" s="29" t="s">
        <v>63</v>
      </c>
      <c r="ED23" s="33">
        <f t="shared" si="48"/>
        <v>32</v>
      </c>
      <c r="EE23" s="33">
        <f t="shared" ref="EE23:EO23" si="58">ED23+EE9</f>
        <v>69</v>
      </c>
      <c r="EF23" s="33">
        <f t="shared" si="58"/>
        <v>101</v>
      </c>
      <c r="EG23" s="33">
        <f t="shared" si="58"/>
        <v>133</v>
      </c>
      <c r="EH23" s="33">
        <f t="shared" si="58"/>
        <v>167</v>
      </c>
      <c r="EI23" s="33">
        <f t="shared" si="58"/>
        <v>198</v>
      </c>
      <c r="EJ23" s="33">
        <f t="shared" si="58"/>
        <v>230</v>
      </c>
      <c r="EK23" s="33">
        <f t="shared" si="58"/>
        <v>230</v>
      </c>
      <c r="EL23" s="33">
        <f t="shared" si="58"/>
        <v>230</v>
      </c>
      <c r="EM23" s="33">
        <f t="shared" si="58"/>
        <v>230</v>
      </c>
      <c r="EN23" s="33">
        <f t="shared" si="58"/>
        <v>230</v>
      </c>
      <c r="EO23" s="33">
        <f t="shared" si="58"/>
        <v>230</v>
      </c>
    </row>
    <row r="24">
      <c r="A24" s="28">
        <v>5.0</v>
      </c>
      <c r="B24" s="29" t="s">
        <v>64</v>
      </c>
      <c r="C24" s="30">
        <f>COUNTIFS(
DATA!$F:$F,$B24,
DATA!$B:$B,"&gt;="&amp;DATE(2026,MONTH(C$19),DAY(C$19)),
DATA!$B:$B,"&lt;"&amp;DATE(2026,MONTH(C$19),DAY(C$19))+1
)</f>
        <v>0</v>
      </c>
      <c r="D24" s="30">
        <f>COUNTIFS(
DATA!$F:$F,$B24,
DATA!$B:$B,"&gt;="&amp;DATE(2026,MONTH(D$19),DAY(D$19)),
DATA!$B:$B,"&lt;"&amp;DATE(2026,MONTH(D$19),DAY(D$19))+1
)</f>
        <v>0</v>
      </c>
      <c r="E24" s="30">
        <f>COUNTIFS(
DATA!$F:$F,$B24,
DATA!$B:$B,"&gt;="&amp;DATE(2026,MONTH(E$19),DAY(E$19)),
DATA!$B:$B,"&lt;"&amp;DATE(2026,MONTH(E$19),DAY(E$19))+1
)</f>
        <v>0</v>
      </c>
      <c r="F24" s="30">
        <f>COUNTIFS(
DATA!$F:$F,$B24,
DATA!$B:$B,"&gt;="&amp;DATE(2026,MONTH(F$19),DAY(F$19)),
DATA!$B:$B,"&lt;"&amp;DATE(2026,MONTH(F$19),DAY(F$19))+1
)</f>
        <v>0</v>
      </c>
      <c r="G24" s="30">
        <f>COUNTIFS(
DATA!$F:$F,$B24,
DATA!$B:$B,"&gt;="&amp;DATE(2026,MONTH(G$19),DAY(G$19)),
DATA!$B:$B,"&lt;"&amp;DATE(2026,MONTH(G$19),DAY(G$19))+1
)</f>
        <v>0</v>
      </c>
      <c r="H24" s="30">
        <f>COUNTIFS(
DATA!$F:$F,$B24,
DATA!$B:$B,"&gt;="&amp;DATE(2026,MONTH(H$19),DAY(H$19)),
DATA!$B:$B,"&lt;"&amp;DATE(2026,MONTH(H$19),DAY(H$19))+1
)</f>
        <v>0</v>
      </c>
      <c r="I24" s="30">
        <f>COUNTIFS(
DATA!$F:$F,$B24,
DATA!$B:$B,"&gt;="&amp;DATE(2026,MONTH(I$19),DAY(I$19)),
DATA!$B:$B,"&lt;"&amp;DATE(2026,MONTH(I$19),DAY(I$19))+1
)</f>
        <v>0</v>
      </c>
      <c r="J24" s="30">
        <f>COUNTIFS(
DATA!$F:$F,$B24,
DATA!$B:$B,"&gt;="&amp;DATE(2026,MONTH(J$19),DAY(J$19)),
DATA!$B:$B,"&lt;"&amp;DATE(2026,MONTH(J$19),DAY(J$19))+1
)</f>
        <v>0</v>
      </c>
      <c r="K24" s="30">
        <f>COUNTIFS(
DATA!$F:$F,$B24,
DATA!$B:$B,"&gt;="&amp;DATE(2026,MONTH(K$19),DAY(K$19)),
DATA!$B:$B,"&lt;"&amp;DATE(2026,MONTH(K$19),DAY(K$19))+1
)</f>
        <v>0</v>
      </c>
      <c r="L24" s="30">
        <f>COUNTIFS(
DATA!$F:$F,$B24,
DATA!$B:$B,"&gt;="&amp;DATE(2026,MONTH(L$19),DAY(L$19)),
DATA!$B:$B,"&lt;"&amp;DATE(2026,MONTH(L$19),DAY(L$19))+1
)</f>
        <v>26</v>
      </c>
      <c r="M24" s="30">
        <f>COUNTIFS(
DATA!$F:$F,$B24,
DATA!$B:$B,"&gt;="&amp;DATE(2026,MONTH(M$19),DAY(M$19)),
DATA!$B:$B,"&lt;"&amp;DATE(2026,MONTH(M$19),DAY(M$19))+1
)</f>
        <v>0</v>
      </c>
      <c r="N24" s="30">
        <f>COUNTIFS(
DATA!$F:$F,$B24,
DATA!$B:$B,"&gt;="&amp;DATE(2026,MONTH(N$19),DAY(N$19)),
DATA!$B:$B,"&lt;"&amp;DATE(2026,MONTH(N$19),DAY(N$19))+1
)</f>
        <v>0</v>
      </c>
      <c r="O24" s="30">
        <f>COUNTIFS(
DATA!$F:$F,$B24,
DATA!$B:$B,"&gt;="&amp;DATE(2026,MONTH(O$19),DAY(O$19)),
DATA!$B:$B,"&lt;"&amp;DATE(2026,MONTH(O$19),DAY(O$19))+1
)</f>
        <v>0</v>
      </c>
      <c r="P24" s="30">
        <f>COUNTIFS(
DATA!$F:$F,$B24,
DATA!$B:$B,"&gt;="&amp;DATE(2026,MONTH(P$19),DAY(P$19)),
DATA!$B:$B,"&lt;"&amp;DATE(2026,MONTH(P$19),DAY(P$19))+1
)</f>
        <v>0</v>
      </c>
      <c r="Q24" s="30">
        <f>COUNTIFS(
DATA!$F:$F,$B24,
DATA!$B:$B,"&gt;="&amp;DATE(2026,MONTH(Q$19),DAY(Q$19)),
DATA!$B:$B,"&lt;"&amp;DATE(2026,MONTH(Q$19),DAY(Q$19))+1
)</f>
        <v>0</v>
      </c>
      <c r="R24" s="30">
        <f>COUNTIFS(
DATA!$F:$F,$B24,
DATA!$B:$B,"&gt;="&amp;DATE(2026,MONTH(R$19),DAY(R$19)),
DATA!$B:$B,"&lt;"&amp;DATE(2026,MONTH(R$19),DAY(R$19))+1
)</f>
        <v>0</v>
      </c>
      <c r="S24" s="30">
        <f>COUNTIFS(
DATA!$F:$F,$B24,
DATA!$B:$B,"&gt;="&amp;DATE(2026,MONTH(S$19),DAY(S$19)),
DATA!$B:$B,"&lt;"&amp;DATE(2026,MONTH(S$19),DAY(S$19))+1
)</f>
        <v>0</v>
      </c>
      <c r="T24" s="30">
        <f>COUNTIFS(
DATA!$F:$F,$B24,
DATA!$B:$B,"&gt;="&amp;DATE(2026,MONTH(T$19),DAY(T$19)),
DATA!$B:$B,"&lt;"&amp;DATE(2026,MONTH(T$19),DAY(T$19))+1
)</f>
        <v>0</v>
      </c>
      <c r="U24" s="30">
        <f>COUNTIFS(
DATA!$F:$F,$B24,
DATA!$B:$B,"&gt;="&amp;DATE(2026,MONTH(U$19),DAY(U$19)),
DATA!$B:$B,"&lt;"&amp;DATE(2026,MONTH(U$19),DAY(U$19))+1
)</f>
        <v>0</v>
      </c>
      <c r="V24" s="30">
        <f>COUNTIFS(
DATA!$F:$F,$B24,
DATA!$B:$B,"&gt;="&amp;DATE(2026,MONTH(V$19),DAY(V$19)),
DATA!$B:$B,"&lt;"&amp;DATE(2026,MONTH(V$19),DAY(V$19))+1
)</f>
        <v>0</v>
      </c>
      <c r="W24" s="30">
        <f>COUNTIFS(
DATA!$F:$F,$B24,
DATA!$B:$B,"&gt;="&amp;DATE(2026,MONTH(W$19),DAY(W$19)),
DATA!$B:$B,"&lt;"&amp;DATE(2026,MONTH(W$19),DAY(W$19))+1
)</f>
        <v>0</v>
      </c>
      <c r="X24" s="30">
        <f>COUNTIFS(
DATA!$F:$F,$B24,
DATA!$B:$B,"&gt;="&amp;DATE(2026,MONTH(X$19),DAY(X$19)),
DATA!$B:$B,"&lt;"&amp;DATE(2026,MONTH(X$19),DAY(X$19))+1
)</f>
        <v>0</v>
      </c>
      <c r="Y24" s="30">
        <f>COUNTIFS(
DATA!$F:$F,$B24,
DATA!$B:$B,"&gt;="&amp;DATE(2026,MONTH(Y$19),DAY(Y$19)),
DATA!$B:$B,"&lt;"&amp;DATE(2026,MONTH(Y$19),DAY(Y$19))+1
)</f>
        <v>0</v>
      </c>
      <c r="Z24" s="30">
        <f>COUNTIFS(
DATA!$F:$F,$B24,
DATA!$B:$B,"&gt;="&amp;DATE(2026,MONTH(Z$19),DAY(Z$19)),
DATA!$B:$B,"&lt;"&amp;DATE(2026,MONTH(Z$19),DAY(Z$19))+1
)</f>
        <v>0</v>
      </c>
      <c r="AA24" s="30">
        <f>COUNTIFS(
DATA!$F:$F,$B24,
DATA!$B:$B,"&gt;="&amp;DATE(2026,MONTH(AA$19),DAY(AA$19)),
DATA!$B:$B,"&lt;"&amp;DATE(2026,MONTH(AA$19),DAY(AA$19))+1
)</f>
        <v>0</v>
      </c>
      <c r="AB24" s="30">
        <f>COUNTIFS(
DATA!$F:$F,$B24,
DATA!$B:$B,"&gt;="&amp;DATE(2026,MONTH(AB$19),DAY(AB$19)),
DATA!$B:$B,"&lt;"&amp;DATE(2026,MONTH(AB$19),DAY(AB$19))+1
)</f>
        <v>0</v>
      </c>
      <c r="AC24" s="30">
        <f>COUNTIFS(
DATA!$F:$F,$B24,
DATA!$B:$B,"&gt;="&amp;DATE(2026,MONTH(AC$19),DAY(AC$19)),
DATA!$B:$B,"&lt;"&amp;DATE(2026,MONTH(AC$19),DAY(AC$19))+1
)</f>
        <v>28</v>
      </c>
      <c r="AD24" s="30">
        <f>COUNTIFS(
DATA!$F:$F,$B24,
DATA!$B:$B,"&gt;="&amp;DATE(2026,MONTH(AD$19),DAY(AD$19)),
DATA!$B:$B,"&lt;"&amp;DATE(2026,MONTH(AD$19),DAY(AD$19))+1
)</f>
        <v>0</v>
      </c>
      <c r="AE24" s="41"/>
      <c r="AF24" s="41"/>
      <c r="AG24" s="41"/>
      <c r="AH24" s="31">
        <f t="shared" si="40"/>
        <v>54</v>
      </c>
      <c r="AI24" s="7"/>
      <c r="AJ24" s="30">
        <v>5.0</v>
      </c>
      <c r="AK24" s="32" t="s">
        <v>64</v>
      </c>
      <c r="AL24" s="30">
        <f t="shared" si="41"/>
        <v>0</v>
      </c>
      <c r="AM24" s="30">
        <f t="shared" si="50"/>
        <v>0</v>
      </c>
      <c r="AN24" s="30">
        <f t="shared" ref="AN24:BP24" si="59">SUM($C24:E24)</f>
        <v>0</v>
      </c>
      <c r="AO24" s="30">
        <f t="shared" si="59"/>
        <v>0</v>
      </c>
      <c r="AP24" s="30">
        <f t="shared" si="59"/>
        <v>0</v>
      </c>
      <c r="AQ24" s="30">
        <f t="shared" si="59"/>
        <v>0</v>
      </c>
      <c r="AR24" s="30">
        <f t="shared" si="59"/>
        <v>0</v>
      </c>
      <c r="AS24" s="30">
        <f t="shared" si="59"/>
        <v>0</v>
      </c>
      <c r="AT24" s="30">
        <f t="shared" si="59"/>
        <v>0</v>
      </c>
      <c r="AU24" s="30">
        <f t="shared" si="59"/>
        <v>26</v>
      </c>
      <c r="AV24" s="30">
        <f t="shared" si="59"/>
        <v>26</v>
      </c>
      <c r="AW24" s="30">
        <f t="shared" si="59"/>
        <v>26</v>
      </c>
      <c r="AX24" s="30">
        <f t="shared" si="59"/>
        <v>26</v>
      </c>
      <c r="AY24" s="30">
        <f t="shared" si="59"/>
        <v>26</v>
      </c>
      <c r="AZ24" s="30">
        <f t="shared" si="59"/>
        <v>26</v>
      </c>
      <c r="BA24" s="30">
        <f t="shared" si="59"/>
        <v>26</v>
      </c>
      <c r="BB24" s="30">
        <f t="shared" si="59"/>
        <v>26</v>
      </c>
      <c r="BC24" s="30">
        <f t="shared" si="59"/>
        <v>26</v>
      </c>
      <c r="BD24" s="30">
        <f t="shared" si="59"/>
        <v>26</v>
      </c>
      <c r="BE24" s="30">
        <f t="shared" si="59"/>
        <v>26</v>
      </c>
      <c r="BF24" s="30">
        <f t="shared" si="59"/>
        <v>26</v>
      </c>
      <c r="BG24" s="30">
        <f t="shared" si="59"/>
        <v>26</v>
      </c>
      <c r="BH24" s="30">
        <f t="shared" si="59"/>
        <v>26</v>
      </c>
      <c r="BI24" s="30">
        <f t="shared" si="59"/>
        <v>26</v>
      </c>
      <c r="BJ24" s="30">
        <f t="shared" si="59"/>
        <v>26</v>
      </c>
      <c r="BK24" s="30">
        <f t="shared" si="59"/>
        <v>26</v>
      </c>
      <c r="BL24" s="30">
        <f t="shared" si="59"/>
        <v>54</v>
      </c>
      <c r="BM24" s="30">
        <f t="shared" si="59"/>
        <v>54</v>
      </c>
      <c r="BN24" s="30">
        <f t="shared" si="59"/>
        <v>54</v>
      </c>
      <c r="BO24" s="30">
        <f t="shared" si="59"/>
        <v>54</v>
      </c>
      <c r="BP24" s="30">
        <f t="shared" si="59"/>
        <v>54</v>
      </c>
      <c r="BQ24" s="31">
        <f t="shared" si="43"/>
        <v>54</v>
      </c>
      <c r="BR24" s="7"/>
      <c r="BS24" s="28">
        <v>5.0</v>
      </c>
      <c r="BT24" s="29" t="s">
        <v>64</v>
      </c>
      <c r="BU24" s="33">
        <f t="shared" si="44"/>
        <v>59.41666667</v>
      </c>
      <c r="BV24" s="33">
        <f t="shared" ref="BV24:CF24" si="60">SUM($BU10:BV10)</f>
        <v>118.8333333</v>
      </c>
      <c r="BW24" s="33">
        <f t="shared" si="60"/>
        <v>178.25</v>
      </c>
      <c r="BX24" s="33">
        <f t="shared" si="60"/>
        <v>237.6666667</v>
      </c>
      <c r="BY24" s="33">
        <f t="shared" si="60"/>
        <v>297.0833333</v>
      </c>
      <c r="BZ24" s="33">
        <f t="shared" si="60"/>
        <v>356.5</v>
      </c>
      <c r="CA24" s="33">
        <f t="shared" si="60"/>
        <v>415.9166667</v>
      </c>
      <c r="CB24" s="33">
        <f t="shared" si="60"/>
        <v>475.3333333</v>
      </c>
      <c r="CC24" s="33">
        <f t="shared" si="60"/>
        <v>534.75</v>
      </c>
      <c r="CD24" s="33">
        <f t="shared" si="60"/>
        <v>594.1666667</v>
      </c>
      <c r="CE24" s="33">
        <f t="shared" si="60"/>
        <v>653.5833333</v>
      </c>
      <c r="CF24" s="33">
        <f t="shared" si="60"/>
        <v>713</v>
      </c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28">
        <v>5.0</v>
      </c>
      <c r="CX24" s="29" t="s">
        <v>64</v>
      </c>
      <c r="CY24" s="39">
        <f t="shared" ref="CY24:DB24" si="61">(ED10/CY10)*100</f>
        <v>32.89238789</v>
      </c>
      <c r="CZ24" s="39">
        <f t="shared" si="61"/>
        <v>32.35682662</v>
      </c>
      <c r="DA24" s="39">
        <f t="shared" si="61"/>
        <v>32.85895172</v>
      </c>
      <c r="DB24" s="39">
        <f t="shared" si="61"/>
        <v>33.36005701</v>
      </c>
      <c r="DC24" s="39">
        <f t="shared" si="47"/>
        <v>32.29110992</v>
      </c>
      <c r="DD24" s="69"/>
      <c r="DE24" s="69"/>
      <c r="DF24" s="69"/>
      <c r="DG24" s="69"/>
      <c r="DH24" s="69"/>
      <c r="DI24" s="69"/>
      <c r="DJ24" s="69"/>
      <c r="DK24" s="70"/>
      <c r="DL24" s="71">
        <f>IFERROR(__xludf.DUMMYFUNCTION("""COMPUTED_VALUE"""),5.0)</f>
        <v>5</v>
      </c>
      <c r="DM24" s="72" t="str">
        <f>IFERROR(__xludf.DUMMYFUNCTION("""COMPUTED_VALUE"""),"CIJAWURA")</f>
        <v>CIJAWURA</v>
      </c>
      <c r="DN24" s="73">
        <f>IFERROR(__xludf.DUMMYFUNCTION("""COMPUTED_VALUE"""),2.0)</f>
        <v>2</v>
      </c>
      <c r="DO24" s="73">
        <f>IFERROR(__xludf.DUMMYFUNCTION("""COMPUTED_VALUE"""),3.0)</f>
        <v>3</v>
      </c>
      <c r="DP24" s="73">
        <f>IFERROR(__xludf.DUMMYFUNCTION("""COMPUTED_VALUE"""),5.0)</f>
        <v>5</v>
      </c>
      <c r="DQ24" s="73">
        <f>IFERROR(__xludf.DUMMYFUNCTION("""COMPUTED_VALUE"""),8.0)</f>
        <v>8</v>
      </c>
      <c r="DR24" s="73">
        <f>IFERROR(__xludf.DUMMYFUNCTION("""COMPUTED_VALUE"""),9.0)</f>
        <v>9</v>
      </c>
      <c r="DS24" s="73">
        <f>IFERROR(__xludf.DUMMYFUNCTION("""COMPUTED_VALUE"""),9.0)</f>
        <v>9</v>
      </c>
      <c r="DT24" s="73">
        <f>IFERROR(__xludf.DUMMYFUNCTION("""COMPUTED_VALUE"""),9.0)</f>
        <v>9</v>
      </c>
      <c r="DU24" s="73">
        <f>IFERROR(__xludf.DUMMYFUNCTION("""COMPUTED_VALUE"""),9.0)</f>
        <v>9</v>
      </c>
      <c r="DV24" s="73">
        <f>IFERROR(__xludf.DUMMYFUNCTION("""COMPUTED_VALUE"""),9.0)</f>
        <v>9</v>
      </c>
      <c r="DW24" s="73">
        <f>IFERROR(__xludf.DUMMYFUNCTION("""COMPUTED_VALUE"""),10.0)</f>
        <v>10</v>
      </c>
      <c r="DX24" s="73">
        <f>IFERROR(__xludf.DUMMYFUNCTION("""COMPUTED_VALUE"""),14.0)</f>
        <v>14</v>
      </c>
      <c r="DY24" s="73">
        <f>IFERROR(__xludf.DUMMYFUNCTION("""COMPUTED_VALUE"""),16.0)</f>
        <v>16</v>
      </c>
      <c r="DZ24" s="72"/>
      <c r="EA24" s="7"/>
      <c r="EB24" s="28">
        <v>5.0</v>
      </c>
      <c r="EC24" s="29" t="s">
        <v>64</v>
      </c>
      <c r="ED24" s="33">
        <f t="shared" si="48"/>
        <v>61.41666667</v>
      </c>
      <c r="EE24" s="33">
        <f t="shared" ref="EE24:EO24" si="62">ED24+EE10</f>
        <v>121.8333333</v>
      </c>
      <c r="EF24" s="33">
        <f t="shared" si="62"/>
        <v>183.25</v>
      </c>
      <c r="EG24" s="33">
        <f t="shared" si="62"/>
        <v>245.6666667</v>
      </c>
      <c r="EH24" s="33">
        <f t="shared" si="62"/>
        <v>306.0833333</v>
      </c>
      <c r="EI24" s="33">
        <f t="shared" si="62"/>
        <v>365.5</v>
      </c>
      <c r="EJ24" s="33">
        <f t="shared" si="62"/>
        <v>424.9166667</v>
      </c>
      <c r="EK24" s="33">
        <f t="shared" si="62"/>
        <v>424.9166667</v>
      </c>
      <c r="EL24" s="33">
        <f t="shared" si="62"/>
        <v>424.9166667</v>
      </c>
      <c r="EM24" s="33">
        <f t="shared" si="62"/>
        <v>424.9166667</v>
      </c>
      <c r="EN24" s="33">
        <f t="shared" si="62"/>
        <v>424.9166667</v>
      </c>
      <c r="EO24" s="33">
        <f t="shared" si="62"/>
        <v>424.9166667</v>
      </c>
    </row>
    <row r="25">
      <c r="A25" s="28">
        <v>6.0</v>
      </c>
      <c r="B25" s="29" t="s">
        <v>65</v>
      </c>
      <c r="C25" s="30">
        <f>COUNTIFS(
DATA!$F:$F,$B25,
DATA!$B:$B,"&gt;="&amp;DATE(2026,MONTH(C$19),DAY(C$19)),
DATA!$B:$B,"&lt;"&amp;DATE(2026,MONTH(C$19),DAY(C$19))+1
)</f>
        <v>0</v>
      </c>
      <c r="D25" s="30">
        <f>COUNTIFS(
DATA!$F:$F,$B25,
DATA!$B:$B,"&gt;="&amp;DATE(2026,MONTH(D$19),DAY(D$19)),
DATA!$B:$B,"&lt;"&amp;DATE(2026,MONTH(D$19),DAY(D$19))+1
)</f>
        <v>0</v>
      </c>
      <c r="E25" s="30">
        <f>COUNTIFS(
DATA!$F:$F,$B25,
DATA!$B:$B,"&gt;="&amp;DATE(2026,MONTH(E$19),DAY(E$19)),
DATA!$B:$B,"&lt;"&amp;DATE(2026,MONTH(E$19),DAY(E$19))+1
)</f>
        <v>0</v>
      </c>
      <c r="F25" s="30">
        <f>COUNTIFS(
DATA!$F:$F,$B25,
DATA!$B:$B,"&gt;="&amp;DATE(2026,MONTH(F$19),DAY(F$19)),
DATA!$B:$B,"&lt;"&amp;DATE(2026,MONTH(F$19),DAY(F$19))+1
)</f>
        <v>0</v>
      </c>
      <c r="G25" s="30">
        <f>COUNTIFS(
DATA!$F:$F,$B25,
DATA!$B:$B,"&gt;="&amp;DATE(2026,MONTH(G$19),DAY(G$19)),
DATA!$B:$B,"&lt;"&amp;DATE(2026,MONTH(G$19),DAY(G$19))+1
)</f>
        <v>18</v>
      </c>
      <c r="H25" s="30">
        <f>COUNTIFS(
DATA!$F:$F,$B25,
DATA!$B:$B,"&gt;="&amp;DATE(2026,MONTH(H$19),DAY(H$19)),
DATA!$B:$B,"&lt;"&amp;DATE(2026,MONTH(H$19),DAY(H$19))+1
)</f>
        <v>25</v>
      </c>
      <c r="I25" s="30">
        <f>COUNTIFS(
DATA!$F:$F,$B25,
DATA!$B:$B,"&gt;="&amp;DATE(2026,MONTH(I$19),DAY(I$19)),
DATA!$B:$B,"&lt;"&amp;DATE(2026,MONTH(I$19),DAY(I$19))+1
)</f>
        <v>0</v>
      </c>
      <c r="J25" s="30">
        <f>COUNTIFS(
DATA!$F:$F,$B25,
DATA!$B:$B,"&gt;="&amp;DATE(2026,MONTH(J$19),DAY(J$19)),
DATA!$B:$B,"&lt;"&amp;DATE(2026,MONTH(J$19),DAY(J$19))+1
)</f>
        <v>0</v>
      </c>
      <c r="K25" s="30">
        <f>COUNTIFS(
DATA!$F:$F,$B25,
DATA!$B:$B,"&gt;="&amp;DATE(2026,MONTH(K$19),DAY(K$19)),
DATA!$B:$B,"&lt;"&amp;DATE(2026,MONTH(K$19),DAY(K$19))+1
)</f>
        <v>17</v>
      </c>
      <c r="L25" s="30">
        <f>COUNTIFS(
DATA!$F:$F,$B25,
DATA!$B:$B,"&gt;="&amp;DATE(2026,MONTH(L$19),DAY(L$19)),
DATA!$B:$B,"&lt;"&amp;DATE(2026,MONTH(L$19),DAY(L$19))+1
)</f>
        <v>0</v>
      </c>
      <c r="M25" s="30">
        <f>COUNTIFS(
DATA!$F:$F,$B25,
DATA!$B:$B,"&gt;="&amp;DATE(2026,MONTH(M$19),DAY(M$19)),
DATA!$B:$B,"&lt;"&amp;DATE(2026,MONTH(M$19),DAY(M$19))+1
)</f>
        <v>0</v>
      </c>
      <c r="N25" s="30">
        <f>COUNTIFS(
DATA!$F:$F,$B25,
DATA!$B:$B,"&gt;="&amp;DATE(2026,MONTH(N$19),DAY(N$19)),
DATA!$B:$B,"&lt;"&amp;DATE(2026,MONTH(N$19),DAY(N$19))+1
)</f>
        <v>19</v>
      </c>
      <c r="O25" s="30">
        <f>COUNTIFS(
DATA!$F:$F,$B25,
DATA!$B:$B,"&gt;="&amp;DATE(2026,MONTH(O$19),DAY(O$19)),
DATA!$B:$B,"&lt;"&amp;DATE(2026,MONTH(O$19),DAY(O$19))+1
)</f>
        <v>0</v>
      </c>
      <c r="P25" s="30">
        <f>COUNTIFS(
DATA!$F:$F,$B25,
DATA!$B:$B,"&gt;="&amp;DATE(2026,MONTH(P$19),DAY(P$19)),
DATA!$B:$B,"&lt;"&amp;DATE(2026,MONTH(P$19),DAY(P$19))+1
)</f>
        <v>0</v>
      </c>
      <c r="Q25" s="30">
        <f>COUNTIFS(
DATA!$F:$F,$B25,
DATA!$B:$B,"&gt;="&amp;DATE(2026,MONTH(Q$19),DAY(Q$19)),
DATA!$B:$B,"&lt;"&amp;DATE(2026,MONTH(Q$19),DAY(Q$19))+1
)</f>
        <v>0</v>
      </c>
      <c r="R25" s="30">
        <f>COUNTIFS(
DATA!$F:$F,$B25,
DATA!$B:$B,"&gt;="&amp;DATE(2026,MONTH(R$19),DAY(R$19)),
DATA!$B:$B,"&lt;"&amp;DATE(2026,MONTH(R$19),DAY(R$19))+1
)</f>
        <v>0</v>
      </c>
      <c r="S25" s="30">
        <f>COUNTIFS(
DATA!$F:$F,$B25,
DATA!$B:$B,"&gt;="&amp;DATE(2026,MONTH(S$19),DAY(S$19)),
DATA!$B:$B,"&lt;"&amp;DATE(2026,MONTH(S$19),DAY(S$19))+1
)</f>
        <v>0</v>
      </c>
      <c r="T25" s="30">
        <f>COUNTIFS(
DATA!$F:$F,$B25,
DATA!$B:$B,"&gt;="&amp;DATE(2026,MONTH(T$19),DAY(T$19)),
DATA!$B:$B,"&lt;"&amp;DATE(2026,MONTH(T$19),DAY(T$19))+1
)</f>
        <v>0</v>
      </c>
      <c r="U25" s="30">
        <f>COUNTIFS(
DATA!$F:$F,$B25,
DATA!$B:$B,"&gt;="&amp;DATE(2026,MONTH(U$19),DAY(U$19)),
DATA!$B:$B,"&lt;"&amp;DATE(2026,MONTH(U$19),DAY(U$19))+1
)</f>
        <v>0</v>
      </c>
      <c r="V25" s="30">
        <f>COUNTIFS(
DATA!$F:$F,$B25,
DATA!$B:$B,"&gt;="&amp;DATE(2026,MONTH(V$19),DAY(V$19)),
DATA!$B:$B,"&lt;"&amp;DATE(2026,MONTH(V$19),DAY(V$19))+1
)</f>
        <v>15</v>
      </c>
      <c r="W25" s="30">
        <f>COUNTIFS(
DATA!$F:$F,$B25,
DATA!$B:$B,"&gt;="&amp;DATE(2026,MONTH(W$19),DAY(W$19)),
DATA!$B:$B,"&lt;"&amp;DATE(2026,MONTH(W$19),DAY(W$19))+1
)</f>
        <v>16</v>
      </c>
      <c r="X25" s="30">
        <f>COUNTIFS(
DATA!$F:$F,$B25,
DATA!$B:$B,"&gt;="&amp;DATE(2026,MONTH(X$19),DAY(X$19)),
DATA!$B:$B,"&lt;"&amp;DATE(2026,MONTH(X$19),DAY(X$19))+1
)</f>
        <v>0</v>
      </c>
      <c r="Y25" s="30">
        <f>COUNTIFS(
DATA!$F:$F,$B25,
DATA!$B:$B,"&gt;="&amp;DATE(2026,MONTH(Y$19),DAY(Y$19)),
DATA!$B:$B,"&lt;"&amp;DATE(2026,MONTH(Y$19),DAY(Y$19))+1
)</f>
        <v>0</v>
      </c>
      <c r="Z25" s="30">
        <f>COUNTIFS(
DATA!$F:$F,$B25,
DATA!$B:$B,"&gt;="&amp;DATE(2026,MONTH(Z$19),DAY(Z$19)),
DATA!$B:$B,"&lt;"&amp;DATE(2026,MONTH(Z$19),DAY(Z$19))+1
)</f>
        <v>0</v>
      </c>
      <c r="AA25" s="30">
        <f>COUNTIFS(
DATA!$F:$F,$B25,
DATA!$B:$B,"&gt;="&amp;DATE(2026,MONTH(AA$19),DAY(AA$19)),
DATA!$B:$B,"&lt;"&amp;DATE(2026,MONTH(AA$19),DAY(AA$19))+1
)</f>
        <v>0</v>
      </c>
      <c r="AB25" s="30">
        <f>COUNTIFS(
DATA!$F:$F,$B25,
DATA!$B:$B,"&gt;="&amp;DATE(2026,MONTH(AB$19),DAY(AB$19)),
DATA!$B:$B,"&lt;"&amp;DATE(2026,MONTH(AB$19),DAY(AB$19))+1
)</f>
        <v>0</v>
      </c>
      <c r="AC25" s="30">
        <f>COUNTIFS(
DATA!$F:$F,$B25,
DATA!$B:$B,"&gt;="&amp;DATE(2026,MONTH(AC$19),DAY(AC$19)),
DATA!$B:$B,"&lt;"&amp;DATE(2026,MONTH(AC$19),DAY(AC$19))+1
)</f>
        <v>9</v>
      </c>
      <c r="AD25" s="30">
        <f>COUNTIFS(
DATA!$F:$F,$B25,
DATA!$B:$B,"&gt;="&amp;DATE(2026,MONTH(AD$19),DAY(AD$19)),
DATA!$B:$B,"&lt;"&amp;DATE(2026,MONTH(AD$19),DAY(AD$19))+1
)</f>
        <v>59</v>
      </c>
      <c r="AE25" s="41"/>
      <c r="AF25" s="41"/>
      <c r="AG25" s="41"/>
      <c r="AH25" s="31">
        <f t="shared" si="40"/>
        <v>178</v>
      </c>
      <c r="AI25" s="7"/>
      <c r="AJ25" s="30">
        <v>6.0</v>
      </c>
      <c r="AK25" s="32" t="s">
        <v>66</v>
      </c>
      <c r="AL25" s="30">
        <f t="shared" si="41"/>
        <v>0</v>
      </c>
      <c r="AM25" s="30">
        <f t="shared" si="50"/>
        <v>0</v>
      </c>
      <c r="AN25" s="30">
        <f t="shared" ref="AN25:BP25" si="63">SUM($C25:E25)</f>
        <v>0</v>
      </c>
      <c r="AO25" s="30">
        <f t="shared" si="63"/>
        <v>0</v>
      </c>
      <c r="AP25" s="30">
        <f t="shared" si="63"/>
        <v>18</v>
      </c>
      <c r="AQ25" s="30">
        <f t="shared" si="63"/>
        <v>43</v>
      </c>
      <c r="AR25" s="30">
        <f t="shared" si="63"/>
        <v>43</v>
      </c>
      <c r="AS25" s="30">
        <f t="shared" si="63"/>
        <v>43</v>
      </c>
      <c r="AT25" s="30">
        <f t="shared" si="63"/>
        <v>60</v>
      </c>
      <c r="AU25" s="30">
        <f t="shared" si="63"/>
        <v>60</v>
      </c>
      <c r="AV25" s="30">
        <f t="shared" si="63"/>
        <v>60</v>
      </c>
      <c r="AW25" s="30">
        <f t="shared" si="63"/>
        <v>79</v>
      </c>
      <c r="AX25" s="30">
        <f t="shared" si="63"/>
        <v>79</v>
      </c>
      <c r="AY25" s="30">
        <f t="shared" si="63"/>
        <v>79</v>
      </c>
      <c r="AZ25" s="30">
        <f t="shared" si="63"/>
        <v>79</v>
      </c>
      <c r="BA25" s="30">
        <f t="shared" si="63"/>
        <v>79</v>
      </c>
      <c r="BB25" s="30">
        <f t="shared" si="63"/>
        <v>79</v>
      </c>
      <c r="BC25" s="30">
        <f t="shared" si="63"/>
        <v>79</v>
      </c>
      <c r="BD25" s="30">
        <f t="shared" si="63"/>
        <v>79</v>
      </c>
      <c r="BE25" s="30">
        <f t="shared" si="63"/>
        <v>94</v>
      </c>
      <c r="BF25" s="30">
        <f t="shared" si="63"/>
        <v>110</v>
      </c>
      <c r="BG25" s="30">
        <f t="shared" si="63"/>
        <v>110</v>
      </c>
      <c r="BH25" s="30">
        <f t="shared" si="63"/>
        <v>110</v>
      </c>
      <c r="BI25" s="30">
        <f t="shared" si="63"/>
        <v>110</v>
      </c>
      <c r="BJ25" s="30">
        <f t="shared" si="63"/>
        <v>110</v>
      </c>
      <c r="BK25" s="30">
        <f t="shared" si="63"/>
        <v>110</v>
      </c>
      <c r="BL25" s="30">
        <f t="shared" si="63"/>
        <v>119</v>
      </c>
      <c r="BM25" s="30">
        <f t="shared" si="63"/>
        <v>178</v>
      </c>
      <c r="BN25" s="30">
        <f t="shared" si="63"/>
        <v>178</v>
      </c>
      <c r="BO25" s="30">
        <f t="shared" si="63"/>
        <v>178</v>
      </c>
      <c r="BP25" s="30">
        <f t="shared" si="63"/>
        <v>178</v>
      </c>
      <c r="BQ25" s="31">
        <f t="shared" si="43"/>
        <v>178</v>
      </c>
      <c r="BR25" s="7"/>
      <c r="BS25" s="28">
        <v>6.0</v>
      </c>
      <c r="BT25" s="29" t="s">
        <v>66</v>
      </c>
      <c r="BU25" s="33">
        <f t="shared" si="44"/>
        <v>115.8333333</v>
      </c>
      <c r="BV25" s="33">
        <f t="shared" ref="BV25:CF25" si="64">SUM($BU11:BV11)</f>
        <v>231.6666667</v>
      </c>
      <c r="BW25" s="33">
        <f t="shared" si="64"/>
        <v>347.5</v>
      </c>
      <c r="BX25" s="33">
        <f t="shared" si="64"/>
        <v>463.3333333</v>
      </c>
      <c r="BY25" s="33">
        <f t="shared" si="64"/>
        <v>579.1666667</v>
      </c>
      <c r="BZ25" s="33">
        <f t="shared" si="64"/>
        <v>695</v>
      </c>
      <c r="CA25" s="33">
        <f t="shared" si="64"/>
        <v>810.8333333</v>
      </c>
      <c r="CB25" s="33">
        <f t="shared" si="64"/>
        <v>926.6666667</v>
      </c>
      <c r="CC25" s="33">
        <f t="shared" si="64"/>
        <v>1042.5</v>
      </c>
      <c r="CD25" s="33">
        <f t="shared" si="64"/>
        <v>1158.333333</v>
      </c>
      <c r="CE25" s="33">
        <f t="shared" si="64"/>
        <v>1274.166667</v>
      </c>
      <c r="CF25" s="33">
        <f t="shared" si="64"/>
        <v>1390</v>
      </c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28">
        <v>6.0</v>
      </c>
      <c r="CX25" s="29" t="s">
        <v>66</v>
      </c>
      <c r="CY25" s="39">
        <f t="shared" ref="CY25:DB25" si="65">(ED11/CY11)*100</f>
        <v>42.76186257</v>
      </c>
      <c r="CZ25" s="39">
        <f t="shared" si="65"/>
        <v>43.86936405</v>
      </c>
      <c r="DA25" s="39">
        <f t="shared" si="65"/>
        <v>44.18633235</v>
      </c>
      <c r="DB25" s="39">
        <f t="shared" si="65"/>
        <v>43.28288765</v>
      </c>
      <c r="DC25" s="39">
        <f t="shared" si="47"/>
        <v>43.6502106</v>
      </c>
      <c r="DD25" s="69"/>
      <c r="DE25" s="69"/>
      <c r="DF25" s="69"/>
      <c r="DG25" s="69"/>
      <c r="DH25" s="69"/>
      <c r="DI25" s="69"/>
      <c r="DJ25" s="69"/>
      <c r="DK25" s="70"/>
      <c r="DL25" s="71">
        <f>IFERROR(__xludf.DUMMYFUNCTION("""COMPUTED_VALUE"""),6.0)</f>
        <v>6</v>
      </c>
      <c r="DM25" s="72" t="str">
        <f>IFERROR(__xludf.DUMMYFUNCTION("""COMPUTED_VALUE"""),"UJUNG BERUNG")</f>
        <v>UJUNG BERUNG</v>
      </c>
      <c r="DN25" s="73">
        <f>IFERROR(__xludf.DUMMYFUNCTION("""COMPUTED_VALUE"""),0.0)</f>
        <v>0</v>
      </c>
      <c r="DO25" s="73">
        <f>IFERROR(__xludf.DUMMYFUNCTION("""COMPUTED_VALUE"""),3.0)</f>
        <v>3</v>
      </c>
      <c r="DP25" s="73">
        <f>IFERROR(__xludf.DUMMYFUNCTION("""COMPUTED_VALUE"""),7.0)</f>
        <v>7</v>
      </c>
      <c r="DQ25" s="73">
        <f>IFERROR(__xludf.DUMMYFUNCTION("""COMPUTED_VALUE"""),9.0)</f>
        <v>9</v>
      </c>
      <c r="DR25" s="73">
        <f>IFERROR(__xludf.DUMMYFUNCTION("""COMPUTED_VALUE"""),12.0)</f>
        <v>12</v>
      </c>
      <c r="DS25" s="73">
        <f>IFERROR(__xludf.DUMMYFUNCTION("""COMPUTED_VALUE"""),13.0)</f>
        <v>13</v>
      </c>
      <c r="DT25" s="73">
        <f>IFERROR(__xludf.DUMMYFUNCTION("""COMPUTED_VALUE"""),15.0)</f>
        <v>15</v>
      </c>
      <c r="DU25" s="73">
        <f>IFERROR(__xludf.DUMMYFUNCTION("""COMPUTED_VALUE"""),17.0)</f>
        <v>17</v>
      </c>
      <c r="DV25" s="73">
        <f>IFERROR(__xludf.DUMMYFUNCTION("""COMPUTED_VALUE"""),18.0)</f>
        <v>18</v>
      </c>
      <c r="DW25" s="73">
        <f>IFERROR(__xludf.DUMMYFUNCTION("""COMPUTED_VALUE"""),18.0)</f>
        <v>18</v>
      </c>
      <c r="DX25" s="73">
        <f>IFERROR(__xludf.DUMMYFUNCTION("""COMPUTED_VALUE"""),18.0)</f>
        <v>18</v>
      </c>
      <c r="DY25" s="73">
        <f>IFERROR(__xludf.DUMMYFUNCTION("""COMPUTED_VALUE"""),18.0)</f>
        <v>18</v>
      </c>
      <c r="DZ25" s="72"/>
      <c r="EA25" s="7"/>
      <c r="EB25" s="28">
        <v>6.0</v>
      </c>
      <c r="EC25" s="29" t="s">
        <v>66</v>
      </c>
      <c r="ED25" s="33">
        <f t="shared" si="48"/>
        <v>115.8333333</v>
      </c>
      <c r="EE25" s="33">
        <f t="shared" ref="EE25:EO25" si="66">ED25+EE11</f>
        <v>234.6666667</v>
      </c>
      <c r="EF25" s="33">
        <f t="shared" si="66"/>
        <v>354.5</v>
      </c>
      <c r="EG25" s="33">
        <f t="shared" si="66"/>
        <v>472.3333333</v>
      </c>
      <c r="EH25" s="33">
        <f t="shared" si="66"/>
        <v>591.1666667</v>
      </c>
      <c r="EI25" s="33">
        <f t="shared" si="66"/>
        <v>708</v>
      </c>
      <c r="EJ25" s="33">
        <f t="shared" si="66"/>
        <v>825.8333333</v>
      </c>
      <c r="EK25" s="33">
        <f t="shared" si="66"/>
        <v>825.8333333</v>
      </c>
      <c r="EL25" s="33">
        <f t="shared" si="66"/>
        <v>825.8333333</v>
      </c>
      <c r="EM25" s="33">
        <f t="shared" si="66"/>
        <v>825.8333333</v>
      </c>
      <c r="EN25" s="33">
        <f t="shared" si="66"/>
        <v>825.8333333</v>
      </c>
      <c r="EO25" s="33">
        <f t="shared" si="66"/>
        <v>825.8333333</v>
      </c>
    </row>
    <row r="26">
      <c r="A26" s="28">
        <v>7.0</v>
      </c>
      <c r="B26" s="29" t="s">
        <v>67</v>
      </c>
      <c r="C26" s="30">
        <f>COUNTIFS(
DATA!$F:$F,$B26,
DATA!$B:$B,"&gt;="&amp;DATE(2026,MONTH(C$19),DAY(C$19)),
DATA!$B:$B,"&lt;"&amp;DATE(2026,MONTH(C$19),DAY(C$19))+1
)</f>
        <v>0</v>
      </c>
      <c r="D26" s="30">
        <f>COUNTIFS(
DATA!$F:$F,$B26,
DATA!$B:$B,"&gt;="&amp;DATE(2026,MONTH(D$19),DAY(D$19)),
DATA!$B:$B,"&lt;"&amp;DATE(2026,MONTH(D$19),DAY(D$19))+1
)</f>
        <v>0</v>
      </c>
      <c r="E26" s="30">
        <f>COUNTIFS(
DATA!$F:$F,$B26,
DATA!$B:$B,"&gt;="&amp;DATE(2026,MONTH(E$19),DAY(E$19)),
DATA!$B:$B,"&lt;"&amp;DATE(2026,MONTH(E$19),DAY(E$19))+1
)</f>
        <v>0</v>
      </c>
      <c r="F26" s="30">
        <f>COUNTIFS(
DATA!$F:$F,$B26,
DATA!$B:$B,"&gt;="&amp;DATE(2026,MONTH(F$19),DAY(F$19)),
DATA!$B:$B,"&lt;"&amp;DATE(2026,MONTH(F$19),DAY(F$19))+1
)</f>
        <v>0</v>
      </c>
      <c r="G26" s="30">
        <f>COUNTIFS(
DATA!$F:$F,$B26,
DATA!$B:$B,"&gt;="&amp;DATE(2026,MONTH(G$19),DAY(G$19)),
DATA!$B:$B,"&lt;"&amp;DATE(2026,MONTH(G$19),DAY(G$19))+1
)</f>
        <v>0</v>
      </c>
      <c r="H26" s="30">
        <f>COUNTIFS(
DATA!$F:$F,$B26,
DATA!$B:$B,"&gt;="&amp;DATE(2026,MONTH(H$19),DAY(H$19)),
DATA!$B:$B,"&lt;"&amp;DATE(2026,MONTH(H$19),DAY(H$19))+1
)</f>
        <v>0</v>
      </c>
      <c r="I26" s="30">
        <f>COUNTIFS(
DATA!$F:$F,$B26,
DATA!$B:$B,"&gt;="&amp;DATE(2026,MONTH(I$19),DAY(I$19)),
DATA!$B:$B,"&lt;"&amp;DATE(2026,MONTH(I$19),DAY(I$19))+1
)</f>
        <v>0</v>
      </c>
      <c r="J26" s="30">
        <f>COUNTIFS(
DATA!$F:$F,$B26,
DATA!$B:$B,"&gt;="&amp;DATE(2026,MONTH(J$19),DAY(J$19)),
DATA!$B:$B,"&lt;"&amp;DATE(2026,MONTH(J$19),DAY(J$19))+1
)</f>
        <v>0</v>
      </c>
      <c r="K26" s="30">
        <f>COUNTIFS(
DATA!$F:$F,$B26,
DATA!$B:$B,"&gt;="&amp;DATE(2026,MONTH(K$19),DAY(K$19)),
DATA!$B:$B,"&lt;"&amp;DATE(2026,MONTH(K$19),DAY(K$19))+1
)</f>
        <v>0</v>
      </c>
      <c r="L26" s="30">
        <f>COUNTIFS(
DATA!$F:$F,$B26,
DATA!$B:$B,"&gt;="&amp;DATE(2026,MONTH(L$19),DAY(L$19)),
DATA!$B:$B,"&lt;"&amp;DATE(2026,MONTH(L$19),DAY(L$19))+1
)</f>
        <v>0</v>
      </c>
      <c r="M26" s="30">
        <f>COUNTIFS(
DATA!$F:$F,$B26,
DATA!$B:$B,"&gt;="&amp;DATE(2026,MONTH(M$19),DAY(M$19)),
DATA!$B:$B,"&lt;"&amp;DATE(2026,MONTH(M$19),DAY(M$19))+1
)</f>
        <v>0</v>
      </c>
      <c r="N26" s="30">
        <f>COUNTIFS(
DATA!$F:$F,$B26,
DATA!$B:$B,"&gt;="&amp;DATE(2026,MONTH(N$19),DAY(N$19)),
DATA!$B:$B,"&lt;"&amp;DATE(2026,MONTH(N$19),DAY(N$19))+1
)</f>
        <v>0</v>
      </c>
      <c r="O26" s="30">
        <f>COUNTIFS(
DATA!$F:$F,$B26,
DATA!$B:$B,"&gt;="&amp;DATE(2026,MONTH(O$19),DAY(O$19)),
DATA!$B:$B,"&lt;"&amp;DATE(2026,MONTH(O$19),DAY(O$19))+1
)</f>
        <v>0</v>
      </c>
      <c r="P26" s="30">
        <f>COUNTIFS(
DATA!$F:$F,$B26,
DATA!$B:$B,"&gt;="&amp;DATE(2026,MONTH(P$19),DAY(P$19)),
DATA!$B:$B,"&lt;"&amp;DATE(2026,MONTH(P$19),DAY(P$19))+1
)</f>
        <v>0</v>
      </c>
      <c r="Q26" s="30">
        <f>COUNTIFS(
DATA!$F:$F,$B26,
DATA!$B:$B,"&gt;="&amp;DATE(2026,MONTH(Q$19),DAY(Q$19)),
DATA!$B:$B,"&lt;"&amp;DATE(2026,MONTH(Q$19),DAY(Q$19))+1
)</f>
        <v>0</v>
      </c>
      <c r="R26" s="30">
        <f>COUNTIFS(
DATA!$F:$F,$B26,
DATA!$B:$B,"&gt;="&amp;DATE(2026,MONTH(R$19),DAY(R$19)),
DATA!$B:$B,"&lt;"&amp;DATE(2026,MONTH(R$19),DAY(R$19))+1
)</f>
        <v>42</v>
      </c>
      <c r="S26" s="30">
        <f>COUNTIFS(
DATA!$F:$F,$B26,
DATA!$B:$B,"&gt;="&amp;DATE(2026,MONTH(S$19),DAY(S$19)),
DATA!$B:$B,"&lt;"&amp;DATE(2026,MONTH(S$19),DAY(S$19))+1
)</f>
        <v>0</v>
      </c>
      <c r="T26" s="30">
        <f>COUNTIFS(
DATA!$F:$F,$B26,
DATA!$B:$B,"&gt;="&amp;DATE(2026,MONTH(T$19),DAY(T$19)),
DATA!$B:$B,"&lt;"&amp;DATE(2026,MONTH(T$19),DAY(T$19))+1
)</f>
        <v>0</v>
      </c>
      <c r="U26" s="30">
        <f>COUNTIFS(
DATA!$F:$F,$B26,
DATA!$B:$B,"&gt;="&amp;DATE(2026,MONTH(U$19),DAY(U$19)),
DATA!$B:$B,"&lt;"&amp;DATE(2026,MONTH(U$19),DAY(U$19))+1
)</f>
        <v>0</v>
      </c>
      <c r="V26" s="30">
        <f>COUNTIFS(
DATA!$F:$F,$B26,
DATA!$B:$B,"&gt;="&amp;DATE(2026,MONTH(V$19),DAY(V$19)),
DATA!$B:$B,"&lt;"&amp;DATE(2026,MONTH(V$19),DAY(V$19))+1
)</f>
        <v>0</v>
      </c>
      <c r="W26" s="30">
        <f>COUNTIFS(
DATA!$F:$F,$B26,
DATA!$B:$B,"&gt;="&amp;DATE(2026,MONTH(W$19),DAY(W$19)),
DATA!$B:$B,"&lt;"&amp;DATE(2026,MONTH(W$19),DAY(W$19))+1
)</f>
        <v>0</v>
      </c>
      <c r="X26" s="30">
        <f>COUNTIFS(
DATA!$F:$F,$B26,
DATA!$B:$B,"&gt;="&amp;DATE(2026,MONTH(X$19),DAY(X$19)),
DATA!$B:$B,"&lt;"&amp;DATE(2026,MONTH(X$19),DAY(X$19))+1
)</f>
        <v>0</v>
      </c>
      <c r="Y26" s="30">
        <f>COUNTIFS(
DATA!$F:$F,$B26,
DATA!$B:$B,"&gt;="&amp;DATE(2026,MONTH(Y$19),DAY(Y$19)),
DATA!$B:$B,"&lt;"&amp;DATE(2026,MONTH(Y$19),DAY(Y$19))+1
)</f>
        <v>0</v>
      </c>
      <c r="Z26" s="30">
        <f>COUNTIFS(
DATA!$F:$F,$B26,
DATA!$B:$B,"&gt;="&amp;DATE(2026,MONTH(Z$19),DAY(Z$19)),
DATA!$B:$B,"&lt;"&amp;DATE(2026,MONTH(Z$19),DAY(Z$19))+1
)</f>
        <v>0</v>
      </c>
      <c r="AA26" s="30">
        <f>COUNTIFS(
DATA!$F:$F,$B26,
DATA!$B:$B,"&gt;="&amp;DATE(2026,MONTH(AA$19),DAY(AA$19)),
DATA!$B:$B,"&lt;"&amp;DATE(2026,MONTH(AA$19),DAY(AA$19))+1
)</f>
        <v>0</v>
      </c>
      <c r="AB26" s="30">
        <f>COUNTIFS(
DATA!$F:$F,$B26,
DATA!$B:$B,"&gt;="&amp;DATE(2026,MONTH(AB$19),DAY(AB$19)),
DATA!$B:$B,"&lt;"&amp;DATE(2026,MONTH(AB$19),DAY(AB$19))+1
)</f>
        <v>0</v>
      </c>
      <c r="AC26" s="30">
        <f>COUNTIFS(
DATA!$F:$F,$B26,
DATA!$B:$B,"&gt;="&amp;DATE(2026,MONTH(AC$19),DAY(AC$19)),
DATA!$B:$B,"&lt;"&amp;DATE(2026,MONTH(AC$19),DAY(AC$19))+1
)</f>
        <v>0</v>
      </c>
      <c r="AD26" s="30">
        <f>COUNTIFS(
DATA!$F:$F,$B26,
DATA!$B:$B,"&gt;="&amp;DATE(2026,MONTH(AD$19),DAY(AD$19)),
DATA!$B:$B,"&lt;"&amp;DATE(2026,MONTH(AD$19),DAY(AD$19))+1
)</f>
        <v>0</v>
      </c>
      <c r="AE26" s="41"/>
      <c r="AF26" s="41"/>
      <c r="AG26" s="41"/>
      <c r="AH26" s="31">
        <f t="shared" si="40"/>
        <v>42</v>
      </c>
      <c r="AI26" s="7"/>
      <c r="AJ26" s="30">
        <v>7.0</v>
      </c>
      <c r="AK26" s="32" t="s">
        <v>67</v>
      </c>
      <c r="AL26" s="30">
        <f t="shared" si="41"/>
        <v>0</v>
      </c>
      <c r="AM26" s="30">
        <f t="shared" si="50"/>
        <v>0</v>
      </c>
      <c r="AN26" s="30">
        <f t="shared" ref="AN26:BP26" si="67">SUM($C26:E26)</f>
        <v>0</v>
      </c>
      <c r="AO26" s="30">
        <f t="shared" si="67"/>
        <v>0</v>
      </c>
      <c r="AP26" s="30">
        <f t="shared" si="67"/>
        <v>0</v>
      </c>
      <c r="AQ26" s="30">
        <f t="shared" si="67"/>
        <v>0</v>
      </c>
      <c r="AR26" s="30">
        <f t="shared" si="67"/>
        <v>0</v>
      </c>
      <c r="AS26" s="30">
        <f t="shared" si="67"/>
        <v>0</v>
      </c>
      <c r="AT26" s="30">
        <f t="shared" si="67"/>
        <v>0</v>
      </c>
      <c r="AU26" s="30">
        <f t="shared" si="67"/>
        <v>0</v>
      </c>
      <c r="AV26" s="30">
        <f t="shared" si="67"/>
        <v>0</v>
      </c>
      <c r="AW26" s="30">
        <f t="shared" si="67"/>
        <v>0</v>
      </c>
      <c r="AX26" s="30">
        <f t="shared" si="67"/>
        <v>0</v>
      </c>
      <c r="AY26" s="30">
        <f t="shared" si="67"/>
        <v>0</v>
      </c>
      <c r="AZ26" s="30">
        <f t="shared" si="67"/>
        <v>0</v>
      </c>
      <c r="BA26" s="30">
        <f t="shared" si="67"/>
        <v>42</v>
      </c>
      <c r="BB26" s="30">
        <f t="shared" si="67"/>
        <v>42</v>
      </c>
      <c r="BC26" s="30">
        <f t="shared" si="67"/>
        <v>42</v>
      </c>
      <c r="BD26" s="30">
        <f t="shared" si="67"/>
        <v>42</v>
      </c>
      <c r="BE26" s="30">
        <f t="shared" si="67"/>
        <v>42</v>
      </c>
      <c r="BF26" s="30">
        <f t="shared" si="67"/>
        <v>42</v>
      </c>
      <c r="BG26" s="30">
        <f t="shared" si="67"/>
        <v>42</v>
      </c>
      <c r="BH26" s="30">
        <f t="shared" si="67"/>
        <v>42</v>
      </c>
      <c r="BI26" s="30">
        <f t="shared" si="67"/>
        <v>42</v>
      </c>
      <c r="BJ26" s="30">
        <f t="shared" si="67"/>
        <v>42</v>
      </c>
      <c r="BK26" s="30">
        <f t="shared" si="67"/>
        <v>42</v>
      </c>
      <c r="BL26" s="30">
        <f t="shared" si="67"/>
        <v>42</v>
      </c>
      <c r="BM26" s="30">
        <f t="shared" si="67"/>
        <v>42</v>
      </c>
      <c r="BN26" s="30">
        <f t="shared" si="67"/>
        <v>42</v>
      </c>
      <c r="BO26" s="30">
        <f t="shared" si="67"/>
        <v>42</v>
      </c>
      <c r="BP26" s="30">
        <f t="shared" si="67"/>
        <v>42</v>
      </c>
      <c r="BQ26" s="31">
        <f t="shared" si="43"/>
        <v>42</v>
      </c>
      <c r="BR26" s="7"/>
      <c r="BS26" s="28">
        <v>7.0</v>
      </c>
      <c r="BT26" s="29" t="s">
        <v>67</v>
      </c>
      <c r="BU26" s="33">
        <f t="shared" si="44"/>
        <v>50.41666667</v>
      </c>
      <c r="BV26" s="33">
        <f t="shared" ref="BV26:CF26" si="68">SUM($BU12:BV12)</f>
        <v>100.8333333</v>
      </c>
      <c r="BW26" s="33">
        <f t="shared" si="68"/>
        <v>151.25</v>
      </c>
      <c r="BX26" s="33">
        <f t="shared" si="68"/>
        <v>201.6666667</v>
      </c>
      <c r="BY26" s="33">
        <f t="shared" si="68"/>
        <v>252.0833333</v>
      </c>
      <c r="BZ26" s="33">
        <f t="shared" si="68"/>
        <v>302.5</v>
      </c>
      <c r="CA26" s="33">
        <f t="shared" si="68"/>
        <v>352.9166667</v>
      </c>
      <c r="CB26" s="33">
        <f t="shared" si="68"/>
        <v>403.3333333</v>
      </c>
      <c r="CC26" s="33">
        <f t="shared" si="68"/>
        <v>453.75</v>
      </c>
      <c r="CD26" s="33">
        <f t="shared" si="68"/>
        <v>504.1666667</v>
      </c>
      <c r="CE26" s="33">
        <f t="shared" si="68"/>
        <v>554.5833333</v>
      </c>
      <c r="CF26" s="33">
        <f t="shared" si="68"/>
        <v>605</v>
      </c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28">
        <v>7.0</v>
      </c>
      <c r="CX26" s="29" t="s">
        <v>67</v>
      </c>
      <c r="CY26" s="39">
        <f t="shared" ref="CY26:DB26" si="69">(ED12/CY12)*100</f>
        <v>30.09814826</v>
      </c>
      <c r="CZ26" s="39">
        <f t="shared" si="69"/>
        <v>30.66019342</v>
      </c>
      <c r="DA26" s="39">
        <f t="shared" si="69"/>
        <v>30.66019342</v>
      </c>
      <c r="DB26" s="39">
        <f t="shared" si="69"/>
        <v>29.49032912</v>
      </c>
      <c r="DC26" s="39">
        <f t="shared" si="47"/>
        <v>31.24512557</v>
      </c>
      <c r="DD26" s="69"/>
      <c r="DE26" s="69"/>
      <c r="DF26" s="69"/>
      <c r="DG26" s="69"/>
      <c r="DH26" s="69"/>
      <c r="DI26" s="69"/>
      <c r="DJ26" s="69"/>
      <c r="DK26" s="70"/>
      <c r="DL26" s="71">
        <f>IFERROR(__xludf.DUMMYFUNCTION("""COMPUTED_VALUE"""),7.0)</f>
        <v>7</v>
      </c>
      <c r="DM26" s="72" t="str">
        <f>IFERROR(__xludf.DUMMYFUNCTION("""COMPUTED_VALUE"""),"KOPO")</f>
        <v>KOPO</v>
      </c>
      <c r="DN26" s="73">
        <f>IFERROR(__xludf.DUMMYFUNCTION("""COMPUTED_VALUE"""),1.0)</f>
        <v>1</v>
      </c>
      <c r="DO26" s="73">
        <f>IFERROR(__xludf.DUMMYFUNCTION("""COMPUTED_VALUE"""),3.0)</f>
        <v>3</v>
      </c>
      <c r="DP26" s="73">
        <f>IFERROR(__xludf.DUMMYFUNCTION("""COMPUTED_VALUE"""),5.0)</f>
        <v>5</v>
      </c>
      <c r="DQ26" s="73">
        <f>IFERROR(__xludf.DUMMYFUNCTION("""COMPUTED_VALUE"""),5.0)</f>
        <v>5</v>
      </c>
      <c r="DR26" s="73">
        <f>IFERROR(__xludf.DUMMYFUNCTION("""COMPUTED_VALUE"""),8.0)</f>
        <v>8</v>
      </c>
      <c r="DS26" s="73">
        <f>IFERROR(__xludf.DUMMYFUNCTION("""COMPUTED_VALUE"""),8.0)</f>
        <v>8</v>
      </c>
      <c r="DT26" s="73">
        <f>IFERROR(__xludf.DUMMYFUNCTION("""COMPUTED_VALUE"""),8.0)</f>
        <v>8</v>
      </c>
      <c r="DU26" s="73">
        <f>IFERROR(__xludf.DUMMYFUNCTION("""COMPUTED_VALUE"""),10.0)</f>
        <v>10</v>
      </c>
      <c r="DV26" s="73">
        <f>IFERROR(__xludf.DUMMYFUNCTION("""COMPUTED_VALUE"""),12.0)</f>
        <v>12</v>
      </c>
      <c r="DW26" s="73">
        <f>IFERROR(__xludf.DUMMYFUNCTION("""COMPUTED_VALUE"""),12.0)</f>
        <v>12</v>
      </c>
      <c r="DX26" s="73">
        <f>IFERROR(__xludf.DUMMYFUNCTION("""COMPUTED_VALUE"""),13.0)</f>
        <v>13</v>
      </c>
      <c r="DY26" s="73">
        <f>IFERROR(__xludf.DUMMYFUNCTION("""COMPUTED_VALUE"""),13.0)</f>
        <v>13</v>
      </c>
      <c r="DZ26" s="72"/>
      <c r="EA26" s="7"/>
      <c r="EB26" s="28">
        <v>7.0</v>
      </c>
      <c r="EC26" s="29" t="s">
        <v>67</v>
      </c>
      <c r="ED26" s="33">
        <f t="shared" si="48"/>
        <v>51.41666667</v>
      </c>
      <c r="EE26" s="33">
        <f t="shared" ref="EE26:EO26" si="70">ED26+EE12</f>
        <v>103.8333333</v>
      </c>
      <c r="EF26" s="33">
        <f t="shared" si="70"/>
        <v>156.25</v>
      </c>
      <c r="EG26" s="33">
        <f t="shared" si="70"/>
        <v>206.6666667</v>
      </c>
      <c r="EH26" s="33">
        <f t="shared" si="70"/>
        <v>260.0833333</v>
      </c>
      <c r="EI26" s="33">
        <f t="shared" si="70"/>
        <v>310.5</v>
      </c>
      <c r="EJ26" s="33">
        <f t="shared" si="70"/>
        <v>360.9166667</v>
      </c>
      <c r="EK26" s="33">
        <f t="shared" si="70"/>
        <v>360.9166667</v>
      </c>
      <c r="EL26" s="33">
        <f t="shared" si="70"/>
        <v>360.9166667</v>
      </c>
      <c r="EM26" s="33">
        <f t="shared" si="70"/>
        <v>360.9166667</v>
      </c>
      <c r="EN26" s="33">
        <f t="shared" si="70"/>
        <v>360.9166667</v>
      </c>
      <c r="EO26" s="33">
        <f t="shared" si="70"/>
        <v>360.9166667</v>
      </c>
    </row>
    <row r="27">
      <c r="A27" s="28">
        <v>8.0</v>
      </c>
      <c r="B27" s="29" t="s">
        <v>68</v>
      </c>
      <c r="C27" s="30">
        <f>COUNTIFS(
DATA!$F:$F,$B27,
DATA!$B:$B,"&gt;="&amp;DATE(2026,MONTH(C$19),DAY(C$19)),
DATA!$B:$B,"&lt;"&amp;DATE(2026,MONTH(C$19),DAY(C$19))+1
)</f>
        <v>0</v>
      </c>
      <c r="D27" s="30">
        <f>COUNTIFS(
DATA!$F:$F,$B27,
DATA!$B:$B,"&gt;="&amp;DATE(2026,MONTH(D$19),DAY(D$19)),
DATA!$B:$B,"&lt;"&amp;DATE(2026,MONTH(D$19),DAY(D$19))+1
)</f>
        <v>0</v>
      </c>
      <c r="E27" s="30">
        <f>COUNTIFS(
DATA!$F:$F,$B27,
DATA!$B:$B,"&gt;="&amp;DATE(2026,MONTH(E$19),DAY(E$19)),
DATA!$B:$B,"&lt;"&amp;DATE(2026,MONTH(E$19),DAY(E$19))+1
)</f>
        <v>0</v>
      </c>
      <c r="F27" s="30">
        <f>COUNTIFS(
DATA!$F:$F,$B27,
DATA!$B:$B,"&gt;="&amp;DATE(2026,MONTH(F$19),DAY(F$19)),
DATA!$B:$B,"&lt;"&amp;DATE(2026,MONTH(F$19),DAY(F$19))+1
)</f>
        <v>0</v>
      </c>
      <c r="G27" s="30">
        <f>COUNTIFS(
DATA!$F:$F,$B27,
DATA!$B:$B,"&gt;="&amp;DATE(2026,MONTH(G$19),DAY(G$19)),
DATA!$B:$B,"&lt;"&amp;DATE(2026,MONTH(G$19),DAY(G$19))+1
)</f>
        <v>0</v>
      </c>
      <c r="H27" s="30">
        <f>COUNTIFS(
DATA!$F:$F,$B27,
DATA!$B:$B,"&gt;="&amp;DATE(2026,MONTH(H$19),DAY(H$19)),
DATA!$B:$B,"&lt;"&amp;DATE(2026,MONTH(H$19),DAY(H$19))+1
)</f>
        <v>0</v>
      </c>
      <c r="I27" s="30">
        <f>COUNTIFS(
DATA!$F:$F,$B27,
DATA!$B:$B,"&gt;="&amp;DATE(2026,MONTH(I$19),DAY(I$19)),
DATA!$B:$B,"&lt;"&amp;DATE(2026,MONTH(I$19),DAY(I$19))+1
)</f>
        <v>0</v>
      </c>
      <c r="J27" s="30">
        <f>COUNTIFS(
DATA!$F:$F,$B27,
DATA!$B:$B,"&gt;="&amp;DATE(2026,MONTH(J$19),DAY(J$19)),
DATA!$B:$B,"&lt;"&amp;DATE(2026,MONTH(J$19),DAY(J$19))+1
)</f>
        <v>0</v>
      </c>
      <c r="K27" s="30">
        <f>COUNTIFS(
DATA!$F:$F,$B27,
DATA!$B:$B,"&gt;="&amp;DATE(2026,MONTH(K$19),DAY(K$19)),
DATA!$B:$B,"&lt;"&amp;DATE(2026,MONTH(K$19),DAY(K$19))+1
)</f>
        <v>0</v>
      </c>
      <c r="L27" s="30">
        <f>COUNTIFS(
DATA!$F:$F,$B27,
DATA!$B:$B,"&gt;="&amp;DATE(2026,MONTH(L$19),DAY(L$19)),
DATA!$B:$B,"&lt;"&amp;DATE(2026,MONTH(L$19),DAY(L$19))+1
)</f>
        <v>0</v>
      </c>
      <c r="M27" s="30">
        <f>COUNTIFS(
DATA!$F:$F,$B27,
DATA!$B:$B,"&gt;="&amp;DATE(2026,MONTH(M$19),DAY(M$19)),
DATA!$B:$B,"&lt;"&amp;DATE(2026,MONTH(M$19),DAY(M$19))+1
)</f>
        <v>0</v>
      </c>
      <c r="N27" s="30">
        <f>COUNTIFS(
DATA!$F:$F,$B27,
DATA!$B:$B,"&gt;="&amp;DATE(2026,MONTH(N$19),DAY(N$19)),
DATA!$B:$B,"&lt;"&amp;DATE(2026,MONTH(N$19),DAY(N$19))+1
)</f>
        <v>0</v>
      </c>
      <c r="O27" s="30">
        <f>COUNTIFS(
DATA!$F:$F,$B27,
DATA!$B:$B,"&gt;="&amp;DATE(2026,MONTH(O$19),DAY(O$19)),
DATA!$B:$B,"&lt;"&amp;DATE(2026,MONTH(O$19),DAY(O$19))+1
)</f>
        <v>0</v>
      </c>
      <c r="P27" s="30">
        <f>COUNTIFS(
DATA!$F:$F,$B27,
DATA!$B:$B,"&gt;="&amp;DATE(2026,MONTH(P$19),DAY(P$19)),
DATA!$B:$B,"&lt;"&amp;DATE(2026,MONTH(P$19),DAY(P$19))+1
)</f>
        <v>0</v>
      </c>
      <c r="Q27" s="30">
        <f>COUNTIFS(
DATA!$F:$F,$B27,
DATA!$B:$B,"&gt;="&amp;DATE(2026,MONTH(Q$19),DAY(Q$19)),
DATA!$B:$B,"&lt;"&amp;DATE(2026,MONTH(Q$19),DAY(Q$19))+1
)</f>
        <v>0</v>
      </c>
      <c r="R27" s="30">
        <f>COUNTIFS(
DATA!$F:$F,$B27,
DATA!$B:$B,"&gt;="&amp;DATE(2026,MONTH(R$19),DAY(R$19)),
DATA!$B:$B,"&lt;"&amp;DATE(2026,MONTH(R$19),DAY(R$19))+1
)</f>
        <v>0</v>
      </c>
      <c r="S27" s="30">
        <f>COUNTIFS(
DATA!$F:$F,$B27,
DATA!$B:$B,"&gt;="&amp;DATE(2026,MONTH(S$19),DAY(S$19)),
DATA!$B:$B,"&lt;"&amp;DATE(2026,MONTH(S$19),DAY(S$19))+1
)</f>
        <v>0</v>
      </c>
      <c r="T27" s="30">
        <f>COUNTIFS(
DATA!$F:$F,$B27,
DATA!$B:$B,"&gt;="&amp;DATE(2026,MONTH(T$19),DAY(T$19)),
DATA!$B:$B,"&lt;"&amp;DATE(2026,MONTH(T$19),DAY(T$19))+1
)</f>
        <v>0</v>
      </c>
      <c r="U27" s="30">
        <f>COUNTIFS(
DATA!$F:$F,$B27,
DATA!$B:$B,"&gt;="&amp;DATE(2026,MONTH(U$19),DAY(U$19)),
DATA!$B:$B,"&lt;"&amp;DATE(2026,MONTH(U$19),DAY(U$19))+1
)</f>
        <v>0</v>
      </c>
      <c r="V27" s="30">
        <f>COUNTIFS(
DATA!$F:$F,$B27,
DATA!$B:$B,"&gt;="&amp;DATE(2026,MONTH(V$19),DAY(V$19)),
DATA!$B:$B,"&lt;"&amp;DATE(2026,MONTH(V$19),DAY(V$19))+1
)</f>
        <v>0</v>
      </c>
      <c r="W27" s="30">
        <f>COUNTIFS(
DATA!$F:$F,$B27,
DATA!$B:$B,"&gt;="&amp;DATE(2026,MONTH(W$19),DAY(W$19)),
DATA!$B:$B,"&lt;"&amp;DATE(2026,MONTH(W$19),DAY(W$19))+1
)</f>
        <v>0</v>
      </c>
      <c r="X27" s="30">
        <f>COUNTIFS(
DATA!$F:$F,$B27,
DATA!$B:$B,"&gt;="&amp;DATE(2026,MONTH(X$19),DAY(X$19)),
DATA!$B:$B,"&lt;"&amp;DATE(2026,MONTH(X$19),DAY(X$19))+1
)</f>
        <v>0</v>
      </c>
      <c r="Y27" s="30">
        <f>COUNTIFS(
DATA!$F:$F,$B27,
DATA!$B:$B,"&gt;="&amp;DATE(2026,MONTH(Y$19),DAY(Y$19)),
DATA!$B:$B,"&lt;"&amp;DATE(2026,MONTH(Y$19),DAY(Y$19))+1
)</f>
        <v>0</v>
      </c>
      <c r="Z27" s="30">
        <f>COUNTIFS(
DATA!$F:$F,$B27,
DATA!$B:$B,"&gt;="&amp;DATE(2026,MONTH(Z$19),DAY(Z$19)),
DATA!$B:$B,"&lt;"&amp;DATE(2026,MONTH(Z$19),DAY(Z$19))+1
)</f>
        <v>0</v>
      </c>
      <c r="AA27" s="30">
        <f>COUNTIFS(
DATA!$F:$F,$B27,
DATA!$B:$B,"&gt;="&amp;DATE(2026,MONTH(AA$19),DAY(AA$19)),
DATA!$B:$B,"&lt;"&amp;DATE(2026,MONTH(AA$19),DAY(AA$19))+1
)</f>
        <v>0</v>
      </c>
      <c r="AB27" s="30">
        <f>COUNTIFS(
DATA!$F:$F,$B27,
DATA!$B:$B,"&gt;="&amp;DATE(2026,MONTH(AB$19),DAY(AB$19)),
DATA!$B:$B,"&lt;"&amp;DATE(2026,MONTH(AB$19),DAY(AB$19))+1
)</f>
        <v>0</v>
      </c>
      <c r="AC27" s="30">
        <f>COUNTIFS(
DATA!$F:$F,$B27,
DATA!$B:$B,"&gt;="&amp;DATE(2026,MONTH(AC$19),DAY(AC$19)),
DATA!$B:$B,"&lt;"&amp;DATE(2026,MONTH(AC$19),DAY(AC$19))+1
)</f>
        <v>0</v>
      </c>
      <c r="AD27" s="30">
        <f>COUNTIFS(
DATA!$F:$F,$B27,
DATA!$B:$B,"&gt;="&amp;DATE(2026,MONTH(AD$19),DAY(AD$19)),
DATA!$B:$B,"&lt;"&amp;DATE(2026,MONTH(AD$19),DAY(AD$19))+1
)</f>
        <v>0</v>
      </c>
      <c r="AE27" s="41"/>
      <c r="AF27" s="41"/>
      <c r="AG27" s="41"/>
      <c r="AH27" s="31">
        <f t="shared" si="40"/>
        <v>0</v>
      </c>
      <c r="AI27" s="7"/>
      <c r="AJ27" s="30">
        <v>8.0</v>
      </c>
      <c r="AK27" s="32" t="s">
        <v>68</v>
      </c>
      <c r="AL27" s="30">
        <f t="shared" si="41"/>
        <v>0</v>
      </c>
      <c r="AM27" s="30">
        <f t="shared" si="50"/>
        <v>0</v>
      </c>
      <c r="AN27" s="30">
        <f t="shared" ref="AN27:BP27" si="71">SUM($C27:E27)</f>
        <v>0</v>
      </c>
      <c r="AO27" s="30">
        <f t="shared" si="71"/>
        <v>0</v>
      </c>
      <c r="AP27" s="30">
        <f t="shared" si="71"/>
        <v>0</v>
      </c>
      <c r="AQ27" s="30">
        <f t="shared" si="71"/>
        <v>0</v>
      </c>
      <c r="AR27" s="30">
        <f t="shared" si="71"/>
        <v>0</v>
      </c>
      <c r="AS27" s="30">
        <f t="shared" si="71"/>
        <v>0</v>
      </c>
      <c r="AT27" s="30">
        <f t="shared" si="71"/>
        <v>0</v>
      </c>
      <c r="AU27" s="30">
        <f t="shared" si="71"/>
        <v>0</v>
      </c>
      <c r="AV27" s="30">
        <f t="shared" si="71"/>
        <v>0</v>
      </c>
      <c r="AW27" s="30">
        <f t="shared" si="71"/>
        <v>0</v>
      </c>
      <c r="AX27" s="30">
        <f t="shared" si="71"/>
        <v>0</v>
      </c>
      <c r="AY27" s="30">
        <f t="shared" si="71"/>
        <v>0</v>
      </c>
      <c r="AZ27" s="30">
        <f t="shared" si="71"/>
        <v>0</v>
      </c>
      <c r="BA27" s="30">
        <f t="shared" si="71"/>
        <v>0</v>
      </c>
      <c r="BB27" s="30">
        <f t="shared" si="71"/>
        <v>0</v>
      </c>
      <c r="BC27" s="30">
        <f t="shared" si="71"/>
        <v>0</v>
      </c>
      <c r="BD27" s="30">
        <f t="shared" si="71"/>
        <v>0</v>
      </c>
      <c r="BE27" s="30">
        <f t="shared" si="71"/>
        <v>0</v>
      </c>
      <c r="BF27" s="30">
        <f t="shared" si="71"/>
        <v>0</v>
      </c>
      <c r="BG27" s="30">
        <f t="shared" si="71"/>
        <v>0</v>
      </c>
      <c r="BH27" s="30">
        <f t="shared" si="71"/>
        <v>0</v>
      </c>
      <c r="BI27" s="30">
        <f t="shared" si="71"/>
        <v>0</v>
      </c>
      <c r="BJ27" s="30">
        <f t="shared" si="71"/>
        <v>0</v>
      </c>
      <c r="BK27" s="30">
        <f t="shared" si="71"/>
        <v>0</v>
      </c>
      <c r="BL27" s="30">
        <f t="shared" si="71"/>
        <v>0</v>
      </c>
      <c r="BM27" s="30">
        <f t="shared" si="71"/>
        <v>0</v>
      </c>
      <c r="BN27" s="30">
        <f t="shared" si="71"/>
        <v>0</v>
      </c>
      <c r="BO27" s="30">
        <f t="shared" si="71"/>
        <v>0</v>
      </c>
      <c r="BP27" s="30">
        <f t="shared" si="71"/>
        <v>0</v>
      </c>
      <c r="BQ27" s="31">
        <f t="shared" si="43"/>
        <v>0</v>
      </c>
      <c r="BR27" s="7"/>
      <c r="BS27" s="28">
        <v>8.0</v>
      </c>
      <c r="BT27" s="29" t="s">
        <v>68</v>
      </c>
      <c r="BU27" s="33">
        <f t="shared" si="44"/>
        <v>0</v>
      </c>
      <c r="BV27" s="33">
        <f t="shared" ref="BV27:CF27" si="72">SUM($BU13:BV13)</f>
        <v>0</v>
      </c>
      <c r="BW27" s="33">
        <f t="shared" si="72"/>
        <v>0</v>
      </c>
      <c r="BX27" s="33">
        <f t="shared" si="72"/>
        <v>0</v>
      </c>
      <c r="BY27" s="33">
        <f t="shared" si="72"/>
        <v>0</v>
      </c>
      <c r="BZ27" s="33">
        <f t="shared" si="72"/>
        <v>0</v>
      </c>
      <c r="CA27" s="33">
        <f t="shared" si="72"/>
        <v>0</v>
      </c>
      <c r="CB27" s="33">
        <f t="shared" si="72"/>
        <v>0</v>
      </c>
      <c r="CC27" s="33">
        <f t="shared" si="72"/>
        <v>0</v>
      </c>
      <c r="CD27" s="33">
        <f t="shared" si="72"/>
        <v>0</v>
      </c>
      <c r="CE27" s="33">
        <f t="shared" si="72"/>
        <v>0</v>
      </c>
      <c r="CF27" s="33">
        <f t="shared" si="72"/>
        <v>0</v>
      </c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28">
        <v>8.0</v>
      </c>
      <c r="CX27" s="29" t="s">
        <v>68</v>
      </c>
      <c r="CY27" s="39">
        <f t="shared" ref="CY27:DB27" si="73">(ED13/CY13)*100</f>
        <v>0</v>
      </c>
      <c r="CZ27" s="39">
        <f t="shared" si="73"/>
        <v>0</v>
      </c>
      <c r="DA27" s="39">
        <f t="shared" si="73"/>
        <v>0.2397219226</v>
      </c>
      <c r="DB27" s="39">
        <f t="shared" si="73"/>
        <v>0</v>
      </c>
      <c r="DC27" s="39">
        <f t="shared" si="47"/>
        <v>0.2397219226</v>
      </c>
      <c r="DD27" s="69"/>
      <c r="DE27" s="69"/>
      <c r="DF27" s="69"/>
      <c r="DG27" s="69"/>
      <c r="DH27" s="69"/>
      <c r="DI27" s="69"/>
      <c r="DJ27" s="69"/>
      <c r="DK27" s="70"/>
      <c r="DL27" s="71">
        <f>IFERROR(__xludf.DUMMYFUNCTION("""COMPUTED_VALUE"""),8.0)</f>
        <v>8</v>
      </c>
      <c r="DM27" s="72" t="str">
        <f>IFERROR(__xludf.DUMMYFUNCTION("""COMPUTED_VALUE"""),"PRIMA PRIANGAN")</f>
        <v>PRIMA PRIANGAN</v>
      </c>
      <c r="DN27" s="73">
        <f>IFERROR(__xludf.DUMMYFUNCTION("""COMPUTED_VALUE"""),0.0)</f>
        <v>0</v>
      </c>
      <c r="DO27" s="73">
        <f>IFERROR(__xludf.DUMMYFUNCTION("""COMPUTED_VALUE"""),0.0)</f>
        <v>0</v>
      </c>
      <c r="DP27" s="73">
        <f>IFERROR(__xludf.DUMMYFUNCTION("""COMPUTED_VALUE"""),1.0)</f>
        <v>1</v>
      </c>
      <c r="DQ27" s="73">
        <f>IFERROR(__xludf.DUMMYFUNCTION("""COMPUTED_VALUE"""),1.0)</f>
        <v>1</v>
      </c>
      <c r="DR27" s="73">
        <f>IFERROR(__xludf.DUMMYFUNCTION("""COMPUTED_VALUE"""),2.0)</f>
        <v>2</v>
      </c>
      <c r="DS27" s="73">
        <f>IFERROR(__xludf.DUMMYFUNCTION("""COMPUTED_VALUE"""),3.0)</f>
        <v>3</v>
      </c>
      <c r="DT27" s="73">
        <f>IFERROR(__xludf.DUMMYFUNCTION("""COMPUTED_VALUE"""),4.0)</f>
        <v>4</v>
      </c>
      <c r="DU27" s="73">
        <f>IFERROR(__xludf.DUMMYFUNCTION("""COMPUTED_VALUE"""),4.0)</f>
        <v>4</v>
      </c>
      <c r="DV27" s="73">
        <f>IFERROR(__xludf.DUMMYFUNCTION("""COMPUTED_VALUE"""),5.0)</f>
        <v>5</v>
      </c>
      <c r="DW27" s="73">
        <f>IFERROR(__xludf.DUMMYFUNCTION("""COMPUTED_VALUE"""),6.0)</f>
        <v>6</v>
      </c>
      <c r="DX27" s="73">
        <f>IFERROR(__xludf.DUMMYFUNCTION("""COMPUTED_VALUE"""),6.0)</f>
        <v>6</v>
      </c>
      <c r="DY27" s="73">
        <f>IFERROR(__xludf.DUMMYFUNCTION("""COMPUTED_VALUE"""),6.0)</f>
        <v>6</v>
      </c>
      <c r="DZ27" s="72"/>
      <c r="EA27" s="7"/>
      <c r="EB27" s="28">
        <v>8.0</v>
      </c>
      <c r="EC27" s="29" t="s">
        <v>68</v>
      </c>
      <c r="ED27" s="33">
        <f t="shared" si="48"/>
        <v>0</v>
      </c>
      <c r="EE27" s="33">
        <f t="shared" ref="EE27:EO27" si="74">ED27+EE13</f>
        <v>0</v>
      </c>
      <c r="EF27" s="33">
        <f t="shared" si="74"/>
        <v>1</v>
      </c>
      <c r="EG27" s="33">
        <f t="shared" si="74"/>
        <v>1</v>
      </c>
      <c r="EH27" s="33">
        <f t="shared" si="74"/>
        <v>2</v>
      </c>
      <c r="EI27" s="33">
        <f t="shared" si="74"/>
        <v>3</v>
      </c>
      <c r="EJ27" s="33">
        <f t="shared" si="74"/>
        <v>4</v>
      </c>
      <c r="EK27" s="33">
        <f t="shared" si="74"/>
        <v>4</v>
      </c>
      <c r="EL27" s="33">
        <f t="shared" si="74"/>
        <v>4</v>
      </c>
      <c r="EM27" s="33">
        <f t="shared" si="74"/>
        <v>4</v>
      </c>
      <c r="EN27" s="33">
        <f t="shared" si="74"/>
        <v>4</v>
      </c>
      <c r="EO27" s="33">
        <f t="shared" si="74"/>
        <v>4</v>
      </c>
    </row>
    <row r="28">
      <c r="A28" s="45"/>
      <c r="B28" s="46" t="s">
        <v>69</v>
      </c>
      <c r="C28" s="47">
        <f t="shared" ref="C28:AD28" si="75">SUM(C20:C27)</f>
        <v>0</v>
      </c>
      <c r="D28" s="47">
        <f t="shared" si="75"/>
        <v>0</v>
      </c>
      <c r="E28" s="47">
        <f t="shared" si="75"/>
        <v>0</v>
      </c>
      <c r="F28" s="47">
        <f t="shared" si="75"/>
        <v>0</v>
      </c>
      <c r="G28" s="47">
        <f t="shared" si="75"/>
        <v>18</v>
      </c>
      <c r="H28" s="47">
        <f t="shared" si="75"/>
        <v>25</v>
      </c>
      <c r="I28" s="47">
        <f t="shared" si="75"/>
        <v>0</v>
      </c>
      <c r="J28" s="47">
        <f t="shared" si="75"/>
        <v>0</v>
      </c>
      <c r="K28" s="49">
        <f t="shared" si="75"/>
        <v>17</v>
      </c>
      <c r="L28" s="49">
        <f t="shared" si="75"/>
        <v>26</v>
      </c>
      <c r="M28" s="47">
        <f t="shared" si="75"/>
        <v>0</v>
      </c>
      <c r="N28" s="47">
        <f t="shared" si="75"/>
        <v>19</v>
      </c>
      <c r="O28" s="47">
        <f t="shared" si="75"/>
        <v>18</v>
      </c>
      <c r="P28" s="47">
        <f t="shared" si="75"/>
        <v>0</v>
      </c>
      <c r="Q28" s="47">
        <f t="shared" si="75"/>
        <v>0</v>
      </c>
      <c r="R28" s="47">
        <f t="shared" si="75"/>
        <v>42</v>
      </c>
      <c r="S28" s="49">
        <f t="shared" si="75"/>
        <v>0</v>
      </c>
      <c r="T28" s="47">
        <f t="shared" si="75"/>
        <v>0</v>
      </c>
      <c r="U28" s="47">
        <f t="shared" si="75"/>
        <v>0</v>
      </c>
      <c r="V28" s="47">
        <f t="shared" si="75"/>
        <v>71</v>
      </c>
      <c r="W28" s="47">
        <f t="shared" si="75"/>
        <v>16</v>
      </c>
      <c r="X28" s="47">
        <f t="shared" si="75"/>
        <v>0</v>
      </c>
      <c r="Y28" s="49">
        <f t="shared" si="75"/>
        <v>18</v>
      </c>
      <c r="Z28" s="47">
        <f t="shared" si="75"/>
        <v>0</v>
      </c>
      <c r="AA28" s="49">
        <f t="shared" si="75"/>
        <v>0</v>
      </c>
      <c r="AB28" s="47">
        <f t="shared" si="75"/>
        <v>0</v>
      </c>
      <c r="AC28" s="47">
        <f t="shared" si="75"/>
        <v>37</v>
      </c>
      <c r="AD28" s="49">
        <f t="shared" si="75"/>
        <v>72</v>
      </c>
      <c r="AE28" s="45"/>
      <c r="AF28" s="45"/>
      <c r="AG28" s="45"/>
      <c r="AH28" s="47">
        <f>SUM(AH20:AH27)</f>
        <v>379</v>
      </c>
      <c r="AI28" s="7"/>
      <c r="AJ28" s="45"/>
      <c r="AK28" s="46" t="s">
        <v>69</v>
      </c>
      <c r="AL28" s="47">
        <f t="shared" si="41"/>
        <v>0</v>
      </c>
      <c r="AM28" s="47">
        <f t="shared" si="50"/>
        <v>0</v>
      </c>
      <c r="AN28" s="47">
        <f t="shared" ref="AN28:BP28" si="76">SUM($C28:E28)</f>
        <v>0</v>
      </c>
      <c r="AO28" s="47">
        <f t="shared" si="76"/>
        <v>0</v>
      </c>
      <c r="AP28" s="47">
        <f t="shared" si="76"/>
        <v>18</v>
      </c>
      <c r="AQ28" s="47">
        <f t="shared" si="76"/>
        <v>43</v>
      </c>
      <c r="AR28" s="47">
        <f t="shared" si="76"/>
        <v>43</v>
      </c>
      <c r="AS28" s="47">
        <f t="shared" si="76"/>
        <v>43</v>
      </c>
      <c r="AT28" s="47">
        <f t="shared" si="76"/>
        <v>60</v>
      </c>
      <c r="AU28" s="47">
        <f t="shared" si="76"/>
        <v>86</v>
      </c>
      <c r="AV28" s="47">
        <f t="shared" si="76"/>
        <v>86</v>
      </c>
      <c r="AW28" s="47">
        <f t="shared" si="76"/>
        <v>105</v>
      </c>
      <c r="AX28" s="47">
        <f t="shared" si="76"/>
        <v>123</v>
      </c>
      <c r="AY28" s="47">
        <f t="shared" si="76"/>
        <v>123</v>
      </c>
      <c r="AZ28" s="47">
        <f t="shared" si="76"/>
        <v>123</v>
      </c>
      <c r="BA28" s="47">
        <f t="shared" si="76"/>
        <v>165</v>
      </c>
      <c r="BB28" s="47">
        <f t="shared" si="76"/>
        <v>165</v>
      </c>
      <c r="BC28" s="47">
        <f t="shared" si="76"/>
        <v>165</v>
      </c>
      <c r="BD28" s="47">
        <f t="shared" si="76"/>
        <v>165</v>
      </c>
      <c r="BE28" s="47">
        <f t="shared" si="76"/>
        <v>236</v>
      </c>
      <c r="BF28" s="47">
        <f t="shared" si="76"/>
        <v>252</v>
      </c>
      <c r="BG28" s="47">
        <f t="shared" si="76"/>
        <v>252</v>
      </c>
      <c r="BH28" s="47">
        <f t="shared" si="76"/>
        <v>270</v>
      </c>
      <c r="BI28" s="47">
        <f t="shared" si="76"/>
        <v>270</v>
      </c>
      <c r="BJ28" s="47">
        <f t="shared" si="76"/>
        <v>270</v>
      </c>
      <c r="BK28" s="47">
        <f t="shared" si="76"/>
        <v>270</v>
      </c>
      <c r="BL28" s="47">
        <f t="shared" si="76"/>
        <v>307</v>
      </c>
      <c r="BM28" s="47">
        <f t="shared" si="76"/>
        <v>379</v>
      </c>
      <c r="BN28" s="47">
        <f t="shared" si="76"/>
        <v>379</v>
      </c>
      <c r="BO28" s="47">
        <f t="shared" si="76"/>
        <v>379</v>
      </c>
      <c r="BP28" s="47">
        <f t="shared" si="76"/>
        <v>379</v>
      </c>
      <c r="BQ28" s="49">
        <f t="shared" si="43"/>
        <v>379</v>
      </c>
      <c r="BR28" s="7"/>
      <c r="BS28" s="50"/>
      <c r="BT28" s="51" t="s">
        <v>69</v>
      </c>
      <c r="BU28" s="74">
        <f>SUM(BU20:BU27)</f>
        <v>306.9166667</v>
      </c>
      <c r="BV28" s="74">
        <f t="shared" ref="BV28:CF28" si="77">SUM($BU14:BV14)</f>
        <v>613.8333333</v>
      </c>
      <c r="BW28" s="74">
        <f t="shared" si="77"/>
        <v>920.75</v>
      </c>
      <c r="BX28" s="74">
        <f t="shared" si="77"/>
        <v>1227.666667</v>
      </c>
      <c r="BY28" s="74">
        <f t="shared" si="77"/>
        <v>1534.583333</v>
      </c>
      <c r="BZ28" s="74">
        <f t="shared" si="77"/>
        <v>1841.5</v>
      </c>
      <c r="CA28" s="74">
        <f t="shared" si="77"/>
        <v>2148.416667</v>
      </c>
      <c r="CB28" s="74">
        <f t="shared" si="77"/>
        <v>2455.333333</v>
      </c>
      <c r="CC28" s="74">
        <f t="shared" si="77"/>
        <v>2762.25</v>
      </c>
      <c r="CD28" s="74">
        <f t="shared" si="77"/>
        <v>3069.166667</v>
      </c>
      <c r="CE28" s="74">
        <f t="shared" si="77"/>
        <v>3376.083333</v>
      </c>
      <c r="CF28" s="74">
        <f t="shared" si="77"/>
        <v>3683</v>
      </c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50"/>
      <c r="CX28" s="51" t="s">
        <v>69</v>
      </c>
      <c r="CY28" s="75">
        <f t="shared" ref="CY28:DB28" si="78">(ED14/CY14)*100</f>
        <v>14.84794163</v>
      </c>
      <c r="CZ28" s="75">
        <f t="shared" si="78"/>
        <v>15.45398392</v>
      </c>
      <c r="DA28" s="75">
        <f t="shared" si="78"/>
        <v>15.10772568</v>
      </c>
      <c r="DB28" s="75">
        <f t="shared" si="78"/>
        <v>15.18926222</v>
      </c>
      <c r="DC28" s="75">
        <f t="shared" si="47"/>
        <v>15.23644605</v>
      </c>
      <c r="DD28" s="76"/>
      <c r="DE28" s="76"/>
      <c r="DF28" s="76"/>
      <c r="DG28" s="76"/>
      <c r="DH28" s="76"/>
      <c r="DI28" s="76"/>
      <c r="DJ28" s="76"/>
      <c r="DK28" s="70"/>
      <c r="DL28" s="77"/>
      <c r="DM28" s="77" t="str">
        <f>IFERROR(__xludf.DUMMYFUNCTION("""COMPUTED_VALUE"""),"UP3 BANDUNG")</f>
        <v>UP3 BANDUNG</v>
      </c>
      <c r="DN28" s="78">
        <f>IFERROR(__xludf.DUMMYFUNCTION("""COMPUTED_VALUE"""),7.0)</f>
        <v>7</v>
      </c>
      <c r="DO28" s="78">
        <f>IFERROR(__xludf.DUMMYFUNCTION("""COMPUTED_VALUE"""),27.0)</f>
        <v>27</v>
      </c>
      <c r="DP28" s="78">
        <f>IFERROR(__xludf.DUMMYFUNCTION("""COMPUTED_VALUE"""),40.0)</f>
        <v>40</v>
      </c>
      <c r="DQ28" s="78">
        <f>IFERROR(__xludf.DUMMYFUNCTION("""COMPUTED_VALUE"""),55.0)</f>
        <v>55</v>
      </c>
      <c r="DR28" s="78">
        <f>IFERROR(__xludf.DUMMYFUNCTION("""COMPUTED_VALUE"""),71.0)</f>
        <v>71</v>
      </c>
      <c r="DS28" s="78">
        <f>IFERROR(__xludf.DUMMYFUNCTION("""COMPUTED_VALUE"""),74.0)</f>
        <v>74</v>
      </c>
      <c r="DT28" s="78">
        <f>IFERROR(__xludf.DUMMYFUNCTION("""COMPUTED_VALUE"""),84.0)</f>
        <v>84</v>
      </c>
      <c r="DU28" s="78">
        <f>IFERROR(__xludf.DUMMYFUNCTION("""COMPUTED_VALUE"""),90.0)</f>
        <v>90</v>
      </c>
      <c r="DV28" s="78">
        <f>IFERROR(__xludf.DUMMYFUNCTION("""COMPUTED_VALUE"""),99.0)</f>
        <v>99</v>
      </c>
      <c r="DW28" s="78">
        <f>IFERROR(__xludf.DUMMYFUNCTION("""COMPUTED_VALUE"""),105.0)</f>
        <v>105</v>
      </c>
      <c r="DX28" s="78">
        <f>IFERROR(__xludf.DUMMYFUNCTION("""COMPUTED_VALUE"""),112.0)</f>
        <v>112</v>
      </c>
      <c r="DY28" s="78">
        <f>IFERROR(__xludf.DUMMYFUNCTION("""COMPUTED_VALUE"""),117.0)</f>
        <v>117</v>
      </c>
      <c r="DZ28" s="77"/>
      <c r="EA28" s="7"/>
      <c r="EB28" s="61"/>
      <c r="EC28" s="62" t="s">
        <v>69</v>
      </c>
      <c r="ED28" s="33">
        <f t="shared" si="48"/>
        <v>313.9166667</v>
      </c>
      <c r="EE28" s="33">
        <f t="shared" ref="EE28:EO28" si="79">ED28+EE14</f>
        <v>640.8333333</v>
      </c>
      <c r="EF28" s="33">
        <f t="shared" si="79"/>
        <v>960.75</v>
      </c>
      <c r="EG28" s="33">
        <f t="shared" si="79"/>
        <v>1282.666667</v>
      </c>
      <c r="EH28" s="33">
        <f t="shared" si="79"/>
        <v>1605.583333</v>
      </c>
      <c r="EI28" s="33">
        <f t="shared" si="79"/>
        <v>1915.5</v>
      </c>
      <c r="EJ28" s="33">
        <f t="shared" si="79"/>
        <v>2232.416667</v>
      </c>
      <c r="EK28" s="33">
        <f t="shared" si="79"/>
        <v>2232.416667</v>
      </c>
      <c r="EL28" s="33">
        <f t="shared" si="79"/>
        <v>2232.416667</v>
      </c>
      <c r="EM28" s="33">
        <f t="shared" si="79"/>
        <v>2232.416667</v>
      </c>
      <c r="EN28" s="33">
        <f t="shared" si="79"/>
        <v>2232.416667</v>
      </c>
      <c r="EO28" s="33">
        <f t="shared" si="79"/>
        <v>2232.416667</v>
      </c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0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</row>
    <row r="30">
      <c r="A30" s="8" t="s">
        <v>35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</row>
    <row r="31">
      <c r="A31" s="9" t="str">
        <f>TEXT(C33,"MMMM YYYY")</f>
        <v>Maret 2026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10" t="s">
        <v>75</v>
      </c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63" t="s">
        <v>76</v>
      </c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11" t="s">
        <v>77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12" t="s">
        <v>38</v>
      </c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11" t="s">
        <v>73</v>
      </c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</row>
    <row r="33" ht="42.0" customHeight="1">
      <c r="A33" s="14" t="s">
        <v>41</v>
      </c>
      <c r="B33" s="14" t="s">
        <v>42</v>
      </c>
      <c r="C33" s="64">
        <v>46082.0</v>
      </c>
      <c r="D33" s="64">
        <v>46083.0</v>
      </c>
      <c r="E33" s="64">
        <v>46084.0</v>
      </c>
      <c r="F33" s="64">
        <v>46085.0</v>
      </c>
      <c r="G33" s="64">
        <v>46086.0</v>
      </c>
      <c r="H33" s="64">
        <v>46087.0</v>
      </c>
      <c r="I33" s="64">
        <v>46088.0</v>
      </c>
      <c r="J33" s="64">
        <v>46089.0</v>
      </c>
      <c r="K33" s="64">
        <v>46090.0</v>
      </c>
      <c r="L33" s="64">
        <v>46091.0</v>
      </c>
      <c r="M33" s="64">
        <v>46092.0</v>
      </c>
      <c r="N33" s="64">
        <v>46093.0</v>
      </c>
      <c r="O33" s="64">
        <v>46094.0</v>
      </c>
      <c r="P33" s="64">
        <v>46095.0</v>
      </c>
      <c r="Q33" s="64">
        <v>46096.0</v>
      </c>
      <c r="R33" s="64">
        <v>46097.0</v>
      </c>
      <c r="S33" s="64">
        <v>46098.0</v>
      </c>
      <c r="T33" s="64">
        <v>46099.0</v>
      </c>
      <c r="U33" s="64">
        <v>46100.0</v>
      </c>
      <c r="V33" s="64">
        <v>46101.0</v>
      </c>
      <c r="W33" s="64">
        <v>46102.0</v>
      </c>
      <c r="X33" s="64">
        <v>46103.0</v>
      </c>
      <c r="Y33" s="64">
        <v>46104.0</v>
      </c>
      <c r="Z33" s="64">
        <v>46105.0</v>
      </c>
      <c r="AA33" s="64">
        <v>46106.0</v>
      </c>
      <c r="AB33" s="64">
        <v>46107.0</v>
      </c>
      <c r="AC33" s="64">
        <v>46108.0</v>
      </c>
      <c r="AD33" s="64">
        <v>46109.0</v>
      </c>
      <c r="AE33" s="64">
        <v>46110.0</v>
      </c>
      <c r="AF33" s="64">
        <v>46111.0</v>
      </c>
      <c r="AG33" s="64">
        <v>46112.0</v>
      </c>
      <c r="AH33" s="16" t="s">
        <v>43</v>
      </c>
      <c r="AI33" s="17"/>
      <c r="AJ33" s="18" t="s">
        <v>41</v>
      </c>
      <c r="AK33" s="18" t="s">
        <v>42</v>
      </c>
      <c r="AL33" s="66">
        <v>46082.0</v>
      </c>
      <c r="AM33" s="66">
        <v>46083.0</v>
      </c>
      <c r="AN33" s="66">
        <v>46084.0</v>
      </c>
      <c r="AO33" s="66">
        <v>46085.0</v>
      </c>
      <c r="AP33" s="66">
        <v>46086.0</v>
      </c>
      <c r="AQ33" s="66">
        <v>46087.0</v>
      </c>
      <c r="AR33" s="66">
        <v>46088.0</v>
      </c>
      <c r="AS33" s="66">
        <v>46089.0</v>
      </c>
      <c r="AT33" s="66">
        <v>46090.0</v>
      </c>
      <c r="AU33" s="66">
        <v>46091.0</v>
      </c>
      <c r="AV33" s="66">
        <v>46092.0</v>
      </c>
      <c r="AW33" s="66">
        <v>46093.0</v>
      </c>
      <c r="AX33" s="66">
        <v>46094.0</v>
      </c>
      <c r="AY33" s="66">
        <v>46095.0</v>
      </c>
      <c r="AZ33" s="66">
        <v>46096.0</v>
      </c>
      <c r="BA33" s="66">
        <v>46097.0</v>
      </c>
      <c r="BB33" s="66">
        <v>46098.0</v>
      </c>
      <c r="BC33" s="66">
        <v>46099.0</v>
      </c>
      <c r="BD33" s="66">
        <v>46100.0</v>
      </c>
      <c r="BE33" s="66">
        <v>46101.0</v>
      </c>
      <c r="BF33" s="66">
        <v>46102.0</v>
      </c>
      <c r="BG33" s="66">
        <v>46103.0</v>
      </c>
      <c r="BH33" s="66">
        <v>46104.0</v>
      </c>
      <c r="BI33" s="66">
        <v>46105.0</v>
      </c>
      <c r="BJ33" s="66">
        <v>46106.0</v>
      </c>
      <c r="BK33" s="66">
        <v>46107.0</v>
      </c>
      <c r="BL33" s="66">
        <v>46108.0</v>
      </c>
      <c r="BM33" s="66">
        <v>46109.0</v>
      </c>
      <c r="BN33" s="66">
        <v>46110.0</v>
      </c>
      <c r="BO33" s="66">
        <v>46111.0</v>
      </c>
      <c r="BP33" s="66">
        <v>46112.0</v>
      </c>
      <c r="BQ33" s="18" t="s">
        <v>43</v>
      </c>
      <c r="BR33" s="17"/>
      <c r="BS33" s="20" t="s">
        <v>41</v>
      </c>
      <c r="BT33" s="20" t="s">
        <v>42</v>
      </c>
      <c r="BU33" s="20" t="s">
        <v>44</v>
      </c>
      <c r="BV33" s="20" t="s">
        <v>45</v>
      </c>
      <c r="BW33" s="20" t="s">
        <v>46</v>
      </c>
      <c r="BX33" s="20" t="s">
        <v>47</v>
      </c>
      <c r="BY33" s="20" t="s">
        <v>48</v>
      </c>
      <c r="BZ33" s="20" t="s">
        <v>49</v>
      </c>
      <c r="CA33" s="20" t="s">
        <v>50</v>
      </c>
      <c r="CB33" s="20" t="s">
        <v>51</v>
      </c>
      <c r="CC33" s="20" t="s">
        <v>52</v>
      </c>
      <c r="CD33" s="20" t="s">
        <v>53</v>
      </c>
      <c r="CE33" s="20" t="s">
        <v>54</v>
      </c>
      <c r="CF33" s="20" t="s">
        <v>55</v>
      </c>
      <c r="CG33" s="68"/>
      <c r="CH33" s="68"/>
      <c r="CI33" s="68"/>
      <c r="CJ33" s="68"/>
      <c r="CK33" s="68"/>
      <c r="CL33" s="68"/>
      <c r="CM33" s="68"/>
      <c r="CN33" s="17"/>
      <c r="CO33" s="17"/>
      <c r="CP33" s="17"/>
      <c r="CQ33" s="17"/>
      <c r="CR33" s="17"/>
      <c r="CS33" s="17"/>
      <c r="CT33" s="17"/>
      <c r="CU33" s="17"/>
      <c r="CV33" s="80"/>
      <c r="CW33" s="14" t="s">
        <v>41</v>
      </c>
      <c r="CX33" s="14" t="s">
        <v>42</v>
      </c>
      <c r="CY33" s="14" t="s">
        <v>44</v>
      </c>
      <c r="CZ33" s="14" t="s">
        <v>45</v>
      </c>
      <c r="DA33" s="14" t="s">
        <v>46</v>
      </c>
      <c r="DB33" s="14" t="s">
        <v>47</v>
      </c>
      <c r="DC33" s="14" t="s">
        <v>48</v>
      </c>
      <c r="DD33" s="14" t="s">
        <v>49</v>
      </c>
      <c r="DE33" s="14" t="s">
        <v>50</v>
      </c>
      <c r="DF33" s="14" t="s">
        <v>51</v>
      </c>
      <c r="DG33" s="14" t="s">
        <v>52</v>
      </c>
      <c r="DH33" s="14" t="s">
        <v>53</v>
      </c>
      <c r="DI33" s="14" t="s">
        <v>54</v>
      </c>
      <c r="DJ33" s="14" t="s">
        <v>55</v>
      </c>
      <c r="DK33" s="1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1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</row>
    <row r="34">
      <c r="A34" s="28">
        <v>1.0</v>
      </c>
      <c r="B34" s="29" t="s">
        <v>60</v>
      </c>
      <c r="C34" s="30">
        <f>COUNTIFS(
DATA!$F:$F,$B34,
DATA!$B:$B,"&gt;="&amp;DATE(2026,MONTH(C$33),DAY(C$33)),
DATA!$B:$B,"&lt;"&amp;DATE(2026,MONTH(C$33),DAY(C$33))+1
)</f>
        <v>0</v>
      </c>
      <c r="D34" s="30">
        <f>COUNTIFS(
DATA!$F:$F,$B34,
DATA!$B:$B,"&gt;="&amp;DATE(2026,MONTH(D$33),DAY(D$33)),
DATA!$B:$B,"&lt;"&amp;DATE(2026,MONTH(D$33),DAY(D$33))+1
)</f>
        <v>0</v>
      </c>
      <c r="E34" s="30">
        <f>COUNTIFS(
DATA!$F:$F,$B34,
DATA!$B:$B,"&gt;="&amp;DATE(2026,MONTH(E$33),DAY(E$33)),
DATA!$B:$B,"&lt;"&amp;DATE(2026,MONTH(E$33),DAY(E$33))+1
)</f>
        <v>0</v>
      </c>
      <c r="F34" s="30">
        <f>COUNTIFS(
DATA!$F:$F,$B34,
DATA!$B:$B,"&gt;="&amp;DATE(2026,MONTH(F$33),DAY(F$33)),
DATA!$B:$B,"&lt;"&amp;DATE(2026,MONTH(F$33),DAY(F$33))+1
)</f>
        <v>0</v>
      </c>
      <c r="G34" s="30">
        <f>COUNTIFS(
DATA!$F:$F,$B34,
DATA!$B:$B,"&gt;="&amp;DATE(2026,MONTH(G$33),DAY(G$33)),
DATA!$B:$B,"&lt;"&amp;DATE(2026,MONTH(G$33),DAY(G$33))+1
)</f>
        <v>0</v>
      </c>
      <c r="H34" s="30">
        <f>COUNTIFS(
DATA!$F:$F,$B34,
DATA!$B:$B,"&gt;="&amp;DATE(2026,MONTH(H$33),DAY(H$33)),
DATA!$B:$B,"&lt;"&amp;DATE(2026,MONTH(H$33),DAY(H$33))+1
)</f>
        <v>0</v>
      </c>
      <c r="I34" s="30">
        <f>COUNTIFS(
DATA!$F:$F,$B34,
DATA!$B:$B,"&gt;="&amp;DATE(2026,MONTH(I$33),DAY(I$33)),
DATA!$B:$B,"&lt;"&amp;DATE(2026,MONTH(I$33),DAY(I$33))+1
)</f>
        <v>0</v>
      </c>
      <c r="J34" s="30">
        <f>COUNTIFS(
DATA!$F:$F,$B34,
DATA!$B:$B,"&gt;="&amp;DATE(2026,MONTH(J$33),DAY(J$33)),
DATA!$B:$B,"&lt;"&amp;DATE(2026,MONTH(J$33),DAY(J$33))+1
)</f>
        <v>0</v>
      </c>
      <c r="K34" s="30">
        <f>COUNTIFS(
DATA!$F:$F,$B34,
DATA!$B:$B,"&gt;="&amp;DATE(2026,MONTH(K$33),DAY(K$33)),
DATA!$B:$B,"&lt;"&amp;DATE(2026,MONTH(K$33),DAY(K$33))+1
)</f>
        <v>0</v>
      </c>
      <c r="L34" s="30">
        <f>COUNTIFS(
DATA!$F:$F,$B34,
DATA!$B:$B,"&gt;="&amp;DATE(2026,MONTH(L$33),DAY(L$33)),
DATA!$B:$B,"&lt;"&amp;DATE(2026,MONTH(L$33),DAY(L$33))+1
)</f>
        <v>7</v>
      </c>
      <c r="M34" s="30">
        <f>COUNTIFS(
DATA!$F:$F,$B34,
DATA!$B:$B,"&gt;="&amp;DATE(2026,MONTH(M$33),DAY(M$33)),
DATA!$B:$B,"&lt;"&amp;DATE(2026,MONTH(M$33),DAY(M$33))+1
)</f>
        <v>0</v>
      </c>
      <c r="N34" s="30">
        <f>COUNTIFS(
DATA!$F:$F,$B34,
DATA!$B:$B,"&gt;="&amp;DATE(2026,MONTH(N$33),DAY(N$33)),
DATA!$B:$B,"&lt;"&amp;DATE(2026,MONTH(N$33),DAY(N$33))+1
)</f>
        <v>0</v>
      </c>
      <c r="O34" s="30">
        <f>COUNTIFS(
DATA!$F:$F,$B34,
DATA!$B:$B,"&gt;="&amp;DATE(2026,MONTH(O$33),DAY(O$33)),
DATA!$B:$B,"&lt;"&amp;DATE(2026,MONTH(O$33),DAY(O$33))+1
)</f>
        <v>37</v>
      </c>
      <c r="P34" s="30">
        <f>COUNTIFS(
DATA!$F:$F,$B34,
DATA!$B:$B,"&gt;="&amp;DATE(2026,MONTH(P$33),DAY(P$33)),
DATA!$B:$B,"&lt;"&amp;DATE(2026,MONTH(P$33),DAY(P$33))+1
)</f>
        <v>0</v>
      </c>
      <c r="Q34" s="30">
        <f>COUNTIFS(
DATA!$F:$F,$B34,
DATA!$B:$B,"&gt;="&amp;DATE(2026,MONTH(Q$33),DAY(Q$33)),
DATA!$B:$B,"&lt;"&amp;DATE(2026,MONTH(Q$33),DAY(Q$33))+1
)</f>
        <v>0</v>
      </c>
      <c r="R34" s="30">
        <f>COUNTIFS(
DATA!$F:$F,$B34,
DATA!$B:$B,"&gt;="&amp;DATE(2026,MONTH(R$33),DAY(R$33)),
DATA!$B:$B,"&lt;"&amp;DATE(2026,MONTH(R$33),DAY(R$33))+1
)</f>
        <v>0</v>
      </c>
      <c r="S34" s="30">
        <f>COUNTIFS(
DATA!$F:$F,$B34,
DATA!$B:$B,"&gt;="&amp;DATE(2026,MONTH(S$33),DAY(S$33)),
DATA!$B:$B,"&lt;"&amp;DATE(2026,MONTH(S$33),DAY(S$33))+1
)</f>
        <v>0</v>
      </c>
      <c r="T34" s="30">
        <f>COUNTIFS(
DATA!$F:$F,$B34,
DATA!$B:$B,"&gt;="&amp;DATE(2026,MONTH(T$33),DAY(T$33)),
DATA!$B:$B,"&lt;"&amp;DATE(2026,MONTH(T$33),DAY(T$33))+1
)</f>
        <v>0</v>
      </c>
      <c r="U34" s="30">
        <f>COUNTIFS(
DATA!$F:$F,$B34,
DATA!$B:$B,"&gt;="&amp;DATE(2026,MONTH(U$33),DAY(U$33)),
DATA!$B:$B,"&lt;"&amp;DATE(2026,MONTH(U$33),DAY(U$33))+1
)</f>
        <v>0</v>
      </c>
      <c r="V34" s="30">
        <f>COUNTIFS(
DATA!$F:$F,$B34,
DATA!$B:$B,"&gt;="&amp;DATE(2026,MONTH(V$33),DAY(V$33)),
DATA!$B:$B,"&lt;"&amp;DATE(2026,MONTH(V$33),DAY(V$33))+1
)</f>
        <v>0</v>
      </c>
      <c r="W34" s="30">
        <f>COUNTIFS(
DATA!$F:$F,$B34,
DATA!$B:$B,"&gt;="&amp;DATE(2026,MONTH(W$33),DAY(W$33)),
DATA!$B:$B,"&lt;"&amp;DATE(2026,MONTH(W$33),DAY(W$33))+1
)</f>
        <v>0</v>
      </c>
      <c r="X34" s="30">
        <f>COUNTIFS(
DATA!$F:$F,$B34,
DATA!$B:$B,"&gt;="&amp;DATE(2026,MONTH(X$33),DAY(X$33)),
DATA!$B:$B,"&lt;"&amp;DATE(2026,MONTH(X$33),DAY(X$33))+1
)</f>
        <v>0</v>
      </c>
      <c r="Y34" s="30">
        <f>COUNTIFS(
DATA!$F:$F,$B34,
DATA!$B:$B,"&gt;="&amp;DATE(2026,MONTH(Y$33),DAY(Y$33)),
DATA!$B:$B,"&lt;"&amp;DATE(2026,MONTH(Y$33),DAY(Y$33))+1
)</f>
        <v>0</v>
      </c>
      <c r="Z34" s="30">
        <f>COUNTIFS(
DATA!$F:$F,$B34,
DATA!$B:$B,"&gt;="&amp;DATE(2026,MONTH(Z$33),DAY(Z$33)),
DATA!$B:$B,"&lt;"&amp;DATE(2026,MONTH(Z$33),DAY(Z$33))+1
)</f>
        <v>0</v>
      </c>
      <c r="AA34" s="30">
        <f>COUNTIFS(
DATA!$F:$F,$B34,
DATA!$B:$B,"&gt;="&amp;DATE(2026,MONTH(AA$33),DAY(AA$33)),
DATA!$B:$B,"&lt;"&amp;DATE(2026,MONTH(AA$33),DAY(AA$33))+1
)</f>
        <v>0</v>
      </c>
      <c r="AB34" s="30">
        <f>COUNTIFS(
DATA!$F:$F,$B34,
DATA!$B:$B,"&gt;="&amp;DATE(2026,MONTH(AB$33),DAY(AB$33)),
DATA!$B:$B,"&lt;"&amp;DATE(2026,MONTH(AB$33),DAY(AB$33))+1
)</f>
        <v>0</v>
      </c>
      <c r="AC34" s="30">
        <f>COUNTIFS(
DATA!$F:$F,$B34,
DATA!$B:$B,"&gt;="&amp;DATE(2026,MONTH(AC$33),DAY(AC$33)),
DATA!$B:$B,"&lt;"&amp;DATE(2026,MONTH(AC$33),DAY(AC$33))+1
)</f>
        <v>0</v>
      </c>
      <c r="AD34" s="30">
        <f>COUNTIFS(
DATA!$F:$F,$B34,
DATA!$B:$B,"&gt;="&amp;DATE(2026,MONTH(AD$33),DAY(AD$33)),
DATA!$B:$B,"&lt;"&amp;DATE(2026,MONTH(AD$33),DAY(AD$33))+1
)</f>
        <v>0</v>
      </c>
      <c r="AE34" s="30">
        <f>COUNTIFS(
DATA!$F:$F,$B34,
DATA!$B:$B,"&gt;="&amp;DATE(2026,MONTH(AE$33),DAY(AE$33)),
DATA!$B:$B,"&lt;"&amp;DATE(2026,MONTH(AE$33),DAY(AE$33))+1
)</f>
        <v>0</v>
      </c>
      <c r="AF34" s="30">
        <f>COUNTIFS(
DATA!$F:$F,$B34,
DATA!$B:$B,"&gt;="&amp;DATE(2026,MONTH(AF$33),DAY(AF$33)),
DATA!$B:$B,"&lt;"&amp;DATE(2026,MONTH(AF$33),DAY(AF$33))+1
)</f>
        <v>0</v>
      </c>
      <c r="AG34" s="30">
        <f>COUNTIFS(
DATA!$F:$F,$B34,
DATA!$B:$B,"&gt;="&amp;DATE(2026,MONTH(AG$33),DAY(AG$33)),
DATA!$B:$B,"&lt;"&amp;DATE(2026,MONTH(AG$33),DAY(AG$33))+1
)</f>
        <v>0</v>
      </c>
      <c r="AH34" s="31">
        <f t="shared" ref="AH34:AH42" si="82">SUBTOTAL(9,C34:AG34)</f>
        <v>44</v>
      </c>
      <c r="AI34" s="7"/>
      <c r="AJ34" s="30">
        <v>1.0</v>
      </c>
      <c r="AK34" s="32" t="s">
        <v>60</v>
      </c>
      <c r="AL34" s="41">
        <f t="shared" ref="AL34:AL42" si="83">C34</f>
        <v>0</v>
      </c>
      <c r="AM34" s="30">
        <f t="shared" ref="AM34:BP34" si="80">SUM($C34:D34)</f>
        <v>0</v>
      </c>
      <c r="AN34" s="30">
        <f t="shared" si="80"/>
        <v>0</v>
      </c>
      <c r="AO34" s="30">
        <f t="shared" si="80"/>
        <v>0</v>
      </c>
      <c r="AP34" s="30">
        <f t="shared" si="80"/>
        <v>0</v>
      </c>
      <c r="AQ34" s="30">
        <f t="shared" si="80"/>
        <v>0</v>
      </c>
      <c r="AR34" s="30">
        <f t="shared" si="80"/>
        <v>0</v>
      </c>
      <c r="AS34" s="30">
        <f t="shared" si="80"/>
        <v>0</v>
      </c>
      <c r="AT34" s="30">
        <f t="shared" si="80"/>
        <v>0</v>
      </c>
      <c r="AU34" s="30">
        <f t="shared" si="80"/>
        <v>7</v>
      </c>
      <c r="AV34" s="30">
        <f t="shared" si="80"/>
        <v>7</v>
      </c>
      <c r="AW34" s="30">
        <f t="shared" si="80"/>
        <v>7</v>
      </c>
      <c r="AX34" s="30">
        <f t="shared" si="80"/>
        <v>44</v>
      </c>
      <c r="AY34" s="30">
        <f t="shared" si="80"/>
        <v>44</v>
      </c>
      <c r="AZ34" s="30">
        <f t="shared" si="80"/>
        <v>44</v>
      </c>
      <c r="BA34" s="30">
        <f t="shared" si="80"/>
        <v>44</v>
      </c>
      <c r="BB34" s="30">
        <f t="shared" si="80"/>
        <v>44</v>
      </c>
      <c r="BC34" s="30">
        <f t="shared" si="80"/>
        <v>44</v>
      </c>
      <c r="BD34" s="30">
        <f t="shared" si="80"/>
        <v>44</v>
      </c>
      <c r="BE34" s="30">
        <f t="shared" si="80"/>
        <v>44</v>
      </c>
      <c r="BF34" s="30">
        <f t="shared" si="80"/>
        <v>44</v>
      </c>
      <c r="BG34" s="30">
        <f t="shared" si="80"/>
        <v>44</v>
      </c>
      <c r="BH34" s="30">
        <f t="shared" si="80"/>
        <v>44</v>
      </c>
      <c r="BI34" s="30">
        <f t="shared" si="80"/>
        <v>44</v>
      </c>
      <c r="BJ34" s="30">
        <f t="shared" si="80"/>
        <v>44</v>
      </c>
      <c r="BK34" s="30">
        <f t="shared" si="80"/>
        <v>44</v>
      </c>
      <c r="BL34" s="30">
        <f t="shared" si="80"/>
        <v>44</v>
      </c>
      <c r="BM34" s="30">
        <f t="shared" si="80"/>
        <v>44</v>
      </c>
      <c r="BN34" s="30">
        <f t="shared" si="80"/>
        <v>44</v>
      </c>
      <c r="BO34" s="30">
        <f t="shared" si="80"/>
        <v>44</v>
      </c>
      <c r="BP34" s="30">
        <f t="shared" si="80"/>
        <v>44</v>
      </c>
      <c r="BQ34" s="31">
        <f t="shared" ref="BQ34:BQ42" si="85">BP34</f>
        <v>44</v>
      </c>
      <c r="BR34" s="7"/>
      <c r="BS34" s="28">
        <v>1.0</v>
      </c>
      <c r="BT34" s="29" t="s">
        <v>60</v>
      </c>
      <c r="BU34" s="81">
        <f t="shared" ref="BU34:BU42" si="86">AH6</f>
        <v>37</v>
      </c>
      <c r="BV34" s="81">
        <f t="shared" ref="BV34:BV42" si="87">AH20</f>
        <v>32</v>
      </c>
      <c r="BW34" s="81">
        <f t="shared" ref="BW34:BW42" si="88">AH34</f>
        <v>44</v>
      </c>
      <c r="BX34" s="81">
        <f t="shared" ref="BX34:BX42" si="89">AH48</f>
        <v>23</v>
      </c>
      <c r="BY34" s="81">
        <f t="shared" ref="BY34:BY42" si="90">AH62</f>
        <v>0</v>
      </c>
      <c r="BZ34" s="81">
        <f t="shared" ref="BZ34:BZ42" si="91">AH76</f>
        <v>0</v>
      </c>
      <c r="CA34" s="81">
        <f t="shared" ref="CA34:CA42" si="92">AH90</f>
        <v>0</v>
      </c>
      <c r="CB34" s="81">
        <f t="shared" ref="CB34:CB42" si="93">AH104</f>
        <v>0</v>
      </c>
      <c r="CC34" s="81">
        <f t="shared" ref="CC34:CC42" si="94">AH118</f>
        <v>0</v>
      </c>
      <c r="CD34" s="81">
        <f t="shared" ref="CD34:CD42" si="95">AH118</f>
        <v>0</v>
      </c>
      <c r="CE34" s="81">
        <f t="shared" ref="CE34:CE42" si="96">AH132</f>
        <v>0</v>
      </c>
      <c r="CF34" s="81">
        <f t="shared" ref="CF34:CF42" si="97">AH160</f>
        <v>0</v>
      </c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0"/>
      <c r="CW34" s="28">
        <v>1.0</v>
      </c>
      <c r="CX34" s="29" t="s">
        <v>60</v>
      </c>
      <c r="CY34" s="39">
        <f t="shared" ref="CY34:DB34" si="81">(ED20/CY6)*100</f>
        <v>7.950539011</v>
      </c>
      <c r="CZ34" s="39">
        <f t="shared" si="81"/>
        <v>16.77920393</v>
      </c>
      <c r="DA34" s="39">
        <f t="shared" si="81"/>
        <v>24.36765554</v>
      </c>
      <c r="DB34" s="39">
        <f t="shared" si="81"/>
        <v>32.27699531</v>
      </c>
      <c r="DC34" s="39">
        <f t="shared" ref="DC34:DC42" si="99">(EH20/DB6)*100</f>
        <v>39.89092602</v>
      </c>
      <c r="DD34" s="69"/>
      <c r="DE34" s="69"/>
      <c r="DF34" s="69"/>
      <c r="DG34" s="69"/>
      <c r="DH34" s="69"/>
      <c r="DI34" s="69"/>
      <c r="DJ34" s="69"/>
      <c r="DK34" s="7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</row>
    <row r="35">
      <c r="A35" s="28">
        <v>2.0</v>
      </c>
      <c r="B35" s="29" t="s">
        <v>61</v>
      </c>
      <c r="C35" s="30">
        <f>COUNTIFS(
DATA!$F:$F,$B35,
DATA!$B:$B,"&gt;="&amp;DATE(2026,MONTH(C$33),DAY(C$33)),
DATA!$B:$B,"&lt;"&amp;DATE(2026,MONTH(C$33),DAY(C$33))+1
)</f>
        <v>0</v>
      </c>
      <c r="D35" s="30">
        <f>COUNTIFS(
DATA!$F:$F,$B35,
DATA!$B:$B,"&gt;="&amp;DATE(2026,MONTH(D$33),DAY(D$33)),
DATA!$B:$B,"&lt;"&amp;DATE(2026,MONTH(D$33),DAY(D$33))+1
)</f>
        <v>0</v>
      </c>
      <c r="E35" s="30">
        <f>COUNTIFS(
DATA!$F:$F,$B35,
DATA!$B:$B,"&gt;="&amp;DATE(2026,MONTH(E$33),DAY(E$33)),
DATA!$B:$B,"&lt;"&amp;DATE(2026,MONTH(E$33),DAY(E$33))+1
)</f>
        <v>0</v>
      </c>
      <c r="F35" s="30">
        <f>COUNTIFS(
DATA!$F:$F,$B35,
DATA!$B:$B,"&gt;="&amp;DATE(2026,MONTH(F$33),DAY(F$33)),
DATA!$B:$B,"&lt;"&amp;DATE(2026,MONTH(F$33),DAY(F$33))+1
)</f>
        <v>0</v>
      </c>
      <c r="G35" s="30">
        <f>COUNTIFS(
DATA!$F:$F,$B35,
DATA!$B:$B,"&gt;="&amp;DATE(2026,MONTH(G$33),DAY(G$33)),
DATA!$B:$B,"&lt;"&amp;DATE(2026,MONTH(G$33),DAY(G$33))+1
)</f>
        <v>0</v>
      </c>
      <c r="H35" s="30">
        <f>COUNTIFS(
DATA!$F:$F,$B35,
DATA!$B:$B,"&gt;="&amp;DATE(2026,MONTH(H$33),DAY(H$33)),
DATA!$B:$B,"&lt;"&amp;DATE(2026,MONTH(H$33),DAY(H$33))+1
)</f>
        <v>0</v>
      </c>
      <c r="I35" s="30">
        <f>COUNTIFS(
DATA!$F:$F,$B35,
DATA!$B:$B,"&gt;="&amp;DATE(2026,MONTH(I$33),DAY(I$33)),
DATA!$B:$B,"&lt;"&amp;DATE(2026,MONTH(I$33),DAY(I$33))+1
)</f>
        <v>0</v>
      </c>
      <c r="J35" s="30">
        <f>COUNTIFS(
DATA!$F:$F,$B35,
DATA!$B:$B,"&gt;="&amp;DATE(2026,MONTH(J$33),DAY(J$33)),
DATA!$B:$B,"&lt;"&amp;DATE(2026,MONTH(J$33),DAY(J$33))+1
)</f>
        <v>0</v>
      </c>
      <c r="K35" s="30">
        <f>COUNTIFS(
DATA!$F:$F,$B35,
DATA!$B:$B,"&gt;="&amp;DATE(2026,MONTH(K$33),DAY(K$33)),
DATA!$B:$B,"&lt;"&amp;DATE(2026,MONTH(K$33),DAY(K$33))+1
)</f>
        <v>0</v>
      </c>
      <c r="L35" s="30">
        <f>COUNTIFS(
DATA!$F:$F,$B35,
DATA!$B:$B,"&gt;="&amp;DATE(2026,MONTH(L$33),DAY(L$33)),
DATA!$B:$B,"&lt;"&amp;DATE(2026,MONTH(L$33),DAY(L$33))+1
)</f>
        <v>0</v>
      </c>
      <c r="M35" s="30">
        <f>COUNTIFS(
DATA!$F:$F,$B35,
DATA!$B:$B,"&gt;="&amp;DATE(2026,MONTH(M$33),DAY(M$33)),
DATA!$B:$B,"&lt;"&amp;DATE(2026,MONTH(M$33),DAY(M$33))+1
)</f>
        <v>0</v>
      </c>
      <c r="N35" s="30">
        <f>COUNTIFS(
DATA!$F:$F,$B35,
DATA!$B:$B,"&gt;="&amp;DATE(2026,MONTH(N$33),DAY(N$33)),
DATA!$B:$B,"&lt;"&amp;DATE(2026,MONTH(N$33),DAY(N$33))+1
)</f>
        <v>0</v>
      </c>
      <c r="O35" s="30">
        <f>COUNTIFS(
DATA!$F:$F,$B35,
DATA!$B:$B,"&gt;="&amp;DATE(2026,MONTH(O$33),DAY(O$33)),
DATA!$B:$B,"&lt;"&amp;DATE(2026,MONTH(O$33),DAY(O$33))+1
)</f>
        <v>0</v>
      </c>
      <c r="P35" s="30">
        <f>COUNTIFS(
DATA!$F:$F,$B35,
DATA!$B:$B,"&gt;="&amp;DATE(2026,MONTH(P$33),DAY(P$33)),
DATA!$B:$B,"&lt;"&amp;DATE(2026,MONTH(P$33),DAY(P$33))+1
)</f>
        <v>0</v>
      </c>
      <c r="Q35" s="30">
        <f>COUNTIFS(
DATA!$F:$F,$B35,
DATA!$B:$B,"&gt;="&amp;DATE(2026,MONTH(Q$33),DAY(Q$33)),
DATA!$B:$B,"&lt;"&amp;DATE(2026,MONTH(Q$33),DAY(Q$33))+1
)</f>
        <v>0</v>
      </c>
      <c r="R35" s="30">
        <f>COUNTIFS(
DATA!$F:$F,$B35,
DATA!$B:$B,"&gt;="&amp;DATE(2026,MONTH(R$33),DAY(R$33)),
DATA!$B:$B,"&lt;"&amp;DATE(2026,MONTH(R$33),DAY(R$33))+1
)</f>
        <v>0</v>
      </c>
      <c r="S35" s="30">
        <f>COUNTIFS(
DATA!$F:$F,$B35,
DATA!$B:$B,"&gt;="&amp;DATE(2026,MONTH(S$33),DAY(S$33)),
DATA!$B:$B,"&lt;"&amp;DATE(2026,MONTH(S$33),DAY(S$33))+1
)</f>
        <v>0</v>
      </c>
      <c r="T35" s="30">
        <f>COUNTIFS(
DATA!$F:$F,$B35,
DATA!$B:$B,"&gt;="&amp;DATE(2026,MONTH(T$33),DAY(T$33)),
DATA!$B:$B,"&lt;"&amp;DATE(2026,MONTH(T$33),DAY(T$33))+1
)</f>
        <v>0</v>
      </c>
      <c r="U35" s="30">
        <f>COUNTIFS(
DATA!$F:$F,$B35,
DATA!$B:$B,"&gt;="&amp;DATE(2026,MONTH(U$33),DAY(U$33)),
DATA!$B:$B,"&lt;"&amp;DATE(2026,MONTH(U$33),DAY(U$33))+1
)</f>
        <v>0</v>
      </c>
      <c r="V35" s="30">
        <f>COUNTIFS(
DATA!$F:$F,$B35,
DATA!$B:$B,"&gt;="&amp;DATE(2026,MONTH(V$33),DAY(V$33)),
DATA!$B:$B,"&lt;"&amp;DATE(2026,MONTH(V$33),DAY(V$33))+1
)</f>
        <v>0</v>
      </c>
      <c r="W35" s="30">
        <f>COUNTIFS(
DATA!$F:$F,$B35,
DATA!$B:$B,"&gt;="&amp;DATE(2026,MONTH(W$33),DAY(W$33)),
DATA!$B:$B,"&lt;"&amp;DATE(2026,MONTH(W$33),DAY(W$33))+1
)</f>
        <v>0</v>
      </c>
      <c r="X35" s="30">
        <f>COUNTIFS(
DATA!$F:$F,$B35,
DATA!$B:$B,"&gt;="&amp;DATE(2026,MONTH(X$33),DAY(X$33)),
DATA!$B:$B,"&lt;"&amp;DATE(2026,MONTH(X$33),DAY(X$33))+1
)</f>
        <v>0</v>
      </c>
      <c r="Y35" s="30">
        <f>COUNTIFS(
DATA!$F:$F,$B35,
DATA!$B:$B,"&gt;="&amp;DATE(2026,MONTH(Y$33),DAY(Y$33)),
DATA!$B:$B,"&lt;"&amp;DATE(2026,MONTH(Y$33),DAY(Y$33))+1
)</f>
        <v>0</v>
      </c>
      <c r="Z35" s="30">
        <f>COUNTIFS(
DATA!$F:$F,$B35,
DATA!$B:$B,"&gt;="&amp;DATE(2026,MONTH(Z$33),DAY(Z$33)),
DATA!$B:$B,"&lt;"&amp;DATE(2026,MONTH(Z$33),DAY(Z$33))+1
)</f>
        <v>0</v>
      </c>
      <c r="AA35" s="30">
        <f>COUNTIFS(
DATA!$F:$F,$B35,
DATA!$B:$B,"&gt;="&amp;DATE(2026,MONTH(AA$33),DAY(AA$33)),
DATA!$B:$B,"&lt;"&amp;DATE(2026,MONTH(AA$33),DAY(AA$33))+1
)</f>
        <v>0</v>
      </c>
      <c r="AB35" s="30">
        <f>COUNTIFS(
DATA!$F:$F,$B35,
DATA!$B:$B,"&gt;="&amp;DATE(2026,MONTH(AB$33),DAY(AB$33)),
DATA!$B:$B,"&lt;"&amp;DATE(2026,MONTH(AB$33),DAY(AB$33))+1
)</f>
        <v>0</v>
      </c>
      <c r="AC35" s="30">
        <f>COUNTIFS(
DATA!$F:$F,$B35,
DATA!$B:$B,"&gt;="&amp;DATE(2026,MONTH(AC$33),DAY(AC$33)),
DATA!$B:$B,"&lt;"&amp;DATE(2026,MONTH(AC$33),DAY(AC$33))+1
)</f>
        <v>0</v>
      </c>
      <c r="AD35" s="30">
        <f>COUNTIFS(
DATA!$F:$F,$B35,
DATA!$B:$B,"&gt;="&amp;DATE(2026,MONTH(AD$33),DAY(AD$33)),
DATA!$B:$B,"&lt;"&amp;DATE(2026,MONTH(AD$33),DAY(AD$33))+1
)</f>
        <v>0</v>
      </c>
      <c r="AE35" s="30">
        <f>COUNTIFS(
DATA!$F:$F,$B35,
DATA!$B:$B,"&gt;="&amp;DATE(2026,MONTH(AE$33),DAY(AE$33)),
DATA!$B:$B,"&lt;"&amp;DATE(2026,MONTH(AE$33),DAY(AE$33))+1
)</f>
        <v>0</v>
      </c>
      <c r="AF35" s="30">
        <f>COUNTIFS(
DATA!$F:$F,$B35,
DATA!$B:$B,"&gt;="&amp;DATE(2026,MONTH(AF$33),DAY(AF$33)),
DATA!$B:$B,"&lt;"&amp;DATE(2026,MONTH(AF$33),DAY(AF$33))+1
)</f>
        <v>0</v>
      </c>
      <c r="AG35" s="30">
        <f>COUNTIFS(
DATA!$F:$F,$B35,
DATA!$B:$B,"&gt;="&amp;DATE(2026,MONTH(AG$33),DAY(AG$33)),
DATA!$B:$B,"&lt;"&amp;DATE(2026,MONTH(AG$33),DAY(AG$33))+1
)</f>
        <v>0</v>
      </c>
      <c r="AH35" s="31">
        <f t="shared" si="82"/>
        <v>0</v>
      </c>
      <c r="AI35" s="7"/>
      <c r="AJ35" s="30">
        <v>2.0</v>
      </c>
      <c r="AK35" s="32" t="s">
        <v>61</v>
      </c>
      <c r="AL35" s="41">
        <f t="shared" si="83"/>
        <v>0</v>
      </c>
      <c r="AM35" s="30">
        <f t="shared" ref="AM35:AM42" si="100">SUM(C35:D35)</f>
        <v>0</v>
      </c>
      <c r="AN35" s="30">
        <f t="shared" ref="AN35:BP35" si="84">SUM($C35:E35)</f>
        <v>0</v>
      </c>
      <c r="AO35" s="30">
        <f t="shared" si="84"/>
        <v>0</v>
      </c>
      <c r="AP35" s="30">
        <f t="shared" si="84"/>
        <v>0</v>
      </c>
      <c r="AQ35" s="30">
        <f t="shared" si="84"/>
        <v>0</v>
      </c>
      <c r="AR35" s="30">
        <f t="shared" si="84"/>
        <v>0</v>
      </c>
      <c r="AS35" s="30">
        <f t="shared" si="84"/>
        <v>0</v>
      </c>
      <c r="AT35" s="30">
        <f t="shared" si="84"/>
        <v>0</v>
      </c>
      <c r="AU35" s="30">
        <f t="shared" si="84"/>
        <v>0</v>
      </c>
      <c r="AV35" s="30">
        <f t="shared" si="84"/>
        <v>0</v>
      </c>
      <c r="AW35" s="30">
        <f t="shared" si="84"/>
        <v>0</v>
      </c>
      <c r="AX35" s="30">
        <f t="shared" si="84"/>
        <v>0</v>
      </c>
      <c r="AY35" s="30">
        <f t="shared" si="84"/>
        <v>0</v>
      </c>
      <c r="AZ35" s="30">
        <f t="shared" si="84"/>
        <v>0</v>
      </c>
      <c r="BA35" s="30">
        <f t="shared" si="84"/>
        <v>0</v>
      </c>
      <c r="BB35" s="30">
        <f t="shared" si="84"/>
        <v>0</v>
      </c>
      <c r="BC35" s="30">
        <f t="shared" si="84"/>
        <v>0</v>
      </c>
      <c r="BD35" s="30">
        <f t="shared" si="84"/>
        <v>0</v>
      </c>
      <c r="BE35" s="30">
        <f t="shared" si="84"/>
        <v>0</v>
      </c>
      <c r="BF35" s="30">
        <f t="shared" si="84"/>
        <v>0</v>
      </c>
      <c r="BG35" s="30">
        <f t="shared" si="84"/>
        <v>0</v>
      </c>
      <c r="BH35" s="30">
        <f t="shared" si="84"/>
        <v>0</v>
      </c>
      <c r="BI35" s="30">
        <f t="shared" si="84"/>
        <v>0</v>
      </c>
      <c r="BJ35" s="30">
        <f t="shared" si="84"/>
        <v>0</v>
      </c>
      <c r="BK35" s="30">
        <f t="shared" si="84"/>
        <v>0</v>
      </c>
      <c r="BL35" s="30">
        <f t="shared" si="84"/>
        <v>0</v>
      </c>
      <c r="BM35" s="30">
        <f t="shared" si="84"/>
        <v>0</v>
      </c>
      <c r="BN35" s="30">
        <f t="shared" si="84"/>
        <v>0</v>
      </c>
      <c r="BO35" s="30">
        <f t="shared" si="84"/>
        <v>0</v>
      </c>
      <c r="BP35" s="30">
        <f t="shared" si="84"/>
        <v>0</v>
      </c>
      <c r="BQ35" s="31">
        <f t="shared" si="85"/>
        <v>0</v>
      </c>
      <c r="BR35" s="7"/>
      <c r="BS35" s="28">
        <v>2.0</v>
      </c>
      <c r="BT35" s="29" t="s">
        <v>61</v>
      </c>
      <c r="BU35" s="81">
        <f t="shared" si="86"/>
        <v>0</v>
      </c>
      <c r="BV35" s="81">
        <f t="shared" si="87"/>
        <v>13</v>
      </c>
      <c r="BW35" s="81">
        <f t="shared" si="88"/>
        <v>0</v>
      </c>
      <c r="BX35" s="81">
        <f t="shared" si="89"/>
        <v>0</v>
      </c>
      <c r="BY35" s="81">
        <f t="shared" si="90"/>
        <v>0</v>
      </c>
      <c r="BZ35" s="81">
        <f t="shared" si="91"/>
        <v>0</v>
      </c>
      <c r="CA35" s="81">
        <f t="shared" si="92"/>
        <v>0</v>
      </c>
      <c r="CB35" s="81">
        <f t="shared" si="93"/>
        <v>0</v>
      </c>
      <c r="CC35" s="81">
        <f t="shared" si="94"/>
        <v>0</v>
      </c>
      <c r="CD35" s="81">
        <f t="shared" si="95"/>
        <v>0</v>
      </c>
      <c r="CE35" s="81">
        <f t="shared" si="96"/>
        <v>0</v>
      </c>
      <c r="CF35" s="81">
        <f t="shared" si="97"/>
        <v>0</v>
      </c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0"/>
      <c r="CW35" s="28">
        <v>2.0</v>
      </c>
      <c r="CX35" s="29" t="s">
        <v>61</v>
      </c>
      <c r="CY35" s="39">
        <f t="shared" ref="CY35:DB35" si="98">(ED21/CY7)*100</f>
        <v>2.540263171</v>
      </c>
      <c r="CZ35" s="39">
        <f t="shared" si="98"/>
        <v>5.080526343</v>
      </c>
      <c r="DA35" s="39">
        <f t="shared" si="98"/>
        <v>8.119354511</v>
      </c>
      <c r="DB35" s="39">
        <f t="shared" si="98"/>
        <v>11.13754873</v>
      </c>
      <c r="DC35" s="39">
        <f t="shared" si="99"/>
        <v>14.17506202</v>
      </c>
      <c r="DD35" s="69"/>
      <c r="DE35" s="69"/>
      <c r="DF35" s="69"/>
      <c r="DG35" s="69"/>
      <c r="DH35" s="69"/>
      <c r="DI35" s="69"/>
      <c r="DJ35" s="69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</row>
    <row r="36">
      <c r="A36" s="28">
        <v>3.0</v>
      </c>
      <c r="B36" s="29" t="s">
        <v>62</v>
      </c>
      <c r="C36" s="30">
        <f>COUNTIFS(
DATA!$F:$F,$B36,
DATA!$B:$B,"&gt;="&amp;DATE(2026,MONTH(C$33),DAY(C$33)),
DATA!$B:$B,"&lt;"&amp;DATE(2026,MONTH(C$33),DAY(C$33))+1
)</f>
        <v>0</v>
      </c>
      <c r="D36" s="30">
        <f>COUNTIFS(
DATA!$F:$F,$B36,
DATA!$B:$B,"&gt;="&amp;DATE(2026,MONTH(D$33),DAY(D$33)),
DATA!$B:$B,"&lt;"&amp;DATE(2026,MONTH(D$33),DAY(D$33))+1
)</f>
        <v>0</v>
      </c>
      <c r="E36" s="30">
        <f>COUNTIFS(
DATA!$F:$F,$B36,
DATA!$B:$B,"&gt;="&amp;DATE(2026,MONTH(E$33),DAY(E$33)),
DATA!$B:$B,"&lt;"&amp;DATE(2026,MONTH(E$33),DAY(E$33))+1
)</f>
        <v>0</v>
      </c>
      <c r="F36" s="30">
        <f>COUNTIFS(
DATA!$F:$F,$B36,
DATA!$B:$B,"&gt;="&amp;DATE(2026,MONTH(F$33),DAY(F$33)),
DATA!$B:$B,"&lt;"&amp;DATE(2026,MONTH(F$33),DAY(F$33))+1
)</f>
        <v>0</v>
      </c>
      <c r="G36" s="30">
        <f>COUNTIFS(
DATA!$F:$F,$B36,
DATA!$B:$B,"&gt;="&amp;DATE(2026,MONTH(G$33),DAY(G$33)),
DATA!$B:$B,"&lt;"&amp;DATE(2026,MONTH(G$33),DAY(G$33))+1
)</f>
        <v>0</v>
      </c>
      <c r="H36" s="30">
        <f>COUNTIFS(
DATA!$F:$F,$B36,
DATA!$B:$B,"&gt;="&amp;DATE(2026,MONTH(H$33),DAY(H$33)),
DATA!$B:$B,"&lt;"&amp;DATE(2026,MONTH(H$33),DAY(H$33))+1
)</f>
        <v>0</v>
      </c>
      <c r="I36" s="30">
        <f>COUNTIFS(
DATA!$F:$F,$B36,
DATA!$B:$B,"&gt;="&amp;DATE(2026,MONTH(I$33),DAY(I$33)),
DATA!$B:$B,"&lt;"&amp;DATE(2026,MONTH(I$33),DAY(I$33))+1
)</f>
        <v>0</v>
      </c>
      <c r="J36" s="30">
        <f>COUNTIFS(
DATA!$F:$F,$B36,
DATA!$B:$B,"&gt;="&amp;DATE(2026,MONTH(J$33),DAY(J$33)),
DATA!$B:$B,"&lt;"&amp;DATE(2026,MONTH(J$33),DAY(J$33))+1
)</f>
        <v>0</v>
      </c>
      <c r="K36" s="30">
        <f>COUNTIFS(
DATA!$F:$F,$B36,
DATA!$B:$B,"&gt;="&amp;DATE(2026,MONTH(K$33),DAY(K$33)),
DATA!$B:$B,"&lt;"&amp;DATE(2026,MONTH(K$33),DAY(K$33))+1
)</f>
        <v>0</v>
      </c>
      <c r="L36" s="30">
        <f>COUNTIFS(
DATA!$F:$F,$B36,
DATA!$B:$B,"&gt;="&amp;DATE(2026,MONTH(L$33),DAY(L$33)),
DATA!$B:$B,"&lt;"&amp;DATE(2026,MONTH(L$33),DAY(L$33))+1
)</f>
        <v>0</v>
      </c>
      <c r="M36" s="30">
        <f>COUNTIFS(
DATA!$F:$F,$B36,
DATA!$B:$B,"&gt;="&amp;DATE(2026,MONTH(M$33),DAY(M$33)),
DATA!$B:$B,"&lt;"&amp;DATE(2026,MONTH(M$33),DAY(M$33))+1
)</f>
        <v>0</v>
      </c>
      <c r="N36" s="30">
        <f>COUNTIFS(
DATA!$F:$F,$B36,
DATA!$B:$B,"&gt;="&amp;DATE(2026,MONTH(N$33),DAY(N$33)),
DATA!$B:$B,"&lt;"&amp;DATE(2026,MONTH(N$33),DAY(N$33))+1
)</f>
        <v>0</v>
      </c>
      <c r="O36" s="30">
        <f>COUNTIFS(
DATA!$F:$F,$B36,
DATA!$B:$B,"&gt;="&amp;DATE(2026,MONTH(O$33),DAY(O$33)),
DATA!$B:$B,"&lt;"&amp;DATE(2026,MONTH(O$33),DAY(O$33))+1
)</f>
        <v>0</v>
      </c>
      <c r="P36" s="30">
        <f>COUNTIFS(
DATA!$F:$F,$B36,
DATA!$B:$B,"&gt;="&amp;DATE(2026,MONTH(P$33),DAY(P$33)),
DATA!$B:$B,"&lt;"&amp;DATE(2026,MONTH(P$33),DAY(P$33))+1
)</f>
        <v>0</v>
      </c>
      <c r="Q36" s="30">
        <f>COUNTIFS(
DATA!$F:$F,$B36,
DATA!$B:$B,"&gt;="&amp;DATE(2026,MONTH(Q$33),DAY(Q$33)),
DATA!$B:$B,"&lt;"&amp;DATE(2026,MONTH(Q$33),DAY(Q$33))+1
)</f>
        <v>0</v>
      </c>
      <c r="R36" s="30">
        <f>COUNTIFS(
DATA!$F:$F,$B36,
DATA!$B:$B,"&gt;="&amp;DATE(2026,MONTH(R$33),DAY(R$33)),
DATA!$B:$B,"&lt;"&amp;DATE(2026,MONTH(R$33),DAY(R$33))+1
)</f>
        <v>0</v>
      </c>
      <c r="S36" s="30">
        <f>COUNTIFS(
DATA!$F:$F,$B36,
DATA!$B:$B,"&gt;="&amp;DATE(2026,MONTH(S$33),DAY(S$33)),
DATA!$B:$B,"&lt;"&amp;DATE(2026,MONTH(S$33),DAY(S$33))+1
)</f>
        <v>0</v>
      </c>
      <c r="T36" s="30">
        <f>COUNTIFS(
DATA!$F:$F,$B36,
DATA!$B:$B,"&gt;="&amp;DATE(2026,MONTH(T$33),DAY(T$33)),
DATA!$B:$B,"&lt;"&amp;DATE(2026,MONTH(T$33),DAY(T$33))+1
)</f>
        <v>0</v>
      </c>
      <c r="U36" s="30">
        <f>COUNTIFS(
DATA!$F:$F,$B36,
DATA!$B:$B,"&gt;="&amp;DATE(2026,MONTH(U$33),DAY(U$33)),
DATA!$B:$B,"&lt;"&amp;DATE(2026,MONTH(U$33),DAY(U$33))+1
)</f>
        <v>0</v>
      </c>
      <c r="V36" s="30">
        <f>COUNTIFS(
DATA!$F:$F,$B36,
DATA!$B:$B,"&gt;="&amp;DATE(2026,MONTH(V$33),DAY(V$33)),
DATA!$B:$B,"&lt;"&amp;DATE(2026,MONTH(V$33),DAY(V$33))+1
)</f>
        <v>0</v>
      </c>
      <c r="W36" s="30">
        <f>COUNTIFS(
DATA!$F:$F,$B36,
DATA!$B:$B,"&gt;="&amp;DATE(2026,MONTH(W$33),DAY(W$33)),
DATA!$B:$B,"&lt;"&amp;DATE(2026,MONTH(W$33),DAY(W$33))+1
)</f>
        <v>0</v>
      </c>
      <c r="X36" s="30">
        <f>COUNTIFS(
DATA!$F:$F,$B36,
DATA!$B:$B,"&gt;="&amp;DATE(2026,MONTH(X$33),DAY(X$33)),
DATA!$B:$B,"&lt;"&amp;DATE(2026,MONTH(X$33),DAY(X$33))+1
)</f>
        <v>0</v>
      </c>
      <c r="Y36" s="30">
        <f>COUNTIFS(
DATA!$F:$F,$B36,
DATA!$B:$B,"&gt;="&amp;DATE(2026,MONTH(Y$33),DAY(Y$33)),
DATA!$B:$B,"&lt;"&amp;DATE(2026,MONTH(Y$33),DAY(Y$33))+1
)</f>
        <v>0</v>
      </c>
      <c r="Z36" s="30">
        <f>COUNTIFS(
DATA!$F:$F,$B36,
DATA!$B:$B,"&gt;="&amp;DATE(2026,MONTH(Z$33),DAY(Z$33)),
DATA!$B:$B,"&lt;"&amp;DATE(2026,MONTH(Z$33),DAY(Z$33))+1
)</f>
        <v>0</v>
      </c>
      <c r="AA36" s="30">
        <f>COUNTIFS(
DATA!$F:$F,$B36,
DATA!$B:$B,"&gt;="&amp;DATE(2026,MONTH(AA$33),DAY(AA$33)),
DATA!$B:$B,"&lt;"&amp;DATE(2026,MONTH(AA$33),DAY(AA$33))+1
)</f>
        <v>0</v>
      </c>
      <c r="AB36" s="30">
        <f>COUNTIFS(
DATA!$F:$F,$B36,
DATA!$B:$B,"&gt;="&amp;DATE(2026,MONTH(AB$33),DAY(AB$33)),
DATA!$B:$B,"&lt;"&amp;DATE(2026,MONTH(AB$33),DAY(AB$33))+1
)</f>
        <v>0</v>
      </c>
      <c r="AC36" s="30">
        <f>COUNTIFS(
DATA!$F:$F,$B36,
DATA!$B:$B,"&gt;="&amp;DATE(2026,MONTH(AC$33),DAY(AC$33)),
DATA!$B:$B,"&lt;"&amp;DATE(2026,MONTH(AC$33),DAY(AC$33))+1
)</f>
        <v>0</v>
      </c>
      <c r="AD36" s="30">
        <f>COUNTIFS(
DATA!$F:$F,$B36,
DATA!$B:$B,"&gt;="&amp;DATE(2026,MONTH(AD$33),DAY(AD$33)),
DATA!$B:$B,"&lt;"&amp;DATE(2026,MONTH(AD$33),DAY(AD$33))+1
)</f>
        <v>0</v>
      </c>
      <c r="AE36" s="30">
        <f>COUNTIFS(
DATA!$F:$F,$B36,
DATA!$B:$B,"&gt;="&amp;DATE(2026,MONTH(AE$33),DAY(AE$33)),
DATA!$B:$B,"&lt;"&amp;DATE(2026,MONTH(AE$33),DAY(AE$33))+1
)</f>
        <v>0</v>
      </c>
      <c r="AF36" s="30">
        <f>COUNTIFS(
DATA!$F:$F,$B36,
DATA!$B:$B,"&gt;="&amp;DATE(2026,MONTH(AF$33),DAY(AF$33)),
DATA!$B:$B,"&lt;"&amp;DATE(2026,MONTH(AF$33),DAY(AF$33))+1
)</f>
        <v>0</v>
      </c>
      <c r="AG36" s="30">
        <f>COUNTIFS(
DATA!$F:$F,$B36,
DATA!$B:$B,"&gt;="&amp;DATE(2026,MONTH(AG$33),DAY(AG$33)),
DATA!$B:$B,"&lt;"&amp;DATE(2026,MONTH(AG$33),DAY(AG$33))+1
)</f>
        <v>0</v>
      </c>
      <c r="AH36" s="31">
        <f t="shared" si="82"/>
        <v>0</v>
      </c>
      <c r="AI36" s="7"/>
      <c r="AJ36" s="30">
        <v>3.0</v>
      </c>
      <c r="AK36" s="32" t="s">
        <v>62</v>
      </c>
      <c r="AL36" s="41">
        <f t="shared" si="83"/>
        <v>0</v>
      </c>
      <c r="AM36" s="30">
        <f t="shared" si="100"/>
        <v>0</v>
      </c>
      <c r="AN36" s="30">
        <f t="shared" ref="AN36:BP36" si="101">SUM($C36:E36)</f>
        <v>0</v>
      </c>
      <c r="AO36" s="30">
        <f t="shared" si="101"/>
        <v>0</v>
      </c>
      <c r="AP36" s="30">
        <f t="shared" si="101"/>
        <v>0</v>
      </c>
      <c r="AQ36" s="30">
        <f t="shared" si="101"/>
        <v>0</v>
      </c>
      <c r="AR36" s="30">
        <f t="shared" si="101"/>
        <v>0</v>
      </c>
      <c r="AS36" s="30">
        <f t="shared" si="101"/>
        <v>0</v>
      </c>
      <c r="AT36" s="30">
        <f t="shared" si="101"/>
        <v>0</v>
      </c>
      <c r="AU36" s="30">
        <f t="shared" si="101"/>
        <v>0</v>
      </c>
      <c r="AV36" s="30">
        <f t="shared" si="101"/>
        <v>0</v>
      </c>
      <c r="AW36" s="30">
        <f t="shared" si="101"/>
        <v>0</v>
      </c>
      <c r="AX36" s="30">
        <f t="shared" si="101"/>
        <v>0</v>
      </c>
      <c r="AY36" s="30">
        <f t="shared" si="101"/>
        <v>0</v>
      </c>
      <c r="AZ36" s="30">
        <f t="shared" si="101"/>
        <v>0</v>
      </c>
      <c r="BA36" s="30">
        <f t="shared" si="101"/>
        <v>0</v>
      </c>
      <c r="BB36" s="30">
        <f t="shared" si="101"/>
        <v>0</v>
      </c>
      <c r="BC36" s="30">
        <f t="shared" si="101"/>
        <v>0</v>
      </c>
      <c r="BD36" s="30">
        <f t="shared" si="101"/>
        <v>0</v>
      </c>
      <c r="BE36" s="30">
        <f t="shared" si="101"/>
        <v>0</v>
      </c>
      <c r="BF36" s="30">
        <f t="shared" si="101"/>
        <v>0</v>
      </c>
      <c r="BG36" s="30">
        <f t="shared" si="101"/>
        <v>0</v>
      </c>
      <c r="BH36" s="30">
        <f t="shared" si="101"/>
        <v>0</v>
      </c>
      <c r="BI36" s="30">
        <f t="shared" si="101"/>
        <v>0</v>
      </c>
      <c r="BJ36" s="30">
        <f t="shared" si="101"/>
        <v>0</v>
      </c>
      <c r="BK36" s="30">
        <f t="shared" si="101"/>
        <v>0</v>
      </c>
      <c r="BL36" s="30">
        <f t="shared" si="101"/>
        <v>0</v>
      </c>
      <c r="BM36" s="30">
        <f t="shared" si="101"/>
        <v>0</v>
      </c>
      <c r="BN36" s="30">
        <f t="shared" si="101"/>
        <v>0</v>
      </c>
      <c r="BO36" s="30">
        <f t="shared" si="101"/>
        <v>0</v>
      </c>
      <c r="BP36" s="30">
        <f t="shared" si="101"/>
        <v>0</v>
      </c>
      <c r="BQ36" s="31">
        <f t="shared" si="85"/>
        <v>0</v>
      </c>
      <c r="BR36" s="7"/>
      <c r="BS36" s="28">
        <v>3.0</v>
      </c>
      <c r="BT36" s="29" t="s">
        <v>62</v>
      </c>
      <c r="BU36" s="81">
        <f t="shared" si="86"/>
        <v>35</v>
      </c>
      <c r="BV36" s="81">
        <f t="shared" si="87"/>
        <v>16</v>
      </c>
      <c r="BW36" s="81">
        <f t="shared" si="88"/>
        <v>0</v>
      </c>
      <c r="BX36" s="81">
        <f t="shared" si="89"/>
        <v>42</v>
      </c>
      <c r="BY36" s="81">
        <f t="shared" si="90"/>
        <v>0</v>
      </c>
      <c r="BZ36" s="81">
        <f t="shared" si="91"/>
        <v>0</v>
      </c>
      <c r="CA36" s="81">
        <f t="shared" si="92"/>
        <v>0</v>
      </c>
      <c r="CB36" s="81">
        <f t="shared" si="93"/>
        <v>0</v>
      </c>
      <c r="CC36" s="81">
        <f t="shared" si="94"/>
        <v>0</v>
      </c>
      <c r="CD36" s="81">
        <f t="shared" si="95"/>
        <v>0</v>
      </c>
      <c r="CE36" s="81">
        <f t="shared" si="96"/>
        <v>0</v>
      </c>
      <c r="CF36" s="81">
        <f t="shared" si="97"/>
        <v>0</v>
      </c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0"/>
      <c r="CW36" s="28">
        <v>3.0</v>
      </c>
      <c r="CX36" s="29" t="s">
        <v>62</v>
      </c>
      <c r="CY36" s="39">
        <f t="shared" ref="CY36:DB36" si="102">(ED22/CY8)*100</f>
        <v>7.067776254</v>
      </c>
      <c r="CZ36" s="39">
        <f t="shared" si="102"/>
        <v>14.77324661</v>
      </c>
      <c r="DA36" s="39">
        <f t="shared" si="102"/>
        <v>21.7778343</v>
      </c>
      <c r="DB36" s="39">
        <f t="shared" si="102"/>
        <v>30.41478561</v>
      </c>
      <c r="DC36" s="39">
        <f t="shared" si="99"/>
        <v>38.09796316</v>
      </c>
      <c r="DD36" s="69"/>
      <c r="DE36" s="69"/>
      <c r="DF36" s="69"/>
      <c r="DG36" s="69"/>
      <c r="DH36" s="69"/>
      <c r="DI36" s="69"/>
      <c r="DJ36" s="69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</row>
    <row r="37">
      <c r="A37" s="28">
        <v>4.0</v>
      </c>
      <c r="B37" s="29" t="s">
        <v>63</v>
      </c>
      <c r="C37" s="30">
        <f>COUNTIFS(
DATA!$F:$F,$B37,
DATA!$B:$B,"&gt;="&amp;DATE(2026,MONTH(C$33),DAY(C$33)),
DATA!$B:$B,"&lt;"&amp;DATE(2026,MONTH(C$33),DAY(C$33))+1
)</f>
        <v>0</v>
      </c>
      <c r="D37" s="30">
        <f>COUNTIFS(
DATA!$F:$F,$B37,
DATA!$B:$B,"&gt;="&amp;DATE(2026,MONTH(D$33),DAY(D$33)),
DATA!$B:$B,"&lt;"&amp;DATE(2026,MONTH(D$33),DAY(D$33))+1
)</f>
        <v>0</v>
      </c>
      <c r="E37" s="30">
        <f>COUNTIFS(
DATA!$F:$F,$B37,
DATA!$B:$B,"&gt;="&amp;DATE(2026,MONTH(E$33),DAY(E$33)),
DATA!$B:$B,"&lt;"&amp;DATE(2026,MONTH(E$33),DAY(E$33))+1
)</f>
        <v>0</v>
      </c>
      <c r="F37" s="30">
        <f>COUNTIFS(
DATA!$F:$F,$B37,
DATA!$B:$B,"&gt;="&amp;DATE(2026,MONTH(F$33),DAY(F$33)),
DATA!$B:$B,"&lt;"&amp;DATE(2026,MONTH(F$33),DAY(F$33))+1
)</f>
        <v>0</v>
      </c>
      <c r="G37" s="30">
        <f>COUNTIFS(
DATA!$F:$F,$B37,
DATA!$B:$B,"&gt;="&amp;DATE(2026,MONTH(G$33),DAY(G$33)),
DATA!$B:$B,"&lt;"&amp;DATE(2026,MONTH(G$33),DAY(G$33))+1
)</f>
        <v>1</v>
      </c>
      <c r="H37" s="30">
        <f>COUNTIFS(
DATA!$F:$F,$B37,
DATA!$B:$B,"&gt;="&amp;DATE(2026,MONTH(H$33),DAY(H$33)),
DATA!$B:$B,"&lt;"&amp;DATE(2026,MONTH(H$33),DAY(H$33))+1
)</f>
        <v>0</v>
      </c>
      <c r="I37" s="30">
        <f>COUNTIFS(
DATA!$F:$F,$B37,
DATA!$B:$B,"&gt;="&amp;DATE(2026,MONTH(I$33),DAY(I$33)),
DATA!$B:$B,"&lt;"&amp;DATE(2026,MONTH(I$33),DAY(I$33))+1
)</f>
        <v>0</v>
      </c>
      <c r="J37" s="30">
        <f>COUNTIFS(
DATA!$F:$F,$B37,
DATA!$B:$B,"&gt;="&amp;DATE(2026,MONTH(J$33),DAY(J$33)),
DATA!$B:$B,"&lt;"&amp;DATE(2026,MONTH(J$33),DAY(J$33))+1
)</f>
        <v>0</v>
      </c>
      <c r="K37" s="30">
        <f>COUNTIFS(
DATA!$F:$F,$B37,
DATA!$B:$B,"&gt;="&amp;DATE(2026,MONTH(K$33),DAY(K$33)),
DATA!$B:$B,"&lt;"&amp;DATE(2026,MONTH(K$33),DAY(K$33))+1
)</f>
        <v>0</v>
      </c>
      <c r="L37" s="30">
        <f>COUNTIFS(
DATA!$F:$F,$B37,
DATA!$B:$B,"&gt;="&amp;DATE(2026,MONTH(L$33),DAY(L$33)),
DATA!$B:$B,"&lt;"&amp;DATE(2026,MONTH(L$33),DAY(L$33))+1
)</f>
        <v>0</v>
      </c>
      <c r="M37" s="30">
        <f>COUNTIFS(
DATA!$F:$F,$B37,
DATA!$B:$B,"&gt;="&amp;DATE(2026,MONTH(M$33),DAY(M$33)),
DATA!$B:$B,"&lt;"&amp;DATE(2026,MONTH(M$33),DAY(M$33))+1
)</f>
        <v>0</v>
      </c>
      <c r="N37" s="30">
        <f>COUNTIFS(
DATA!$F:$F,$B37,
DATA!$B:$B,"&gt;="&amp;DATE(2026,MONTH(N$33),DAY(N$33)),
DATA!$B:$B,"&lt;"&amp;DATE(2026,MONTH(N$33),DAY(N$33))+1
)</f>
        <v>0</v>
      </c>
      <c r="O37" s="30">
        <f>COUNTIFS(
DATA!$F:$F,$B37,
DATA!$B:$B,"&gt;="&amp;DATE(2026,MONTH(O$33),DAY(O$33)),
DATA!$B:$B,"&lt;"&amp;DATE(2026,MONTH(O$33),DAY(O$33))+1
)</f>
        <v>39</v>
      </c>
      <c r="P37" s="30">
        <f>COUNTIFS(
DATA!$F:$F,$B37,
DATA!$B:$B,"&gt;="&amp;DATE(2026,MONTH(P$33),DAY(P$33)),
DATA!$B:$B,"&lt;"&amp;DATE(2026,MONTH(P$33),DAY(P$33))+1
)</f>
        <v>0</v>
      </c>
      <c r="Q37" s="30">
        <f>COUNTIFS(
DATA!$F:$F,$B37,
DATA!$B:$B,"&gt;="&amp;DATE(2026,MONTH(Q$33),DAY(Q$33)),
DATA!$B:$B,"&lt;"&amp;DATE(2026,MONTH(Q$33),DAY(Q$33))+1
)</f>
        <v>0</v>
      </c>
      <c r="R37" s="30">
        <f>COUNTIFS(
DATA!$F:$F,$B37,
DATA!$B:$B,"&gt;="&amp;DATE(2026,MONTH(R$33),DAY(R$33)),
DATA!$B:$B,"&lt;"&amp;DATE(2026,MONTH(R$33),DAY(R$33))+1
)</f>
        <v>0</v>
      </c>
      <c r="S37" s="30">
        <f>COUNTIFS(
DATA!$F:$F,$B37,
DATA!$B:$B,"&gt;="&amp;DATE(2026,MONTH(S$33),DAY(S$33)),
DATA!$B:$B,"&lt;"&amp;DATE(2026,MONTH(S$33),DAY(S$33))+1
)</f>
        <v>0</v>
      </c>
      <c r="T37" s="30">
        <f>COUNTIFS(
DATA!$F:$F,$B37,
DATA!$B:$B,"&gt;="&amp;DATE(2026,MONTH(T$33),DAY(T$33)),
DATA!$B:$B,"&lt;"&amp;DATE(2026,MONTH(T$33),DAY(T$33))+1
)</f>
        <v>0</v>
      </c>
      <c r="U37" s="30">
        <f>COUNTIFS(
DATA!$F:$F,$B37,
DATA!$B:$B,"&gt;="&amp;DATE(2026,MONTH(U$33),DAY(U$33)),
DATA!$B:$B,"&lt;"&amp;DATE(2026,MONTH(U$33),DAY(U$33))+1
)</f>
        <v>0</v>
      </c>
      <c r="V37" s="30">
        <f>COUNTIFS(
DATA!$F:$F,$B37,
DATA!$B:$B,"&gt;="&amp;DATE(2026,MONTH(V$33),DAY(V$33)),
DATA!$B:$B,"&lt;"&amp;DATE(2026,MONTH(V$33),DAY(V$33))+1
)</f>
        <v>0</v>
      </c>
      <c r="W37" s="30">
        <f>COUNTIFS(
DATA!$F:$F,$B37,
DATA!$B:$B,"&gt;="&amp;DATE(2026,MONTH(W$33),DAY(W$33)),
DATA!$B:$B,"&lt;"&amp;DATE(2026,MONTH(W$33),DAY(W$33))+1
)</f>
        <v>0</v>
      </c>
      <c r="X37" s="30">
        <f>COUNTIFS(
DATA!$F:$F,$B37,
DATA!$B:$B,"&gt;="&amp;DATE(2026,MONTH(X$33),DAY(X$33)),
DATA!$B:$B,"&lt;"&amp;DATE(2026,MONTH(X$33),DAY(X$33))+1
)</f>
        <v>0</v>
      </c>
      <c r="Y37" s="30">
        <f>COUNTIFS(
DATA!$F:$F,$B37,
DATA!$B:$B,"&gt;="&amp;DATE(2026,MONTH(Y$33),DAY(Y$33)),
DATA!$B:$B,"&lt;"&amp;DATE(2026,MONTH(Y$33),DAY(Y$33))+1
)</f>
        <v>0</v>
      </c>
      <c r="Z37" s="30">
        <f>COUNTIFS(
DATA!$F:$F,$B37,
DATA!$B:$B,"&gt;="&amp;DATE(2026,MONTH(Z$33),DAY(Z$33)),
DATA!$B:$B,"&lt;"&amp;DATE(2026,MONTH(Z$33),DAY(Z$33))+1
)</f>
        <v>0</v>
      </c>
      <c r="AA37" s="30">
        <f>COUNTIFS(
DATA!$F:$F,$B37,
DATA!$B:$B,"&gt;="&amp;DATE(2026,MONTH(AA$33),DAY(AA$33)),
DATA!$B:$B,"&lt;"&amp;DATE(2026,MONTH(AA$33),DAY(AA$33))+1
)</f>
        <v>0</v>
      </c>
      <c r="AB37" s="30">
        <f>COUNTIFS(
DATA!$F:$F,$B37,
DATA!$B:$B,"&gt;="&amp;DATE(2026,MONTH(AB$33),DAY(AB$33)),
DATA!$B:$B,"&lt;"&amp;DATE(2026,MONTH(AB$33),DAY(AB$33))+1
)</f>
        <v>0</v>
      </c>
      <c r="AC37" s="30">
        <f>COUNTIFS(
DATA!$F:$F,$B37,
DATA!$B:$B,"&gt;="&amp;DATE(2026,MONTH(AC$33),DAY(AC$33)),
DATA!$B:$B,"&lt;"&amp;DATE(2026,MONTH(AC$33),DAY(AC$33))+1
)</f>
        <v>0</v>
      </c>
      <c r="AD37" s="30">
        <f>COUNTIFS(
DATA!$F:$F,$B37,
DATA!$B:$B,"&gt;="&amp;DATE(2026,MONTH(AD$33),DAY(AD$33)),
DATA!$B:$B,"&lt;"&amp;DATE(2026,MONTH(AD$33),DAY(AD$33))+1
)</f>
        <v>0</v>
      </c>
      <c r="AE37" s="30">
        <f>COUNTIFS(
DATA!$F:$F,$B37,
DATA!$B:$B,"&gt;="&amp;DATE(2026,MONTH(AE$33),DAY(AE$33)),
DATA!$B:$B,"&lt;"&amp;DATE(2026,MONTH(AE$33),DAY(AE$33))+1
)</f>
        <v>0</v>
      </c>
      <c r="AF37" s="30">
        <f>COUNTIFS(
DATA!$F:$F,$B37,
DATA!$B:$B,"&gt;="&amp;DATE(2026,MONTH(AF$33),DAY(AF$33)),
DATA!$B:$B,"&lt;"&amp;DATE(2026,MONTH(AF$33),DAY(AF$33))+1
)</f>
        <v>0</v>
      </c>
      <c r="AG37" s="30">
        <f>COUNTIFS(
DATA!$F:$F,$B37,
DATA!$B:$B,"&gt;="&amp;DATE(2026,MONTH(AG$33),DAY(AG$33)),
DATA!$B:$B,"&lt;"&amp;DATE(2026,MONTH(AG$33),DAY(AG$33))+1
)</f>
        <v>0</v>
      </c>
      <c r="AH37" s="31">
        <f t="shared" si="82"/>
        <v>40</v>
      </c>
      <c r="AI37" s="7"/>
      <c r="AJ37" s="30">
        <v>4.0</v>
      </c>
      <c r="AK37" s="32" t="s">
        <v>63</v>
      </c>
      <c r="AL37" s="41">
        <f t="shared" si="83"/>
        <v>0</v>
      </c>
      <c r="AM37" s="30">
        <f t="shared" si="100"/>
        <v>0</v>
      </c>
      <c r="AN37" s="30">
        <f t="shared" ref="AN37:BP37" si="103">SUM($C37:E37)</f>
        <v>0</v>
      </c>
      <c r="AO37" s="30">
        <f t="shared" si="103"/>
        <v>0</v>
      </c>
      <c r="AP37" s="30">
        <f t="shared" si="103"/>
        <v>1</v>
      </c>
      <c r="AQ37" s="30">
        <f t="shared" si="103"/>
        <v>1</v>
      </c>
      <c r="AR37" s="30">
        <f t="shared" si="103"/>
        <v>1</v>
      </c>
      <c r="AS37" s="30">
        <f t="shared" si="103"/>
        <v>1</v>
      </c>
      <c r="AT37" s="30">
        <f t="shared" si="103"/>
        <v>1</v>
      </c>
      <c r="AU37" s="30">
        <f t="shared" si="103"/>
        <v>1</v>
      </c>
      <c r="AV37" s="30">
        <f t="shared" si="103"/>
        <v>1</v>
      </c>
      <c r="AW37" s="30">
        <f t="shared" si="103"/>
        <v>1</v>
      </c>
      <c r="AX37" s="30">
        <f t="shared" si="103"/>
        <v>40</v>
      </c>
      <c r="AY37" s="30">
        <f t="shared" si="103"/>
        <v>40</v>
      </c>
      <c r="AZ37" s="30">
        <f t="shared" si="103"/>
        <v>40</v>
      </c>
      <c r="BA37" s="30">
        <f t="shared" si="103"/>
        <v>40</v>
      </c>
      <c r="BB37" s="30">
        <f t="shared" si="103"/>
        <v>40</v>
      </c>
      <c r="BC37" s="30">
        <f t="shared" si="103"/>
        <v>40</v>
      </c>
      <c r="BD37" s="30">
        <f t="shared" si="103"/>
        <v>40</v>
      </c>
      <c r="BE37" s="30">
        <f t="shared" si="103"/>
        <v>40</v>
      </c>
      <c r="BF37" s="30">
        <f t="shared" si="103"/>
        <v>40</v>
      </c>
      <c r="BG37" s="30">
        <f t="shared" si="103"/>
        <v>40</v>
      </c>
      <c r="BH37" s="30">
        <f t="shared" si="103"/>
        <v>40</v>
      </c>
      <c r="BI37" s="30">
        <f t="shared" si="103"/>
        <v>40</v>
      </c>
      <c r="BJ37" s="30">
        <f t="shared" si="103"/>
        <v>40</v>
      </c>
      <c r="BK37" s="30">
        <f t="shared" si="103"/>
        <v>40</v>
      </c>
      <c r="BL37" s="30">
        <f t="shared" si="103"/>
        <v>40</v>
      </c>
      <c r="BM37" s="30">
        <f t="shared" si="103"/>
        <v>40</v>
      </c>
      <c r="BN37" s="30">
        <f t="shared" si="103"/>
        <v>40</v>
      </c>
      <c r="BO37" s="30">
        <f t="shared" si="103"/>
        <v>40</v>
      </c>
      <c r="BP37" s="30">
        <f t="shared" si="103"/>
        <v>40</v>
      </c>
      <c r="BQ37" s="31">
        <f t="shared" si="85"/>
        <v>40</v>
      </c>
      <c r="BR37" s="7"/>
      <c r="BS37" s="28">
        <v>4.0</v>
      </c>
      <c r="BT37" s="29" t="s">
        <v>63</v>
      </c>
      <c r="BU37" s="81">
        <f t="shared" si="86"/>
        <v>49</v>
      </c>
      <c r="BV37" s="81">
        <f t="shared" si="87"/>
        <v>44</v>
      </c>
      <c r="BW37" s="81">
        <f t="shared" si="88"/>
        <v>40</v>
      </c>
      <c r="BX37" s="81">
        <f t="shared" si="89"/>
        <v>33</v>
      </c>
      <c r="BY37" s="81">
        <f t="shared" si="90"/>
        <v>0</v>
      </c>
      <c r="BZ37" s="81">
        <f t="shared" si="91"/>
        <v>0</v>
      </c>
      <c r="CA37" s="81">
        <f t="shared" si="92"/>
        <v>0</v>
      </c>
      <c r="CB37" s="81">
        <f t="shared" si="93"/>
        <v>0</v>
      </c>
      <c r="CC37" s="81">
        <f t="shared" si="94"/>
        <v>0</v>
      </c>
      <c r="CD37" s="81">
        <f t="shared" si="95"/>
        <v>0</v>
      </c>
      <c r="CE37" s="81">
        <f t="shared" si="96"/>
        <v>0</v>
      </c>
      <c r="CF37" s="81">
        <f t="shared" si="97"/>
        <v>0</v>
      </c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0"/>
      <c r="CW37" s="28">
        <v>4.0</v>
      </c>
      <c r="CX37" s="29" t="s">
        <v>63</v>
      </c>
      <c r="CY37" s="39">
        <f t="shared" ref="CY37:DB37" si="104">(ED23/CY9)*100</f>
        <v>13.90639259</v>
      </c>
      <c r="CZ37" s="39">
        <f t="shared" si="104"/>
        <v>29.98044753</v>
      </c>
      <c r="DA37" s="39">
        <f t="shared" si="104"/>
        <v>43.83300061</v>
      </c>
      <c r="DB37" s="39">
        <f t="shared" si="104"/>
        <v>57.72068397</v>
      </c>
      <c r="DC37" s="39">
        <f t="shared" si="99"/>
        <v>72.47634754</v>
      </c>
      <c r="DD37" s="69"/>
      <c r="DE37" s="69"/>
      <c r="DF37" s="69"/>
      <c r="DG37" s="69"/>
      <c r="DH37" s="69"/>
      <c r="DI37" s="69"/>
      <c r="DJ37" s="69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"/>
      <c r="EB37" s="72"/>
      <c r="EC37" s="72"/>
      <c r="ED37" s="72"/>
      <c r="EE37" s="72"/>
      <c r="EF37" s="72"/>
      <c r="EG37" s="72"/>
      <c r="EH37" s="72"/>
      <c r="EI37" s="72"/>
      <c r="EJ37" s="72"/>
      <c r="EK37" s="72"/>
      <c r="EL37" s="72"/>
      <c r="EM37" s="72"/>
      <c r="EN37" s="72"/>
      <c r="EO37" s="72"/>
    </row>
    <row r="38">
      <c r="A38" s="28">
        <v>5.0</v>
      </c>
      <c r="B38" s="29" t="s">
        <v>64</v>
      </c>
      <c r="C38" s="30">
        <f>COUNTIFS(
DATA!$F:$F,$B38,
DATA!$B:$B,"&gt;="&amp;DATE(2026,MONTH(C$33),DAY(C$33)),
DATA!$B:$B,"&lt;"&amp;DATE(2026,MONTH(C$33),DAY(C$33))+1
)</f>
        <v>0</v>
      </c>
      <c r="D38" s="30">
        <f>COUNTIFS(
DATA!$F:$F,$B38,
DATA!$B:$B,"&gt;="&amp;DATE(2026,MONTH(D$33),DAY(D$33)),
DATA!$B:$B,"&lt;"&amp;DATE(2026,MONTH(D$33),DAY(D$33))+1
)</f>
        <v>0</v>
      </c>
      <c r="E38" s="30">
        <f>COUNTIFS(
DATA!$F:$F,$B38,
DATA!$B:$B,"&gt;="&amp;DATE(2026,MONTH(E$33),DAY(E$33)),
DATA!$B:$B,"&lt;"&amp;DATE(2026,MONTH(E$33),DAY(E$33))+1
)</f>
        <v>0</v>
      </c>
      <c r="F38" s="30">
        <f>COUNTIFS(
DATA!$F:$F,$B38,
DATA!$B:$B,"&gt;="&amp;DATE(2026,MONTH(F$33),DAY(F$33)),
DATA!$B:$B,"&lt;"&amp;DATE(2026,MONTH(F$33),DAY(F$33))+1
)</f>
        <v>0</v>
      </c>
      <c r="G38" s="30">
        <f>COUNTIFS(
DATA!$F:$F,$B38,
DATA!$B:$B,"&gt;="&amp;DATE(2026,MONTH(G$33),DAY(G$33)),
DATA!$B:$B,"&lt;"&amp;DATE(2026,MONTH(G$33),DAY(G$33))+1
)</f>
        <v>0</v>
      </c>
      <c r="H38" s="30">
        <f>COUNTIFS(
DATA!$F:$F,$B38,
DATA!$B:$B,"&gt;="&amp;DATE(2026,MONTH(H$33),DAY(H$33)),
DATA!$B:$B,"&lt;"&amp;DATE(2026,MONTH(H$33),DAY(H$33))+1
)</f>
        <v>0</v>
      </c>
      <c r="I38" s="30">
        <f>COUNTIFS(
DATA!$F:$F,$B38,
DATA!$B:$B,"&gt;="&amp;DATE(2026,MONTH(I$33),DAY(I$33)),
DATA!$B:$B,"&lt;"&amp;DATE(2026,MONTH(I$33),DAY(I$33))+1
)</f>
        <v>0</v>
      </c>
      <c r="J38" s="30">
        <f>COUNTIFS(
DATA!$F:$F,$B38,
DATA!$B:$B,"&gt;="&amp;DATE(2026,MONTH(J$33),DAY(J$33)),
DATA!$B:$B,"&lt;"&amp;DATE(2026,MONTH(J$33),DAY(J$33))+1
)</f>
        <v>0</v>
      </c>
      <c r="K38" s="30">
        <f>COUNTIFS(
DATA!$F:$F,$B38,
DATA!$B:$B,"&gt;="&amp;DATE(2026,MONTH(K$33),DAY(K$33)),
DATA!$B:$B,"&lt;"&amp;DATE(2026,MONTH(K$33),DAY(K$33))+1
)</f>
        <v>0</v>
      </c>
      <c r="L38" s="30">
        <f>COUNTIFS(
DATA!$F:$F,$B38,
DATA!$B:$B,"&gt;="&amp;DATE(2026,MONTH(L$33),DAY(L$33)),
DATA!$B:$B,"&lt;"&amp;DATE(2026,MONTH(L$33),DAY(L$33))+1
)</f>
        <v>0</v>
      </c>
      <c r="M38" s="30">
        <f>COUNTIFS(
DATA!$F:$F,$B38,
DATA!$B:$B,"&gt;="&amp;DATE(2026,MONTH(M$33),DAY(M$33)),
DATA!$B:$B,"&lt;"&amp;DATE(2026,MONTH(M$33),DAY(M$33))+1
)</f>
        <v>0</v>
      </c>
      <c r="N38" s="30">
        <f>COUNTIFS(
DATA!$F:$F,$B38,
DATA!$B:$B,"&gt;="&amp;DATE(2026,MONTH(N$33),DAY(N$33)),
DATA!$B:$B,"&lt;"&amp;DATE(2026,MONTH(N$33),DAY(N$33))+1
)</f>
        <v>0</v>
      </c>
      <c r="O38" s="30">
        <f>COUNTIFS(
DATA!$F:$F,$B38,
DATA!$B:$B,"&gt;="&amp;DATE(2026,MONTH(O$33),DAY(O$33)),
DATA!$B:$B,"&lt;"&amp;DATE(2026,MONTH(O$33),DAY(O$33))+1
)</f>
        <v>0</v>
      </c>
      <c r="P38" s="30">
        <f>COUNTIFS(
DATA!$F:$F,$B38,
DATA!$B:$B,"&gt;="&amp;DATE(2026,MONTH(P$33),DAY(P$33)),
DATA!$B:$B,"&lt;"&amp;DATE(2026,MONTH(P$33),DAY(P$33))+1
)</f>
        <v>0</v>
      </c>
      <c r="Q38" s="30">
        <f>COUNTIFS(
DATA!$F:$F,$B38,
DATA!$B:$B,"&gt;="&amp;DATE(2026,MONTH(Q$33),DAY(Q$33)),
DATA!$B:$B,"&lt;"&amp;DATE(2026,MONTH(Q$33),DAY(Q$33))+1
)</f>
        <v>0</v>
      </c>
      <c r="R38" s="30">
        <f>COUNTIFS(
DATA!$F:$F,$B38,
DATA!$B:$B,"&gt;="&amp;DATE(2026,MONTH(R$33),DAY(R$33)),
DATA!$B:$B,"&lt;"&amp;DATE(2026,MONTH(R$33),DAY(R$33))+1
)</f>
        <v>0</v>
      </c>
      <c r="S38" s="30">
        <f>COUNTIFS(
DATA!$F:$F,$B38,
DATA!$B:$B,"&gt;="&amp;DATE(2026,MONTH(S$33),DAY(S$33)),
DATA!$B:$B,"&lt;"&amp;DATE(2026,MONTH(S$33),DAY(S$33))+1
)</f>
        <v>0</v>
      </c>
      <c r="T38" s="30">
        <f>COUNTIFS(
DATA!$F:$F,$B38,
DATA!$B:$B,"&gt;="&amp;DATE(2026,MONTH(T$33),DAY(T$33)),
DATA!$B:$B,"&lt;"&amp;DATE(2026,MONTH(T$33),DAY(T$33))+1
)</f>
        <v>0</v>
      </c>
      <c r="U38" s="30">
        <f>COUNTIFS(
DATA!$F:$F,$B38,
DATA!$B:$B,"&gt;="&amp;DATE(2026,MONTH(U$33),DAY(U$33)),
DATA!$B:$B,"&lt;"&amp;DATE(2026,MONTH(U$33),DAY(U$33))+1
)</f>
        <v>0</v>
      </c>
      <c r="V38" s="30">
        <f>COUNTIFS(
DATA!$F:$F,$B38,
DATA!$B:$B,"&gt;="&amp;DATE(2026,MONTH(V$33),DAY(V$33)),
DATA!$B:$B,"&lt;"&amp;DATE(2026,MONTH(V$33),DAY(V$33))+1
)</f>
        <v>0</v>
      </c>
      <c r="W38" s="30">
        <f>COUNTIFS(
DATA!$F:$F,$B38,
DATA!$B:$B,"&gt;="&amp;DATE(2026,MONTH(W$33),DAY(W$33)),
DATA!$B:$B,"&lt;"&amp;DATE(2026,MONTH(W$33),DAY(W$33))+1
)</f>
        <v>0</v>
      </c>
      <c r="X38" s="30">
        <f>COUNTIFS(
DATA!$F:$F,$B38,
DATA!$B:$B,"&gt;="&amp;DATE(2026,MONTH(X$33),DAY(X$33)),
DATA!$B:$B,"&lt;"&amp;DATE(2026,MONTH(X$33),DAY(X$33))+1
)</f>
        <v>0</v>
      </c>
      <c r="Y38" s="30">
        <f>COUNTIFS(
DATA!$F:$F,$B38,
DATA!$B:$B,"&gt;="&amp;DATE(2026,MONTH(Y$33),DAY(Y$33)),
DATA!$B:$B,"&lt;"&amp;DATE(2026,MONTH(Y$33),DAY(Y$33))+1
)</f>
        <v>0</v>
      </c>
      <c r="Z38" s="30">
        <f>COUNTIFS(
DATA!$F:$F,$B38,
DATA!$B:$B,"&gt;="&amp;DATE(2026,MONTH(Z$33),DAY(Z$33)),
DATA!$B:$B,"&lt;"&amp;DATE(2026,MONTH(Z$33),DAY(Z$33))+1
)</f>
        <v>0</v>
      </c>
      <c r="AA38" s="30">
        <f>COUNTIFS(
DATA!$F:$F,$B38,
DATA!$B:$B,"&gt;="&amp;DATE(2026,MONTH(AA$33),DAY(AA$33)),
DATA!$B:$B,"&lt;"&amp;DATE(2026,MONTH(AA$33),DAY(AA$33))+1
)</f>
        <v>0</v>
      </c>
      <c r="AB38" s="30">
        <f>COUNTIFS(
DATA!$F:$F,$B38,
DATA!$B:$B,"&gt;="&amp;DATE(2026,MONTH(AB$33),DAY(AB$33)),
DATA!$B:$B,"&lt;"&amp;DATE(2026,MONTH(AB$33),DAY(AB$33))+1
)</f>
        <v>0</v>
      </c>
      <c r="AC38" s="30">
        <f>COUNTIFS(
DATA!$F:$F,$B38,
DATA!$B:$B,"&gt;="&amp;DATE(2026,MONTH(AC$33),DAY(AC$33)),
DATA!$B:$B,"&lt;"&amp;DATE(2026,MONTH(AC$33),DAY(AC$33))+1
)</f>
        <v>49</v>
      </c>
      <c r="AD38" s="30">
        <f>COUNTIFS(
DATA!$F:$F,$B38,
DATA!$B:$B,"&gt;="&amp;DATE(2026,MONTH(AD$33),DAY(AD$33)),
DATA!$B:$B,"&lt;"&amp;DATE(2026,MONTH(AD$33),DAY(AD$33))+1
)</f>
        <v>27</v>
      </c>
      <c r="AE38" s="30">
        <f>COUNTIFS(
DATA!$F:$F,$B38,
DATA!$B:$B,"&gt;="&amp;DATE(2026,MONTH(AE$33),DAY(AE$33)),
DATA!$B:$B,"&lt;"&amp;DATE(2026,MONTH(AE$33),DAY(AE$33))+1
)</f>
        <v>1</v>
      </c>
      <c r="AF38" s="30">
        <f>COUNTIFS(
DATA!$F:$F,$B38,
DATA!$B:$B,"&gt;="&amp;DATE(2026,MONTH(AF$33),DAY(AF$33)),
DATA!$B:$B,"&lt;"&amp;DATE(2026,MONTH(AF$33),DAY(AF$33))+1
)</f>
        <v>0</v>
      </c>
      <c r="AG38" s="30">
        <f>COUNTIFS(
DATA!$F:$F,$B38,
DATA!$B:$B,"&gt;="&amp;DATE(2026,MONTH(AG$33),DAY(AG$33)),
DATA!$B:$B,"&lt;"&amp;DATE(2026,MONTH(AG$33),DAY(AG$33))+1
)</f>
        <v>16</v>
      </c>
      <c r="AH38" s="31">
        <f t="shared" si="82"/>
        <v>93</v>
      </c>
      <c r="AI38" s="7"/>
      <c r="AJ38" s="30">
        <v>5.0</v>
      </c>
      <c r="AK38" s="32" t="s">
        <v>64</v>
      </c>
      <c r="AL38" s="41">
        <f t="shared" si="83"/>
        <v>0</v>
      </c>
      <c r="AM38" s="30">
        <f t="shared" si="100"/>
        <v>0</v>
      </c>
      <c r="AN38" s="30">
        <f t="shared" ref="AN38:BP38" si="105">SUM($C38:E38)</f>
        <v>0</v>
      </c>
      <c r="AO38" s="30">
        <f t="shared" si="105"/>
        <v>0</v>
      </c>
      <c r="AP38" s="30">
        <f t="shared" si="105"/>
        <v>0</v>
      </c>
      <c r="AQ38" s="30">
        <f t="shared" si="105"/>
        <v>0</v>
      </c>
      <c r="AR38" s="30">
        <f t="shared" si="105"/>
        <v>0</v>
      </c>
      <c r="AS38" s="30">
        <f t="shared" si="105"/>
        <v>0</v>
      </c>
      <c r="AT38" s="30">
        <f t="shared" si="105"/>
        <v>0</v>
      </c>
      <c r="AU38" s="30">
        <f t="shared" si="105"/>
        <v>0</v>
      </c>
      <c r="AV38" s="30">
        <f t="shared" si="105"/>
        <v>0</v>
      </c>
      <c r="AW38" s="30">
        <f t="shared" si="105"/>
        <v>0</v>
      </c>
      <c r="AX38" s="30">
        <f t="shared" si="105"/>
        <v>0</v>
      </c>
      <c r="AY38" s="30">
        <f t="shared" si="105"/>
        <v>0</v>
      </c>
      <c r="AZ38" s="30">
        <f t="shared" si="105"/>
        <v>0</v>
      </c>
      <c r="BA38" s="30">
        <f t="shared" si="105"/>
        <v>0</v>
      </c>
      <c r="BB38" s="30">
        <f t="shared" si="105"/>
        <v>0</v>
      </c>
      <c r="BC38" s="30">
        <f t="shared" si="105"/>
        <v>0</v>
      </c>
      <c r="BD38" s="30">
        <f t="shared" si="105"/>
        <v>0</v>
      </c>
      <c r="BE38" s="30">
        <f t="shared" si="105"/>
        <v>0</v>
      </c>
      <c r="BF38" s="30">
        <f t="shared" si="105"/>
        <v>0</v>
      </c>
      <c r="BG38" s="30">
        <f t="shared" si="105"/>
        <v>0</v>
      </c>
      <c r="BH38" s="30">
        <f t="shared" si="105"/>
        <v>0</v>
      </c>
      <c r="BI38" s="30">
        <f t="shared" si="105"/>
        <v>0</v>
      </c>
      <c r="BJ38" s="30">
        <f t="shared" si="105"/>
        <v>0</v>
      </c>
      <c r="BK38" s="30">
        <f t="shared" si="105"/>
        <v>0</v>
      </c>
      <c r="BL38" s="30">
        <f t="shared" si="105"/>
        <v>49</v>
      </c>
      <c r="BM38" s="30">
        <f t="shared" si="105"/>
        <v>76</v>
      </c>
      <c r="BN38" s="30">
        <f t="shared" si="105"/>
        <v>77</v>
      </c>
      <c r="BO38" s="30">
        <f t="shared" si="105"/>
        <v>77</v>
      </c>
      <c r="BP38" s="30">
        <f t="shared" si="105"/>
        <v>93</v>
      </c>
      <c r="BQ38" s="31">
        <f t="shared" si="85"/>
        <v>93</v>
      </c>
      <c r="BR38" s="7"/>
      <c r="BS38" s="28">
        <v>5.0</v>
      </c>
      <c r="BT38" s="29" t="s">
        <v>64</v>
      </c>
      <c r="BU38" s="81">
        <f t="shared" si="86"/>
        <v>53</v>
      </c>
      <c r="BV38" s="81">
        <f t="shared" si="87"/>
        <v>54</v>
      </c>
      <c r="BW38" s="81">
        <f t="shared" si="88"/>
        <v>93</v>
      </c>
      <c r="BX38" s="81">
        <f t="shared" si="89"/>
        <v>56</v>
      </c>
      <c r="BY38" s="81">
        <f t="shared" si="90"/>
        <v>0</v>
      </c>
      <c r="BZ38" s="81">
        <f t="shared" si="91"/>
        <v>0</v>
      </c>
      <c r="CA38" s="81">
        <f t="shared" si="92"/>
        <v>0</v>
      </c>
      <c r="CB38" s="81">
        <f t="shared" si="93"/>
        <v>0</v>
      </c>
      <c r="CC38" s="81">
        <f t="shared" si="94"/>
        <v>0</v>
      </c>
      <c r="CD38" s="81">
        <f t="shared" si="95"/>
        <v>0</v>
      </c>
      <c r="CE38" s="81">
        <f t="shared" si="96"/>
        <v>0</v>
      </c>
      <c r="CF38" s="81">
        <f t="shared" si="97"/>
        <v>0</v>
      </c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0"/>
      <c r="CW38" s="28">
        <v>5.0</v>
      </c>
      <c r="CX38" s="29" t="s">
        <v>64</v>
      </c>
      <c r="CY38" s="39">
        <f t="shared" ref="CY38:DB38" si="106">(ED24/CY10)*100</f>
        <v>32.89238789</v>
      </c>
      <c r="CZ38" s="39">
        <f t="shared" si="106"/>
        <v>65.24921451</v>
      </c>
      <c r="DA38" s="39">
        <f t="shared" si="106"/>
        <v>98.04183832</v>
      </c>
      <c r="DB38" s="39">
        <f t="shared" si="106"/>
        <v>131.3023339</v>
      </c>
      <c r="DC38" s="39">
        <f t="shared" si="99"/>
        <v>163.5934438</v>
      </c>
      <c r="DD38" s="69"/>
      <c r="DE38" s="69"/>
      <c r="DF38" s="69"/>
      <c r="DG38" s="69"/>
      <c r="DH38" s="69"/>
      <c r="DI38" s="69"/>
      <c r="DJ38" s="69"/>
      <c r="DK38" s="72"/>
      <c r="DL38" s="72"/>
      <c r="DM38" s="72"/>
      <c r="DN38" s="72"/>
      <c r="DO38" s="72"/>
      <c r="DP38" s="72"/>
      <c r="DQ38" s="72"/>
      <c r="DR38" s="72"/>
      <c r="DS38" s="72"/>
      <c r="DT38" s="72"/>
      <c r="DU38" s="72"/>
      <c r="DV38" s="72"/>
      <c r="DW38" s="72"/>
      <c r="DX38" s="72"/>
      <c r="DY38" s="72"/>
      <c r="DZ38" s="72"/>
      <c r="EA38" s="7"/>
      <c r="EB38" s="72"/>
      <c r="EC38" s="72"/>
      <c r="ED38" s="72"/>
      <c r="EE38" s="72"/>
      <c r="EF38" s="72"/>
      <c r="EG38" s="72"/>
      <c r="EH38" s="72"/>
      <c r="EI38" s="72"/>
      <c r="EJ38" s="72"/>
      <c r="EK38" s="72"/>
      <c r="EL38" s="72"/>
      <c r="EM38" s="72"/>
      <c r="EN38" s="72"/>
      <c r="EO38" s="72"/>
    </row>
    <row r="39">
      <c r="A39" s="28">
        <v>6.0</v>
      </c>
      <c r="B39" s="29" t="s">
        <v>65</v>
      </c>
      <c r="C39" s="30">
        <f>COUNTIFS(
DATA!$F:$F,$B39,
DATA!$B:$B,"&gt;="&amp;DATE(2026,MONTH(C$33),DAY(C$33)),
DATA!$B:$B,"&lt;"&amp;DATE(2026,MONTH(C$33),DAY(C$33))+1
)</f>
        <v>0</v>
      </c>
      <c r="D39" s="30">
        <f>COUNTIFS(
DATA!$F:$F,$B39,
DATA!$B:$B,"&gt;="&amp;DATE(2026,MONTH(D$33),DAY(D$33)),
DATA!$B:$B,"&lt;"&amp;DATE(2026,MONTH(D$33),DAY(D$33))+1
)</f>
        <v>0</v>
      </c>
      <c r="E39" s="30">
        <f>COUNTIFS(
DATA!$F:$F,$B39,
DATA!$B:$B,"&gt;="&amp;DATE(2026,MONTH(E$33),DAY(E$33)),
DATA!$B:$B,"&lt;"&amp;DATE(2026,MONTH(E$33),DAY(E$33))+1
)</f>
        <v>0</v>
      </c>
      <c r="F39" s="30">
        <f>COUNTIFS(
DATA!$F:$F,$B39,
DATA!$B:$B,"&gt;="&amp;DATE(2026,MONTH(F$33),DAY(F$33)),
DATA!$B:$B,"&lt;"&amp;DATE(2026,MONTH(F$33),DAY(F$33))+1
)</f>
        <v>0</v>
      </c>
      <c r="G39" s="30">
        <f>COUNTIFS(
DATA!$F:$F,$B39,
DATA!$B:$B,"&gt;="&amp;DATE(2026,MONTH(G$33),DAY(G$33)),
DATA!$B:$B,"&lt;"&amp;DATE(2026,MONTH(G$33),DAY(G$33))+1
)</f>
        <v>39</v>
      </c>
      <c r="H39" s="30">
        <f>COUNTIFS(
DATA!$F:$F,$B39,
DATA!$B:$B,"&gt;="&amp;DATE(2026,MONTH(H$33),DAY(H$33)),
DATA!$B:$B,"&lt;"&amp;DATE(2026,MONTH(H$33),DAY(H$33))+1
)</f>
        <v>0</v>
      </c>
      <c r="I39" s="30">
        <f>COUNTIFS(
DATA!$F:$F,$B39,
DATA!$B:$B,"&gt;="&amp;DATE(2026,MONTH(I$33),DAY(I$33)),
DATA!$B:$B,"&lt;"&amp;DATE(2026,MONTH(I$33),DAY(I$33))+1
)</f>
        <v>37</v>
      </c>
      <c r="J39" s="30">
        <f>COUNTIFS(
DATA!$F:$F,$B39,
DATA!$B:$B,"&gt;="&amp;DATE(2026,MONTH(J$33),DAY(J$33)),
DATA!$B:$B,"&lt;"&amp;DATE(2026,MONTH(J$33),DAY(J$33))+1
)</f>
        <v>0</v>
      </c>
      <c r="K39" s="30">
        <f>COUNTIFS(
DATA!$F:$F,$B39,
DATA!$B:$B,"&gt;="&amp;DATE(2026,MONTH(K$33),DAY(K$33)),
DATA!$B:$B,"&lt;"&amp;DATE(2026,MONTH(K$33),DAY(K$33))+1
)</f>
        <v>0</v>
      </c>
      <c r="L39" s="30">
        <f>COUNTIFS(
DATA!$F:$F,$B39,
DATA!$B:$B,"&gt;="&amp;DATE(2026,MONTH(L$33),DAY(L$33)),
DATA!$B:$B,"&lt;"&amp;DATE(2026,MONTH(L$33),DAY(L$33))+1
)</f>
        <v>0</v>
      </c>
      <c r="M39" s="30">
        <f>COUNTIFS(
DATA!$F:$F,$B39,
DATA!$B:$B,"&gt;="&amp;DATE(2026,MONTH(M$33),DAY(M$33)),
DATA!$B:$B,"&lt;"&amp;DATE(2026,MONTH(M$33),DAY(M$33))+1
)</f>
        <v>0</v>
      </c>
      <c r="N39" s="30">
        <f>COUNTIFS(
DATA!$F:$F,$B39,
DATA!$B:$B,"&gt;="&amp;DATE(2026,MONTH(N$33),DAY(N$33)),
DATA!$B:$B,"&lt;"&amp;DATE(2026,MONTH(N$33),DAY(N$33))+1
)</f>
        <v>0</v>
      </c>
      <c r="O39" s="30">
        <f>COUNTIFS(
DATA!$F:$F,$B39,
DATA!$B:$B,"&gt;="&amp;DATE(2026,MONTH(O$33),DAY(O$33)),
DATA!$B:$B,"&lt;"&amp;DATE(2026,MONTH(O$33),DAY(O$33))+1
)</f>
        <v>0</v>
      </c>
      <c r="P39" s="30">
        <f>COUNTIFS(
DATA!$F:$F,$B39,
DATA!$B:$B,"&gt;="&amp;DATE(2026,MONTH(P$33),DAY(P$33)),
DATA!$B:$B,"&lt;"&amp;DATE(2026,MONTH(P$33),DAY(P$33))+1
)</f>
        <v>0</v>
      </c>
      <c r="Q39" s="30">
        <f>COUNTIFS(
DATA!$F:$F,$B39,
DATA!$B:$B,"&gt;="&amp;DATE(2026,MONTH(Q$33),DAY(Q$33)),
DATA!$B:$B,"&lt;"&amp;DATE(2026,MONTH(Q$33),DAY(Q$33))+1
)</f>
        <v>0</v>
      </c>
      <c r="R39" s="30">
        <f>COUNTIFS(
DATA!$F:$F,$B39,
DATA!$B:$B,"&gt;="&amp;DATE(2026,MONTH(R$33),DAY(R$33)),
DATA!$B:$B,"&lt;"&amp;DATE(2026,MONTH(R$33),DAY(R$33))+1
)</f>
        <v>16</v>
      </c>
      <c r="S39" s="30">
        <f>COUNTIFS(
DATA!$F:$F,$B39,
DATA!$B:$B,"&gt;="&amp;DATE(2026,MONTH(S$33),DAY(S$33)),
DATA!$B:$B,"&lt;"&amp;DATE(2026,MONTH(S$33),DAY(S$33))+1
)</f>
        <v>0</v>
      </c>
      <c r="T39" s="30">
        <f>COUNTIFS(
DATA!$F:$F,$B39,
DATA!$B:$B,"&gt;="&amp;DATE(2026,MONTH(T$33),DAY(T$33)),
DATA!$B:$B,"&lt;"&amp;DATE(2026,MONTH(T$33),DAY(T$33))+1
)</f>
        <v>0</v>
      </c>
      <c r="U39" s="30">
        <f>COUNTIFS(
DATA!$F:$F,$B39,
DATA!$B:$B,"&gt;="&amp;DATE(2026,MONTH(U$33),DAY(U$33)),
DATA!$B:$B,"&lt;"&amp;DATE(2026,MONTH(U$33),DAY(U$33))+1
)</f>
        <v>0</v>
      </c>
      <c r="V39" s="30">
        <f>COUNTIFS(
DATA!$F:$F,$B39,
DATA!$B:$B,"&gt;="&amp;DATE(2026,MONTH(V$33),DAY(V$33)),
DATA!$B:$B,"&lt;"&amp;DATE(2026,MONTH(V$33),DAY(V$33))+1
)</f>
        <v>0</v>
      </c>
      <c r="W39" s="30">
        <f>COUNTIFS(
DATA!$F:$F,$B39,
DATA!$B:$B,"&gt;="&amp;DATE(2026,MONTH(W$33),DAY(W$33)),
DATA!$B:$B,"&lt;"&amp;DATE(2026,MONTH(W$33),DAY(W$33))+1
)</f>
        <v>0</v>
      </c>
      <c r="X39" s="30">
        <f>COUNTIFS(
DATA!$F:$F,$B39,
DATA!$B:$B,"&gt;="&amp;DATE(2026,MONTH(X$33),DAY(X$33)),
DATA!$B:$B,"&lt;"&amp;DATE(2026,MONTH(X$33),DAY(X$33))+1
)</f>
        <v>0</v>
      </c>
      <c r="Y39" s="30">
        <f>COUNTIFS(
DATA!$F:$F,$B39,
DATA!$B:$B,"&gt;="&amp;DATE(2026,MONTH(Y$33),DAY(Y$33)),
DATA!$B:$B,"&lt;"&amp;DATE(2026,MONTH(Y$33),DAY(Y$33))+1
)</f>
        <v>0</v>
      </c>
      <c r="Z39" s="30">
        <f>COUNTIFS(
DATA!$F:$F,$B39,
DATA!$B:$B,"&gt;="&amp;DATE(2026,MONTH(Z$33),DAY(Z$33)),
DATA!$B:$B,"&lt;"&amp;DATE(2026,MONTH(Z$33),DAY(Z$33))+1
)</f>
        <v>0</v>
      </c>
      <c r="AA39" s="30">
        <f>COUNTIFS(
DATA!$F:$F,$B39,
DATA!$B:$B,"&gt;="&amp;DATE(2026,MONTH(AA$33),DAY(AA$33)),
DATA!$B:$B,"&lt;"&amp;DATE(2026,MONTH(AA$33),DAY(AA$33))+1
)</f>
        <v>0</v>
      </c>
      <c r="AB39" s="30">
        <f>COUNTIFS(
DATA!$F:$F,$B39,
DATA!$B:$B,"&gt;="&amp;DATE(2026,MONTH(AB$33),DAY(AB$33)),
DATA!$B:$B,"&lt;"&amp;DATE(2026,MONTH(AB$33),DAY(AB$33))+1
)</f>
        <v>78</v>
      </c>
      <c r="AC39" s="30">
        <f>COUNTIFS(
DATA!$F:$F,$B39,
DATA!$B:$B,"&gt;="&amp;DATE(2026,MONTH(AC$33),DAY(AC$33)),
DATA!$B:$B,"&lt;"&amp;DATE(2026,MONTH(AC$33),DAY(AC$33))+1
)</f>
        <v>9</v>
      </c>
      <c r="AD39" s="30">
        <f>COUNTIFS(
DATA!$F:$F,$B39,
DATA!$B:$B,"&gt;="&amp;DATE(2026,MONTH(AD$33),DAY(AD$33)),
DATA!$B:$B,"&lt;"&amp;DATE(2026,MONTH(AD$33),DAY(AD$33))+1
)</f>
        <v>15</v>
      </c>
      <c r="AE39" s="30">
        <f>COUNTIFS(
DATA!$F:$F,$B39,
DATA!$B:$B,"&gt;="&amp;DATE(2026,MONTH(AE$33),DAY(AE$33)),
DATA!$B:$B,"&lt;"&amp;DATE(2026,MONTH(AE$33),DAY(AE$33))+1
)</f>
        <v>11</v>
      </c>
      <c r="AF39" s="30">
        <f>COUNTIFS(
DATA!$F:$F,$B39,
DATA!$B:$B,"&gt;="&amp;DATE(2026,MONTH(AF$33),DAY(AF$33)),
DATA!$B:$B,"&lt;"&amp;DATE(2026,MONTH(AF$33),DAY(AF$33))+1
)</f>
        <v>0</v>
      </c>
      <c r="AG39" s="30">
        <f>COUNTIFS(
DATA!$F:$F,$B39,
DATA!$B:$B,"&gt;="&amp;DATE(2026,MONTH(AG$33),DAY(AG$33)),
DATA!$B:$B,"&lt;"&amp;DATE(2026,MONTH(AG$33),DAY(AG$33))+1
)</f>
        <v>0</v>
      </c>
      <c r="AH39" s="31">
        <f t="shared" si="82"/>
        <v>205</v>
      </c>
      <c r="AI39" s="7"/>
      <c r="AJ39" s="30">
        <v>6.0</v>
      </c>
      <c r="AK39" s="32" t="s">
        <v>66</v>
      </c>
      <c r="AL39" s="41">
        <f t="shared" si="83"/>
        <v>0</v>
      </c>
      <c r="AM39" s="30">
        <f t="shared" si="100"/>
        <v>0</v>
      </c>
      <c r="AN39" s="30">
        <f t="shared" ref="AN39:BP39" si="107">SUM($C39:E39)</f>
        <v>0</v>
      </c>
      <c r="AO39" s="30">
        <f t="shared" si="107"/>
        <v>0</v>
      </c>
      <c r="AP39" s="30">
        <f t="shared" si="107"/>
        <v>39</v>
      </c>
      <c r="AQ39" s="30">
        <f t="shared" si="107"/>
        <v>39</v>
      </c>
      <c r="AR39" s="30">
        <f t="shared" si="107"/>
        <v>76</v>
      </c>
      <c r="AS39" s="30">
        <f t="shared" si="107"/>
        <v>76</v>
      </c>
      <c r="AT39" s="30">
        <f t="shared" si="107"/>
        <v>76</v>
      </c>
      <c r="AU39" s="30">
        <f t="shared" si="107"/>
        <v>76</v>
      </c>
      <c r="AV39" s="30">
        <f t="shared" si="107"/>
        <v>76</v>
      </c>
      <c r="AW39" s="30">
        <f t="shared" si="107"/>
        <v>76</v>
      </c>
      <c r="AX39" s="30">
        <f t="shared" si="107"/>
        <v>76</v>
      </c>
      <c r="AY39" s="30">
        <f t="shared" si="107"/>
        <v>76</v>
      </c>
      <c r="AZ39" s="30">
        <f t="shared" si="107"/>
        <v>76</v>
      </c>
      <c r="BA39" s="30">
        <f t="shared" si="107"/>
        <v>92</v>
      </c>
      <c r="BB39" s="30">
        <f t="shared" si="107"/>
        <v>92</v>
      </c>
      <c r="BC39" s="30">
        <f t="shared" si="107"/>
        <v>92</v>
      </c>
      <c r="BD39" s="30">
        <f t="shared" si="107"/>
        <v>92</v>
      </c>
      <c r="BE39" s="30">
        <f t="shared" si="107"/>
        <v>92</v>
      </c>
      <c r="BF39" s="30">
        <f t="shared" si="107"/>
        <v>92</v>
      </c>
      <c r="BG39" s="30">
        <f t="shared" si="107"/>
        <v>92</v>
      </c>
      <c r="BH39" s="30">
        <f t="shared" si="107"/>
        <v>92</v>
      </c>
      <c r="BI39" s="30">
        <f t="shared" si="107"/>
        <v>92</v>
      </c>
      <c r="BJ39" s="30">
        <f t="shared" si="107"/>
        <v>92</v>
      </c>
      <c r="BK39" s="30">
        <f t="shared" si="107"/>
        <v>170</v>
      </c>
      <c r="BL39" s="30">
        <f t="shared" si="107"/>
        <v>179</v>
      </c>
      <c r="BM39" s="30">
        <f t="shared" si="107"/>
        <v>194</v>
      </c>
      <c r="BN39" s="30">
        <f t="shared" si="107"/>
        <v>205</v>
      </c>
      <c r="BO39" s="30">
        <f t="shared" si="107"/>
        <v>205</v>
      </c>
      <c r="BP39" s="30">
        <f t="shared" si="107"/>
        <v>205</v>
      </c>
      <c r="BQ39" s="31">
        <f t="shared" si="85"/>
        <v>205</v>
      </c>
      <c r="BR39" s="7"/>
      <c r="BS39" s="28">
        <v>6.0</v>
      </c>
      <c r="BT39" s="29" t="s">
        <v>66</v>
      </c>
      <c r="BU39" s="81">
        <f t="shared" si="86"/>
        <v>7</v>
      </c>
      <c r="BV39" s="81">
        <f t="shared" si="87"/>
        <v>178</v>
      </c>
      <c r="BW39" s="81">
        <f t="shared" si="88"/>
        <v>205</v>
      </c>
      <c r="BX39" s="81">
        <f t="shared" si="89"/>
        <v>66</v>
      </c>
      <c r="BY39" s="81">
        <f t="shared" si="90"/>
        <v>0</v>
      </c>
      <c r="BZ39" s="81">
        <f t="shared" si="91"/>
        <v>0</v>
      </c>
      <c r="CA39" s="81">
        <f t="shared" si="92"/>
        <v>0</v>
      </c>
      <c r="CB39" s="81">
        <f t="shared" si="93"/>
        <v>0</v>
      </c>
      <c r="CC39" s="81">
        <f t="shared" si="94"/>
        <v>0</v>
      </c>
      <c r="CD39" s="81">
        <f t="shared" si="95"/>
        <v>0</v>
      </c>
      <c r="CE39" s="81">
        <f t="shared" si="96"/>
        <v>0</v>
      </c>
      <c r="CF39" s="81">
        <f t="shared" si="97"/>
        <v>0</v>
      </c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0"/>
      <c r="CW39" s="28">
        <v>6.0</v>
      </c>
      <c r="CX39" s="29" t="s">
        <v>66</v>
      </c>
      <c r="CY39" s="39">
        <f t="shared" ref="CY39:DB39" si="108">(ED25/CY11)*100</f>
        <v>42.76186257</v>
      </c>
      <c r="CZ39" s="39">
        <f t="shared" si="108"/>
        <v>86.63122662</v>
      </c>
      <c r="DA39" s="39">
        <f t="shared" si="108"/>
        <v>130.7153392</v>
      </c>
      <c r="DB39" s="39">
        <f t="shared" si="108"/>
        <v>173.4988735</v>
      </c>
      <c r="DC39" s="39">
        <f t="shared" si="99"/>
        <v>217.1490841</v>
      </c>
      <c r="DD39" s="69"/>
      <c r="DE39" s="69"/>
      <c r="DF39" s="69"/>
      <c r="DG39" s="69"/>
      <c r="DH39" s="69"/>
      <c r="DI39" s="69"/>
      <c r="DJ39" s="69"/>
      <c r="DK39" s="72"/>
      <c r="DL39" s="72"/>
      <c r="DM39" s="72"/>
      <c r="DN39" s="72"/>
      <c r="DO39" s="72"/>
      <c r="DP39" s="72"/>
      <c r="DQ39" s="72"/>
      <c r="DR39" s="72"/>
      <c r="DS39" s="72"/>
      <c r="DT39" s="72"/>
      <c r="DU39" s="72"/>
      <c r="DV39" s="72"/>
      <c r="DW39" s="72"/>
      <c r="DX39" s="72"/>
      <c r="DY39" s="72"/>
      <c r="DZ39" s="72"/>
      <c r="EA39" s="7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72"/>
      <c r="EN39" s="72"/>
      <c r="EO39" s="72"/>
    </row>
    <row r="40">
      <c r="A40" s="28">
        <v>7.0</v>
      </c>
      <c r="B40" s="29" t="s">
        <v>67</v>
      </c>
      <c r="C40" s="30">
        <f>COUNTIFS(
DATA!$F:$F,$B40,
DATA!$B:$B,"&gt;="&amp;DATE(2026,MONTH(C$33),DAY(C$33)),
DATA!$B:$B,"&lt;"&amp;DATE(2026,MONTH(C$33),DAY(C$33))+1
)</f>
        <v>0</v>
      </c>
      <c r="D40" s="30">
        <f>COUNTIFS(
DATA!$F:$F,$B40,
DATA!$B:$B,"&gt;="&amp;DATE(2026,MONTH(D$33),DAY(D$33)),
DATA!$B:$B,"&lt;"&amp;DATE(2026,MONTH(D$33),DAY(D$33))+1
)</f>
        <v>0</v>
      </c>
      <c r="E40" s="30">
        <f>COUNTIFS(
DATA!$F:$F,$B40,
DATA!$B:$B,"&gt;="&amp;DATE(2026,MONTH(E$33),DAY(E$33)),
DATA!$B:$B,"&lt;"&amp;DATE(2026,MONTH(E$33),DAY(E$33))+1
)</f>
        <v>17</v>
      </c>
      <c r="F40" s="30">
        <f>COUNTIFS(
DATA!$F:$F,$B40,
DATA!$B:$B,"&gt;="&amp;DATE(2026,MONTH(F$33),DAY(F$33)),
DATA!$B:$B,"&lt;"&amp;DATE(2026,MONTH(F$33),DAY(F$33))+1
)</f>
        <v>0</v>
      </c>
      <c r="G40" s="30">
        <f>COUNTIFS(
DATA!$F:$F,$B40,
DATA!$B:$B,"&gt;="&amp;DATE(2026,MONTH(G$33),DAY(G$33)),
DATA!$B:$B,"&lt;"&amp;DATE(2026,MONTH(G$33),DAY(G$33))+1
)</f>
        <v>0</v>
      </c>
      <c r="H40" s="30">
        <f>COUNTIFS(
DATA!$F:$F,$B40,
DATA!$B:$B,"&gt;="&amp;DATE(2026,MONTH(H$33),DAY(H$33)),
DATA!$B:$B,"&lt;"&amp;DATE(2026,MONTH(H$33),DAY(H$33))+1
)</f>
        <v>0</v>
      </c>
      <c r="I40" s="30">
        <f>COUNTIFS(
DATA!$F:$F,$B40,
DATA!$B:$B,"&gt;="&amp;DATE(2026,MONTH(I$33),DAY(I$33)),
DATA!$B:$B,"&lt;"&amp;DATE(2026,MONTH(I$33),DAY(I$33))+1
)</f>
        <v>0</v>
      </c>
      <c r="J40" s="30">
        <f>COUNTIFS(
DATA!$F:$F,$B40,
DATA!$B:$B,"&gt;="&amp;DATE(2026,MONTH(J$33),DAY(J$33)),
DATA!$B:$B,"&lt;"&amp;DATE(2026,MONTH(J$33),DAY(J$33))+1
)</f>
        <v>0</v>
      </c>
      <c r="K40" s="30">
        <f>COUNTIFS(
DATA!$F:$F,$B40,
DATA!$B:$B,"&gt;="&amp;DATE(2026,MONTH(K$33),DAY(K$33)),
DATA!$B:$B,"&lt;"&amp;DATE(2026,MONTH(K$33),DAY(K$33))+1
)</f>
        <v>0</v>
      </c>
      <c r="L40" s="30">
        <f>COUNTIFS(
DATA!$F:$F,$B40,
DATA!$B:$B,"&gt;="&amp;DATE(2026,MONTH(L$33),DAY(L$33)),
DATA!$B:$B,"&lt;"&amp;DATE(2026,MONTH(L$33),DAY(L$33))+1
)</f>
        <v>0</v>
      </c>
      <c r="M40" s="30">
        <f>COUNTIFS(
DATA!$F:$F,$B40,
DATA!$B:$B,"&gt;="&amp;DATE(2026,MONTH(M$33),DAY(M$33)),
DATA!$B:$B,"&lt;"&amp;DATE(2026,MONTH(M$33),DAY(M$33))+1
)</f>
        <v>0</v>
      </c>
      <c r="N40" s="30">
        <f>COUNTIFS(
DATA!$F:$F,$B40,
DATA!$B:$B,"&gt;="&amp;DATE(2026,MONTH(N$33),DAY(N$33)),
DATA!$B:$B,"&lt;"&amp;DATE(2026,MONTH(N$33),DAY(N$33))+1
)</f>
        <v>0</v>
      </c>
      <c r="O40" s="30">
        <f>COUNTIFS(
DATA!$F:$F,$B40,
DATA!$B:$B,"&gt;="&amp;DATE(2026,MONTH(O$33),DAY(O$33)),
DATA!$B:$B,"&lt;"&amp;DATE(2026,MONTH(O$33),DAY(O$33))+1
)</f>
        <v>29</v>
      </c>
      <c r="P40" s="30">
        <f>COUNTIFS(
DATA!$F:$F,$B40,
DATA!$B:$B,"&gt;="&amp;DATE(2026,MONTH(P$33),DAY(P$33)),
DATA!$B:$B,"&lt;"&amp;DATE(2026,MONTH(P$33),DAY(P$33))+1
)</f>
        <v>0</v>
      </c>
      <c r="Q40" s="30">
        <f>COUNTIFS(
DATA!$F:$F,$B40,
DATA!$B:$B,"&gt;="&amp;DATE(2026,MONTH(Q$33),DAY(Q$33)),
DATA!$B:$B,"&lt;"&amp;DATE(2026,MONTH(Q$33),DAY(Q$33))+1
)</f>
        <v>0</v>
      </c>
      <c r="R40" s="30">
        <f>COUNTIFS(
DATA!$F:$F,$B40,
DATA!$B:$B,"&gt;="&amp;DATE(2026,MONTH(R$33),DAY(R$33)),
DATA!$B:$B,"&lt;"&amp;DATE(2026,MONTH(R$33),DAY(R$33))+1
)</f>
        <v>0</v>
      </c>
      <c r="S40" s="30">
        <f>COUNTIFS(
DATA!$F:$F,$B40,
DATA!$B:$B,"&gt;="&amp;DATE(2026,MONTH(S$33),DAY(S$33)),
DATA!$B:$B,"&lt;"&amp;DATE(2026,MONTH(S$33),DAY(S$33))+1
)</f>
        <v>0</v>
      </c>
      <c r="T40" s="30">
        <f>COUNTIFS(
DATA!$F:$F,$B40,
DATA!$B:$B,"&gt;="&amp;DATE(2026,MONTH(T$33),DAY(T$33)),
DATA!$B:$B,"&lt;"&amp;DATE(2026,MONTH(T$33),DAY(T$33))+1
)</f>
        <v>0</v>
      </c>
      <c r="U40" s="30">
        <f>COUNTIFS(
DATA!$F:$F,$B40,
DATA!$B:$B,"&gt;="&amp;DATE(2026,MONTH(U$33),DAY(U$33)),
DATA!$B:$B,"&lt;"&amp;DATE(2026,MONTH(U$33),DAY(U$33))+1
)</f>
        <v>0</v>
      </c>
      <c r="V40" s="30">
        <f>COUNTIFS(
DATA!$F:$F,$B40,
DATA!$B:$B,"&gt;="&amp;DATE(2026,MONTH(V$33),DAY(V$33)),
DATA!$B:$B,"&lt;"&amp;DATE(2026,MONTH(V$33),DAY(V$33))+1
)</f>
        <v>0</v>
      </c>
      <c r="W40" s="30">
        <f>COUNTIFS(
DATA!$F:$F,$B40,
DATA!$B:$B,"&gt;="&amp;DATE(2026,MONTH(W$33),DAY(W$33)),
DATA!$B:$B,"&lt;"&amp;DATE(2026,MONTH(W$33),DAY(W$33))+1
)</f>
        <v>0</v>
      </c>
      <c r="X40" s="30">
        <f>COUNTIFS(
DATA!$F:$F,$B40,
DATA!$B:$B,"&gt;="&amp;DATE(2026,MONTH(X$33),DAY(X$33)),
DATA!$B:$B,"&lt;"&amp;DATE(2026,MONTH(X$33),DAY(X$33))+1
)</f>
        <v>0</v>
      </c>
      <c r="Y40" s="30">
        <f>COUNTIFS(
DATA!$F:$F,$B40,
DATA!$B:$B,"&gt;="&amp;DATE(2026,MONTH(Y$33),DAY(Y$33)),
DATA!$B:$B,"&lt;"&amp;DATE(2026,MONTH(Y$33),DAY(Y$33))+1
)</f>
        <v>0</v>
      </c>
      <c r="Z40" s="30">
        <f>COUNTIFS(
DATA!$F:$F,$B40,
DATA!$B:$B,"&gt;="&amp;DATE(2026,MONTH(Z$33),DAY(Z$33)),
DATA!$B:$B,"&lt;"&amp;DATE(2026,MONTH(Z$33),DAY(Z$33))+1
)</f>
        <v>0</v>
      </c>
      <c r="AA40" s="30">
        <f>COUNTIFS(
DATA!$F:$F,$B40,
DATA!$B:$B,"&gt;="&amp;DATE(2026,MONTH(AA$33),DAY(AA$33)),
DATA!$B:$B,"&lt;"&amp;DATE(2026,MONTH(AA$33),DAY(AA$33))+1
)</f>
        <v>0</v>
      </c>
      <c r="AB40" s="30">
        <f>COUNTIFS(
DATA!$F:$F,$B40,
DATA!$B:$B,"&gt;="&amp;DATE(2026,MONTH(AB$33),DAY(AB$33)),
DATA!$B:$B,"&lt;"&amp;DATE(2026,MONTH(AB$33),DAY(AB$33))+1
)</f>
        <v>0</v>
      </c>
      <c r="AC40" s="30">
        <f>COUNTIFS(
DATA!$F:$F,$B40,
DATA!$B:$B,"&gt;="&amp;DATE(2026,MONTH(AC$33),DAY(AC$33)),
DATA!$B:$B,"&lt;"&amp;DATE(2026,MONTH(AC$33),DAY(AC$33))+1
)</f>
        <v>0</v>
      </c>
      <c r="AD40" s="30">
        <f>COUNTIFS(
DATA!$F:$F,$B40,
DATA!$B:$B,"&gt;="&amp;DATE(2026,MONTH(AD$33),DAY(AD$33)),
DATA!$B:$B,"&lt;"&amp;DATE(2026,MONTH(AD$33),DAY(AD$33))+1
)</f>
        <v>0</v>
      </c>
      <c r="AE40" s="30">
        <f>COUNTIFS(
DATA!$F:$F,$B40,
DATA!$B:$B,"&gt;="&amp;DATE(2026,MONTH(AE$33),DAY(AE$33)),
DATA!$B:$B,"&lt;"&amp;DATE(2026,MONTH(AE$33),DAY(AE$33))+1
)</f>
        <v>0</v>
      </c>
      <c r="AF40" s="30">
        <f>COUNTIFS(
DATA!$F:$F,$B40,
DATA!$B:$B,"&gt;="&amp;DATE(2026,MONTH(AF$33),DAY(AF$33)),
DATA!$B:$B,"&lt;"&amp;DATE(2026,MONTH(AF$33),DAY(AF$33))+1
)</f>
        <v>0</v>
      </c>
      <c r="AG40" s="30">
        <f>COUNTIFS(
DATA!$F:$F,$B40,
DATA!$B:$B,"&gt;="&amp;DATE(2026,MONTH(AG$33),DAY(AG$33)),
DATA!$B:$B,"&lt;"&amp;DATE(2026,MONTH(AG$33),DAY(AG$33))+1
)</f>
        <v>0</v>
      </c>
      <c r="AH40" s="31">
        <f t="shared" si="82"/>
        <v>46</v>
      </c>
      <c r="AI40" s="7"/>
      <c r="AJ40" s="30">
        <v>7.0</v>
      </c>
      <c r="AK40" s="32" t="s">
        <v>67</v>
      </c>
      <c r="AL40" s="41">
        <f t="shared" si="83"/>
        <v>0</v>
      </c>
      <c r="AM40" s="30">
        <f t="shared" si="100"/>
        <v>0</v>
      </c>
      <c r="AN40" s="30">
        <f t="shared" ref="AN40:BP40" si="109">SUM($C40:E40)</f>
        <v>17</v>
      </c>
      <c r="AO40" s="30">
        <f t="shared" si="109"/>
        <v>17</v>
      </c>
      <c r="AP40" s="30">
        <f t="shared" si="109"/>
        <v>17</v>
      </c>
      <c r="AQ40" s="30">
        <f t="shared" si="109"/>
        <v>17</v>
      </c>
      <c r="AR40" s="30">
        <f t="shared" si="109"/>
        <v>17</v>
      </c>
      <c r="AS40" s="30">
        <f t="shared" si="109"/>
        <v>17</v>
      </c>
      <c r="AT40" s="30">
        <f t="shared" si="109"/>
        <v>17</v>
      </c>
      <c r="AU40" s="30">
        <f t="shared" si="109"/>
        <v>17</v>
      </c>
      <c r="AV40" s="30">
        <f t="shared" si="109"/>
        <v>17</v>
      </c>
      <c r="AW40" s="30">
        <f t="shared" si="109"/>
        <v>17</v>
      </c>
      <c r="AX40" s="30">
        <f t="shared" si="109"/>
        <v>46</v>
      </c>
      <c r="AY40" s="30">
        <f t="shared" si="109"/>
        <v>46</v>
      </c>
      <c r="AZ40" s="30">
        <f t="shared" si="109"/>
        <v>46</v>
      </c>
      <c r="BA40" s="30">
        <f t="shared" si="109"/>
        <v>46</v>
      </c>
      <c r="BB40" s="30">
        <f t="shared" si="109"/>
        <v>46</v>
      </c>
      <c r="BC40" s="30">
        <f t="shared" si="109"/>
        <v>46</v>
      </c>
      <c r="BD40" s="30">
        <f t="shared" si="109"/>
        <v>46</v>
      </c>
      <c r="BE40" s="30">
        <f t="shared" si="109"/>
        <v>46</v>
      </c>
      <c r="BF40" s="30">
        <f t="shared" si="109"/>
        <v>46</v>
      </c>
      <c r="BG40" s="30">
        <f t="shared" si="109"/>
        <v>46</v>
      </c>
      <c r="BH40" s="30">
        <f t="shared" si="109"/>
        <v>46</v>
      </c>
      <c r="BI40" s="30">
        <f t="shared" si="109"/>
        <v>46</v>
      </c>
      <c r="BJ40" s="30">
        <f t="shared" si="109"/>
        <v>46</v>
      </c>
      <c r="BK40" s="30">
        <f t="shared" si="109"/>
        <v>46</v>
      </c>
      <c r="BL40" s="30">
        <f t="shared" si="109"/>
        <v>46</v>
      </c>
      <c r="BM40" s="30">
        <f t="shared" si="109"/>
        <v>46</v>
      </c>
      <c r="BN40" s="30">
        <f t="shared" si="109"/>
        <v>46</v>
      </c>
      <c r="BO40" s="30">
        <f t="shared" si="109"/>
        <v>46</v>
      </c>
      <c r="BP40" s="30">
        <f t="shared" si="109"/>
        <v>46</v>
      </c>
      <c r="BQ40" s="31">
        <f t="shared" si="85"/>
        <v>46</v>
      </c>
      <c r="BR40" s="7"/>
      <c r="BS40" s="28">
        <v>7.0</v>
      </c>
      <c r="BT40" s="29" t="s">
        <v>67</v>
      </c>
      <c r="BU40" s="81">
        <f t="shared" si="86"/>
        <v>52</v>
      </c>
      <c r="BV40" s="81">
        <f t="shared" si="87"/>
        <v>42</v>
      </c>
      <c r="BW40" s="81">
        <f t="shared" si="88"/>
        <v>46</v>
      </c>
      <c r="BX40" s="81">
        <f t="shared" si="89"/>
        <v>45</v>
      </c>
      <c r="BY40" s="81">
        <f t="shared" si="90"/>
        <v>0</v>
      </c>
      <c r="BZ40" s="81">
        <f t="shared" si="91"/>
        <v>0</v>
      </c>
      <c r="CA40" s="81">
        <f t="shared" si="92"/>
        <v>0</v>
      </c>
      <c r="CB40" s="81">
        <f t="shared" si="93"/>
        <v>0</v>
      </c>
      <c r="CC40" s="81">
        <f t="shared" si="94"/>
        <v>0</v>
      </c>
      <c r="CD40" s="81">
        <f t="shared" si="95"/>
        <v>0</v>
      </c>
      <c r="CE40" s="81">
        <f t="shared" si="96"/>
        <v>0</v>
      </c>
      <c r="CF40" s="81">
        <f t="shared" si="97"/>
        <v>0</v>
      </c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0"/>
      <c r="CW40" s="28">
        <v>7.0</v>
      </c>
      <c r="CX40" s="29" t="s">
        <v>67</v>
      </c>
      <c r="CY40" s="39">
        <f t="shared" ref="CY40:DB40" si="110">(ED26/CY12)*100</f>
        <v>30.09814826</v>
      </c>
      <c r="CZ40" s="39">
        <f t="shared" si="110"/>
        <v>60.73545469</v>
      </c>
      <c r="DA40" s="39">
        <f t="shared" si="110"/>
        <v>91.3956481</v>
      </c>
      <c r="DB40" s="39">
        <f t="shared" si="110"/>
        <v>120.8859772</v>
      </c>
      <c r="DC40" s="39">
        <f t="shared" si="99"/>
        <v>152.1311028</v>
      </c>
      <c r="DD40" s="69"/>
      <c r="DE40" s="69"/>
      <c r="DF40" s="69"/>
      <c r="DG40" s="69"/>
      <c r="DH40" s="69"/>
      <c r="DI40" s="69"/>
      <c r="DJ40" s="69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2"/>
      <c r="DX40" s="72"/>
      <c r="DY40" s="72"/>
      <c r="DZ40" s="72"/>
      <c r="EA40" s="7"/>
      <c r="EB40" s="72"/>
      <c r="EC40" s="72"/>
      <c r="ED40" s="72"/>
      <c r="EE40" s="72"/>
      <c r="EF40" s="72"/>
      <c r="EG40" s="72"/>
      <c r="EH40" s="72"/>
      <c r="EI40" s="72"/>
      <c r="EJ40" s="72"/>
      <c r="EK40" s="72"/>
      <c r="EL40" s="72"/>
      <c r="EM40" s="72"/>
      <c r="EN40" s="72"/>
      <c r="EO40" s="72"/>
    </row>
    <row r="41">
      <c r="A41" s="28">
        <v>8.0</v>
      </c>
      <c r="B41" s="29" t="s">
        <v>68</v>
      </c>
      <c r="C41" s="30">
        <f>COUNTIFS(
DATA!$F:$F,$B41,
DATA!$B:$B,"&gt;="&amp;DATE(2026,MONTH(C$33),DAY(C$33)),
DATA!$B:$B,"&lt;"&amp;DATE(2026,MONTH(C$33),DAY(C$33))+1
)</f>
        <v>0</v>
      </c>
      <c r="D41" s="30">
        <f>COUNTIFS(
DATA!$F:$F,$B41,
DATA!$B:$B,"&gt;="&amp;DATE(2026,MONTH(D$33),DAY(D$33)),
DATA!$B:$B,"&lt;"&amp;DATE(2026,MONTH(D$33),DAY(D$33))+1
)</f>
        <v>0</v>
      </c>
      <c r="E41" s="30">
        <f>COUNTIFS(
DATA!$F:$F,$B41,
DATA!$B:$B,"&gt;="&amp;DATE(2026,MONTH(E$33),DAY(E$33)),
DATA!$B:$B,"&lt;"&amp;DATE(2026,MONTH(E$33),DAY(E$33))+1
)</f>
        <v>0</v>
      </c>
      <c r="F41" s="30">
        <f>COUNTIFS(
DATA!$F:$F,$B41,
DATA!$B:$B,"&gt;="&amp;DATE(2026,MONTH(F$33),DAY(F$33)),
DATA!$B:$B,"&lt;"&amp;DATE(2026,MONTH(F$33),DAY(F$33))+1
)</f>
        <v>0</v>
      </c>
      <c r="G41" s="30">
        <f>COUNTIFS(
DATA!$F:$F,$B41,
DATA!$B:$B,"&gt;="&amp;DATE(2026,MONTH(G$33),DAY(G$33)),
DATA!$B:$B,"&lt;"&amp;DATE(2026,MONTH(G$33),DAY(G$33))+1
)</f>
        <v>0</v>
      </c>
      <c r="H41" s="30">
        <f>COUNTIFS(
DATA!$F:$F,$B41,
DATA!$B:$B,"&gt;="&amp;DATE(2026,MONTH(H$33),DAY(H$33)),
DATA!$B:$B,"&lt;"&amp;DATE(2026,MONTH(H$33),DAY(H$33))+1
)</f>
        <v>0</v>
      </c>
      <c r="I41" s="30">
        <f>COUNTIFS(
DATA!$F:$F,$B41,
DATA!$B:$B,"&gt;="&amp;DATE(2026,MONTH(I$33),DAY(I$33)),
DATA!$B:$B,"&lt;"&amp;DATE(2026,MONTH(I$33),DAY(I$33))+1
)</f>
        <v>0</v>
      </c>
      <c r="J41" s="30">
        <f>COUNTIFS(
DATA!$F:$F,$B41,
DATA!$B:$B,"&gt;="&amp;DATE(2026,MONTH(J$33),DAY(J$33)),
DATA!$B:$B,"&lt;"&amp;DATE(2026,MONTH(J$33),DAY(J$33))+1
)</f>
        <v>0</v>
      </c>
      <c r="K41" s="30">
        <f>COUNTIFS(
DATA!$F:$F,$B41,
DATA!$B:$B,"&gt;="&amp;DATE(2026,MONTH(K$33),DAY(K$33)),
DATA!$B:$B,"&lt;"&amp;DATE(2026,MONTH(K$33),DAY(K$33))+1
)</f>
        <v>0</v>
      </c>
      <c r="L41" s="30">
        <f>COUNTIFS(
DATA!$F:$F,$B41,
DATA!$B:$B,"&gt;="&amp;DATE(2026,MONTH(L$33),DAY(L$33)),
DATA!$B:$B,"&lt;"&amp;DATE(2026,MONTH(L$33),DAY(L$33))+1
)</f>
        <v>0</v>
      </c>
      <c r="M41" s="30">
        <f>COUNTIFS(
DATA!$F:$F,$B41,
DATA!$B:$B,"&gt;="&amp;DATE(2026,MONTH(M$33),DAY(M$33)),
DATA!$B:$B,"&lt;"&amp;DATE(2026,MONTH(M$33),DAY(M$33))+1
)</f>
        <v>0</v>
      </c>
      <c r="N41" s="30">
        <f>COUNTIFS(
DATA!$F:$F,$B41,
DATA!$B:$B,"&gt;="&amp;DATE(2026,MONTH(N$33),DAY(N$33)),
DATA!$B:$B,"&lt;"&amp;DATE(2026,MONTH(N$33),DAY(N$33))+1
)</f>
        <v>0</v>
      </c>
      <c r="O41" s="30">
        <f>COUNTIFS(
DATA!$F:$F,$B41,
DATA!$B:$B,"&gt;="&amp;DATE(2026,MONTH(O$33),DAY(O$33)),
DATA!$B:$B,"&lt;"&amp;DATE(2026,MONTH(O$33),DAY(O$33))+1
)</f>
        <v>0</v>
      </c>
      <c r="P41" s="30">
        <f>COUNTIFS(
DATA!$F:$F,$B41,
DATA!$B:$B,"&gt;="&amp;DATE(2026,MONTH(P$33),DAY(P$33)),
DATA!$B:$B,"&lt;"&amp;DATE(2026,MONTH(P$33),DAY(P$33))+1
)</f>
        <v>0</v>
      </c>
      <c r="Q41" s="30">
        <f>COUNTIFS(
DATA!$F:$F,$B41,
DATA!$B:$B,"&gt;="&amp;DATE(2026,MONTH(Q$33),DAY(Q$33)),
DATA!$B:$B,"&lt;"&amp;DATE(2026,MONTH(Q$33),DAY(Q$33))+1
)</f>
        <v>0</v>
      </c>
      <c r="R41" s="30">
        <f>COUNTIFS(
DATA!$F:$F,$B41,
DATA!$B:$B,"&gt;="&amp;DATE(2026,MONTH(R$33),DAY(R$33)),
DATA!$B:$B,"&lt;"&amp;DATE(2026,MONTH(R$33),DAY(R$33))+1
)</f>
        <v>0</v>
      </c>
      <c r="S41" s="30">
        <f>COUNTIFS(
DATA!$F:$F,$B41,
DATA!$B:$B,"&gt;="&amp;DATE(2026,MONTH(S$33),DAY(S$33)),
DATA!$B:$B,"&lt;"&amp;DATE(2026,MONTH(S$33),DAY(S$33))+1
)</f>
        <v>0</v>
      </c>
      <c r="T41" s="30">
        <f>COUNTIFS(
DATA!$F:$F,$B41,
DATA!$B:$B,"&gt;="&amp;DATE(2026,MONTH(T$33),DAY(T$33)),
DATA!$B:$B,"&lt;"&amp;DATE(2026,MONTH(T$33),DAY(T$33))+1
)</f>
        <v>0</v>
      </c>
      <c r="U41" s="30">
        <f>COUNTIFS(
DATA!$F:$F,$B41,
DATA!$B:$B,"&gt;="&amp;DATE(2026,MONTH(U$33),DAY(U$33)),
DATA!$B:$B,"&lt;"&amp;DATE(2026,MONTH(U$33),DAY(U$33))+1
)</f>
        <v>0</v>
      </c>
      <c r="V41" s="30">
        <f>COUNTIFS(
DATA!$F:$F,$B41,
DATA!$B:$B,"&gt;="&amp;DATE(2026,MONTH(V$33),DAY(V$33)),
DATA!$B:$B,"&lt;"&amp;DATE(2026,MONTH(V$33),DAY(V$33))+1
)</f>
        <v>0</v>
      </c>
      <c r="W41" s="30">
        <f>COUNTIFS(
DATA!$F:$F,$B41,
DATA!$B:$B,"&gt;="&amp;DATE(2026,MONTH(W$33),DAY(W$33)),
DATA!$B:$B,"&lt;"&amp;DATE(2026,MONTH(W$33),DAY(W$33))+1
)</f>
        <v>0</v>
      </c>
      <c r="X41" s="30">
        <f>COUNTIFS(
DATA!$F:$F,$B41,
DATA!$B:$B,"&gt;="&amp;DATE(2026,MONTH(X$33),DAY(X$33)),
DATA!$B:$B,"&lt;"&amp;DATE(2026,MONTH(X$33),DAY(X$33))+1
)</f>
        <v>0</v>
      </c>
      <c r="Y41" s="30">
        <f>COUNTIFS(
DATA!$F:$F,$B41,
DATA!$B:$B,"&gt;="&amp;DATE(2026,MONTH(Y$33),DAY(Y$33)),
DATA!$B:$B,"&lt;"&amp;DATE(2026,MONTH(Y$33),DAY(Y$33))+1
)</f>
        <v>0</v>
      </c>
      <c r="Z41" s="30">
        <f>COUNTIFS(
DATA!$F:$F,$B41,
DATA!$B:$B,"&gt;="&amp;DATE(2026,MONTH(Z$33),DAY(Z$33)),
DATA!$B:$B,"&lt;"&amp;DATE(2026,MONTH(Z$33),DAY(Z$33))+1
)</f>
        <v>0</v>
      </c>
      <c r="AA41" s="30">
        <f>COUNTIFS(
DATA!$F:$F,$B41,
DATA!$B:$B,"&gt;="&amp;DATE(2026,MONTH(AA$33),DAY(AA$33)),
DATA!$B:$B,"&lt;"&amp;DATE(2026,MONTH(AA$33),DAY(AA$33))+1
)</f>
        <v>0</v>
      </c>
      <c r="AB41" s="30">
        <f>COUNTIFS(
DATA!$F:$F,$B41,
DATA!$B:$B,"&gt;="&amp;DATE(2026,MONTH(AB$33),DAY(AB$33)),
DATA!$B:$B,"&lt;"&amp;DATE(2026,MONTH(AB$33),DAY(AB$33))+1
)</f>
        <v>0</v>
      </c>
      <c r="AC41" s="30">
        <f>COUNTIFS(
DATA!$F:$F,$B41,
DATA!$B:$B,"&gt;="&amp;DATE(2026,MONTH(AC$33),DAY(AC$33)),
DATA!$B:$B,"&lt;"&amp;DATE(2026,MONTH(AC$33),DAY(AC$33))+1
)</f>
        <v>0</v>
      </c>
      <c r="AD41" s="30">
        <f>COUNTIFS(
DATA!$F:$F,$B41,
DATA!$B:$B,"&gt;="&amp;DATE(2026,MONTH(AD$33),DAY(AD$33)),
DATA!$B:$B,"&lt;"&amp;DATE(2026,MONTH(AD$33),DAY(AD$33))+1
)</f>
        <v>0</v>
      </c>
      <c r="AE41" s="30">
        <f>COUNTIFS(
DATA!$F:$F,$B41,
DATA!$B:$B,"&gt;="&amp;DATE(2026,MONTH(AE$33),DAY(AE$33)),
DATA!$B:$B,"&lt;"&amp;DATE(2026,MONTH(AE$33),DAY(AE$33))+1
)</f>
        <v>0</v>
      </c>
      <c r="AF41" s="30">
        <f>COUNTIFS(
DATA!$F:$F,$B41,
DATA!$B:$B,"&gt;="&amp;DATE(2026,MONTH(AF$33),DAY(AF$33)),
DATA!$B:$B,"&lt;"&amp;DATE(2026,MONTH(AF$33),DAY(AF$33))+1
)</f>
        <v>0</v>
      </c>
      <c r="AG41" s="30">
        <f>COUNTIFS(
DATA!$F:$F,$B41,
DATA!$B:$B,"&gt;="&amp;DATE(2026,MONTH(AG$33),DAY(AG$33)),
DATA!$B:$B,"&lt;"&amp;DATE(2026,MONTH(AG$33),DAY(AG$33))+1
)</f>
        <v>0</v>
      </c>
      <c r="AH41" s="31">
        <f t="shared" si="82"/>
        <v>0</v>
      </c>
      <c r="AI41" s="7"/>
      <c r="AJ41" s="30">
        <v>8.0</v>
      </c>
      <c r="AK41" s="32" t="s">
        <v>68</v>
      </c>
      <c r="AL41" s="41">
        <f t="shared" si="83"/>
        <v>0</v>
      </c>
      <c r="AM41" s="30">
        <f t="shared" si="100"/>
        <v>0</v>
      </c>
      <c r="AN41" s="30">
        <f t="shared" ref="AN41:BP41" si="111">SUM($C41:E41)</f>
        <v>0</v>
      </c>
      <c r="AO41" s="30">
        <f t="shared" si="111"/>
        <v>0</v>
      </c>
      <c r="AP41" s="30">
        <f t="shared" si="111"/>
        <v>0</v>
      </c>
      <c r="AQ41" s="30">
        <f t="shared" si="111"/>
        <v>0</v>
      </c>
      <c r="AR41" s="30">
        <f t="shared" si="111"/>
        <v>0</v>
      </c>
      <c r="AS41" s="30">
        <f t="shared" si="111"/>
        <v>0</v>
      </c>
      <c r="AT41" s="30">
        <f t="shared" si="111"/>
        <v>0</v>
      </c>
      <c r="AU41" s="30">
        <f t="shared" si="111"/>
        <v>0</v>
      </c>
      <c r="AV41" s="30">
        <f t="shared" si="111"/>
        <v>0</v>
      </c>
      <c r="AW41" s="30">
        <f t="shared" si="111"/>
        <v>0</v>
      </c>
      <c r="AX41" s="30">
        <f t="shared" si="111"/>
        <v>0</v>
      </c>
      <c r="AY41" s="30">
        <f t="shared" si="111"/>
        <v>0</v>
      </c>
      <c r="AZ41" s="30">
        <f t="shared" si="111"/>
        <v>0</v>
      </c>
      <c r="BA41" s="30">
        <f t="shared" si="111"/>
        <v>0</v>
      </c>
      <c r="BB41" s="30">
        <f t="shared" si="111"/>
        <v>0</v>
      </c>
      <c r="BC41" s="30">
        <f t="shared" si="111"/>
        <v>0</v>
      </c>
      <c r="BD41" s="30">
        <f t="shared" si="111"/>
        <v>0</v>
      </c>
      <c r="BE41" s="30">
        <f t="shared" si="111"/>
        <v>0</v>
      </c>
      <c r="BF41" s="30">
        <f t="shared" si="111"/>
        <v>0</v>
      </c>
      <c r="BG41" s="30">
        <f t="shared" si="111"/>
        <v>0</v>
      </c>
      <c r="BH41" s="30">
        <f t="shared" si="111"/>
        <v>0</v>
      </c>
      <c r="BI41" s="30">
        <f t="shared" si="111"/>
        <v>0</v>
      </c>
      <c r="BJ41" s="30">
        <f t="shared" si="111"/>
        <v>0</v>
      </c>
      <c r="BK41" s="30">
        <f t="shared" si="111"/>
        <v>0</v>
      </c>
      <c r="BL41" s="30">
        <f t="shared" si="111"/>
        <v>0</v>
      </c>
      <c r="BM41" s="30">
        <f t="shared" si="111"/>
        <v>0</v>
      </c>
      <c r="BN41" s="30">
        <f t="shared" si="111"/>
        <v>0</v>
      </c>
      <c r="BO41" s="30">
        <f t="shared" si="111"/>
        <v>0</v>
      </c>
      <c r="BP41" s="30">
        <f t="shared" si="111"/>
        <v>0</v>
      </c>
      <c r="BQ41" s="31">
        <f t="shared" si="85"/>
        <v>0</v>
      </c>
      <c r="BR41" s="7"/>
      <c r="BS41" s="28">
        <v>8.0</v>
      </c>
      <c r="BT41" s="29" t="s">
        <v>68</v>
      </c>
      <c r="BU41" s="81">
        <f t="shared" si="86"/>
        <v>0</v>
      </c>
      <c r="BV41" s="81">
        <f t="shared" si="87"/>
        <v>0</v>
      </c>
      <c r="BW41" s="81">
        <f t="shared" si="88"/>
        <v>0</v>
      </c>
      <c r="BX41" s="81">
        <f t="shared" si="89"/>
        <v>0</v>
      </c>
      <c r="BY41" s="81">
        <f t="shared" si="90"/>
        <v>0</v>
      </c>
      <c r="BZ41" s="81">
        <f t="shared" si="91"/>
        <v>0</v>
      </c>
      <c r="CA41" s="81">
        <f t="shared" si="92"/>
        <v>0</v>
      </c>
      <c r="CB41" s="81">
        <f t="shared" si="93"/>
        <v>0</v>
      </c>
      <c r="CC41" s="81">
        <f t="shared" si="94"/>
        <v>0</v>
      </c>
      <c r="CD41" s="81">
        <f t="shared" si="95"/>
        <v>0</v>
      </c>
      <c r="CE41" s="81">
        <f t="shared" si="96"/>
        <v>0</v>
      </c>
      <c r="CF41" s="81">
        <f t="shared" si="97"/>
        <v>0</v>
      </c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0"/>
      <c r="CW41" s="28">
        <v>8.0</v>
      </c>
      <c r="CX41" s="29" t="s">
        <v>68</v>
      </c>
      <c r="CY41" s="39">
        <f t="shared" ref="CY41:DB41" si="112">(ED27/CY13)*100</f>
        <v>0</v>
      </c>
      <c r="CZ41" s="39">
        <f t="shared" si="112"/>
        <v>0</v>
      </c>
      <c r="DA41" s="39">
        <f t="shared" si="112"/>
        <v>0.2397219226</v>
      </c>
      <c r="DB41" s="39">
        <f t="shared" si="112"/>
        <v>0.2397219226</v>
      </c>
      <c r="DC41" s="39">
        <f t="shared" si="99"/>
        <v>0.4794438451</v>
      </c>
      <c r="DD41" s="69"/>
      <c r="DE41" s="69"/>
      <c r="DF41" s="69"/>
      <c r="DG41" s="69"/>
      <c r="DH41" s="69"/>
      <c r="DI41" s="69"/>
      <c r="DJ41" s="69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"/>
      <c r="EB41" s="72"/>
      <c r="EC41" s="72"/>
      <c r="ED41" s="72"/>
      <c r="EE41" s="72"/>
      <c r="EF41" s="72"/>
      <c r="EG41" s="72"/>
      <c r="EH41" s="72"/>
      <c r="EI41" s="72"/>
      <c r="EJ41" s="72"/>
      <c r="EK41" s="72"/>
      <c r="EL41" s="72"/>
      <c r="EM41" s="72"/>
      <c r="EN41" s="72"/>
      <c r="EO41" s="72"/>
    </row>
    <row r="42">
      <c r="A42" s="45"/>
      <c r="B42" s="46" t="s">
        <v>69</v>
      </c>
      <c r="C42" s="49">
        <f t="shared" ref="C42:AG42" si="113">SUM(C34:C41)</f>
        <v>0</v>
      </c>
      <c r="D42" s="49">
        <f t="shared" si="113"/>
        <v>0</v>
      </c>
      <c r="E42" s="49">
        <f t="shared" si="113"/>
        <v>17</v>
      </c>
      <c r="F42" s="49">
        <f t="shared" si="113"/>
        <v>0</v>
      </c>
      <c r="G42" s="49">
        <f t="shared" si="113"/>
        <v>40</v>
      </c>
      <c r="H42" s="49">
        <f t="shared" si="113"/>
        <v>0</v>
      </c>
      <c r="I42" s="49">
        <f t="shared" si="113"/>
        <v>37</v>
      </c>
      <c r="J42" s="49">
        <f t="shared" si="113"/>
        <v>0</v>
      </c>
      <c r="K42" s="49">
        <f t="shared" si="113"/>
        <v>0</v>
      </c>
      <c r="L42" s="49">
        <f t="shared" si="113"/>
        <v>7</v>
      </c>
      <c r="M42" s="49">
        <f t="shared" si="113"/>
        <v>0</v>
      </c>
      <c r="N42" s="49">
        <f t="shared" si="113"/>
        <v>0</v>
      </c>
      <c r="O42" s="49">
        <f t="shared" si="113"/>
        <v>105</v>
      </c>
      <c r="P42" s="49">
        <f t="shared" si="113"/>
        <v>0</v>
      </c>
      <c r="Q42" s="49">
        <f t="shared" si="113"/>
        <v>0</v>
      </c>
      <c r="R42" s="49">
        <f t="shared" si="113"/>
        <v>16</v>
      </c>
      <c r="S42" s="49">
        <f t="shared" si="113"/>
        <v>0</v>
      </c>
      <c r="T42" s="49">
        <f t="shared" si="113"/>
        <v>0</v>
      </c>
      <c r="U42" s="49">
        <f t="shared" si="113"/>
        <v>0</v>
      </c>
      <c r="V42" s="49">
        <f t="shared" si="113"/>
        <v>0</v>
      </c>
      <c r="W42" s="49">
        <f t="shared" si="113"/>
        <v>0</v>
      </c>
      <c r="X42" s="49">
        <f t="shared" si="113"/>
        <v>0</v>
      </c>
      <c r="Y42" s="49">
        <f t="shared" si="113"/>
        <v>0</v>
      </c>
      <c r="Z42" s="49">
        <f t="shared" si="113"/>
        <v>0</v>
      </c>
      <c r="AA42" s="49">
        <f t="shared" si="113"/>
        <v>0</v>
      </c>
      <c r="AB42" s="49">
        <f t="shared" si="113"/>
        <v>78</v>
      </c>
      <c r="AC42" s="49">
        <f t="shared" si="113"/>
        <v>58</v>
      </c>
      <c r="AD42" s="49">
        <f t="shared" si="113"/>
        <v>42</v>
      </c>
      <c r="AE42" s="49">
        <f t="shared" si="113"/>
        <v>12</v>
      </c>
      <c r="AF42" s="49">
        <f t="shared" si="113"/>
        <v>0</v>
      </c>
      <c r="AG42" s="49">
        <f t="shared" si="113"/>
        <v>16</v>
      </c>
      <c r="AH42" s="49">
        <f t="shared" si="82"/>
        <v>428</v>
      </c>
      <c r="AI42" s="7"/>
      <c r="AJ42" s="45"/>
      <c r="AK42" s="46" t="s">
        <v>69</v>
      </c>
      <c r="AL42" s="47">
        <f t="shared" si="83"/>
        <v>0</v>
      </c>
      <c r="AM42" s="47">
        <f t="shared" si="100"/>
        <v>0</v>
      </c>
      <c r="AN42" s="47">
        <f t="shared" ref="AN42:BP42" si="114">SUM($C42:E42)</f>
        <v>17</v>
      </c>
      <c r="AO42" s="47">
        <f t="shared" si="114"/>
        <v>17</v>
      </c>
      <c r="AP42" s="47">
        <f t="shared" si="114"/>
        <v>57</v>
      </c>
      <c r="AQ42" s="47">
        <f t="shared" si="114"/>
        <v>57</v>
      </c>
      <c r="AR42" s="47">
        <f t="shared" si="114"/>
        <v>94</v>
      </c>
      <c r="AS42" s="47">
        <f t="shared" si="114"/>
        <v>94</v>
      </c>
      <c r="AT42" s="47">
        <f t="shared" si="114"/>
        <v>94</v>
      </c>
      <c r="AU42" s="47">
        <f t="shared" si="114"/>
        <v>101</v>
      </c>
      <c r="AV42" s="47">
        <f t="shared" si="114"/>
        <v>101</v>
      </c>
      <c r="AW42" s="47">
        <f t="shared" si="114"/>
        <v>101</v>
      </c>
      <c r="AX42" s="47">
        <f t="shared" si="114"/>
        <v>206</v>
      </c>
      <c r="AY42" s="47">
        <f t="shared" si="114"/>
        <v>206</v>
      </c>
      <c r="AZ42" s="47">
        <f t="shared" si="114"/>
        <v>206</v>
      </c>
      <c r="BA42" s="47">
        <f t="shared" si="114"/>
        <v>222</v>
      </c>
      <c r="BB42" s="47">
        <f t="shared" si="114"/>
        <v>222</v>
      </c>
      <c r="BC42" s="47">
        <f t="shared" si="114"/>
        <v>222</v>
      </c>
      <c r="BD42" s="47">
        <f t="shared" si="114"/>
        <v>222</v>
      </c>
      <c r="BE42" s="47">
        <f t="shared" si="114"/>
        <v>222</v>
      </c>
      <c r="BF42" s="47">
        <f t="shared" si="114"/>
        <v>222</v>
      </c>
      <c r="BG42" s="47">
        <f t="shared" si="114"/>
        <v>222</v>
      </c>
      <c r="BH42" s="47">
        <f t="shared" si="114"/>
        <v>222</v>
      </c>
      <c r="BI42" s="47">
        <f t="shared" si="114"/>
        <v>222</v>
      </c>
      <c r="BJ42" s="47">
        <f t="shared" si="114"/>
        <v>222</v>
      </c>
      <c r="BK42" s="47">
        <f t="shared" si="114"/>
        <v>300</v>
      </c>
      <c r="BL42" s="47">
        <f t="shared" si="114"/>
        <v>358</v>
      </c>
      <c r="BM42" s="47">
        <f t="shared" si="114"/>
        <v>400</v>
      </c>
      <c r="BN42" s="47">
        <f t="shared" si="114"/>
        <v>412</v>
      </c>
      <c r="BO42" s="47">
        <f t="shared" si="114"/>
        <v>412</v>
      </c>
      <c r="BP42" s="47">
        <f t="shared" si="114"/>
        <v>428</v>
      </c>
      <c r="BQ42" s="49">
        <f t="shared" si="85"/>
        <v>428</v>
      </c>
      <c r="BR42" s="7"/>
      <c r="BS42" s="61"/>
      <c r="BT42" s="62" t="s">
        <v>69</v>
      </c>
      <c r="BU42" s="82">
        <f t="shared" si="86"/>
        <v>233</v>
      </c>
      <c r="BV42" s="82">
        <f t="shared" si="87"/>
        <v>379</v>
      </c>
      <c r="BW42" s="82">
        <f t="shared" si="88"/>
        <v>428</v>
      </c>
      <c r="BX42" s="82">
        <f t="shared" si="89"/>
        <v>265</v>
      </c>
      <c r="BY42" s="82">
        <f t="shared" si="90"/>
        <v>0</v>
      </c>
      <c r="BZ42" s="82">
        <f t="shared" si="91"/>
        <v>0</v>
      </c>
      <c r="CA42" s="82">
        <f t="shared" si="92"/>
        <v>0</v>
      </c>
      <c r="CB42" s="82">
        <f t="shared" si="93"/>
        <v>0</v>
      </c>
      <c r="CC42" s="82">
        <f t="shared" si="94"/>
        <v>0</v>
      </c>
      <c r="CD42" s="82">
        <f t="shared" si="95"/>
        <v>0</v>
      </c>
      <c r="CE42" s="82">
        <f t="shared" si="96"/>
        <v>0</v>
      </c>
      <c r="CF42" s="82">
        <f t="shared" si="97"/>
        <v>0</v>
      </c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0"/>
      <c r="CW42" s="55"/>
      <c r="CX42" s="56" t="s">
        <v>69</v>
      </c>
      <c r="CY42" s="83">
        <f t="shared" ref="CY42:DB42" si="115">(ED28/CY14)*100</f>
        <v>14.84794163</v>
      </c>
      <c r="CZ42" s="83">
        <f t="shared" si="115"/>
        <v>30.29343267</v>
      </c>
      <c r="DA42" s="83">
        <f t="shared" si="115"/>
        <v>45.37040098</v>
      </c>
      <c r="DB42" s="83">
        <f t="shared" si="115"/>
        <v>60.52112971</v>
      </c>
      <c r="DC42" s="83">
        <f t="shared" si="99"/>
        <v>75.75757576</v>
      </c>
      <c r="DD42" s="84"/>
      <c r="DE42" s="84"/>
      <c r="DF42" s="84"/>
      <c r="DG42" s="84"/>
      <c r="DH42" s="84"/>
      <c r="DI42" s="84"/>
      <c r="DJ42" s="84"/>
      <c r="DK42" s="72"/>
      <c r="DL42" s="72"/>
      <c r="DM42" s="72"/>
      <c r="DN42" s="72"/>
      <c r="DO42" s="72"/>
      <c r="DP42" s="72"/>
      <c r="DQ42" s="72"/>
      <c r="DR42" s="72"/>
      <c r="DS42" s="72"/>
      <c r="DT42" s="72"/>
      <c r="DU42" s="72"/>
      <c r="DV42" s="72"/>
      <c r="DW42" s="72"/>
      <c r="DX42" s="72"/>
      <c r="DY42" s="72"/>
      <c r="DZ42" s="72"/>
      <c r="EA42" s="7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M42" s="72"/>
      <c r="EN42" s="72"/>
      <c r="EO42" s="72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2"/>
      <c r="DL43" s="72"/>
      <c r="DM43" s="72"/>
      <c r="DN43" s="72"/>
      <c r="DO43" s="72"/>
      <c r="DP43" s="72"/>
      <c r="DQ43" s="72"/>
      <c r="DR43" s="72"/>
      <c r="DS43" s="72"/>
      <c r="DT43" s="72"/>
      <c r="DU43" s="72"/>
      <c r="DV43" s="72"/>
      <c r="DW43" s="72"/>
      <c r="DX43" s="72"/>
      <c r="DY43" s="72"/>
      <c r="DZ43" s="72"/>
      <c r="EA43" s="7"/>
      <c r="EB43" s="72"/>
      <c r="EC43" s="72"/>
      <c r="ED43" s="72"/>
      <c r="EE43" s="72"/>
      <c r="EF43" s="72"/>
      <c r="EG43" s="72"/>
      <c r="EH43" s="72"/>
      <c r="EI43" s="72"/>
      <c r="EJ43" s="72"/>
      <c r="EK43" s="72"/>
      <c r="EL43" s="72"/>
      <c r="EM43" s="72"/>
      <c r="EN43" s="72"/>
      <c r="EO43" s="72"/>
    </row>
    <row r="44">
      <c r="A44" s="8" t="s">
        <v>35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2"/>
      <c r="DL44" s="72"/>
      <c r="DM44" s="72"/>
      <c r="DN44" s="72"/>
      <c r="DO44" s="72"/>
      <c r="DP44" s="72"/>
      <c r="DQ44" s="72"/>
      <c r="DR44" s="72"/>
      <c r="DS44" s="72"/>
      <c r="DT44" s="72"/>
      <c r="DU44" s="72"/>
      <c r="DV44" s="72"/>
      <c r="DW44" s="72"/>
      <c r="DX44" s="72"/>
      <c r="DY44" s="72"/>
      <c r="DZ44" s="72"/>
      <c r="EA44" s="7"/>
      <c r="EB44" s="72"/>
      <c r="EC44" s="72"/>
      <c r="ED44" s="72"/>
      <c r="EE44" s="72"/>
      <c r="EF44" s="72"/>
      <c r="EG44" s="72"/>
      <c r="EH44" s="72"/>
      <c r="EI44" s="72"/>
      <c r="EJ44" s="72"/>
      <c r="EK44" s="72"/>
      <c r="EL44" s="72"/>
      <c r="EM44" s="72"/>
      <c r="EN44" s="72"/>
      <c r="EO44" s="72"/>
    </row>
    <row r="45">
      <c r="A45" s="9" t="str">
        <f>TEXT(C47,"MMMM YYYY")</f>
        <v>April 2026</v>
      </c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10" t="s">
        <v>78</v>
      </c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11" t="s">
        <v>79</v>
      </c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12" t="s">
        <v>38</v>
      </c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</row>
    <row r="47" ht="42.75" customHeight="1">
      <c r="A47" s="14" t="s">
        <v>41</v>
      </c>
      <c r="B47" s="14" t="s">
        <v>42</v>
      </c>
      <c r="C47" s="15">
        <v>46113.0</v>
      </c>
      <c r="D47" s="15">
        <v>46114.0</v>
      </c>
      <c r="E47" s="15">
        <v>46115.0</v>
      </c>
      <c r="F47" s="15">
        <v>46116.0</v>
      </c>
      <c r="G47" s="15">
        <v>46117.0</v>
      </c>
      <c r="H47" s="15">
        <v>46118.0</v>
      </c>
      <c r="I47" s="15">
        <v>46119.0</v>
      </c>
      <c r="J47" s="15">
        <v>46120.0</v>
      </c>
      <c r="K47" s="15">
        <v>46121.0</v>
      </c>
      <c r="L47" s="15">
        <v>46122.0</v>
      </c>
      <c r="M47" s="15">
        <v>46123.0</v>
      </c>
      <c r="N47" s="15">
        <v>46124.0</v>
      </c>
      <c r="O47" s="15">
        <v>46125.0</v>
      </c>
      <c r="P47" s="15">
        <v>46126.0</v>
      </c>
      <c r="Q47" s="15">
        <v>46127.0</v>
      </c>
      <c r="R47" s="15">
        <v>46128.0</v>
      </c>
      <c r="S47" s="15">
        <v>46129.0</v>
      </c>
      <c r="T47" s="15">
        <v>46130.0</v>
      </c>
      <c r="U47" s="15">
        <v>46131.0</v>
      </c>
      <c r="V47" s="15">
        <v>46132.0</v>
      </c>
      <c r="W47" s="15">
        <v>46133.0</v>
      </c>
      <c r="X47" s="15">
        <v>46134.0</v>
      </c>
      <c r="Y47" s="15">
        <v>46135.0</v>
      </c>
      <c r="Z47" s="15">
        <v>46136.0</v>
      </c>
      <c r="AA47" s="15">
        <v>46137.0</v>
      </c>
      <c r="AB47" s="15">
        <v>46138.0</v>
      </c>
      <c r="AC47" s="15">
        <v>46139.0</v>
      </c>
      <c r="AD47" s="15">
        <v>46140.0</v>
      </c>
      <c r="AE47" s="15">
        <v>46141.0</v>
      </c>
      <c r="AF47" s="15">
        <v>46142.0</v>
      </c>
      <c r="AG47" s="65"/>
      <c r="AH47" s="16" t="s">
        <v>43</v>
      </c>
      <c r="AI47" s="17"/>
      <c r="AJ47" s="18" t="s">
        <v>41</v>
      </c>
      <c r="AK47" s="18" t="s">
        <v>42</v>
      </c>
      <c r="AL47" s="66">
        <v>46113.0</v>
      </c>
      <c r="AM47" s="66">
        <v>46114.0</v>
      </c>
      <c r="AN47" s="66">
        <v>46115.0</v>
      </c>
      <c r="AO47" s="66">
        <v>46116.0</v>
      </c>
      <c r="AP47" s="66">
        <v>46117.0</v>
      </c>
      <c r="AQ47" s="66">
        <v>46118.0</v>
      </c>
      <c r="AR47" s="66">
        <v>46119.0</v>
      </c>
      <c r="AS47" s="66">
        <v>46120.0</v>
      </c>
      <c r="AT47" s="66">
        <v>46121.0</v>
      </c>
      <c r="AU47" s="66">
        <v>46122.0</v>
      </c>
      <c r="AV47" s="66">
        <v>46123.0</v>
      </c>
      <c r="AW47" s="66">
        <v>46124.0</v>
      </c>
      <c r="AX47" s="66">
        <v>46125.0</v>
      </c>
      <c r="AY47" s="66">
        <v>46126.0</v>
      </c>
      <c r="AZ47" s="66">
        <v>46127.0</v>
      </c>
      <c r="BA47" s="66">
        <v>46128.0</v>
      </c>
      <c r="BB47" s="66">
        <v>46129.0</v>
      </c>
      <c r="BC47" s="66">
        <v>46130.0</v>
      </c>
      <c r="BD47" s="66">
        <v>46131.0</v>
      </c>
      <c r="BE47" s="66">
        <v>46132.0</v>
      </c>
      <c r="BF47" s="66">
        <v>46133.0</v>
      </c>
      <c r="BG47" s="66">
        <v>46134.0</v>
      </c>
      <c r="BH47" s="66">
        <v>46135.0</v>
      </c>
      <c r="BI47" s="66">
        <v>46136.0</v>
      </c>
      <c r="BJ47" s="66">
        <v>46137.0</v>
      </c>
      <c r="BK47" s="66">
        <v>46138.0</v>
      </c>
      <c r="BL47" s="66">
        <v>46139.0</v>
      </c>
      <c r="BM47" s="66">
        <v>46140.0</v>
      </c>
      <c r="BN47" s="66">
        <v>46141.0</v>
      </c>
      <c r="BO47" s="66">
        <v>46142.0</v>
      </c>
      <c r="BP47" s="67"/>
      <c r="BQ47" s="18" t="s">
        <v>43</v>
      </c>
      <c r="BR47" s="17"/>
      <c r="BS47" s="20" t="s">
        <v>41</v>
      </c>
      <c r="BT47" s="20" t="s">
        <v>42</v>
      </c>
      <c r="BU47" s="20" t="s">
        <v>44</v>
      </c>
      <c r="BV47" s="20" t="s">
        <v>45</v>
      </c>
      <c r="BW47" s="20" t="s">
        <v>46</v>
      </c>
      <c r="BX47" s="20" t="s">
        <v>47</v>
      </c>
      <c r="BY47" s="20" t="s">
        <v>48</v>
      </c>
      <c r="BZ47" s="20" t="s">
        <v>49</v>
      </c>
      <c r="CA47" s="20" t="s">
        <v>50</v>
      </c>
      <c r="CB47" s="20" t="s">
        <v>51</v>
      </c>
      <c r="CC47" s="20" t="s">
        <v>52</v>
      </c>
      <c r="CD47" s="20" t="s">
        <v>53</v>
      </c>
      <c r="CE47" s="20" t="s">
        <v>54</v>
      </c>
      <c r="CF47" s="20" t="s">
        <v>55</v>
      </c>
      <c r="CG47" s="68"/>
      <c r="CH47" s="68"/>
      <c r="CI47" s="68"/>
      <c r="CJ47" s="68"/>
      <c r="CK47" s="68"/>
      <c r="CL47" s="68"/>
      <c r="CM47" s="68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</row>
    <row r="48">
      <c r="A48" s="28">
        <v>1.0</v>
      </c>
      <c r="B48" s="28" t="s">
        <v>60</v>
      </c>
      <c r="C48" s="30">
        <f>COUNTIFS(
DATA!$F:$F,$B48,
DATA!$B:$B,"&gt;="&amp;DATE(2026,MONTH(C$47),DAY(C$47)),
DATA!$B:$B,"&lt;"&amp;DATE(2026,MONTH(C$47),DAY(C$47))+1
)</f>
        <v>0</v>
      </c>
      <c r="D48" s="30">
        <f>COUNTIFS(
DATA!$F:$F,$B48,
DATA!$B:$B,"&gt;="&amp;DATE(2026,MONTH(D$47),DAY(D$47)),
DATA!$B:$B,"&lt;"&amp;DATE(2026,MONTH(D$47),DAY(D$47))+1
)</f>
        <v>0</v>
      </c>
      <c r="E48" s="30">
        <f>COUNTIFS(
DATA!$F:$F,$B48,
DATA!$B:$B,"&gt;="&amp;DATE(2026,MONTH(E$47),DAY(E$47)),
DATA!$B:$B,"&lt;"&amp;DATE(2026,MONTH(E$47),DAY(E$47))+1
)</f>
        <v>0</v>
      </c>
      <c r="F48" s="30">
        <f>COUNTIFS(
DATA!$F:$F,$B48,
DATA!$B:$B,"&gt;="&amp;DATE(2026,MONTH(F$47),DAY(F$47)),
DATA!$B:$B,"&lt;"&amp;DATE(2026,MONTH(F$47),DAY(F$47))+1
)</f>
        <v>0</v>
      </c>
      <c r="G48" s="30">
        <f>COUNTIFS(
DATA!$F:$F,$B48,
DATA!$B:$B,"&gt;="&amp;DATE(2026,MONTH(G$47),DAY(G$47)),
DATA!$B:$B,"&lt;"&amp;DATE(2026,MONTH(G$47),DAY(G$47))+1
)</f>
        <v>0</v>
      </c>
      <c r="H48" s="30">
        <f>COUNTIFS(
DATA!$F:$F,$B48,
DATA!$B:$B,"&gt;="&amp;DATE(2026,MONTH(H$47),DAY(H$47)),
DATA!$B:$B,"&lt;"&amp;DATE(2026,MONTH(H$47),DAY(H$47))+1
)</f>
        <v>0</v>
      </c>
      <c r="I48" s="30">
        <f>COUNTIFS(
DATA!$F:$F,$B48,
DATA!$B:$B,"&gt;="&amp;DATE(2026,MONTH(I$47),DAY(I$47)),
DATA!$B:$B,"&lt;"&amp;DATE(2026,MONTH(I$47),DAY(I$47))+1
)</f>
        <v>0</v>
      </c>
      <c r="J48" s="30">
        <f>COUNTIFS(
DATA!$F:$F,$B48,
DATA!$B:$B,"&gt;="&amp;DATE(2026,MONTH(J$47),DAY(J$47)),
DATA!$B:$B,"&lt;"&amp;DATE(2026,MONTH(J$47),DAY(J$47))+1
)</f>
        <v>0</v>
      </c>
      <c r="K48" s="30">
        <f>COUNTIFS(
DATA!$F:$F,$B48,
DATA!$B:$B,"&gt;="&amp;DATE(2026,MONTH(K$47),DAY(K$47)),
DATA!$B:$B,"&lt;"&amp;DATE(2026,MONTH(K$47),DAY(K$47))+1
)</f>
        <v>0</v>
      </c>
      <c r="L48" s="30">
        <f>COUNTIFS(
DATA!$F:$F,$B48,
DATA!$B:$B,"&gt;="&amp;DATE(2026,MONTH(L$47),DAY(L$47)),
DATA!$B:$B,"&lt;"&amp;DATE(2026,MONTH(L$47),DAY(L$47))+1
)</f>
        <v>0</v>
      </c>
      <c r="M48" s="30">
        <f>COUNTIFS(
DATA!$F:$F,$B48,
DATA!$B:$B,"&gt;="&amp;DATE(2026,MONTH(M$47),DAY(M$47)),
DATA!$B:$B,"&lt;"&amp;DATE(2026,MONTH(M$47),DAY(M$47))+1
)</f>
        <v>0</v>
      </c>
      <c r="N48" s="30">
        <f>COUNTIFS(
DATA!$F:$F,$B48,
DATA!$B:$B,"&gt;="&amp;DATE(2026,MONTH(N$47),DAY(N$47)),
DATA!$B:$B,"&lt;"&amp;DATE(2026,MONTH(N$47),DAY(N$47))+1
)</f>
        <v>0</v>
      </c>
      <c r="O48" s="30">
        <f>COUNTIFS(
DATA!$F:$F,$B48,
DATA!$B:$B,"&gt;="&amp;DATE(2026,MONTH(O$47),DAY(O$47)),
DATA!$B:$B,"&lt;"&amp;DATE(2026,MONTH(O$47),DAY(O$47))+1
)</f>
        <v>0</v>
      </c>
      <c r="P48" s="30">
        <f>COUNTIFS(
DATA!$F:$F,$B48,
DATA!$B:$B,"&gt;="&amp;DATE(2026,MONTH(P$47),DAY(P$47)),
DATA!$B:$B,"&lt;"&amp;DATE(2026,MONTH(P$47),DAY(P$47))+1
)</f>
        <v>0</v>
      </c>
      <c r="Q48" s="30">
        <f>COUNTIFS(
DATA!$F:$F,$B48,
DATA!$B:$B,"&gt;="&amp;DATE(2026,MONTH(Q$47),DAY(Q$47)),
DATA!$B:$B,"&lt;"&amp;DATE(2026,MONTH(Q$47),DAY(Q$47))+1
)</f>
        <v>0</v>
      </c>
      <c r="R48" s="30">
        <f>COUNTIFS(
DATA!$F:$F,$B48,
DATA!$B:$B,"&gt;="&amp;DATE(2026,MONTH(R$47),DAY(R$47)),
DATA!$B:$B,"&lt;"&amp;DATE(2026,MONTH(R$47),DAY(R$47))+1
)</f>
        <v>0</v>
      </c>
      <c r="S48" s="30">
        <f>COUNTIFS(
DATA!$F:$F,$B48,
DATA!$B:$B,"&gt;="&amp;DATE(2026,MONTH(S$47),DAY(S$47)),
DATA!$B:$B,"&lt;"&amp;DATE(2026,MONTH(S$47),DAY(S$47))+1
)</f>
        <v>0</v>
      </c>
      <c r="T48" s="30">
        <f>COUNTIFS(
DATA!$F:$F,$B48,
DATA!$B:$B,"&gt;="&amp;DATE(2026,MONTH(T$47),DAY(T$47)),
DATA!$B:$B,"&lt;"&amp;DATE(2026,MONTH(T$47),DAY(T$47))+1
)</f>
        <v>0</v>
      </c>
      <c r="U48" s="30">
        <f>COUNTIFS(
DATA!$F:$F,$B48,
DATA!$B:$B,"&gt;="&amp;DATE(2026,MONTH(U$47),DAY(U$47)),
DATA!$B:$B,"&lt;"&amp;DATE(2026,MONTH(U$47),DAY(U$47))+1
)</f>
        <v>0</v>
      </c>
      <c r="V48" s="30">
        <f>COUNTIFS(
DATA!$F:$F,$B48,
DATA!$B:$B,"&gt;="&amp;DATE(2026,MONTH(V$47),DAY(V$47)),
DATA!$B:$B,"&lt;"&amp;DATE(2026,MONTH(V$47),DAY(V$47))+1
)</f>
        <v>0</v>
      </c>
      <c r="W48" s="30">
        <f>COUNTIFS(
DATA!$F:$F,$B48,
DATA!$B:$B,"&gt;="&amp;DATE(2026,MONTH(W$47),DAY(W$47)),
DATA!$B:$B,"&lt;"&amp;DATE(2026,MONTH(W$47),DAY(W$47))+1
)</f>
        <v>0</v>
      </c>
      <c r="X48" s="30">
        <f>COUNTIFS(
DATA!$F:$F,$B48,
DATA!$B:$B,"&gt;="&amp;DATE(2026,MONTH(X$47),DAY(X$47)),
DATA!$B:$B,"&lt;"&amp;DATE(2026,MONTH(X$47),DAY(X$47))+1
)</f>
        <v>0</v>
      </c>
      <c r="Y48" s="30">
        <f>COUNTIFS(
DATA!$F:$F,$B48,
DATA!$B:$B,"&gt;="&amp;DATE(2026,MONTH(Y$47),DAY(Y$47)),
DATA!$B:$B,"&lt;"&amp;DATE(2026,MONTH(Y$47),DAY(Y$47))+1
)</f>
        <v>0</v>
      </c>
      <c r="Z48" s="30">
        <f>COUNTIFS(
DATA!$F:$F,$B48,
DATA!$B:$B,"&gt;="&amp;DATE(2026,MONTH(Z$47),DAY(Z$47)),
DATA!$B:$B,"&lt;"&amp;DATE(2026,MONTH(Z$47),DAY(Z$47))+1
)</f>
        <v>0</v>
      </c>
      <c r="AA48" s="30">
        <f>COUNTIFS(
DATA!$F:$F,$B48,
DATA!$B:$B,"&gt;="&amp;DATE(2026,MONTH(AA$47),DAY(AA$47)),
DATA!$B:$B,"&lt;"&amp;DATE(2026,MONTH(AA$47),DAY(AA$47))+1
)</f>
        <v>0</v>
      </c>
      <c r="AB48" s="30">
        <f>COUNTIFS(
DATA!$F:$F,$B48,
DATA!$B:$B,"&gt;="&amp;DATE(2026,MONTH(AB$47),DAY(AB$47)),
DATA!$B:$B,"&lt;"&amp;DATE(2026,MONTH(AB$47),DAY(AB$47))+1
)</f>
        <v>0</v>
      </c>
      <c r="AC48" s="30">
        <f>COUNTIFS(
DATA!$F:$F,$B48,
DATA!$B:$B,"&gt;="&amp;DATE(2026,MONTH(AC$47),DAY(AC$47)),
DATA!$B:$B,"&lt;"&amp;DATE(2026,MONTH(AC$47),DAY(AC$47))+1
)</f>
        <v>0</v>
      </c>
      <c r="AD48" s="30">
        <f>COUNTIFS(
DATA!$F:$F,$B48,
DATA!$B:$B,"&gt;="&amp;DATE(2026,MONTH(AD$47),DAY(AD$47)),
DATA!$B:$B,"&lt;"&amp;DATE(2026,MONTH(AD$47),DAY(AD$47))+1
)</f>
        <v>23</v>
      </c>
      <c r="AE48" s="30">
        <f>COUNTIFS(
DATA!$F:$F,$B48,
DATA!$B:$B,"&gt;="&amp;DATE(2026,MONTH(AE$47),DAY(AE$47)),
DATA!$B:$B,"&lt;"&amp;DATE(2026,MONTH(AE$47),DAY(AE$47))+1
)</f>
        <v>0</v>
      </c>
      <c r="AF48" s="30">
        <f>COUNTIFS(
DATA!$F:$F,$B48,
DATA!$B:$B,"&gt;="&amp;DATE(2026,MONTH(AF$47),DAY(AF$47)),
DATA!$B:$B,"&lt;"&amp;DATE(2026,MONTH(AF$47),DAY(AF$47))+1
)</f>
        <v>0</v>
      </c>
      <c r="AG48" s="30">
        <f>COUNTIFS(
DATA!$F:$F,$B48,
DATA!$B:$B,"&gt;="&amp;DATE(2026,MONTH(AG$47),DAY(AG$47)),
DATA!$B:$B,"&lt;"&amp;DATE(2026,MONTH(AG$47),DAY(AG$47))+1
)</f>
        <v>0</v>
      </c>
      <c r="AH48" s="31">
        <f t="shared" ref="AH48:AH56" si="118">SUBTOTAL(9,C48:AG48)</f>
        <v>23</v>
      </c>
      <c r="AI48" s="7"/>
      <c r="AJ48" s="30">
        <v>1.0</v>
      </c>
      <c r="AK48" s="32" t="s">
        <v>60</v>
      </c>
      <c r="AL48" s="41">
        <f t="shared" ref="AL48:AL56" si="119">C48</f>
        <v>0</v>
      </c>
      <c r="AM48" s="30">
        <f t="shared" ref="AM48:BO48" si="116">SUM($C48:D48)</f>
        <v>0</v>
      </c>
      <c r="AN48" s="30">
        <f t="shared" si="116"/>
        <v>0</v>
      </c>
      <c r="AO48" s="30">
        <f t="shared" si="116"/>
        <v>0</v>
      </c>
      <c r="AP48" s="30">
        <f t="shared" si="116"/>
        <v>0</v>
      </c>
      <c r="AQ48" s="30">
        <f t="shared" si="116"/>
        <v>0</v>
      </c>
      <c r="AR48" s="30">
        <f t="shared" si="116"/>
        <v>0</v>
      </c>
      <c r="AS48" s="30">
        <f t="shared" si="116"/>
        <v>0</v>
      </c>
      <c r="AT48" s="30">
        <f t="shared" si="116"/>
        <v>0</v>
      </c>
      <c r="AU48" s="30">
        <f t="shared" si="116"/>
        <v>0</v>
      </c>
      <c r="AV48" s="30">
        <f t="shared" si="116"/>
        <v>0</v>
      </c>
      <c r="AW48" s="30">
        <f t="shared" si="116"/>
        <v>0</v>
      </c>
      <c r="AX48" s="30">
        <f t="shared" si="116"/>
        <v>0</v>
      </c>
      <c r="AY48" s="30">
        <f t="shared" si="116"/>
        <v>0</v>
      </c>
      <c r="AZ48" s="30">
        <f t="shared" si="116"/>
        <v>0</v>
      </c>
      <c r="BA48" s="30">
        <f t="shared" si="116"/>
        <v>0</v>
      </c>
      <c r="BB48" s="30">
        <f t="shared" si="116"/>
        <v>0</v>
      </c>
      <c r="BC48" s="30">
        <f t="shared" si="116"/>
        <v>0</v>
      </c>
      <c r="BD48" s="30">
        <f t="shared" si="116"/>
        <v>0</v>
      </c>
      <c r="BE48" s="30">
        <f t="shared" si="116"/>
        <v>0</v>
      </c>
      <c r="BF48" s="30">
        <f t="shared" si="116"/>
        <v>0</v>
      </c>
      <c r="BG48" s="30">
        <f t="shared" si="116"/>
        <v>0</v>
      </c>
      <c r="BH48" s="30">
        <f t="shared" si="116"/>
        <v>0</v>
      </c>
      <c r="BI48" s="30">
        <f t="shared" si="116"/>
        <v>0</v>
      </c>
      <c r="BJ48" s="30">
        <f t="shared" si="116"/>
        <v>0</v>
      </c>
      <c r="BK48" s="30">
        <f t="shared" si="116"/>
        <v>0</v>
      </c>
      <c r="BL48" s="30">
        <f t="shared" si="116"/>
        <v>0</v>
      </c>
      <c r="BM48" s="30">
        <f t="shared" si="116"/>
        <v>23</v>
      </c>
      <c r="BN48" s="30">
        <f t="shared" si="116"/>
        <v>23</v>
      </c>
      <c r="BO48" s="30">
        <f t="shared" si="116"/>
        <v>23</v>
      </c>
      <c r="BP48" s="41"/>
      <c r="BQ48" s="85" t="str">
        <f t="shared" ref="BQ48:BQ56" si="121">BP48</f>
        <v/>
      </c>
      <c r="BR48" s="7"/>
      <c r="BS48" s="28">
        <v>1.0</v>
      </c>
      <c r="BT48" s="29" t="s">
        <v>60</v>
      </c>
      <c r="BU48" s="86">
        <f t="shared" ref="BU48:BU55" si="122">BU34</f>
        <v>37</v>
      </c>
      <c r="BV48" s="86">
        <f t="shared" ref="BV48:CF48" si="117">SUM($BU34:BV34)</f>
        <v>69</v>
      </c>
      <c r="BW48" s="86">
        <f t="shared" si="117"/>
        <v>113</v>
      </c>
      <c r="BX48" s="86">
        <f t="shared" si="117"/>
        <v>136</v>
      </c>
      <c r="BY48" s="86">
        <f t="shared" si="117"/>
        <v>136</v>
      </c>
      <c r="BZ48" s="86">
        <f t="shared" si="117"/>
        <v>136</v>
      </c>
      <c r="CA48" s="86">
        <f t="shared" si="117"/>
        <v>136</v>
      </c>
      <c r="CB48" s="86">
        <f t="shared" si="117"/>
        <v>136</v>
      </c>
      <c r="CC48" s="86">
        <f t="shared" si="117"/>
        <v>136</v>
      </c>
      <c r="CD48" s="86">
        <f t="shared" si="117"/>
        <v>136</v>
      </c>
      <c r="CE48" s="86">
        <f t="shared" si="117"/>
        <v>136</v>
      </c>
      <c r="CF48" s="86">
        <f t="shared" si="117"/>
        <v>136</v>
      </c>
      <c r="CG48" s="7"/>
      <c r="CH48" s="70">
        <f t="shared" ref="CH48:CH55" si="124">BW20-BW48</f>
        <v>-40.75</v>
      </c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</row>
    <row r="49">
      <c r="A49" s="28">
        <v>2.0</v>
      </c>
      <c r="B49" s="28" t="s">
        <v>61</v>
      </c>
      <c r="C49" s="30">
        <f>COUNTIFS(
DATA!$F:$F,$B49,
DATA!$B:$B,"&gt;="&amp;DATE(2026,MONTH(C$47),DAY(C$47)),
DATA!$B:$B,"&lt;"&amp;DATE(2026,MONTH(C$47),DAY(C$47))+1
)</f>
        <v>0</v>
      </c>
      <c r="D49" s="30">
        <f>COUNTIFS(
DATA!$F:$F,$B49,
DATA!$B:$B,"&gt;="&amp;DATE(2026,MONTH(D$47),DAY(D$47)),
DATA!$B:$B,"&lt;"&amp;DATE(2026,MONTH(D$47),DAY(D$47))+1
)</f>
        <v>0</v>
      </c>
      <c r="E49" s="30">
        <f>COUNTIFS(
DATA!$F:$F,$B49,
DATA!$B:$B,"&gt;="&amp;DATE(2026,MONTH(E$47),DAY(E$47)),
DATA!$B:$B,"&lt;"&amp;DATE(2026,MONTH(E$47),DAY(E$47))+1
)</f>
        <v>0</v>
      </c>
      <c r="F49" s="30">
        <f>COUNTIFS(
DATA!$F:$F,$B49,
DATA!$B:$B,"&gt;="&amp;DATE(2026,MONTH(F$47),DAY(F$47)),
DATA!$B:$B,"&lt;"&amp;DATE(2026,MONTH(F$47),DAY(F$47))+1
)</f>
        <v>0</v>
      </c>
      <c r="G49" s="30">
        <f>COUNTIFS(
DATA!$F:$F,$B49,
DATA!$B:$B,"&gt;="&amp;DATE(2026,MONTH(G$47),DAY(G$47)),
DATA!$B:$B,"&lt;"&amp;DATE(2026,MONTH(G$47),DAY(G$47))+1
)</f>
        <v>0</v>
      </c>
      <c r="H49" s="30">
        <f>COUNTIFS(
DATA!$F:$F,$B49,
DATA!$B:$B,"&gt;="&amp;DATE(2026,MONTH(H$47),DAY(H$47)),
DATA!$B:$B,"&lt;"&amp;DATE(2026,MONTH(H$47),DAY(H$47))+1
)</f>
        <v>0</v>
      </c>
      <c r="I49" s="30">
        <f>COUNTIFS(
DATA!$F:$F,$B49,
DATA!$B:$B,"&gt;="&amp;DATE(2026,MONTH(I$47),DAY(I$47)),
DATA!$B:$B,"&lt;"&amp;DATE(2026,MONTH(I$47),DAY(I$47))+1
)</f>
        <v>0</v>
      </c>
      <c r="J49" s="30">
        <f>COUNTIFS(
DATA!$F:$F,$B49,
DATA!$B:$B,"&gt;="&amp;DATE(2026,MONTH(J$47),DAY(J$47)),
DATA!$B:$B,"&lt;"&amp;DATE(2026,MONTH(J$47),DAY(J$47))+1
)</f>
        <v>0</v>
      </c>
      <c r="K49" s="30">
        <f>COUNTIFS(
DATA!$F:$F,$B49,
DATA!$B:$B,"&gt;="&amp;DATE(2026,MONTH(K$47),DAY(K$47)),
DATA!$B:$B,"&lt;"&amp;DATE(2026,MONTH(K$47),DAY(K$47))+1
)</f>
        <v>0</v>
      </c>
      <c r="L49" s="30">
        <f>COUNTIFS(
DATA!$F:$F,$B49,
DATA!$B:$B,"&gt;="&amp;DATE(2026,MONTH(L$47),DAY(L$47)),
DATA!$B:$B,"&lt;"&amp;DATE(2026,MONTH(L$47),DAY(L$47))+1
)</f>
        <v>0</v>
      </c>
      <c r="M49" s="30">
        <f>COUNTIFS(
DATA!$F:$F,$B49,
DATA!$B:$B,"&gt;="&amp;DATE(2026,MONTH(M$47),DAY(M$47)),
DATA!$B:$B,"&lt;"&amp;DATE(2026,MONTH(M$47),DAY(M$47))+1
)</f>
        <v>0</v>
      </c>
      <c r="N49" s="30">
        <f>COUNTIFS(
DATA!$F:$F,$B49,
DATA!$B:$B,"&gt;="&amp;DATE(2026,MONTH(N$47),DAY(N$47)),
DATA!$B:$B,"&lt;"&amp;DATE(2026,MONTH(N$47),DAY(N$47))+1
)</f>
        <v>0</v>
      </c>
      <c r="O49" s="30">
        <f>COUNTIFS(
DATA!$F:$F,$B49,
DATA!$B:$B,"&gt;="&amp;DATE(2026,MONTH(O$47),DAY(O$47)),
DATA!$B:$B,"&lt;"&amp;DATE(2026,MONTH(O$47),DAY(O$47))+1
)</f>
        <v>0</v>
      </c>
      <c r="P49" s="30">
        <f>COUNTIFS(
DATA!$F:$F,$B49,
DATA!$B:$B,"&gt;="&amp;DATE(2026,MONTH(P$47),DAY(P$47)),
DATA!$B:$B,"&lt;"&amp;DATE(2026,MONTH(P$47),DAY(P$47))+1
)</f>
        <v>0</v>
      </c>
      <c r="Q49" s="30">
        <f>COUNTIFS(
DATA!$F:$F,$B49,
DATA!$B:$B,"&gt;="&amp;DATE(2026,MONTH(Q$47),DAY(Q$47)),
DATA!$B:$B,"&lt;"&amp;DATE(2026,MONTH(Q$47),DAY(Q$47))+1
)</f>
        <v>0</v>
      </c>
      <c r="R49" s="30">
        <f>COUNTIFS(
DATA!$F:$F,$B49,
DATA!$B:$B,"&gt;="&amp;DATE(2026,MONTH(R$47),DAY(R$47)),
DATA!$B:$B,"&lt;"&amp;DATE(2026,MONTH(R$47),DAY(R$47))+1
)</f>
        <v>0</v>
      </c>
      <c r="S49" s="30">
        <f>COUNTIFS(
DATA!$F:$F,$B49,
DATA!$B:$B,"&gt;="&amp;DATE(2026,MONTH(S$47),DAY(S$47)),
DATA!$B:$B,"&lt;"&amp;DATE(2026,MONTH(S$47),DAY(S$47))+1
)</f>
        <v>0</v>
      </c>
      <c r="T49" s="30">
        <f>COUNTIFS(
DATA!$F:$F,$B49,
DATA!$B:$B,"&gt;="&amp;DATE(2026,MONTH(T$47),DAY(T$47)),
DATA!$B:$B,"&lt;"&amp;DATE(2026,MONTH(T$47),DAY(T$47))+1
)</f>
        <v>0</v>
      </c>
      <c r="U49" s="30">
        <f>COUNTIFS(
DATA!$F:$F,$B49,
DATA!$B:$B,"&gt;="&amp;DATE(2026,MONTH(U$47),DAY(U$47)),
DATA!$B:$B,"&lt;"&amp;DATE(2026,MONTH(U$47),DAY(U$47))+1
)</f>
        <v>0</v>
      </c>
      <c r="V49" s="30">
        <f>COUNTIFS(
DATA!$F:$F,$B49,
DATA!$B:$B,"&gt;="&amp;DATE(2026,MONTH(V$47),DAY(V$47)),
DATA!$B:$B,"&lt;"&amp;DATE(2026,MONTH(V$47),DAY(V$47))+1
)</f>
        <v>0</v>
      </c>
      <c r="W49" s="30">
        <f>COUNTIFS(
DATA!$F:$F,$B49,
DATA!$B:$B,"&gt;="&amp;DATE(2026,MONTH(W$47),DAY(W$47)),
DATA!$B:$B,"&lt;"&amp;DATE(2026,MONTH(W$47),DAY(W$47))+1
)</f>
        <v>0</v>
      </c>
      <c r="X49" s="30">
        <f>COUNTIFS(
DATA!$F:$F,$B49,
DATA!$B:$B,"&gt;="&amp;DATE(2026,MONTH(X$47),DAY(X$47)),
DATA!$B:$B,"&lt;"&amp;DATE(2026,MONTH(X$47),DAY(X$47))+1
)</f>
        <v>0</v>
      </c>
      <c r="Y49" s="30">
        <f>COUNTIFS(
DATA!$F:$F,$B49,
DATA!$B:$B,"&gt;="&amp;DATE(2026,MONTH(Y$47),DAY(Y$47)),
DATA!$B:$B,"&lt;"&amp;DATE(2026,MONTH(Y$47),DAY(Y$47))+1
)</f>
        <v>0</v>
      </c>
      <c r="Z49" s="30">
        <f>COUNTIFS(
DATA!$F:$F,$B49,
DATA!$B:$B,"&gt;="&amp;DATE(2026,MONTH(Z$47),DAY(Z$47)),
DATA!$B:$B,"&lt;"&amp;DATE(2026,MONTH(Z$47),DAY(Z$47))+1
)</f>
        <v>0</v>
      </c>
      <c r="AA49" s="30">
        <f>COUNTIFS(
DATA!$F:$F,$B49,
DATA!$B:$B,"&gt;="&amp;DATE(2026,MONTH(AA$47),DAY(AA$47)),
DATA!$B:$B,"&lt;"&amp;DATE(2026,MONTH(AA$47),DAY(AA$47))+1
)</f>
        <v>0</v>
      </c>
      <c r="AB49" s="30">
        <f>COUNTIFS(
DATA!$F:$F,$B49,
DATA!$B:$B,"&gt;="&amp;DATE(2026,MONTH(AB$47),DAY(AB$47)),
DATA!$B:$B,"&lt;"&amp;DATE(2026,MONTH(AB$47),DAY(AB$47))+1
)</f>
        <v>0</v>
      </c>
      <c r="AC49" s="30">
        <f>COUNTIFS(
DATA!$F:$F,$B49,
DATA!$B:$B,"&gt;="&amp;DATE(2026,MONTH(AC$47),DAY(AC$47)),
DATA!$B:$B,"&lt;"&amp;DATE(2026,MONTH(AC$47),DAY(AC$47))+1
)</f>
        <v>0</v>
      </c>
      <c r="AD49" s="30">
        <f>COUNTIFS(
DATA!$F:$F,$B49,
DATA!$B:$B,"&gt;="&amp;DATE(2026,MONTH(AD$47),DAY(AD$47)),
DATA!$B:$B,"&lt;"&amp;DATE(2026,MONTH(AD$47),DAY(AD$47))+1
)</f>
        <v>0</v>
      </c>
      <c r="AE49" s="30">
        <f>COUNTIFS(
DATA!$F:$F,$B49,
DATA!$B:$B,"&gt;="&amp;DATE(2026,MONTH(AE$47),DAY(AE$47)),
DATA!$B:$B,"&lt;"&amp;DATE(2026,MONTH(AE$47),DAY(AE$47))+1
)</f>
        <v>0</v>
      </c>
      <c r="AF49" s="30">
        <f>COUNTIFS(
DATA!$F:$F,$B49,
DATA!$B:$B,"&gt;="&amp;DATE(2026,MONTH(AF$47),DAY(AF$47)),
DATA!$B:$B,"&lt;"&amp;DATE(2026,MONTH(AF$47),DAY(AF$47))+1
)</f>
        <v>0</v>
      </c>
      <c r="AG49" s="30">
        <f>COUNTIFS(
DATA!$F:$F,$B49,
DATA!$B:$B,"&gt;="&amp;DATE(2026,MONTH(AG$47),DAY(AG$47)),
DATA!$B:$B,"&lt;"&amp;DATE(2026,MONTH(AG$47),DAY(AG$47))+1
)</f>
        <v>0</v>
      </c>
      <c r="AH49" s="31">
        <f t="shared" si="118"/>
        <v>0</v>
      </c>
      <c r="AI49" s="7"/>
      <c r="AJ49" s="30">
        <v>2.0</v>
      </c>
      <c r="AK49" s="32" t="s">
        <v>61</v>
      </c>
      <c r="AL49" s="41">
        <f t="shared" si="119"/>
        <v>0</v>
      </c>
      <c r="AM49" s="30">
        <f t="shared" ref="AM49:AM56" si="125">SUM(C49:D49)</f>
        <v>0</v>
      </c>
      <c r="AN49" s="30">
        <f t="shared" ref="AN49:BO49" si="120">SUM($C49:E49)</f>
        <v>0</v>
      </c>
      <c r="AO49" s="30">
        <f t="shared" si="120"/>
        <v>0</v>
      </c>
      <c r="AP49" s="30">
        <f t="shared" si="120"/>
        <v>0</v>
      </c>
      <c r="AQ49" s="30">
        <f t="shared" si="120"/>
        <v>0</v>
      </c>
      <c r="AR49" s="30">
        <f t="shared" si="120"/>
        <v>0</v>
      </c>
      <c r="AS49" s="30">
        <f t="shared" si="120"/>
        <v>0</v>
      </c>
      <c r="AT49" s="30">
        <f t="shared" si="120"/>
        <v>0</v>
      </c>
      <c r="AU49" s="30">
        <f t="shared" si="120"/>
        <v>0</v>
      </c>
      <c r="AV49" s="30">
        <f t="shared" si="120"/>
        <v>0</v>
      </c>
      <c r="AW49" s="30">
        <f t="shared" si="120"/>
        <v>0</v>
      </c>
      <c r="AX49" s="30">
        <f t="shared" si="120"/>
        <v>0</v>
      </c>
      <c r="AY49" s="30">
        <f t="shared" si="120"/>
        <v>0</v>
      </c>
      <c r="AZ49" s="30">
        <f t="shared" si="120"/>
        <v>0</v>
      </c>
      <c r="BA49" s="30">
        <f t="shared" si="120"/>
        <v>0</v>
      </c>
      <c r="BB49" s="30">
        <f t="shared" si="120"/>
        <v>0</v>
      </c>
      <c r="BC49" s="30">
        <f t="shared" si="120"/>
        <v>0</v>
      </c>
      <c r="BD49" s="30">
        <f t="shared" si="120"/>
        <v>0</v>
      </c>
      <c r="BE49" s="30">
        <f t="shared" si="120"/>
        <v>0</v>
      </c>
      <c r="BF49" s="30">
        <f t="shared" si="120"/>
        <v>0</v>
      </c>
      <c r="BG49" s="30">
        <f t="shared" si="120"/>
        <v>0</v>
      </c>
      <c r="BH49" s="30">
        <f t="shared" si="120"/>
        <v>0</v>
      </c>
      <c r="BI49" s="30">
        <f t="shared" si="120"/>
        <v>0</v>
      </c>
      <c r="BJ49" s="30">
        <f t="shared" si="120"/>
        <v>0</v>
      </c>
      <c r="BK49" s="30">
        <f t="shared" si="120"/>
        <v>0</v>
      </c>
      <c r="BL49" s="30">
        <f t="shared" si="120"/>
        <v>0</v>
      </c>
      <c r="BM49" s="30">
        <f t="shared" si="120"/>
        <v>0</v>
      </c>
      <c r="BN49" s="30">
        <f t="shared" si="120"/>
        <v>0</v>
      </c>
      <c r="BO49" s="30">
        <f t="shared" si="120"/>
        <v>0</v>
      </c>
      <c r="BP49" s="41"/>
      <c r="BQ49" s="85" t="str">
        <f t="shared" si="121"/>
        <v/>
      </c>
      <c r="BR49" s="7"/>
      <c r="BS49" s="28">
        <v>2.0</v>
      </c>
      <c r="BT49" s="29" t="s">
        <v>61</v>
      </c>
      <c r="BU49" s="86">
        <f t="shared" si="122"/>
        <v>0</v>
      </c>
      <c r="BV49" s="86">
        <f t="shared" ref="BV49:CF49" si="123">SUM($BU35:BV35)</f>
        <v>13</v>
      </c>
      <c r="BW49" s="86">
        <f t="shared" si="123"/>
        <v>13</v>
      </c>
      <c r="BX49" s="86">
        <f t="shared" si="123"/>
        <v>13</v>
      </c>
      <c r="BY49" s="86">
        <f t="shared" si="123"/>
        <v>13</v>
      </c>
      <c r="BZ49" s="86">
        <f t="shared" si="123"/>
        <v>13</v>
      </c>
      <c r="CA49" s="86">
        <f t="shared" si="123"/>
        <v>13</v>
      </c>
      <c r="CB49" s="86">
        <f t="shared" si="123"/>
        <v>13</v>
      </c>
      <c r="CC49" s="86">
        <f t="shared" si="123"/>
        <v>13</v>
      </c>
      <c r="CD49" s="86">
        <f t="shared" si="123"/>
        <v>13</v>
      </c>
      <c r="CE49" s="86">
        <f t="shared" si="123"/>
        <v>13</v>
      </c>
      <c r="CF49" s="86">
        <f t="shared" si="123"/>
        <v>13</v>
      </c>
      <c r="CG49" s="7"/>
      <c r="CH49" s="70">
        <f t="shared" si="124"/>
        <v>2</v>
      </c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</row>
    <row r="50">
      <c r="A50" s="28">
        <v>3.0</v>
      </c>
      <c r="B50" s="28" t="s">
        <v>62</v>
      </c>
      <c r="C50" s="30">
        <f>COUNTIFS(
DATA!$F:$F,$B50,
DATA!$B:$B,"&gt;="&amp;DATE(2026,MONTH(C$47),DAY(C$47)),
DATA!$B:$B,"&lt;"&amp;DATE(2026,MONTH(C$47),DAY(C$47))+1
)</f>
        <v>0</v>
      </c>
      <c r="D50" s="30">
        <f>COUNTIFS(
DATA!$F:$F,$B50,
DATA!$B:$B,"&gt;="&amp;DATE(2026,MONTH(D$47),DAY(D$47)),
DATA!$B:$B,"&lt;"&amp;DATE(2026,MONTH(D$47),DAY(D$47))+1
)</f>
        <v>0</v>
      </c>
      <c r="E50" s="30">
        <f>COUNTIFS(
DATA!$F:$F,$B50,
DATA!$B:$B,"&gt;="&amp;DATE(2026,MONTH(E$47),DAY(E$47)),
DATA!$B:$B,"&lt;"&amp;DATE(2026,MONTH(E$47),DAY(E$47))+1
)</f>
        <v>0</v>
      </c>
      <c r="F50" s="30">
        <f>COUNTIFS(
DATA!$F:$F,$B50,
DATA!$B:$B,"&gt;="&amp;DATE(2026,MONTH(F$47),DAY(F$47)),
DATA!$B:$B,"&lt;"&amp;DATE(2026,MONTH(F$47),DAY(F$47))+1
)</f>
        <v>0</v>
      </c>
      <c r="G50" s="30">
        <f>COUNTIFS(
DATA!$F:$F,$B50,
DATA!$B:$B,"&gt;="&amp;DATE(2026,MONTH(G$47),DAY(G$47)),
DATA!$B:$B,"&lt;"&amp;DATE(2026,MONTH(G$47),DAY(G$47))+1
)</f>
        <v>0</v>
      </c>
      <c r="H50" s="30">
        <f>COUNTIFS(
DATA!$F:$F,$B50,
DATA!$B:$B,"&gt;="&amp;DATE(2026,MONTH(H$47),DAY(H$47)),
DATA!$B:$B,"&lt;"&amp;DATE(2026,MONTH(H$47),DAY(H$47))+1
)</f>
        <v>0</v>
      </c>
      <c r="I50" s="30">
        <f>COUNTIFS(
DATA!$F:$F,$B50,
DATA!$B:$B,"&gt;="&amp;DATE(2026,MONTH(I$47),DAY(I$47)),
DATA!$B:$B,"&lt;"&amp;DATE(2026,MONTH(I$47),DAY(I$47))+1
)</f>
        <v>0</v>
      </c>
      <c r="J50" s="30">
        <f>COUNTIFS(
DATA!$F:$F,$B50,
DATA!$B:$B,"&gt;="&amp;DATE(2026,MONTH(J$47),DAY(J$47)),
DATA!$B:$B,"&lt;"&amp;DATE(2026,MONTH(J$47),DAY(J$47))+1
)</f>
        <v>0</v>
      </c>
      <c r="K50" s="30">
        <f>COUNTIFS(
DATA!$F:$F,$B50,
DATA!$B:$B,"&gt;="&amp;DATE(2026,MONTH(K$47),DAY(K$47)),
DATA!$B:$B,"&lt;"&amp;DATE(2026,MONTH(K$47),DAY(K$47))+1
)</f>
        <v>0</v>
      </c>
      <c r="L50" s="30">
        <f>COUNTIFS(
DATA!$F:$F,$B50,
DATA!$B:$B,"&gt;="&amp;DATE(2026,MONTH(L$47),DAY(L$47)),
DATA!$B:$B,"&lt;"&amp;DATE(2026,MONTH(L$47),DAY(L$47))+1
)</f>
        <v>0</v>
      </c>
      <c r="M50" s="30">
        <f>COUNTIFS(
DATA!$F:$F,$B50,
DATA!$B:$B,"&gt;="&amp;DATE(2026,MONTH(M$47),DAY(M$47)),
DATA!$B:$B,"&lt;"&amp;DATE(2026,MONTH(M$47),DAY(M$47))+1
)</f>
        <v>0</v>
      </c>
      <c r="N50" s="30">
        <f>COUNTIFS(
DATA!$F:$F,$B50,
DATA!$B:$B,"&gt;="&amp;DATE(2026,MONTH(N$47),DAY(N$47)),
DATA!$B:$B,"&lt;"&amp;DATE(2026,MONTH(N$47),DAY(N$47))+1
)</f>
        <v>0</v>
      </c>
      <c r="O50" s="30">
        <f>COUNTIFS(
DATA!$F:$F,$B50,
DATA!$B:$B,"&gt;="&amp;DATE(2026,MONTH(O$47),DAY(O$47)),
DATA!$B:$B,"&lt;"&amp;DATE(2026,MONTH(O$47),DAY(O$47))+1
)</f>
        <v>0</v>
      </c>
      <c r="P50" s="30">
        <f>COUNTIFS(
DATA!$F:$F,$B50,
DATA!$B:$B,"&gt;="&amp;DATE(2026,MONTH(P$47),DAY(P$47)),
DATA!$B:$B,"&lt;"&amp;DATE(2026,MONTH(P$47),DAY(P$47))+1
)</f>
        <v>0</v>
      </c>
      <c r="Q50" s="30">
        <f>COUNTIFS(
DATA!$F:$F,$B50,
DATA!$B:$B,"&gt;="&amp;DATE(2026,MONTH(Q$47),DAY(Q$47)),
DATA!$B:$B,"&lt;"&amp;DATE(2026,MONTH(Q$47),DAY(Q$47))+1
)</f>
        <v>0</v>
      </c>
      <c r="R50" s="30">
        <f>COUNTIFS(
DATA!$F:$F,$B50,
DATA!$B:$B,"&gt;="&amp;DATE(2026,MONTH(R$47),DAY(R$47)),
DATA!$B:$B,"&lt;"&amp;DATE(2026,MONTH(R$47),DAY(R$47))+1
)</f>
        <v>0</v>
      </c>
      <c r="S50" s="30">
        <f>COUNTIFS(
DATA!$F:$F,$B50,
DATA!$B:$B,"&gt;="&amp;DATE(2026,MONTH(S$47),DAY(S$47)),
DATA!$B:$B,"&lt;"&amp;DATE(2026,MONTH(S$47),DAY(S$47))+1
)</f>
        <v>0</v>
      </c>
      <c r="T50" s="30">
        <f>COUNTIFS(
DATA!$F:$F,$B50,
DATA!$B:$B,"&gt;="&amp;DATE(2026,MONTH(T$47),DAY(T$47)),
DATA!$B:$B,"&lt;"&amp;DATE(2026,MONTH(T$47),DAY(T$47))+1
)</f>
        <v>0</v>
      </c>
      <c r="U50" s="30">
        <f>COUNTIFS(
DATA!$F:$F,$B50,
DATA!$B:$B,"&gt;="&amp;DATE(2026,MONTH(U$47),DAY(U$47)),
DATA!$B:$B,"&lt;"&amp;DATE(2026,MONTH(U$47),DAY(U$47))+1
)</f>
        <v>0</v>
      </c>
      <c r="V50" s="30">
        <f>COUNTIFS(
DATA!$F:$F,$B50,
DATA!$B:$B,"&gt;="&amp;DATE(2026,MONTH(V$47),DAY(V$47)),
DATA!$B:$B,"&lt;"&amp;DATE(2026,MONTH(V$47),DAY(V$47))+1
)</f>
        <v>0</v>
      </c>
      <c r="W50" s="30">
        <f>COUNTIFS(
DATA!$F:$F,$B50,
DATA!$B:$B,"&gt;="&amp;DATE(2026,MONTH(W$47),DAY(W$47)),
DATA!$B:$B,"&lt;"&amp;DATE(2026,MONTH(W$47),DAY(W$47))+1
)</f>
        <v>0</v>
      </c>
      <c r="X50" s="30">
        <f>COUNTIFS(
DATA!$F:$F,$B50,
DATA!$B:$B,"&gt;="&amp;DATE(2026,MONTH(X$47),DAY(X$47)),
DATA!$B:$B,"&lt;"&amp;DATE(2026,MONTH(X$47),DAY(X$47))+1
)</f>
        <v>0</v>
      </c>
      <c r="Y50" s="30">
        <f>COUNTIFS(
DATA!$F:$F,$B50,
DATA!$B:$B,"&gt;="&amp;DATE(2026,MONTH(Y$47),DAY(Y$47)),
DATA!$B:$B,"&lt;"&amp;DATE(2026,MONTH(Y$47),DAY(Y$47))+1
)</f>
        <v>0</v>
      </c>
      <c r="Z50" s="30">
        <f>COUNTIFS(
DATA!$F:$F,$B50,
DATA!$B:$B,"&gt;="&amp;DATE(2026,MONTH(Z$47),DAY(Z$47)),
DATA!$B:$B,"&lt;"&amp;DATE(2026,MONTH(Z$47),DAY(Z$47))+1
)</f>
        <v>6</v>
      </c>
      <c r="AA50" s="30">
        <f>COUNTIFS(
DATA!$F:$F,$B50,
DATA!$B:$B,"&gt;="&amp;DATE(2026,MONTH(AA$47),DAY(AA$47)),
DATA!$B:$B,"&lt;"&amp;DATE(2026,MONTH(AA$47),DAY(AA$47))+1
)</f>
        <v>29</v>
      </c>
      <c r="AB50" s="30">
        <f>COUNTIFS(
DATA!$F:$F,$B50,
DATA!$B:$B,"&gt;="&amp;DATE(2026,MONTH(AB$47),DAY(AB$47)),
DATA!$B:$B,"&lt;"&amp;DATE(2026,MONTH(AB$47),DAY(AB$47))+1
)</f>
        <v>1</v>
      </c>
      <c r="AC50" s="30">
        <f>COUNTIFS(
DATA!$F:$F,$B50,
DATA!$B:$B,"&gt;="&amp;DATE(2026,MONTH(AC$47),DAY(AC$47)),
DATA!$B:$B,"&lt;"&amp;DATE(2026,MONTH(AC$47),DAY(AC$47))+1
)</f>
        <v>6</v>
      </c>
      <c r="AD50" s="30">
        <f>COUNTIFS(
DATA!$F:$F,$B50,
DATA!$B:$B,"&gt;="&amp;DATE(2026,MONTH(AD$47),DAY(AD$47)),
DATA!$B:$B,"&lt;"&amp;DATE(2026,MONTH(AD$47),DAY(AD$47))+1
)</f>
        <v>0</v>
      </c>
      <c r="AE50" s="30">
        <f>COUNTIFS(
DATA!$F:$F,$B50,
DATA!$B:$B,"&gt;="&amp;DATE(2026,MONTH(AE$47),DAY(AE$47)),
DATA!$B:$B,"&lt;"&amp;DATE(2026,MONTH(AE$47),DAY(AE$47))+1
)</f>
        <v>0</v>
      </c>
      <c r="AF50" s="30">
        <f>COUNTIFS(
DATA!$F:$F,$B50,
DATA!$B:$B,"&gt;="&amp;DATE(2026,MONTH(AF$47),DAY(AF$47)),
DATA!$B:$B,"&lt;"&amp;DATE(2026,MONTH(AF$47),DAY(AF$47))+1
)</f>
        <v>0</v>
      </c>
      <c r="AG50" s="30">
        <f>COUNTIFS(
DATA!$F:$F,$B50,
DATA!$B:$B,"&gt;="&amp;DATE(2026,MONTH(AG$47),DAY(AG$47)),
DATA!$B:$B,"&lt;"&amp;DATE(2026,MONTH(AG$47),DAY(AG$47))+1
)</f>
        <v>0</v>
      </c>
      <c r="AH50" s="31">
        <f t="shared" si="118"/>
        <v>42</v>
      </c>
      <c r="AI50" s="7"/>
      <c r="AJ50" s="30">
        <v>3.0</v>
      </c>
      <c r="AK50" s="32" t="s">
        <v>62</v>
      </c>
      <c r="AL50" s="41">
        <f t="shared" si="119"/>
        <v>0</v>
      </c>
      <c r="AM50" s="30">
        <f t="shared" si="125"/>
        <v>0</v>
      </c>
      <c r="AN50" s="30">
        <f t="shared" ref="AN50:BO50" si="126">SUM($C50:E50)</f>
        <v>0</v>
      </c>
      <c r="AO50" s="30">
        <f t="shared" si="126"/>
        <v>0</v>
      </c>
      <c r="AP50" s="30">
        <f t="shared" si="126"/>
        <v>0</v>
      </c>
      <c r="AQ50" s="30">
        <f t="shared" si="126"/>
        <v>0</v>
      </c>
      <c r="AR50" s="30">
        <f t="shared" si="126"/>
        <v>0</v>
      </c>
      <c r="AS50" s="30">
        <f t="shared" si="126"/>
        <v>0</v>
      </c>
      <c r="AT50" s="30">
        <f t="shared" si="126"/>
        <v>0</v>
      </c>
      <c r="AU50" s="30">
        <f t="shared" si="126"/>
        <v>0</v>
      </c>
      <c r="AV50" s="30">
        <f t="shared" si="126"/>
        <v>0</v>
      </c>
      <c r="AW50" s="30">
        <f t="shared" si="126"/>
        <v>0</v>
      </c>
      <c r="AX50" s="30">
        <f t="shared" si="126"/>
        <v>0</v>
      </c>
      <c r="AY50" s="30">
        <f t="shared" si="126"/>
        <v>0</v>
      </c>
      <c r="AZ50" s="30">
        <f t="shared" si="126"/>
        <v>0</v>
      </c>
      <c r="BA50" s="30">
        <f t="shared" si="126"/>
        <v>0</v>
      </c>
      <c r="BB50" s="30">
        <f t="shared" si="126"/>
        <v>0</v>
      </c>
      <c r="BC50" s="30">
        <f t="shared" si="126"/>
        <v>0</v>
      </c>
      <c r="BD50" s="30">
        <f t="shared" si="126"/>
        <v>0</v>
      </c>
      <c r="BE50" s="30">
        <f t="shared" si="126"/>
        <v>0</v>
      </c>
      <c r="BF50" s="30">
        <f t="shared" si="126"/>
        <v>0</v>
      </c>
      <c r="BG50" s="30">
        <f t="shared" si="126"/>
        <v>0</v>
      </c>
      <c r="BH50" s="30">
        <f t="shared" si="126"/>
        <v>0</v>
      </c>
      <c r="BI50" s="30">
        <f t="shared" si="126"/>
        <v>6</v>
      </c>
      <c r="BJ50" s="30">
        <f t="shared" si="126"/>
        <v>35</v>
      </c>
      <c r="BK50" s="30">
        <f t="shared" si="126"/>
        <v>36</v>
      </c>
      <c r="BL50" s="30">
        <f t="shared" si="126"/>
        <v>42</v>
      </c>
      <c r="BM50" s="30">
        <f t="shared" si="126"/>
        <v>42</v>
      </c>
      <c r="BN50" s="30">
        <f t="shared" si="126"/>
        <v>42</v>
      </c>
      <c r="BO50" s="30">
        <f t="shared" si="126"/>
        <v>42</v>
      </c>
      <c r="BP50" s="41"/>
      <c r="BQ50" s="85" t="str">
        <f t="shared" si="121"/>
        <v/>
      </c>
      <c r="BR50" s="7"/>
      <c r="BS50" s="28">
        <v>3.0</v>
      </c>
      <c r="BT50" s="29" t="s">
        <v>62</v>
      </c>
      <c r="BU50" s="86">
        <f t="shared" si="122"/>
        <v>35</v>
      </c>
      <c r="BV50" s="86">
        <f t="shared" ref="BV50:CF50" si="127">SUM($BU36:BV36)</f>
        <v>51</v>
      </c>
      <c r="BW50" s="86">
        <f t="shared" si="127"/>
        <v>51</v>
      </c>
      <c r="BX50" s="86">
        <f t="shared" si="127"/>
        <v>93</v>
      </c>
      <c r="BY50" s="86">
        <f t="shared" si="127"/>
        <v>93</v>
      </c>
      <c r="BZ50" s="86">
        <f t="shared" si="127"/>
        <v>93</v>
      </c>
      <c r="CA50" s="86">
        <f t="shared" si="127"/>
        <v>93</v>
      </c>
      <c r="CB50" s="86">
        <f t="shared" si="127"/>
        <v>93</v>
      </c>
      <c r="CC50" s="86">
        <f t="shared" si="127"/>
        <v>93</v>
      </c>
      <c r="CD50" s="86">
        <f t="shared" si="127"/>
        <v>93</v>
      </c>
      <c r="CE50" s="86">
        <f t="shared" si="127"/>
        <v>93</v>
      </c>
      <c r="CF50" s="86">
        <f t="shared" si="127"/>
        <v>93</v>
      </c>
      <c r="CG50" s="7"/>
      <c r="CH50" s="70">
        <f t="shared" si="124"/>
        <v>12.5</v>
      </c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</row>
    <row r="51">
      <c r="A51" s="28">
        <v>4.0</v>
      </c>
      <c r="B51" s="28" t="s">
        <v>63</v>
      </c>
      <c r="C51" s="30">
        <f>COUNTIFS(
DATA!$F:$F,$B51,
DATA!$B:$B,"&gt;="&amp;DATE(2026,MONTH(C$47),DAY(C$47)),
DATA!$B:$B,"&lt;"&amp;DATE(2026,MONTH(C$47),DAY(C$47))+1
)</f>
        <v>0</v>
      </c>
      <c r="D51" s="30">
        <f>COUNTIFS(
DATA!$F:$F,$B51,
DATA!$B:$B,"&gt;="&amp;DATE(2026,MONTH(D$47),DAY(D$47)),
DATA!$B:$B,"&lt;"&amp;DATE(2026,MONTH(D$47),DAY(D$47))+1
)</f>
        <v>0</v>
      </c>
      <c r="E51" s="30">
        <f>COUNTIFS(
DATA!$F:$F,$B51,
DATA!$B:$B,"&gt;="&amp;DATE(2026,MONTH(E$47),DAY(E$47)),
DATA!$B:$B,"&lt;"&amp;DATE(2026,MONTH(E$47),DAY(E$47))+1
)</f>
        <v>0</v>
      </c>
      <c r="F51" s="30">
        <f>COUNTIFS(
DATA!$F:$F,$B51,
DATA!$B:$B,"&gt;="&amp;DATE(2026,MONTH(F$47),DAY(F$47)),
DATA!$B:$B,"&lt;"&amp;DATE(2026,MONTH(F$47),DAY(F$47))+1
)</f>
        <v>0</v>
      </c>
      <c r="G51" s="30">
        <f>COUNTIFS(
DATA!$F:$F,$B51,
DATA!$B:$B,"&gt;="&amp;DATE(2026,MONTH(G$47),DAY(G$47)),
DATA!$B:$B,"&lt;"&amp;DATE(2026,MONTH(G$47),DAY(G$47))+1
)</f>
        <v>0</v>
      </c>
      <c r="H51" s="30">
        <f>COUNTIFS(
DATA!$F:$F,$B51,
DATA!$B:$B,"&gt;="&amp;DATE(2026,MONTH(H$47),DAY(H$47)),
DATA!$B:$B,"&lt;"&amp;DATE(2026,MONTH(H$47),DAY(H$47))+1
)</f>
        <v>0</v>
      </c>
      <c r="I51" s="30">
        <f>COUNTIFS(
DATA!$F:$F,$B51,
DATA!$B:$B,"&gt;="&amp;DATE(2026,MONTH(I$47),DAY(I$47)),
DATA!$B:$B,"&lt;"&amp;DATE(2026,MONTH(I$47),DAY(I$47))+1
)</f>
        <v>0</v>
      </c>
      <c r="J51" s="30">
        <f>COUNTIFS(
DATA!$F:$F,$B51,
DATA!$B:$B,"&gt;="&amp;DATE(2026,MONTH(J$47),DAY(J$47)),
DATA!$B:$B,"&lt;"&amp;DATE(2026,MONTH(J$47),DAY(J$47))+1
)</f>
        <v>0</v>
      </c>
      <c r="K51" s="30">
        <f>COUNTIFS(
DATA!$F:$F,$B51,
DATA!$B:$B,"&gt;="&amp;DATE(2026,MONTH(K$47),DAY(K$47)),
DATA!$B:$B,"&lt;"&amp;DATE(2026,MONTH(K$47),DAY(K$47))+1
)</f>
        <v>0</v>
      </c>
      <c r="L51" s="30">
        <f>COUNTIFS(
DATA!$F:$F,$B51,
DATA!$B:$B,"&gt;="&amp;DATE(2026,MONTH(L$47),DAY(L$47)),
DATA!$B:$B,"&lt;"&amp;DATE(2026,MONTH(L$47),DAY(L$47))+1
)</f>
        <v>0</v>
      </c>
      <c r="M51" s="30">
        <f>COUNTIFS(
DATA!$F:$F,$B51,
DATA!$B:$B,"&gt;="&amp;DATE(2026,MONTH(M$47),DAY(M$47)),
DATA!$B:$B,"&lt;"&amp;DATE(2026,MONTH(M$47),DAY(M$47))+1
)</f>
        <v>0</v>
      </c>
      <c r="N51" s="30">
        <f>COUNTIFS(
DATA!$F:$F,$B51,
DATA!$B:$B,"&gt;="&amp;DATE(2026,MONTH(N$47),DAY(N$47)),
DATA!$B:$B,"&lt;"&amp;DATE(2026,MONTH(N$47),DAY(N$47))+1
)</f>
        <v>0</v>
      </c>
      <c r="O51" s="30">
        <f>COUNTIFS(
DATA!$F:$F,$B51,
DATA!$B:$B,"&gt;="&amp;DATE(2026,MONTH(O$47),DAY(O$47)),
DATA!$B:$B,"&lt;"&amp;DATE(2026,MONTH(O$47),DAY(O$47))+1
)</f>
        <v>0</v>
      </c>
      <c r="P51" s="30">
        <f>COUNTIFS(
DATA!$F:$F,$B51,
DATA!$B:$B,"&gt;="&amp;DATE(2026,MONTH(P$47),DAY(P$47)),
DATA!$B:$B,"&lt;"&amp;DATE(2026,MONTH(P$47),DAY(P$47))+1
)</f>
        <v>0</v>
      </c>
      <c r="Q51" s="30">
        <f>COUNTIFS(
DATA!$F:$F,$B51,
DATA!$B:$B,"&gt;="&amp;DATE(2026,MONTH(Q$47),DAY(Q$47)),
DATA!$B:$B,"&lt;"&amp;DATE(2026,MONTH(Q$47),DAY(Q$47))+1
)</f>
        <v>0</v>
      </c>
      <c r="R51" s="30">
        <f>COUNTIFS(
DATA!$F:$F,$B51,
DATA!$B:$B,"&gt;="&amp;DATE(2026,MONTH(R$47),DAY(R$47)),
DATA!$B:$B,"&lt;"&amp;DATE(2026,MONTH(R$47),DAY(R$47))+1
)</f>
        <v>0</v>
      </c>
      <c r="S51" s="30">
        <f>COUNTIFS(
DATA!$F:$F,$B51,
DATA!$B:$B,"&gt;="&amp;DATE(2026,MONTH(S$47),DAY(S$47)),
DATA!$B:$B,"&lt;"&amp;DATE(2026,MONTH(S$47),DAY(S$47))+1
)</f>
        <v>0</v>
      </c>
      <c r="T51" s="30">
        <f>COUNTIFS(
DATA!$F:$F,$B51,
DATA!$B:$B,"&gt;="&amp;DATE(2026,MONTH(T$47),DAY(T$47)),
DATA!$B:$B,"&lt;"&amp;DATE(2026,MONTH(T$47),DAY(T$47))+1
)</f>
        <v>0</v>
      </c>
      <c r="U51" s="30">
        <f>COUNTIFS(
DATA!$F:$F,$B51,
DATA!$B:$B,"&gt;="&amp;DATE(2026,MONTH(U$47),DAY(U$47)),
DATA!$B:$B,"&lt;"&amp;DATE(2026,MONTH(U$47),DAY(U$47))+1
)</f>
        <v>0</v>
      </c>
      <c r="V51" s="30">
        <f>COUNTIFS(
DATA!$F:$F,$B51,
DATA!$B:$B,"&gt;="&amp;DATE(2026,MONTH(V$47),DAY(V$47)),
DATA!$B:$B,"&lt;"&amp;DATE(2026,MONTH(V$47),DAY(V$47))+1
)</f>
        <v>0</v>
      </c>
      <c r="W51" s="30">
        <f>COUNTIFS(
DATA!$F:$F,$B51,
DATA!$B:$B,"&gt;="&amp;DATE(2026,MONTH(W$47),DAY(W$47)),
DATA!$B:$B,"&lt;"&amp;DATE(2026,MONTH(W$47),DAY(W$47))+1
)</f>
        <v>0</v>
      </c>
      <c r="X51" s="30">
        <f>COUNTIFS(
DATA!$F:$F,$B51,
DATA!$B:$B,"&gt;="&amp;DATE(2026,MONTH(X$47),DAY(X$47)),
DATA!$B:$B,"&lt;"&amp;DATE(2026,MONTH(X$47),DAY(X$47))+1
)</f>
        <v>0</v>
      </c>
      <c r="Y51" s="30">
        <f>COUNTIFS(
DATA!$F:$F,$B51,
DATA!$B:$B,"&gt;="&amp;DATE(2026,MONTH(Y$47),DAY(Y$47)),
DATA!$B:$B,"&lt;"&amp;DATE(2026,MONTH(Y$47),DAY(Y$47))+1
)</f>
        <v>1</v>
      </c>
      <c r="Z51" s="30">
        <f>COUNTIFS(
DATA!$F:$F,$B51,
DATA!$B:$B,"&gt;="&amp;DATE(2026,MONTH(Z$47),DAY(Z$47)),
DATA!$B:$B,"&lt;"&amp;DATE(2026,MONTH(Z$47),DAY(Z$47))+1
)</f>
        <v>0</v>
      </c>
      <c r="AA51" s="30">
        <f>COUNTIFS(
DATA!$F:$F,$B51,
DATA!$B:$B,"&gt;="&amp;DATE(2026,MONTH(AA$47),DAY(AA$47)),
DATA!$B:$B,"&lt;"&amp;DATE(2026,MONTH(AA$47),DAY(AA$47))+1
)</f>
        <v>0</v>
      </c>
      <c r="AB51" s="30">
        <f>COUNTIFS(
DATA!$F:$F,$B51,
DATA!$B:$B,"&gt;="&amp;DATE(2026,MONTH(AB$47),DAY(AB$47)),
DATA!$B:$B,"&lt;"&amp;DATE(2026,MONTH(AB$47),DAY(AB$47))+1
)</f>
        <v>0</v>
      </c>
      <c r="AC51" s="30">
        <f>COUNTIFS(
DATA!$F:$F,$B51,
DATA!$B:$B,"&gt;="&amp;DATE(2026,MONTH(AC$47),DAY(AC$47)),
DATA!$B:$B,"&lt;"&amp;DATE(2026,MONTH(AC$47),DAY(AC$47))+1
)</f>
        <v>32</v>
      </c>
      <c r="AD51" s="30">
        <f>COUNTIFS(
DATA!$F:$F,$B51,
DATA!$B:$B,"&gt;="&amp;DATE(2026,MONTH(AD$47),DAY(AD$47)),
DATA!$B:$B,"&lt;"&amp;DATE(2026,MONTH(AD$47),DAY(AD$47))+1
)</f>
        <v>0</v>
      </c>
      <c r="AE51" s="30">
        <f>COUNTIFS(
DATA!$F:$F,$B51,
DATA!$B:$B,"&gt;="&amp;DATE(2026,MONTH(AE$47),DAY(AE$47)),
DATA!$B:$B,"&lt;"&amp;DATE(2026,MONTH(AE$47),DAY(AE$47))+1
)</f>
        <v>0</v>
      </c>
      <c r="AF51" s="30">
        <f>COUNTIFS(
DATA!$F:$F,$B51,
DATA!$B:$B,"&gt;="&amp;DATE(2026,MONTH(AF$47),DAY(AF$47)),
DATA!$B:$B,"&lt;"&amp;DATE(2026,MONTH(AF$47),DAY(AF$47))+1
)</f>
        <v>0</v>
      </c>
      <c r="AG51" s="30">
        <f>COUNTIFS(
DATA!$F:$F,$B51,
DATA!$B:$B,"&gt;="&amp;DATE(2026,MONTH(AG$47),DAY(AG$47)),
DATA!$B:$B,"&lt;"&amp;DATE(2026,MONTH(AG$47),DAY(AG$47))+1
)</f>
        <v>0</v>
      </c>
      <c r="AH51" s="31">
        <f t="shared" si="118"/>
        <v>33</v>
      </c>
      <c r="AI51" s="7"/>
      <c r="AJ51" s="30">
        <v>4.0</v>
      </c>
      <c r="AK51" s="32" t="s">
        <v>63</v>
      </c>
      <c r="AL51" s="41">
        <f t="shared" si="119"/>
        <v>0</v>
      </c>
      <c r="AM51" s="30">
        <f t="shared" si="125"/>
        <v>0</v>
      </c>
      <c r="AN51" s="30">
        <f t="shared" ref="AN51:BO51" si="128">SUM($C51:E51)</f>
        <v>0</v>
      </c>
      <c r="AO51" s="30">
        <f t="shared" si="128"/>
        <v>0</v>
      </c>
      <c r="AP51" s="30">
        <f t="shared" si="128"/>
        <v>0</v>
      </c>
      <c r="AQ51" s="30">
        <f t="shared" si="128"/>
        <v>0</v>
      </c>
      <c r="AR51" s="30">
        <f t="shared" si="128"/>
        <v>0</v>
      </c>
      <c r="AS51" s="30">
        <f t="shared" si="128"/>
        <v>0</v>
      </c>
      <c r="AT51" s="30">
        <f t="shared" si="128"/>
        <v>0</v>
      </c>
      <c r="AU51" s="30">
        <f t="shared" si="128"/>
        <v>0</v>
      </c>
      <c r="AV51" s="30">
        <f t="shared" si="128"/>
        <v>0</v>
      </c>
      <c r="AW51" s="30">
        <f t="shared" si="128"/>
        <v>0</v>
      </c>
      <c r="AX51" s="30">
        <f t="shared" si="128"/>
        <v>0</v>
      </c>
      <c r="AY51" s="30">
        <f t="shared" si="128"/>
        <v>0</v>
      </c>
      <c r="AZ51" s="30">
        <f t="shared" si="128"/>
        <v>0</v>
      </c>
      <c r="BA51" s="30">
        <f t="shared" si="128"/>
        <v>0</v>
      </c>
      <c r="BB51" s="30">
        <f t="shared" si="128"/>
        <v>0</v>
      </c>
      <c r="BC51" s="30">
        <f t="shared" si="128"/>
        <v>0</v>
      </c>
      <c r="BD51" s="30">
        <f t="shared" si="128"/>
        <v>0</v>
      </c>
      <c r="BE51" s="30">
        <f t="shared" si="128"/>
        <v>0</v>
      </c>
      <c r="BF51" s="30">
        <f t="shared" si="128"/>
        <v>0</v>
      </c>
      <c r="BG51" s="30">
        <f t="shared" si="128"/>
        <v>0</v>
      </c>
      <c r="BH51" s="30">
        <f t="shared" si="128"/>
        <v>1</v>
      </c>
      <c r="BI51" s="30">
        <f t="shared" si="128"/>
        <v>1</v>
      </c>
      <c r="BJ51" s="30">
        <f t="shared" si="128"/>
        <v>1</v>
      </c>
      <c r="BK51" s="30">
        <f t="shared" si="128"/>
        <v>1</v>
      </c>
      <c r="BL51" s="30">
        <f t="shared" si="128"/>
        <v>33</v>
      </c>
      <c r="BM51" s="30">
        <f t="shared" si="128"/>
        <v>33</v>
      </c>
      <c r="BN51" s="30">
        <f t="shared" si="128"/>
        <v>33</v>
      </c>
      <c r="BO51" s="30">
        <f t="shared" si="128"/>
        <v>33</v>
      </c>
      <c r="BP51" s="41"/>
      <c r="BQ51" s="85" t="str">
        <f t="shared" si="121"/>
        <v/>
      </c>
      <c r="BR51" s="7"/>
      <c r="BS51" s="28">
        <v>4.0</v>
      </c>
      <c r="BT51" s="29" t="s">
        <v>63</v>
      </c>
      <c r="BU51" s="86">
        <f t="shared" si="122"/>
        <v>49</v>
      </c>
      <c r="BV51" s="86">
        <f t="shared" ref="BV51:CF51" si="129">SUM($BU37:BV37)</f>
        <v>93</v>
      </c>
      <c r="BW51" s="86">
        <f t="shared" si="129"/>
        <v>133</v>
      </c>
      <c r="BX51" s="86">
        <f t="shared" si="129"/>
        <v>166</v>
      </c>
      <c r="BY51" s="86">
        <f t="shared" si="129"/>
        <v>166</v>
      </c>
      <c r="BZ51" s="86">
        <f t="shared" si="129"/>
        <v>166</v>
      </c>
      <c r="CA51" s="86">
        <f t="shared" si="129"/>
        <v>166</v>
      </c>
      <c r="CB51" s="86">
        <f t="shared" si="129"/>
        <v>166</v>
      </c>
      <c r="CC51" s="86">
        <f t="shared" si="129"/>
        <v>166</v>
      </c>
      <c r="CD51" s="86">
        <f t="shared" si="129"/>
        <v>166</v>
      </c>
      <c r="CE51" s="86">
        <f t="shared" si="129"/>
        <v>166</v>
      </c>
      <c r="CF51" s="86">
        <f t="shared" si="129"/>
        <v>166</v>
      </c>
      <c r="CG51" s="7"/>
      <c r="CH51" s="70">
        <f t="shared" si="124"/>
        <v>-40</v>
      </c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</row>
    <row r="52">
      <c r="A52" s="28">
        <v>5.0</v>
      </c>
      <c r="B52" s="28" t="s">
        <v>64</v>
      </c>
      <c r="C52" s="30">
        <f>COUNTIFS(
DATA!$F:$F,$B52,
DATA!$B:$B,"&gt;="&amp;DATE(2026,MONTH(C$47),DAY(C$47)),
DATA!$B:$B,"&lt;"&amp;DATE(2026,MONTH(C$47),DAY(C$47))+1
)</f>
        <v>0</v>
      </c>
      <c r="D52" s="30">
        <f>COUNTIFS(
DATA!$F:$F,$B52,
DATA!$B:$B,"&gt;="&amp;DATE(2026,MONTH(D$47),DAY(D$47)),
DATA!$B:$B,"&lt;"&amp;DATE(2026,MONTH(D$47),DAY(D$47))+1
)</f>
        <v>0</v>
      </c>
      <c r="E52" s="30">
        <f>COUNTIFS(
DATA!$F:$F,$B52,
DATA!$B:$B,"&gt;="&amp;DATE(2026,MONTH(E$47),DAY(E$47)),
DATA!$B:$B,"&lt;"&amp;DATE(2026,MONTH(E$47),DAY(E$47))+1
)</f>
        <v>0</v>
      </c>
      <c r="F52" s="30">
        <f>COUNTIFS(
DATA!$F:$F,$B52,
DATA!$B:$B,"&gt;="&amp;DATE(2026,MONTH(F$47),DAY(F$47)),
DATA!$B:$B,"&lt;"&amp;DATE(2026,MONTH(F$47),DAY(F$47))+1
)</f>
        <v>0</v>
      </c>
      <c r="G52" s="30">
        <f>COUNTIFS(
DATA!$F:$F,$B52,
DATA!$B:$B,"&gt;="&amp;DATE(2026,MONTH(G$47),DAY(G$47)),
DATA!$B:$B,"&lt;"&amp;DATE(2026,MONTH(G$47),DAY(G$47))+1
)</f>
        <v>0</v>
      </c>
      <c r="H52" s="30">
        <f>COUNTIFS(
DATA!$F:$F,$B52,
DATA!$B:$B,"&gt;="&amp;DATE(2026,MONTH(H$47),DAY(H$47)),
DATA!$B:$B,"&lt;"&amp;DATE(2026,MONTH(H$47),DAY(H$47))+1
)</f>
        <v>0</v>
      </c>
      <c r="I52" s="30">
        <f>COUNTIFS(
DATA!$F:$F,$B52,
DATA!$B:$B,"&gt;="&amp;DATE(2026,MONTH(I$47),DAY(I$47)),
DATA!$B:$B,"&lt;"&amp;DATE(2026,MONTH(I$47),DAY(I$47))+1
)</f>
        <v>0</v>
      </c>
      <c r="J52" s="30">
        <f>COUNTIFS(
DATA!$F:$F,$B52,
DATA!$B:$B,"&gt;="&amp;DATE(2026,MONTH(J$47),DAY(J$47)),
DATA!$B:$B,"&lt;"&amp;DATE(2026,MONTH(J$47),DAY(J$47))+1
)</f>
        <v>0</v>
      </c>
      <c r="K52" s="30">
        <f>COUNTIFS(
DATA!$F:$F,$B52,
DATA!$B:$B,"&gt;="&amp;DATE(2026,MONTH(K$47),DAY(K$47)),
DATA!$B:$B,"&lt;"&amp;DATE(2026,MONTH(K$47),DAY(K$47))+1
)</f>
        <v>0</v>
      </c>
      <c r="L52" s="30">
        <f>COUNTIFS(
DATA!$F:$F,$B52,
DATA!$B:$B,"&gt;="&amp;DATE(2026,MONTH(L$47),DAY(L$47)),
DATA!$B:$B,"&lt;"&amp;DATE(2026,MONTH(L$47),DAY(L$47))+1
)</f>
        <v>0</v>
      </c>
      <c r="M52" s="30">
        <f>COUNTIFS(
DATA!$F:$F,$B52,
DATA!$B:$B,"&gt;="&amp;DATE(2026,MONTH(M$47),DAY(M$47)),
DATA!$B:$B,"&lt;"&amp;DATE(2026,MONTH(M$47),DAY(M$47))+1
)</f>
        <v>0</v>
      </c>
      <c r="N52" s="30">
        <f>COUNTIFS(
DATA!$F:$F,$B52,
DATA!$B:$B,"&gt;="&amp;DATE(2026,MONTH(N$47),DAY(N$47)),
DATA!$B:$B,"&lt;"&amp;DATE(2026,MONTH(N$47),DAY(N$47))+1
)</f>
        <v>0</v>
      </c>
      <c r="O52" s="30">
        <f>COUNTIFS(
DATA!$F:$F,$B52,
DATA!$B:$B,"&gt;="&amp;DATE(2026,MONTH(O$47),DAY(O$47)),
DATA!$B:$B,"&lt;"&amp;DATE(2026,MONTH(O$47),DAY(O$47))+1
)</f>
        <v>0</v>
      </c>
      <c r="P52" s="30">
        <f>COUNTIFS(
DATA!$F:$F,$B52,
DATA!$B:$B,"&gt;="&amp;DATE(2026,MONTH(P$47),DAY(P$47)),
DATA!$B:$B,"&lt;"&amp;DATE(2026,MONTH(P$47),DAY(P$47))+1
)</f>
        <v>0</v>
      </c>
      <c r="Q52" s="30">
        <f>COUNTIFS(
DATA!$F:$F,$B52,
DATA!$B:$B,"&gt;="&amp;DATE(2026,MONTH(Q$47),DAY(Q$47)),
DATA!$B:$B,"&lt;"&amp;DATE(2026,MONTH(Q$47),DAY(Q$47))+1
)</f>
        <v>0</v>
      </c>
      <c r="R52" s="30">
        <f>COUNTIFS(
DATA!$F:$F,$B52,
DATA!$B:$B,"&gt;="&amp;DATE(2026,MONTH(R$47),DAY(R$47)),
DATA!$B:$B,"&lt;"&amp;DATE(2026,MONTH(R$47),DAY(R$47))+1
)</f>
        <v>0</v>
      </c>
      <c r="S52" s="30">
        <f>COUNTIFS(
DATA!$F:$F,$B52,
DATA!$B:$B,"&gt;="&amp;DATE(2026,MONTH(S$47),DAY(S$47)),
DATA!$B:$B,"&lt;"&amp;DATE(2026,MONTH(S$47),DAY(S$47))+1
)</f>
        <v>0</v>
      </c>
      <c r="T52" s="30">
        <f>COUNTIFS(
DATA!$F:$F,$B52,
DATA!$B:$B,"&gt;="&amp;DATE(2026,MONTH(T$47),DAY(T$47)),
DATA!$B:$B,"&lt;"&amp;DATE(2026,MONTH(T$47),DAY(T$47))+1
)</f>
        <v>0</v>
      </c>
      <c r="U52" s="30">
        <f>COUNTIFS(
DATA!$F:$F,$B52,
DATA!$B:$B,"&gt;="&amp;DATE(2026,MONTH(U$47),DAY(U$47)),
DATA!$B:$B,"&lt;"&amp;DATE(2026,MONTH(U$47),DAY(U$47))+1
)</f>
        <v>0</v>
      </c>
      <c r="V52" s="30">
        <f>COUNTIFS(
DATA!$F:$F,$B52,
DATA!$B:$B,"&gt;="&amp;DATE(2026,MONTH(V$47),DAY(V$47)),
DATA!$B:$B,"&lt;"&amp;DATE(2026,MONTH(V$47),DAY(V$47))+1
)</f>
        <v>0</v>
      </c>
      <c r="W52" s="30">
        <f>COUNTIFS(
DATA!$F:$F,$B52,
DATA!$B:$B,"&gt;="&amp;DATE(2026,MONTH(W$47),DAY(W$47)),
DATA!$B:$B,"&lt;"&amp;DATE(2026,MONTH(W$47),DAY(W$47))+1
)</f>
        <v>0</v>
      </c>
      <c r="X52" s="30">
        <f>COUNTIFS(
DATA!$F:$F,$B52,
DATA!$B:$B,"&gt;="&amp;DATE(2026,MONTH(X$47),DAY(X$47)),
DATA!$B:$B,"&lt;"&amp;DATE(2026,MONTH(X$47),DAY(X$47))+1
)</f>
        <v>0</v>
      </c>
      <c r="Y52" s="30">
        <f>COUNTIFS(
DATA!$F:$F,$B52,
DATA!$B:$B,"&gt;="&amp;DATE(2026,MONTH(Y$47),DAY(Y$47)),
DATA!$B:$B,"&lt;"&amp;DATE(2026,MONTH(Y$47),DAY(Y$47))+1
)</f>
        <v>0</v>
      </c>
      <c r="Z52" s="30">
        <f>COUNTIFS(
DATA!$F:$F,$B52,
DATA!$B:$B,"&gt;="&amp;DATE(2026,MONTH(Z$47),DAY(Z$47)),
DATA!$B:$B,"&lt;"&amp;DATE(2026,MONTH(Z$47),DAY(Z$47))+1
)</f>
        <v>0</v>
      </c>
      <c r="AA52" s="30">
        <f>COUNTIFS(
DATA!$F:$F,$B52,
DATA!$B:$B,"&gt;="&amp;DATE(2026,MONTH(AA$47),DAY(AA$47)),
DATA!$B:$B,"&lt;"&amp;DATE(2026,MONTH(AA$47),DAY(AA$47))+1
)</f>
        <v>0</v>
      </c>
      <c r="AB52" s="30">
        <f>COUNTIFS(
DATA!$F:$F,$B52,
DATA!$B:$B,"&gt;="&amp;DATE(2026,MONTH(AB$47),DAY(AB$47)),
DATA!$B:$B,"&lt;"&amp;DATE(2026,MONTH(AB$47),DAY(AB$47))+1
)</f>
        <v>0</v>
      </c>
      <c r="AC52" s="30">
        <f>COUNTIFS(
DATA!$F:$F,$B52,
DATA!$B:$B,"&gt;="&amp;DATE(2026,MONTH(AC$47),DAY(AC$47)),
DATA!$B:$B,"&lt;"&amp;DATE(2026,MONTH(AC$47),DAY(AC$47))+1
)</f>
        <v>0</v>
      </c>
      <c r="AD52" s="30">
        <f>COUNTIFS(
DATA!$F:$F,$B52,
DATA!$B:$B,"&gt;="&amp;DATE(2026,MONTH(AD$47),DAY(AD$47)),
DATA!$B:$B,"&lt;"&amp;DATE(2026,MONTH(AD$47),DAY(AD$47))+1
)</f>
        <v>32</v>
      </c>
      <c r="AE52" s="30">
        <f>COUNTIFS(
DATA!$F:$F,$B52,
DATA!$B:$B,"&gt;="&amp;DATE(2026,MONTH(AE$47),DAY(AE$47)),
DATA!$B:$B,"&lt;"&amp;DATE(2026,MONTH(AE$47),DAY(AE$47))+1
)</f>
        <v>9</v>
      </c>
      <c r="AF52" s="30">
        <f>COUNTIFS(
DATA!$F:$F,$B52,
DATA!$B:$B,"&gt;="&amp;DATE(2026,MONTH(AF$47),DAY(AF$47)),
DATA!$B:$B,"&lt;"&amp;DATE(2026,MONTH(AF$47),DAY(AF$47))+1
)</f>
        <v>15</v>
      </c>
      <c r="AG52" s="30">
        <f>COUNTIFS(
DATA!$F:$F,$B52,
DATA!$B:$B,"&gt;="&amp;DATE(2026,MONTH(AG$47),DAY(AG$47)),
DATA!$B:$B,"&lt;"&amp;DATE(2026,MONTH(AG$47),DAY(AG$47))+1
)</f>
        <v>0</v>
      </c>
      <c r="AH52" s="31">
        <f t="shared" si="118"/>
        <v>56</v>
      </c>
      <c r="AI52" s="7"/>
      <c r="AJ52" s="30">
        <v>5.0</v>
      </c>
      <c r="AK52" s="32" t="s">
        <v>64</v>
      </c>
      <c r="AL52" s="41">
        <f t="shared" si="119"/>
        <v>0</v>
      </c>
      <c r="AM52" s="30">
        <f t="shared" si="125"/>
        <v>0</v>
      </c>
      <c r="AN52" s="30">
        <f t="shared" ref="AN52:BO52" si="130">SUM($C52:E52)</f>
        <v>0</v>
      </c>
      <c r="AO52" s="30">
        <f t="shared" si="130"/>
        <v>0</v>
      </c>
      <c r="AP52" s="30">
        <f t="shared" si="130"/>
        <v>0</v>
      </c>
      <c r="AQ52" s="30">
        <f t="shared" si="130"/>
        <v>0</v>
      </c>
      <c r="AR52" s="30">
        <f t="shared" si="130"/>
        <v>0</v>
      </c>
      <c r="AS52" s="30">
        <f t="shared" si="130"/>
        <v>0</v>
      </c>
      <c r="AT52" s="30">
        <f t="shared" si="130"/>
        <v>0</v>
      </c>
      <c r="AU52" s="30">
        <f t="shared" si="130"/>
        <v>0</v>
      </c>
      <c r="AV52" s="30">
        <f t="shared" si="130"/>
        <v>0</v>
      </c>
      <c r="AW52" s="30">
        <f t="shared" si="130"/>
        <v>0</v>
      </c>
      <c r="AX52" s="30">
        <f t="shared" si="130"/>
        <v>0</v>
      </c>
      <c r="AY52" s="30">
        <f t="shared" si="130"/>
        <v>0</v>
      </c>
      <c r="AZ52" s="30">
        <f t="shared" si="130"/>
        <v>0</v>
      </c>
      <c r="BA52" s="30">
        <f t="shared" si="130"/>
        <v>0</v>
      </c>
      <c r="BB52" s="30">
        <f t="shared" si="130"/>
        <v>0</v>
      </c>
      <c r="BC52" s="30">
        <f t="shared" si="130"/>
        <v>0</v>
      </c>
      <c r="BD52" s="30">
        <f t="shared" si="130"/>
        <v>0</v>
      </c>
      <c r="BE52" s="30">
        <f t="shared" si="130"/>
        <v>0</v>
      </c>
      <c r="BF52" s="30">
        <f t="shared" si="130"/>
        <v>0</v>
      </c>
      <c r="BG52" s="30">
        <f t="shared" si="130"/>
        <v>0</v>
      </c>
      <c r="BH52" s="30">
        <f t="shared" si="130"/>
        <v>0</v>
      </c>
      <c r="BI52" s="30">
        <f t="shared" si="130"/>
        <v>0</v>
      </c>
      <c r="BJ52" s="30">
        <f t="shared" si="130"/>
        <v>0</v>
      </c>
      <c r="BK52" s="30">
        <f t="shared" si="130"/>
        <v>0</v>
      </c>
      <c r="BL52" s="30">
        <f t="shared" si="130"/>
        <v>0</v>
      </c>
      <c r="BM52" s="30">
        <f t="shared" si="130"/>
        <v>32</v>
      </c>
      <c r="BN52" s="30">
        <f t="shared" si="130"/>
        <v>41</v>
      </c>
      <c r="BO52" s="30">
        <f t="shared" si="130"/>
        <v>56</v>
      </c>
      <c r="BP52" s="41"/>
      <c r="BQ52" s="85" t="str">
        <f t="shared" si="121"/>
        <v/>
      </c>
      <c r="BR52" s="7"/>
      <c r="BS52" s="28">
        <v>5.0</v>
      </c>
      <c r="BT52" s="29" t="s">
        <v>64</v>
      </c>
      <c r="BU52" s="86">
        <f t="shared" si="122"/>
        <v>53</v>
      </c>
      <c r="BV52" s="86">
        <f t="shared" ref="BV52:CF52" si="131">SUM($BU38:BV38)</f>
        <v>107</v>
      </c>
      <c r="BW52" s="86">
        <f t="shared" si="131"/>
        <v>200</v>
      </c>
      <c r="BX52" s="86">
        <f t="shared" si="131"/>
        <v>256</v>
      </c>
      <c r="BY52" s="86">
        <f t="shared" si="131"/>
        <v>256</v>
      </c>
      <c r="BZ52" s="86">
        <f t="shared" si="131"/>
        <v>256</v>
      </c>
      <c r="CA52" s="86">
        <f t="shared" si="131"/>
        <v>256</v>
      </c>
      <c r="CB52" s="86">
        <f t="shared" si="131"/>
        <v>256</v>
      </c>
      <c r="CC52" s="86">
        <f t="shared" si="131"/>
        <v>256</v>
      </c>
      <c r="CD52" s="86">
        <f t="shared" si="131"/>
        <v>256</v>
      </c>
      <c r="CE52" s="86">
        <f t="shared" si="131"/>
        <v>256</v>
      </c>
      <c r="CF52" s="86">
        <f t="shared" si="131"/>
        <v>256</v>
      </c>
      <c r="CG52" s="7"/>
      <c r="CH52" s="70">
        <f t="shared" si="124"/>
        <v>-21.75</v>
      </c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</row>
    <row r="53">
      <c r="A53" s="28">
        <v>6.0</v>
      </c>
      <c r="B53" s="28" t="s">
        <v>65</v>
      </c>
      <c r="C53" s="30">
        <f>COUNTIFS(
DATA!$F:$F,$B53,
DATA!$B:$B,"&gt;="&amp;DATE(2026,MONTH(C$47),DAY(C$47)),
DATA!$B:$B,"&lt;"&amp;DATE(2026,MONTH(C$47),DAY(C$47))+1
)</f>
        <v>0</v>
      </c>
      <c r="D53" s="30">
        <f>COUNTIFS(
DATA!$F:$F,$B53,
DATA!$B:$B,"&gt;="&amp;DATE(2026,MONTH(D$47),DAY(D$47)),
DATA!$B:$B,"&lt;"&amp;DATE(2026,MONTH(D$47),DAY(D$47))+1
)</f>
        <v>0</v>
      </c>
      <c r="E53" s="30">
        <f>COUNTIFS(
DATA!$F:$F,$B53,
DATA!$B:$B,"&gt;="&amp;DATE(2026,MONTH(E$47),DAY(E$47)),
DATA!$B:$B,"&lt;"&amp;DATE(2026,MONTH(E$47),DAY(E$47))+1
)</f>
        <v>0</v>
      </c>
      <c r="F53" s="30">
        <f>COUNTIFS(
DATA!$F:$F,$B53,
DATA!$B:$B,"&gt;="&amp;DATE(2026,MONTH(F$47),DAY(F$47)),
DATA!$B:$B,"&lt;"&amp;DATE(2026,MONTH(F$47),DAY(F$47))+1
)</f>
        <v>0</v>
      </c>
      <c r="G53" s="30">
        <f>COUNTIFS(
DATA!$F:$F,$B53,
DATA!$B:$B,"&gt;="&amp;DATE(2026,MONTH(G$47),DAY(G$47)),
DATA!$B:$B,"&lt;"&amp;DATE(2026,MONTH(G$47),DAY(G$47))+1
)</f>
        <v>0</v>
      </c>
      <c r="H53" s="30">
        <f>COUNTIFS(
DATA!$F:$F,$B53,
DATA!$B:$B,"&gt;="&amp;DATE(2026,MONTH(H$47),DAY(H$47)),
DATA!$B:$B,"&lt;"&amp;DATE(2026,MONTH(H$47),DAY(H$47))+1
)</f>
        <v>0</v>
      </c>
      <c r="I53" s="30">
        <f>COUNTIFS(
DATA!$F:$F,$B53,
DATA!$B:$B,"&gt;="&amp;DATE(2026,MONTH(I$47),DAY(I$47)),
DATA!$B:$B,"&lt;"&amp;DATE(2026,MONTH(I$47),DAY(I$47))+1
)</f>
        <v>0</v>
      </c>
      <c r="J53" s="30">
        <f>COUNTIFS(
DATA!$F:$F,$B53,
DATA!$B:$B,"&gt;="&amp;DATE(2026,MONTH(J$47),DAY(J$47)),
DATA!$B:$B,"&lt;"&amp;DATE(2026,MONTH(J$47),DAY(J$47))+1
)</f>
        <v>0</v>
      </c>
      <c r="K53" s="30">
        <f>COUNTIFS(
DATA!$F:$F,$B53,
DATA!$B:$B,"&gt;="&amp;DATE(2026,MONTH(K$47),DAY(K$47)),
DATA!$B:$B,"&lt;"&amp;DATE(2026,MONTH(K$47),DAY(K$47))+1
)</f>
        <v>0</v>
      </c>
      <c r="L53" s="30">
        <f>COUNTIFS(
DATA!$F:$F,$B53,
DATA!$B:$B,"&gt;="&amp;DATE(2026,MONTH(L$47),DAY(L$47)),
DATA!$B:$B,"&lt;"&amp;DATE(2026,MONTH(L$47),DAY(L$47))+1
)</f>
        <v>5</v>
      </c>
      <c r="M53" s="30">
        <f>COUNTIFS(
DATA!$F:$F,$B53,
DATA!$B:$B,"&gt;="&amp;DATE(2026,MONTH(M$47),DAY(M$47)),
DATA!$B:$B,"&lt;"&amp;DATE(2026,MONTH(M$47),DAY(M$47))+1
)</f>
        <v>0</v>
      </c>
      <c r="N53" s="30">
        <f>COUNTIFS(
DATA!$F:$F,$B53,
DATA!$B:$B,"&gt;="&amp;DATE(2026,MONTH(N$47),DAY(N$47)),
DATA!$B:$B,"&lt;"&amp;DATE(2026,MONTH(N$47),DAY(N$47))+1
)</f>
        <v>0</v>
      </c>
      <c r="O53" s="30">
        <f>COUNTIFS(
DATA!$F:$F,$B53,
DATA!$B:$B,"&gt;="&amp;DATE(2026,MONTH(O$47),DAY(O$47)),
DATA!$B:$B,"&lt;"&amp;DATE(2026,MONTH(O$47),DAY(O$47))+1
)</f>
        <v>9</v>
      </c>
      <c r="P53" s="30">
        <f>COUNTIFS(
DATA!$F:$F,$B53,
DATA!$B:$B,"&gt;="&amp;DATE(2026,MONTH(P$47),DAY(P$47)),
DATA!$B:$B,"&lt;"&amp;DATE(2026,MONTH(P$47),DAY(P$47))+1
)</f>
        <v>0</v>
      </c>
      <c r="Q53" s="30">
        <f>COUNTIFS(
DATA!$F:$F,$B53,
DATA!$B:$B,"&gt;="&amp;DATE(2026,MONTH(Q$47),DAY(Q$47)),
DATA!$B:$B,"&lt;"&amp;DATE(2026,MONTH(Q$47),DAY(Q$47))+1
)</f>
        <v>0</v>
      </c>
      <c r="R53" s="30">
        <f>COUNTIFS(
DATA!$F:$F,$B53,
DATA!$B:$B,"&gt;="&amp;DATE(2026,MONTH(R$47),DAY(R$47)),
DATA!$B:$B,"&lt;"&amp;DATE(2026,MONTH(R$47),DAY(R$47))+1
)</f>
        <v>0</v>
      </c>
      <c r="S53" s="30">
        <f>COUNTIFS(
DATA!$F:$F,$B53,
DATA!$B:$B,"&gt;="&amp;DATE(2026,MONTH(S$47),DAY(S$47)),
DATA!$B:$B,"&lt;"&amp;DATE(2026,MONTH(S$47),DAY(S$47))+1
)</f>
        <v>0</v>
      </c>
      <c r="T53" s="30">
        <f>COUNTIFS(
DATA!$F:$F,$B53,
DATA!$B:$B,"&gt;="&amp;DATE(2026,MONTH(T$47),DAY(T$47)),
DATA!$B:$B,"&lt;"&amp;DATE(2026,MONTH(T$47),DAY(T$47))+1
)</f>
        <v>0</v>
      </c>
      <c r="U53" s="30">
        <f>COUNTIFS(
DATA!$F:$F,$B53,
DATA!$B:$B,"&gt;="&amp;DATE(2026,MONTH(U$47),DAY(U$47)),
DATA!$B:$B,"&lt;"&amp;DATE(2026,MONTH(U$47),DAY(U$47))+1
)</f>
        <v>0</v>
      </c>
      <c r="V53" s="30">
        <f>COUNTIFS(
DATA!$F:$F,$B53,
DATA!$B:$B,"&gt;="&amp;DATE(2026,MONTH(V$47),DAY(V$47)),
DATA!$B:$B,"&lt;"&amp;DATE(2026,MONTH(V$47),DAY(V$47))+1
)</f>
        <v>0</v>
      </c>
      <c r="W53" s="30">
        <f>COUNTIFS(
DATA!$F:$F,$B53,
DATA!$B:$B,"&gt;="&amp;DATE(2026,MONTH(W$47),DAY(W$47)),
DATA!$B:$B,"&lt;"&amp;DATE(2026,MONTH(W$47),DAY(W$47))+1
)</f>
        <v>0</v>
      </c>
      <c r="X53" s="30">
        <f>COUNTIFS(
DATA!$F:$F,$B53,
DATA!$B:$B,"&gt;="&amp;DATE(2026,MONTH(X$47),DAY(X$47)),
DATA!$B:$B,"&lt;"&amp;DATE(2026,MONTH(X$47),DAY(X$47))+1
)</f>
        <v>0</v>
      </c>
      <c r="Y53" s="30">
        <f>COUNTIFS(
DATA!$F:$F,$B53,
DATA!$B:$B,"&gt;="&amp;DATE(2026,MONTH(Y$47),DAY(Y$47)),
DATA!$B:$B,"&lt;"&amp;DATE(2026,MONTH(Y$47),DAY(Y$47))+1
)</f>
        <v>0</v>
      </c>
      <c r="Z53" s="30">
        <f>COUNTIFS(
DATA!$F:$F,$B53,
DATA!$B:$B,"&gt;="&amp;DATE(2026,MONTH(Z$47),DAY(Z$47)),
DATA!$B:$B,"&lt;"&amp;DATE(2026,MONTH(Z$47),DAY(Z$47))+1
)</f>
        <v>0</v>
      </c>
      <c r="AA53" s="30">
        <f>COUNTIFS(
DATA!$F:$F,$B53,
DATA!$B:$B,"&gt;="&amp;DATE(2026,MONTH(AA$47),DAY(AA$47)),
DATA!$B:$B,"&lt;"&amp;DATE(2026,MONTH(AA$47),DAY(AA$47))+1
)</f>
        <v>0</v>
      </c>
      <c r="AB53" s="30">
        <f>COUNTIFS(
DATA!$F:$F,$B53,
DATA!$B:$B,"&gt;="&amp;DATE(2026,MONTH(AB$47),DAY(AB$47)),
DATA!$B:$B,"&lt;"&amp;DATE(2026,MONTH(AB$47),DAY(AB$47))+1
)</f>
        <v>0</v>
      </c>
      <c r="AC53" s="30">
        <f>COUNTIFS(
DATA!$F:$F,$B53,
DATA!$B:$B,"&gt;="&amp;DATE(2026,MONTH(AC$47),DAY(AC$47)),
DATA!$B:$B,"&lt;"&amp;DATE(2026,MONTH(AC$47),DAY(AC$47))+1
)</f>
        <v>0</v>
      </c>
      <c r="AD53" s="30">
        <f>COUNTIFS(
DATA!$F:$F,$B53,
DATA!$B:$B,"&gt;="&amp;DATE(2026,MONTH(AD$47),DAY(AD$47)),
DATA!$B:$B,"&lt;"&amp;DATE(2026,MONTH(AD$47),DAY(AD$47))+1
)</f>
        <v>52</v>
      </c>
      <c r="AE53" s="30">
        <f>COUNTIFS(
DATA!$F:$F,$B53,
DATA!$B:$B,"&gt;="&amp;DATE(2026,MONTH(AE$47),DAY(AE$47)),
DATA!$B:$B,"&lt;"&amp;DATE(2026,MONTH(AE$47),DAY(AE$47))+1
)</f>
        <v>0</v>
      </c>
      <c r="AF53" s="30">
        <f>COUNTIFS(
DATA!$F:$F,$B53,
DATA!$B:$B,"&gt;="&amp;DATE(2026,MONTH(AF$47),DAY(AF$47)),
DATA!$B:$B,"&lt;"&amp;DATE(2026,MONTH(AF$47),DAY(AF$47))+1
)</f>
        <v>0</v>
      </c>
      <c r="AG53" s="30">
        <f>COUNTIFS(
DATA!$F:$F,$B53,
DATA!$B:$B,"&gt;="&amp;DATE(2026,MONTH(AG$47),DAY(AG$47)),
DATA!$B:$B,"&lt;"&amp;DATE(2026,MONTH(AG$47),DAY(AG$47))+1
)</f>
        <v>0</v>
      </c>
      <c r="AH53" s="31">
        <f t="shared" si="118"/>
        <v>66</v>
      </c>
      <c r="AI53" s="7"/>
      <c r="AJ53" s="30">
        <v>6.0</v>
      </c>
      <c r="AK53" s="32" t="s">
        <v>66</v>
      </c>
      <c r="AL53" s="41">
        <f t="shared" si="119"/>
        <v>0</v>
      </c>
      <c r="AM53" s="30">
        <f t="shared" si="125"/>
        <v>0</v>
      </c>
      <c r="AN53" s="30">
        <f t="shared" ref="AN53:BO53" si="132">SUM($C53:E53)</f>
        <v>0</v>
      </c>
      <c r="AO53" s="30">
        <f t="shared" si="132"/>
        <v>0</v>
      </c>
      <c r="AP53" s="30">
        <f t="shared" si="132"/>
        <v>0</v>
      </c>
      <c r="AQ53" s="30">
        <f t="shared" si="132"/>
        <v>0</v>
      </c>
      <c r="AR53" s="30">
        <f t="shared" si="132"/>
        <v>0</v>
      </c>
      <c r="AS53" s="30">
        <f t="shared" si="132"/>
        <v>0</v>
      </c>
      <c r="AT53" s="30">
        <f t="shared" si="132"/>
        <v>0</v>
      </c>
      <c r="AU53" s="30">
        <f t="shared" si="132"/>
        <v>5</v>
      </c>
      <c r="AV53" s="30">
        <f t="shared" si="132"/>
        <v>5</v>
      </c>
      <c r="AW53" s="30">
        <f t="shared" si="132"/>
        <v>5</v>
      </c>
      <c r="AX53" s="30">
        <f t="shared" si="132"/>
        <v>14</v>
      </c>
      <c r="AY53" s="30">
        <f t="shared" si="132"/>
        <v>14</v>
      </c>
      <c r="AZ53" s="30">
        <f t="shared" si="132"/>
        <v>14</v>
      </c>
      <c r="BA53" s="30">
        <f t="shared" si="132"/>
        <v>14</v>
      </c>
      <c r="BB53" s="30">
        <f t="shared" si="132"/>
        <v>14</v>
      </c>
      <c r="BC53" s="30">
        <f t="shared" si="132"/>
        <v>14</v>
      </c>
      <c r="BD53" s="30">
        <f t="shared" si="132"/>
        <v>14</v>
      </c>
      <c r="BE53" s="30">
        <f t="shared" si="132"/>
        <v>14</v>
      </c>
      <c r="BF53" s="30">
        <f t="shared" si="132"/>
        <v>14</v>
      </c>
      <c r="BG53" s="30">
        <f t="shared" si="132"/>
        <v>14</v>
      </c>
      <c r="BH53" s="30">
        <f t="shared" si="132"/>
        <v>14</v>
      </c>
      <c r="BI53" s="30">
        <f t="shared" si="132"/>
        <v>14</v>
      </c>
      <c r="BJ53" s="30">
        <f t="shared" si="132"/>
        <v>14</v>
      </c>
      <c r="BK53" s="30">
        <f t="shared" si="132"/>
        <v>14</v>
      </c>
      <c r="BL53" s="30">
        <f t="shared" si="132"/>
        <v>14</v>
      </c>
      <c r="BM53" s="30">
        <f t="shared" si="132"/>
        <v>66</v>
      </c>
      <c r="BN53" s="30">
        <f t="shared" si="132"/>
        <v>66</v>
      </c>
      <c r="BO53" s="30">
        <f t="shared" si="132"/>
        <v>66</v>
      </c>
      <c r="BP53" s="41"/>
      <c r="BQ53" s="85" t="str">
        <f t="shared" si="121"/>
        <v/>
      </c>
      <c r="BR53" s="7"/>
      <c r="BS53" s="28">
        <v>6.0</v>
      </c>
      <c r="BT53" s="29" t="s">
        <v>66</v>
      </c>
      <c r="BU53" s="86">
        <f t="shared" si="122"/>
        <v>7</v>
      </c>
      <c r="BV53" s="86">
        <f t="shared" ref="BV53:CF53" si="133">SUM($BU39:BV39)</f>
        <v>185</v>
      </c>
      <c r="BW53" s="86">
        <f t="shared" si="133"/>
        <v>390</v>
      </c>
      <c r="BX53" s="86">
        <f t="shared" si="133"/>
        <v>456</v>
      </c>
      <c r="BY53" s="86">
        <f t="shared" si="133"/>
        <v>456</v>
      </c>
      <c r="BZ53" s="86">
        <f t="shared" si="133"/>
        <v>456</v>
      </c>
      <c r="CA53" s="86">
        <f t="shared" si="133"/>
        <v>456</v>
      </c>
      <c r="CB53" s="86">
        <f t="shared" si="133"/>
        <v>456</v>
      </c>
      <c r="CC53" s="86">
        <f t="shared" si="133"/>
        <v>456</v>
      </c>
      <c r="CD53" s="86">
        <f t="shared" si="133"/>
        <v>456</v>
      </c>
      <c r="CE53" s="86">
        <f t="shared" si="133"/>
        <v>456</v>
      </c>
      <c r="CF53" s="86">
        <f t="shared" si="133"/>
        <v>456</v>
      </c>
      <c r="CG53" s="7"/>
      <c r="CH53" s="70">
        <f t="shared" si="124"/>
        <v>-42.5</v>
      </c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</row>
    <row r="54">
      <c r="A54" s="28">
        <v>7.0</v>
      </c>
      <c r="B54" s="28" t="s">
        <v>67</v>
      </c>
      <c r="C54" s="30">
        <f>COUNTIFS(
DATA!$F:$F,$B54,
DATA!$B:$B,"&gt;="&amp;DATE(2026,MONTH(C$47),DAY(C$47)),
DATA!$B:$B,"&lt;"&amp;DATE(2026,MONTH(C$47),DAY(C$47))+1
)</f>
        <v>0</v>
      </c>
      <c r="D54" s="30">
        <f>COUNTIFS(
DATA!$F:$F,$B54,
DATA!$B:$B,"&gt;="&amp;DATE(2026,MONTH(D$47),DAY(D$47)),
DATA!$B:$B,"&lt;"&amp;DATE(2026,MONTH(D$47),DAY(D$47))+1
)</f>
        <v>0</v>
      </c>
      <c r="E54" s="30">
        <f>COUNTIFS(
DATA!$F:$F,$B54,
DATA!$B:$B,"&gt;="&amp;DATE(2026,MONTH(E$47),DAY(E$47)),
DATA!$B:$B,"&lt;"&amp;DATE(2026,MONTH(E$47),DAY(E$47))+1
)</f>
        <v>0</v>
      </c>
      <c r="F54" s="30">
        <f>COUNTIFS(
DATA!$F:$F,$B54,
DATA!$B:$B,"&gt;="&amp;DATE(2026,MONTH(F$47),DAY(F$47)),
DATA!$B:$B,"&lt;"&amp;DATE(2026,MONTH(F$47),DAY(F$47))+1
)</f>
        <v>0</v>
      </c>
      <c r="G54" s="30">
        <f>COUNTIFS(
DATA!$F:$F,$B54,
DATA!$B:$B,"&gt;="&amp;DATE(2026,MONTH(G$47),DAY(G$47)),
DATA!$B:$B,"&lt;"&amp;DATE(2026,MONTH(G$47),DAY(G$47))+1
)</f>
        <v>0</v>
      </c>
      <c r="H54" s="30">
        <f>COUNTIFS(
DATA!$F:$F,$B54,
DATA!$B:$B,"&gt;="&amp;DATE(2026,MONTH(H$47),DAY(H$47)),
DATA!$B:$B,"&lt;"&amp;DATE(2026,MONTH(H$47),DAY(H$47))+1
)</f>
        <v>0</v>
      </c>
      <c r="I54" s="30">
        <f>COUNTIFS(
DATA!$F:$F,$B54,
DATA!$B:$B,"&gt;="&amp;DATE(2026,MONTH(I$47),DAY(I$47)),
DATA!$B:$B,"&lt;"&amp;DATE(2026,MONTH(I$47),DAY(I$47))+1
)</f>
        <v>0</v>
      </c>
      <c r="J54" s="30">
        <f>COUNTIFS(
DATA!$F:$F,$B54,
DATA!$B:$B,"&gt;="&amp;DATE(2026,MONTH(J$47),DAY(J$47)),
DATA!$B:$B,"&lt;"&amp;DATE(2026,MONTH(J$47),DAY(J$47))+1
)</f>
        <v>0</v>
      </c>
      <c r="K54" s="30">
        <f>COUNTIFS(
DATA!$F:$F,$B54,
DATA!$B:$B,"&gt;="&amp;DATE(2026,MONTH(K$47),DAY(K$47)),
DATA!$B:$B,"&lt;"&amp;DATE(2026,MONTH(K$47),DAY(K$47))+1
)</f>
        <v>0</v>
      </c>
      <c r="L54" s="30">
        <f>COUNTIFS(
DATA!$F:$F,$B54,
DATA!$B:$B,"&gt;="&amp;DATE(2026,MONTH(L$47),DAY(L$47)),
DATA!$B:$B,"&lt;"&amp;DATE(2026,MONTH(L$47),DAY(L$47))+1
)</f>
        <v>0</v>
      </c>
      <c r="M54" s="30">
        <f>COUNTIFS(
DATA!$F:$F,$B54,
DATA!$B:$B,"&gt;="&amp;DATE(2026,MONTH(M$47),DAY(M$47)),
DATA!$B:$B,"&lt;"&amp;DATE(2026,MONTH(M$47),DAY(M$47))+1
)</f>
        <v>0</v>
      </c>
      <c r="N54" s="30">
        <f>COUNTIFS(
DATA!$F:$F,$B54,
DATA!$B:$B,"&gt;="&amp;DATE(2026,MONTH(N$47),DAY(N$47)),
DATA!$B:$B,"&lt;"&amp;DATE(2026,MONTH(N$47),DAY(N$47))+1
)</f>
        <v>0</v>
      </c>
      <c r="O54" s="30">
        <f>COUNTIFS(
DATA!$F:$F,$B54,
DATA!$B:$B,"&gt;="&amp;DATE(2026,MONTH(O$47),DAY(O$47)),
DATA!$B:$B,"&lt;"&amp;DATE(2026,MONTH(O$47),DAY(O$47))+1
)</f>
        <v>10</v>
      </c>
      <c r="P54" s="30">
        <f>COUNTIFS(
DATA!$F:$F,$B54,
DATA!$B:$B,"&gt;="&amp;DATE(2026,MONTH(P$47),DAY(P$47)),
DATA!$B:$B,"&lt;"&amp;DATE(2026,MONTH(P$47),DAY(P$47))+1
)</f>
        <v>0</v>
      </c>
      <c r="Q54" s="30">
        <f>COUNTIFS(
DATA!$F:$F,$B54,
DATA!$B:$B,"&gt;="&amp;DATE(2026,MONTH(Q$47),DAY(Q$47)),
DATA!$B:$B,"&lt;"&amp;DATE(2026,MONTH(Q$47),DAY(Q$47))+1
)</f>
        <v>0</v>
      </c>
      <c r="R54" s="30">
        <f>COUNTIFS(
DATA!$F:$F,$B54,
DATA!$B:$B,"&gt;="&amp;DATE(2026,MONTH(R$47),DAY(R$47)),
DATA!$B:$B,"&lt;"&amp;DATE(2026,MONTH(R$47),DAY(R$47))+1
)</f>
        <v>0</v>
      </c>
      <c r="S54" s="30">
        <f>COUNTIFS(
DATA!$F:$F,$B54,
DATA!$B:$B,"&gt;="&amp;DATE(2026,MONTH(S$47),DAY(S$47)),
DATA!$B:$B,"&lt;"&amp;DATE(2026,MONTH(S$47),DAY(S$47))+1
)</f>
        <v>0</v>
      </c>
      <c r="T54" s="30">
        <f>COUNTIFS(
DATA!$F:$F,$B54,
DATA!$B:$B,"&gt;="&amp;DATE(2026,MONTH(T$47),DAY(T$47)),
DATA!$B:$B,"&lt;"&amp;DATE(2026,MONTH(T$47),DAY(T$47))+1
)</f>
        <v>0</v>
      </c>
      <c r="U54" s="30">
        <f>COUNTIFS(
DATA!$F:$F,$B54,
DATA!$B:$B,"&gt;="&amp;DATE(2026,MONTH(U$47),DAY(U$47)),
DATA!$B:$B,"&lt;"&amp;DATE(2026,MONTH(U$47),DAY(U$47))+1
)</f>
        <v>0</v>
      </c>
      <c r="V54" s="30">
        <f>COUNTIFS(
DATA!$F:$F,$B54,
DATA!$B:$B,"&gt;="&amp;DATE(2026,MONTH(V$47),DAY(V$47)),
DATA!$B:$B,"&lt;"&amp;DATE(2026,MONTH(V$47),DAY(V$47))+1
)</f>
        <v>0</v>
      </c>
      <c r="W54" s="30">
        <f>COUNTIFS(
DATA!$F:$F,$B54,
DATA!$B:$B,"&gt;="&amp;DATE(2026,MONTH(W$47),DAY(W$47)),
DATA!$B:$B,"&lt;"&amp;DATE(2026,MONTH(W$47),DAY(W$47))+1
)</f>
        <v>0</v>
      </c>
      <c r="X54" s="30">
        <f>COUNTIFS(
DATA!$F:$F,$B54,
DATA!$B:$B,"&gt;="&amp;DATE(2026,MONTH(X$47),DAY(X$47)),
DATA!$B:$B,"&lt;"&amp;DATE(2026,MONTH(X$47),DAY(X$47))+1
)</f>
        <v>18</v>
      </c>
      <c r="Y54" s="30">
        <f>COUNTIFS(
DATA!$F:$F,$B54,
DATA!$B:$B,"&gt;="&amp;DATE(2026,MONTH(Y$47),DAY(Y$47)),
DATA!$B:$B,"&lt;"&amp;DATE(2026,MONTH(Y$47),DAY(Y$47))+1
)</f>
        <v>0</v>
      </c>
      <c r="Z54" s="30">
        <f>COUNTIFS(
DATA!$F:$F,$B54,
DATA!$B:$B,"&gt;="&amp;DATE(2026,MONTH(Z$47),DAY(Z$47)),
DATA!$B:$B,"&lt;"&amp;DATE(2026,MONTH(Z$47),DAY(Z$47))+1
)</f>
        <v>0</v>
      </c>
      <c r="AA54" s="30">
        <f>COUNTIFS(
DATA!$F:$F,$B54,
DATA!$B:$B,"&gt;="&amp;DATE(2026,MONTH(AA$47),DAY(AA$47)),
DATA!$B:$B,"&lt;"&amp;DATE(2026,MONTH(AA$47),DAY(AA$47))+1
)</f>
        <v>0</v>
      </c>
      <c r="AB54" s="30">
        <f>COUNTIFS(
DATA!$F:$F,$B54,
DATA!$B:$B,"&gt;="&amp;DATE(2026,MONTH(AB$47),DAY(AB$47)),
DATA!$B:$B,"&lt;"&amp;DATE(2026,MONTH(AB$47),DAY(AB$47))+1
)</f>
        <v>0</v>
      </c>
      <c r="AC54" s="30">
        <f>COUNTIFS(
DATA!$F:$F,$B54,
DATA!$B:$B,"&gt;="&amp;DATE(2026,MONTH(AC$47),DAY(AC$47)),
DATA!$B:$B,"&lt;"&amp;DATE(2026,MONTH(AC$47),DAY(AC$47))+1
)</f>
        <v>0</v>
      </c>
      <c r="AD54" s="30">
        <f>COUNTIFS(
DATA!$F:$F,$B54,
DATA!$B:$B,"&gt;="&amp;DATE(2026,MONTH(AD$47),DAY(AD$47)),
DATA!$B:$B,"&lt;"&amp;DATE(2026,MONTH(AD$47),DAY(AD$47))+1
)</f>
        <v>17</v>
      </c>
      <c r="AE54" s="30">
        <f>COUNTIFS(
DATA!$F:$F,$B54,
DATA!$B:$B,"&gt;="&amp;DATE(2026,MONTH(AE$47),DAY(AE$47)),
DATA!$B:$B,"&lt;"&amp;DATE(2026,MONTH(AE$47),DAY(AE$47))+1
)</f>
        <v>0</v>
      </c>
      <c r="AF54" s="30">
        <f>COUNTIFS(
DATA!$F:$F,$B54,
DATA!$B:$B,"&gt;="&amp;DATE(2026,MONTH(AF$47),DAY(AF$47)),
DATA!$B:$B,"&lt;"&amp;DATE(2026,MONTH(AF$47),DAY(AF$47))+1
)</f>
        <v>0</v>
      </c>
      <c r="AG54" s="30">
        <f>COUNTIFS(
DATA!$F:$F,$B54,
DATA!$B:$B,"&gt;="&amp;DATE(2026,MONTH(AG$47),DAY(AG$47)),
DATA!$B:$B,"&lt;"&amp;DATE(2026,MONTH(AG$47),DAY(AG$47))+1
)</f>
        <v>0</v>
      </c>
      <c r="AH54" s="31">
        <f t="shared" si="118"/>
        <v>45</v>
      </c>
      <c r="AI54" s="7"/>
      <c r="AJ54" s="30">
        <v>7.0</v>
      </c>
      <c r="AK54" s="32" t="s">
        <v>67</v>
      </c>
      <c r="AL54" s="41">
        <f t="shared" si="119"/>
        <v>0</v>
      </c>
      <c r="AM54" s="30">
        <f t="shared" si="125"/>
        <v>0</v>
      </c>
      <c r="AN54" s="30">
        <f t="shared" ref="AN54:BO54" si="134">SUM($C54:E54)</f>
        <v>0</v>
      </c>
      <c r="AO54" s="30">
        <f t="shared" si="134"/>
        <v>0</v>
      </c>
      <c r="AP54" s="30">
        <f t="shared" si="134"/>
        <v>0</v>
      </c>
      <c r="AQ54" s="30">
        <f t="shared" si="134"/>
        <v>0</v>
      </c>
      <c r="AR54" s="30">
        <f t="shared" si="134"/>
        <v>0</v>
      </c>
      <c r="AS54" s="30">
        <f t="shared" si="134"/>
        <v>0</v>
      </c>
      <c r="AT54" s="30">
        <f t="shared" si="134"/>
        <v>0</v>
      </c>
      <c r="AU54" s="30">
        <f t="shared" si="134"/>
        <v>0</v>
      </c>
      <c r="AV54" s="30">
        <f t="shared" si="134"/>
        <v>0</v>
      </c>
      <c r="AW54" s="30">
        <f t="shared" si="134"/>
        <v>0</v>
      </c>
      <c r="AX54" s="30">
        <f t="shared" si="134"/>
        <v>10</v>
      </c>
      <c r="AY54" s="30">
        <f t="shared" si="134"/>
        <v>10</v>
      </c>
      <c r="AZ54" s="30">
        <f t="shared" si="134"/>
        <v>10</v>
      </c>
      <c r="BA54" s="30">
        <f t="shared" si="134"/>
        <v>10</v>
      </c>
      <c r="BB54" s="30">
        <f t="shared" si="134"/>
        <v>10</v>
      </c>
      <c r="BC54" s="30">
        <f t="shared" si="134"/>
        <v>10</v>
      </c>
      <c r="BD54" s="30">
        <f t="shared" si="134"/>
        <v>10</v>
      </c>
      <c r="BE54" s="30">
        <f t="shared" si="134"/>
        <v>10</v>
      </c>
      <c r="BF54" s="30">
        <f t="shared" si="134"/>
        <v>10</v>
      </c>
      <c r="BG54" s="30">
        <f t="shared" si="134"/>
        <v>28</v>
      </c>
      <c r="BH54" s="30">
        <f t="shared" si="134"/>
        <v>28</v>
      </c>
      <c r="BI54" s="30">
        <f t="shared" si="134"/>
        <v>28</v>
      </c>
      <c r="BJ54" s="30">
        <f t="shared" si="134"/>
        <v>28</v>
      </c>
      <c r="BK54" s="30">
        <f t="shared" si="134"/>
        <v>28</v>
      </c>
      <c r="BL54" s="30">
        <f t="shared" si="134"/>
        <v>28</v>
      </c>
      <c r="BM54" s="30">
        <f t="shared" si="134"/>
        <v>45</v>
      </c>
      <c r="BN54" s="30">
        <f t="shared" si="134"/>
        <v>45</v>
      </c>
      <c r="BO54" s="30">
        <f t="shared" si="134"/>
        <v>45</v>
      </c>
      <c r="BP54" s="41"/>
      <c r="BQ54" s="85" t="str">
        <f t="shared" si="121"/>
        <v/>
      </c>
      <c r="BR54" s="7"/>
      <c r="BS54" s="28">
        <v>7.0</v>
      </c>
      <c r="BT54" s="29" t="s">
        <v>67</v>
      </c>
      <c r="BU54" s="86">
        <f t="shared" si="122"/>
        <v>52</v>
      </c>
      <c r="BV54" s="86">
        <f t="shared" ref="BV54:CF54" si="135">SUM($BU40:BV40)</f>
        <v>94</v>
      </c>
      <c r="BW54" s="86">
        <f t="shared" si="135"/>
        <v>140</v>
      </c>
      <c r="BX54" s="86">
        <f t="shared" si="135"/>
        <v>185</v>
      </c>
      <c r="BY54" s="86">
        <f t="shared" si="135"/>
        <v>185</v>
      </c>
      <c r="BZ54" s="86">
        <f t="shared" si="135"/>
        <v>185</v>
      </c>
      <c r="CA54" s="86">
        <f t="shared" si="135"/>
        <v>185</v>
      </c>
      <c r="CB54" s="86">
        <f t="shared" si="135"/>
        <v>185</v>
      </c>
      <c r="CC54" s="86">
        <f t="shared" si="135"/>
        <v>185</v>
      </c>
      <c r="CD54" s="86">
        <f t="shared" si="135"/>
        <v>185</v>
      </c>
      <c r="CE54" s="86">
        <f t="shared" si="135"/>
        <v>185</v>
      </c>
      <c r="CF54" s="86">
        <f t="shared" si="135"/>
        <v>185</v>
      </c>
      <c r="CG54" s="7"/>
      <c r="CH54" s="70">
        <f t="shared" si="124"/>
        <v>11.25</v>
      </c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</row>
    <row r="55">
      <c r="A55" s="28">
        <v>8.0</v>
      </c>
      <c r="B55" s="28" t="s">
        <v>68</v>
      </c>
      <c r="C55" s="30">
        <f>COUNTIFS(
DATA!$F:$F,$B55,
DATA!$B:$B,"&gt;="&amp;DATE(2026,MONTH(C$47),DAY(C$47)),
DATA!$B:$B,"&lt;"&amp;DATE(2026,MONTH(C$47),DAY(C$47))+1
)</f>
        <v>0</v>
      </c>
      <c r="D55" s="30">
        <f>COUNTIFS(
DATA!$F:$F,$B55,
DATA!$B:$B,"&gt;="&amp;DATE(2026,MONTH(D$47),DAY(D$47)),
DATA!$B:$B,"&lt;"&amp;DATE(2026,MONTH(D$47),DAY(D$47))+1
)</f>
        <v>0</v>
      </c>
      <c r="E55" s="30">
        <f>COUNTIFS(
DATA!$F:$F,$B55,
DATA!$B:$B,"&gt;="&amp;DATE(2026,MONTH(E$47),DAY(E$47)),
DATA!$B:$B,"&lt;"&amp;DATE(2026,MONTH(E$47),DAY(E$47))+1
)</f>
        <v>0</v>
      </c>
      <c r="F55" s="30">
        <f>COUNTIFS(
DATA!$F:$F,$B55,
DATA!$B:$B,"&gt;="&amp;DATE(2026,MONTH(F$47),DAY(F$47)),
DATA!$B:$B,"&lt;"&amp;DATE(2026,MONTH(F$47),DAY(F$47))+1
)</f>
        <v>0</v>
      </c>
      <c r="G55" s="30">
        <f>COUNTIFS(
DATA!$F:$F,$B55,
DATA!$B:$B,"&gt;="&amp;DATE(2026,MONTH(G$47),DAY(G$47)),
DATA!$B:$B,"&lt;"&amp;DATE(2026,MONTH(G$47),DAY(G$47))+1
)</f>
        <v>0</v>
      </c>
      <c r="H55" s="30">
        <f>COUNTIFS(
DATA!$F:$F,$B55,
DATA!$B:$B,"&gt;="&amp;DATE(2026,MONTH(H$47),DAY(H$47)),
DATA!$B:$B,"&lt;"&amp;DATE(2026,MONTH(H$47),DAY(H$47))+1
)</f>
        <v>0</v>
      </c>
      <c r="I55" s="30">
        <f>COUNTIFS(
DATA!$F:$F,$B55,
DATA!$B:$B,"&gt;="&amp;DATE(2026,MONTH(I$47),DAY(I$47)),
DATA!$B:$B,"&lt;"&amp;DATE(2026,MONTH(I$47),DAY(I$47))+1
)</f>
        <v>0</v>
      </c>
      <c r="J55" s="30">
        <f>COUNTIFS(
DATA!$F:$F,$B55,
DATA!$B:$B,"&gt;="&amp;DATE(2026,MONTH(J$47),DAY(J$47)),
DATA!$B:$B,"&lt;"&amp;DATE(2026,MONTH(J$47),DAY(J$47))+1
)</f>
        <v>0</v>
      </c>
      <c r="K55" s="30">
        <f>COUNTIFS(
DATA!$F:$F,$B55,
DATA!$B:$B,"&gt;="&amp;DATE(2026,MONTH(K$47),DAY(K$47)),
DATA!$B:$B,"&lt;"&amp;DATE(2026,MONTH(K$47),DAY(K$47))+1
)</f>
        <v>0</v>
      </c>
      <c r="L55" s="30">
        <f>COUNTIFS(
DATA!$F:$F,$B55,
DATA!$B:$B,"&gt;="&amp;DATE(2026,MONTH(L$47),DAY(L$47)),
DATA!$B:$B,"&lt;"&amp;DATE(2026,MONTH(L$47),DAY(L$47))+1
)</f>
        <v>0</v>
      </c>
      <c r="M55" s="30">
        <f>COUNTIFS(
DATA!$F:$F,$B55,
DATA!$B:$B,"&gt;="&amp;DATE(2026,MONTH(M$47),DAY(M$47)),
DATA!$B:$B,"&lt;"&amp;DATE(2026,MONTH(M$47),DAY(M$47))+1
)</f>
        <v>0</v>
      </c>
      <c r="N55" s="30">
        <f>COUNTIFS(
DATA!$F:$F,$B55,
DATA!$B:$B,"&gt;="&amp;DATE(2026,MONTH(N$47),DAY(N$47)),
DATA!$B:$B,"&lt;"&amp;DATE(2026,MONTH(N$47),DAY(N$47))+1
)</f>
        <v>0</v>
      </c>
      <c r="O55" s="30">
        <f>COUNTIFS(
DATA!$F:$F,$B55,
DATA!$B:$B,"&gt;="&amp;DATE(2026,MONTH(O$47),DAY(O$47)),
DATA!$B:$B,"&lt;"&amp;DATE(2026,MONTH(O$47),DAY(O$47))+1
)</f>
        <v>0</v>
      </c>
      <c r="P55" s="30">
        <f>COUNTIFS(
DATA!$F:$F,$B55,
DATA!$B:$B,"&gt;="&amp;DATE(2026,MONTH(P$47),DAY(P$47)),
DATA!$B:$B,"&lt;"&amp;DATE(2026,MONTH(P$47),DAY(P$47))+1
)</f>
        <v>0</v>
      </c>
      <c r="Q55" s="30">
        <f>COUNTIFS(
DATA!$F:$F,$B55,
DATA!$B:$B,"&gt;="&amp;DATE(2026,MONTH(Q$47),DAY(Q$47)),
DATA!$B:$B,"&lt;"&amp;DATE(2026,MONTH(Q$47),DAY(Q$47))+1
)</f>
        <v>0</v>
      </c>
      <c r="R55" s="30">
        <f>COUNTIFS(
DATA!$F:$F,$B55,
DATA!$B:$B,"&gt;="&amp;DATE(2026,MONTH(R$47),DAY(R$47)),
DATA!$B:$B,"&lt;"&amp;DATE(2026,MONTH(R$47),DAY(R$47))+1
)</f>
        <v>0</v>
      </c>
      <c r="S55" s="30">
        <f>COUNTIFS(
DATA!$F:$F,$B55,
DATA!$B:$B,"&gt;="&amp;DATE(2026,MONTH(S$47),DAY(S$47)),
DATA!$B:$B,"&lt;"&amp;DATE(2026,MONTH(S$47),DAY(S$47))+1
)</f>
        <v>0</v>
      </c>
      <c r="T55" s="30">
        <f>COUNTIFS(
DATA!$F:$F,$B55,
DATA!$B:$B,"&gt;="&amp;DATE(2026,MONTH(T$47),DAY(T$47)),
DATA!$B:$B,"&lt;"&amp;DATE(2026,MONTH(T$47),DAY(T$47))+1
)</f>
        <v>0</v>
      </c>
      <c r="U55" s="30">
        <f>COUNTIFS(
DATA!$F:$F,$B55,
DATA!$B:$B,"&gt;="&amp;DATE(2026,MONTH(U$47),DAY(U$47)),
DATA!$B:$B,"&lt;"&amp;DATE(2026,MONTH(U$47),DAY(U$47))+1
)</f>
        <v>0</v>
      </c>
      <c r="V55" s="30">
        <f>COUNTIFS(
DATA!$F:$F,$B55,
DATA!$B:$B,"&gt;="&amp;DATE(2026,MONTH(V$47),DAY(V$47)),
DATA!$B:$B,"&lt;"&amp;DATE(2026,MONTH(V$47),DAY(V$47))+1
)</f>
        <v>0</v>
      </c>
      <c r="W55" s="30">
        <f>COUNTIFS(
DATA!$F:$F,$B55,
DATA!$B:$B,"&gt;="&amp;DATE(2026,MONTH(W$47),DAY(W$47)),
DATA!$B:$B,"&lt;"&amp;DATE(2026,MONTH(W$47),DAY(W$47))+1
)</f>
        <v>0</v>
      </c>
      <c r="X55" s="30">
        <f>COUNTIFS(
DATA!$F:$F,$B55,
DATA!$B:$B,"&gt;="&amp;DATE(2026,MONTH(X$47),DAY(X$47)),
DATA!$B:$B,"&lt;"&amp;DATE(2026,MONTH(X$47),DAY(X$47))+1
)</f>
        <v>0</v>
      </c>
      <c r="Y55" s="30">
        <f>COUNTIFS(
DATA!$F:$F,$B55,
DATA!$B:$B,"&gt;="&amp;DATE(2026,MONTH(Y$47),DAY(Y$47)),
DATA!$B:$B,"&lt;"&amp;DATE(2026,MONTH(Y$47),DAY(Y$47))+1
)</f>
        <v>0</v>
      </c>
      <c r="Z55" s="30">
        <f>COUNTIFS(
DATA!$F:$F,$B55,
DATA!$B:$B,"&gt;="&amp;DATE(2026,MONTH(Z$47),DAY(Z$47)),
DATA!$B:$B,"&lt;"&amp;DATE(2026,MONTH(Z$47),DAY(Z$47))+1
)</f>
        <v>0</v>
      </c>
      <c r="AA55" s="30">
        <f>COUNTIFS(
DATA!$F:$F,$B55,
DATA!$B:$B,"&gt;="&amp;DATE(2026,MONTH(AA$47),DAY(AA$47)),
DATA!$B:$B,"&lt;"&amp;DATE(2026,MONTH(AA$47),DAY(AA$47))+1
)</f>
        <v>0</v>
      </c>
      <c r="AB55" s="30">
        <f>COUNTIFS(
DATA!$F:$F,$B55,
DATA!$B:$B,"&gt;="&amp;DATE(2026,MONTH(AB$47),DAY(AB$47)),
DATA!$B:$B,"&lt;"&amp;DATE(2026,MONTH(AB$47),DAY(AB$47))+1
)</f>
        <v>0</v>
      </c>
      <c r="AC55" s="30">
        <f>COUNTIFS(
DATA!$F:$F,$B55,
DATA!$B:$B,"&gt;="&amp;DATE(2026,MONTH(AC$47),DAY(AC$47)),
DATA!$B:$B,"&lt;"&amp;DATE(2026,MONTH(AC$47),DAY(AC$47))+1
)</f>
        <v>0</v>
      </c>
      <c r="AD55" s="30">
        <f>COUNTIFS(
DATA!$F:$F,$B55,
DATA!$B:$B,"&gt;="&amp;DATE(2026,MONTH(AD$47),DAY(AD$47)),
DATA!$B:$B,"&lt;"&amp;DATE(2026,MONTH(AD$47),DAY(AD$47))+1
)</f>
        <v>0</v>
      </c>
      <c r="AE55" s="30">
        <f>COUNTIFS(
DATA!$F:$F,$B55,
DATA!$B:$B,"&gt;="&amp;DATE(2026,MONTH(AE$47),DAY(AE$47)),
DATA!$B:$B,"&lt;"&amp;DATE(2026,MONTH(AE$47),DAY(AE$47))+1
)</f>
        <v>0</v>
      </c>
      <c r="AF55" s="30">
        <f>COUNTIFS(
DATA!$F:$F,$B55,
DATA!$B:$B,"&gt;="&amp;DATE(2026,MONTH(AF$47),DAY(AF$47)),
DATA!$B:$B,"&lt;"&amp;DATE(2026,MONTH(AF$47),DAY(AF$47))+1
)</f>
        <v>0</v>
      </c>
      <c r="AG55" s="30">
        <f>COUNTIFS(
DATA!$F:$F,$B55,
DATA!$B:$B,"&gt;="&amp;DATE(2026,MONTH(AG$47),DAY(AG$47)),
DATA!$B:$B,"&lt;"&amp;DATE(2026,MONTH(AG$47),DAY(AG$47))+1
)</f>
        <v>0</v>
      </c>
      <c r="AH55" s="31">
        <f t="shared" si="118"/>
        <v>0</v>
      </c>
      <c r="AI55" s="7"/>
      <c r="AJ55" s="30">
        <v>8.0</v>
      </c>
      <c r="AK55" s="32" t="s">
        <v>68</v>
      </c>
      <c r="AL55" s="41">
        <f t="shared" si="119"/>
        <v>0</v>
      </c>
      <c r="AM55" s="30">
        <f t="shared" si="125"/>
        <v>0</v>
      </c>
      <c r="AN55" s="30">
        <f t="shared" ref="AN55:BO55" si="136">SUM($C55:E55)</f>
        <v>0</v>
      </c>
      <c r="AO55" s="30">
        <f t="shared" si="136"/>
        <v>0</v>
      </c>
      <c r="AP55" s="30">
        <f t="shared" si="136"/>
        <v>0</v>
      </c>
      <c r="AQ55" s="30">
        <f t="shared" si="136"/>
        <v>0</v>
      </c>
      <c r="AR55" s="30">
        <f t="shared" si="136"/>
        <v>0</v>
      </c>
      <c r="AS55" s="30">
        <f t="shared" si="136"/>
        <v>0</v>
      </c>
      <c r="AT55" s="30">
        <f t="shared" si="136"/>
        <v>0</v>
      </c>
      <c r="AU55" s="30">
        <f t="shared" si="136"/>
        <v>0</v>
      </c>
      <c r="AV55" s="30">
        <f t="shared" si="136"/>
        <v>0</v>
      </c>
      <c r="AW55" s="30">
        <f t="shared" si="136"/>
        <v>0</v>
      </c>
      <c r="AX55" s="30">
        <f t="shared" si="136"/>
        <v>0</v>
      </c>
      <c r="AY55" s="30">
        <f t="shared" si="136"/>
        <v>0</v>
      </c>
      <c r="AZ55" s="30">
        <f t="shared" si="136"/>
        <v>0</v>
      </c>
      <c r="BA55" s="30">
        <f t="shared" si="136"/>
        <v>0</v>
      </c>
      <c r="BB55" s="30">
        <f t="shared" si="136"/>
        <v>0</v>
      </c>
      <c r="BC55" s="30">
        <f t="shared" si="136"/>
        <v>0</v>
      </c>
      <c r="BD55" s="30">
        <f t="shared" si="136"/>
        <v>0</v>
      </c>
      <c r="BE55" s="30">
        <f t="shared" si="136"/>
        <v>0</v>
      </c>
      <c r="BF55" s="30">
        <f t="shared" si="136"/>
        <v>0</v>
      </c>
      <c r="BG55" s="30">
        <f t="shared" si="136"/>
        <v>0</v>
      </c>
      <c r="BH55" s="30">
        <f t="shared" si="136"/>
        <v>0</v>
      </c>
      <c r="BI55" s="30">
        <f t="shared" si="136"/>
        <v>0</v>
      </c>
      <c r="BJ55" s="30">
        <f t="shared" si="136"/>
        <v>0</v>
      </c>
      <c r="BK55" s="30">
        <f t="shared" si="136"/>
        <v>0</v>
      </c>
      <c r="BL55" s="30">
        <f t="shared" si="136"/>
        <v>0</v>
      </c>
      <c r="BM55" s="30">
        <f t="shared" si="136"/>
        <v>0</v>
      </c>
      <c r="BN55" s="30">
        <f t="shared" si="136"/>
        <v>0</v>
      </c>
      <c r="BO55" s="30">
        <f t="shared" si="136"/>
        <v>0</v>
      </c>
      <c r="BP55" s="41"/>
      <c r="BQ55" s="85" t="str">
        <f t="shared" si="121"/>
        <v/>
      </c>
      <c r="BR55" s="7"/>
      <c r="BS55" s="28">
        <v>8.0</v>
      </c>
      <c r="BT55" s="29" t="s">
        <v>68</v>
      </c>
      <c r="BU55" s="86">
        <f t="shared" si="122"/>
        <v>0</v>
      </c>
      <c r="BV55" s="86">
        <f t="shared" ref="BV55:CF55" si="137">SUM($BU41:BV41)</f>
        <v>0</v>
      </c>
      <c r="BW55" s="86">
        <f t="shared" si="137"/>
        <v>0</v>
      </c>
      <c r="BX55" s="86">
        <f t="shared" si="137"/>
        <v>0</v>
      </c>
      <c r="BY55" s="86">
        <f t="shared" si="137"/>
        <v>0</v>
      </c>
      <c r="BZ55" s="86">
        <f t="shared" si="137"/>
        <v>0</v>
      </c>
      <c r="CA55" s="86">
        <f t="shared" si="137"/>
        <v>0</v>
      </c>
      <c r="CB55" s="86">
        <f t="shared" si="137"/>
        <v>0</v>
      </c>
      <c r="CC55" s="86">
        <f t="shared" si="137"/>
        <v>0</v>
      </c>
      <c r="CD55" s="86">
        <f t="shared" si="137"/>
        <v>0</v>
      </c>
      <c r="CE55" s="86">
        <f t="shared" si="137"/>
        <v>0</v>
      </c>
      <c r="CF55" s="86">
        <f t="shared" si="137"/>
        <v>0</v>
      </c>
      <c r="CG55" s="7"/>
      <c r="CH55" s="70">
        <f t="shared" si="124"/>
        <v>0</v>
      </c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</row>
    <row r="56">
      <c r="A56" s="45"/>
      <c r="B56" s="47" t="s">
        <v>69</v>
      </c>
      <c r="C56" s="49">
        <f t="shared" ref="C56:AG56" si="138">SUM(C48:C55)</f>
        <v>0</v>
      </c>
      <c r="D56" s="49">
        <f t="shared" si="138"/>
        <v>0</v>
      </c>
      <c r="E56" s="49">
        <f t="shared" si="138"/>
        <v>0</v>
      </c>
      <c r="F56" s="49">
        <f t="shared" si="138"/>
        <v>0</v>
      </c>
      <c r="G56" s="49">
        <f t="shared" si="138"/>
        <v>0</v>
      </c>
      <c r="H56" s="49">
        <f t="shared" si="138"/>
        <v>0</v>
      </c>
      <c r="I56" s="49">
        <f t="shared" si="138"/>
        <v>0</v>
      </c>
      <c r="J56" s="49">
        <f t="shared" si="138"/>
        <v>0</v>
      </c>
      <c r="K56" s="49">
        <f t="shared" si="138"/>
        <v>0</v>
      </c>
      <c r="L56" s="49">
        <f t="shared" si="138"/>
        <v>5</v>
      </c>
      <c r="M56" s="49">
        <f t="shared" si="138"/>
        <v>0</v>
      </c>
      <c r="N56" s="49">
        <f t="shared" si="138"/>
        <v>0</v>
      </c>
      <c r="O56" s="49">
        <f t="shared" si="138"/>
        <v>19</v>
      </c>
      <c r="P56" s="49">
        <f t="shared" si="138"/>
        <v>0</v>
      </c>
      <c r="Q56" s="49">
        <f t="shared" si="138"/>
        <v>0</v>
      </c>
      <c r="R56" s="49">
        <f t="shared" si="138"/>
        <v>0</v>
      </c>
      <c r="S56" s="49">
        <f t="shared" si="138"/>
        <v>0</v>
      </c>
      <c r="T56" s="49">
        <f t="shared" si="138"/>
        <v>0</v>
      </c>
      <c r="U56" s="49">
        <f t="shared" si="138"/>
        <v>0</v>
      </c>
      <c r="V56" s="49">
        <f t="shared" si="138"/>
        <v>0</v>
      </c>
      <c r="W56" s="49">
        <f t="shared" si="138"/>
        <v>0</v>
      </c>
      <c r="X56" s="49">
        <f t="shared" si="138"/>
        <v>18</v>
      </c>
      <c r="Y56" s="49">
        <f t="shared" si="138"/>
        <v>1</v>
      </c>
      <c r="Z56" s="49">
        <f t="shared" si="138"/>
        <v>6</v>
      </c>
      <c r="AA56" s="49">
        <f t="shared" si="138"/>
        <v>29</v>
      </c>
      <c r="AB56" s="49">
        <f t="shared" si="138"/>
        <v>1</v>
      </c>
      <c r="AC56" s="49">
        <f t="shared" si="138"/>
        <v>38</v>
      </c>
      <c r="AD56" s="49">
        <f t="shared" si="138"/>
        <v>124</v>
      </c>
      <c r="AE56" s="49">
        <f t="shared" si="138"/>
        <v>9</v>
      </c>
      <c r="AF56" s="49">
        <f t="shared" si="138"/>
        <v>15</v>
      </c>
      <c r="AG56" s="47">
        <f t="shared" si="138"/>
        <v>0</v>
      </c>
      <c r="AH56" s="47">
        <f t="shared" si="118"/>
        <v>265</v>
      </c>
      <c r="AI56" s="7"/>
      <c r="AJ56" s="45"/>
      <c r="AK56" s="46" t="s">
        <v>69</v>
      </c>
      <c r="AL56" s="47">
        <f t="shared" si="119"/>
        <v>0</v>
      </c>
      <c r="AM56" s="47">
        <f t="shared" si="125"/>
        <v>0</v>
      </c>
      <c r="AN56" s="47">
        <f t="shared" ref="AN56:BO56" si="139">SUM($C56:E56)</f>
        <v>0</v>
      </c>
      <c r="AO56" s="47">
        <f t="shared" si="139"/>
        <v>0</v>
      </c>
      <c r="AP56" s="47">
        <f t="shared" si="139"/>
        <v>0</v>
      </c>
      <c r="AQ56" s="47">
        <f t="shared" si="139"/>
        <v>0</v>
      </c>
      <c r="AR56" s="47">
        <f t="shared" si="139"/>
        <v>0</v>
      </c>
      <c r="AS56" s="47">
        <f t="shared" si="139"/>
        <v>0</v>
      </c>
      <c r="AT56" s="47">
        <f t="shared" si="139"/>
        <v>0</v>
      </c>
      <c r="AU56" s="47">
        <f t="shared" si="139"/>
        <v>5</v>
      </c>
      <c r="AV56" s="47">
        <f t="shared" si="139"/>
        <v>5</v>
      </c>
      <c r="AW56" s="47">
        <f t="shared" si="139"/>
        <v>5</v>
      </c>
      <c r="AX56" s="47">
        <f t="shared" si="139"/>
        <v>24</v>
      </c>
      <c r="AY56" s="47">
        <f t="shared" si="139"/>
        <v>24</v>
      </c>
      <c r="AZ56" s="47">
        <f t="shared" si="139"/>
        <v>24</v>
      </c>
      <c r="BA56" s="47">
        <f t="shared" si="139"/>
        <v>24</v>
      </c>
      <c r="BB56" s="47">
        <f t="shared" si="139"/>
        <v>24</v>
      </c>
      <c r="BC56" s="47">
        <f t="shared" si="139"/>
        <v>24</v>
      </c>
      <c r="BD56" s="47">
        <f t="shared" si="139"/>
        <v>24</v>
      </c>
      <c r="BE56" s="47">
        <f t="shared" si="139"/>
        <v>24</v>
      </c>
      <c r="BF56" s="47">
        <f t="shared" si="139"/>
        <v>24</v>
      </c>
      <c r="BG56" s="47">
        <f t="shared" si="139"/>
        <v>42</v>
      </c>
      <c r="BH56" s="47">
        <f t="shared" si="139"/>
        <v>43</v>
      </c>
      <c r="BI56" s="47">
        <f t="shared" si="139"/>
        <v>49</v>
      </c>
      <c r="BJ56" s="47">
        <f t="shared" si="139"/>
        <v>78</v>
      </c>
      <c r="BK56" s="47">
        <f t="shared" si="139"/>
        <v>79</v>
      </c>
      <c r="BL56" s="47">
        <f t="shared" si="139"/>
        <v>117</v>
      </c>
      <c r="BM56" s="47">
        <f t="shared" si="139"/>
        <v>241</v>
      </c>
      <c r="BN56" s="47">
        <f t="shared" si="139"/>
        <v>250</v>
      </c>
      <c r="BO56" s="47">
        <f t="shared" si="139"/>
        <v>265</v>
      </c>
      <c r="BP56" s="45"/>
      <c r="BQ56" s="50" t="str">
        <f t="shared" si="121"/>
        <v/>
      </c>
      <c r="BR56" s="7"/>
      <c r="BS56" s="61"/>
      <c r="BT56" s="62" t="s">
        <v>69</v>
      </c>
      <c r="BU56" s="87">
        <f>SUM(BU48:BU55)</f>
        <v>233</v>
      </c>
      <c r="BV56" s="87">
        <f t="shared" ref="BV56:CF56" si="140">SUM($BU42:BV42)</f>
        <v>612</v>
      </c>
      <c r="BW56" s="87">
        <f t="shared" si="140"/>
        <v>1040</v>
      </c>
      <c r="BX56" s="87">
        <f t="shared" si="140"/>
        <v>1305</v>
      </c>
      <c r="BY56" s="87">
        <f t="shared" si="140"/>
        <v>1305</v>
      </c>
      <c r="BZ56" s="87">
        <f t="shared" si="140"/>
        <v>1305</v>
      </c>
      <c r="CA56" s="87">
        <f t="shared" si="140"/>
        <v>1305</v>
      </c>
      <c r="CB56" s="87">
        <f t="shared" si="140"/>
        <v>1305</v>
      </c>
      <c r="CC56" s="87">
        <f t="shared" si="140"/>
        <v>1305</v>
      </c>
      <c r="CD56" s="87">
        <f t="shared" si="140"/>
        <v>1305</v>
      </c>
      <c r="CE56" s="87">
        <f t="shared" si="140"/>
        <v>1305</v>
      </c>
      <c r="CF56" s="87">
        <f t="shared" si="140"/>
        <v>1305</v>
      </c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</row>
    <row r="58">
      <c r="A58" s="8" t="s">
        <v>35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</row>
    <row r="59">
      <c r="A59" s="9" t="str">
        <f>TEXT(C61,"MMMM YYYY")</f>
        <v>Mei 2026</v>
      </c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10" t="s">
        <v>80</v>
      </c>
      <c r="BT59" s="7"/>
      <c r="BU59" s="72"/>
      <c r="BV59" s="72"/>
      <c r="BW59" s="72"/>
      <c r="BX59" s="72"/>
      <c r="BY59" s="72"/>
      <c r="BZ59" s="72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11" t="s">
        <v>81</v>
      </c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12" t="s">
        <v>38</v>
      </c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</row>
    <row r="61" ht="42.75" customHeight="1">
      <c r="A61" s="14" t="s">
        <v>41</v>
      </c>
      <c r="B61" s="14" t="s">
        <v>42</v>
      </c>
      <c r="C61" s="15">
        <v>46143.0</v>
      </c>
      <c r="D61" s="15">
        <v>46144.0</v>
      </c>
      <c r="E61" s="15">
        <v>46145.0</v>
      </c>
      <c r="F61" s="15">
        <v>46146.0</v>
      </c>
      <c r="G61" s="15">
        <v>46147.0</v>
      </c>
      <c r="H61" s="15">
        <v>46148.0</v>
      </c>
      <c r="I61" s="15">
        <v>46149.0</v>
      </c>
      <c r="J61" s="15">
        <v>46150.0</v>
      </c>
      <c r="K61" s="15">
        <v>46151.0</v>
      </c>
      <c r="L61" s="15">
        <v>46152.0</v>
      </c>
      <c r="M61" s="15">
        <v>46153.0</v>
      </c>
      <c r="N61" s="15">
        <v>46154.0</v>
      </c>
      <c r="O61" s="15">
        <v>46155.0</v>
      </c>
      <c r="P61" s="15">
        <v>46156.0</v>
      </c>
      <c r="Q61" s="15">
        <v>46157.0</v>
      </c>
      <c r="R61" s="15">
        <v>46158.0</v>
      </c>
      <c r="S61" s="15">
        <v>46159.0</v>
      </c>
      <c r="T61" s="15">
        <v>46160.0</v>
      </c>
      <c r="U61" s="15">
        <v>46161.0</v>
      </c>
      <c r="V61" s="15">
        <v>46162.0</v>
      </c>
      <c r="W61" s="15">
        <v>46163.0</v>
      </c>
      <c r="X61" s="15">
        <v>46164.0</v>
      </c>
      <c r="Y61" s="15">
        <v>46165.0</v>
      </c>
      <c r="Z61" s="15">
        <v>46166.0</v>
      </c>
      <c r="AA61" s="15">
        <v>46167.0</v>
      </c>
      <c r="AB61" s="15">
        <v>46168.0</v>
      </c>
      <c r="AC61" s="15">
        <v>46169.0</v>
      </c>
      <c r="AD61" s="15">
        <v>46170.0</v>
      </c>
      <c r="AE61" s="15">
        <v>46171.0</v>
      </c>
      <c r="AF61" s="15">
        <v>46172.0</v>
      </c>
      <c r="AG61" s="15">
        <v>46173.0</v>
      </c>
      <c r="AH61" s="16" t="s">
        <v>43</v>
      </c>
      <c r="AI61" s="17"/>
      <c r="AJ61" s="18" t="s">
        <v>41</v>
      </c>
      <c r="AK61" s="18" t="s">
        <v>42</v>
      </c>
      <c r="AL61" s="66">
        <v>46143.0</v>
      </c>
      <c r="AM61" s="66">
        <v>46144.0</v>
      </c>
      <c r="AN61" s="66">
        <v>46145.0</v>
      </c>
      <c r="AO61" s="66">
        <v>46146.0</v>
      </c>
      <c r="AP61" s="66">
        <v>46147.0</v>
      </c>
      <c r="AQ61" s="66">
        <v>46148.0</v>
      </c>
      <c r="AR61" s="66">
        <v>46149.0</v>
      </c>
      <c r="AS61" s="66">
        <v>46150.0</v>
      </c>
      <c r="AT61" s="66">
        <v>46151.0</v>
      </c>
      <c r="AU61" s="66">
        <v>46152.0</v>
      </c>
      <c r="AV61" s="66">
        <v>46153.0</v>
      </c>
      <c r="AW61" s="66">
        <v>46154.0</v>
      </c>
      <c r="AX61" s="66">
        <v>46155.0</v>
      </c>
      <c r="AY61" s="66">
        <v>46156.0</v>
      </c>
      <c r="AZ61" s="66">
        <v>46157.0</v>
      </c>
      <c r="BA61" s="66">
        <v>46158.0</v>
      </c>
      <c r="BB61" s="66">
        <v>46159.0</v>
      </c>
      <c r="BC61" s="66">
        <v>46160.0</v>
      </c>
      <c r="BD61" s="66">
        <v>46161.0</v>
      </c>
      <c r="BE61" s="66">
        <v>46162.0</v>
      </c>
      <c r="BF61" s="66">
        <v>46163.0</v>
      </c>
      <c r="BG61" s="66">
        <v>46164.0</v>
      </c>
      <c r="BH61" s="66">
        <v>46165.0</v>
      </c>
      <c r="BI61" s="66">
        <v>46166.0</v>
      </c>
      <c r="BJ61" s="66">
        <v>46167.0</v>
      </c>
      <c r="BK61" s="66">
        <v>46168.0</v>
      </c>
      <c r="BL61" s="66">
        <v>46169.0</v>
      </c>
      <c r="BM61" s="66">
        <v>46170.0</v>
      </c>
      <c r="BN61" s="66">
        <v>46171.0</v>
      </c>
      <c r="BO61" s="66">
        <v>46172.0</v>
      </c>
      <c r="BP61" s="66">
        <v>46173.0</v>
      </c>
      <c r="BQ61" s="18" t="s">
        <v>43</v>
      </c>
      <c r="BR61" s="17"/>
      <c r="BS61" s="20" t="s">
        <v>41</v>
      </c>
      <c r="BT61" s="20" t="s">
        <v>42</v>
      </c>
      <c r="BU61" s="20" t="s">
        <v>44</v>
      </c>
      <c r="BV61" s="20" t="s">
        <v>45</v>
      </c>
      <c r="BW61" s="20" t="s">
        <v>46</v>
      </c>
      <c r="BX61" s="20" t="s">
        <v>47</v>
      </c>
      <c r="BY61" s="20" t="s">
        <v>48</v>
      </c>
      <c r="BZ61" s="20" t="s">
        <v>49</v>
      </c>
      <c r="CA61" s="20" t="s">
        <v>50</v>
      </c>
      <c r="CB61" s="20" t="s">
        <v>51</v>
      </c>
      <c r="CC61" s="20" t="s">
        <v>52</v>
      </c>
      <c r="CD61" s="20" t="s">
        <v>53</v>
      </c>
      <c r="CE61" s="20" t="s">
        <v>54</v>
      </c>
      <c r="CF61" s="20" t="s">
        <v>55</v>
      </c>
      <c r="CG61" s="68"/>
      <c r="CH61" s="68"/>
      <c r="CI61" s="68"/>
      <c r="CJ61" s="68"/>
      <c r="CK61" s="68"/>
      <c r="CL61" s="68"/>
      <c r="CM61" s="68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</row>
    <row r="62">
      <c r="A62" s="28">
        <v>1.0</v>
      </c>
      <c r="B62" s="29" t="s">
        <v>60</v>
      </c>
      <c r="C62" s="30">
        <f>COUNTIFS(
DATA!$F:$F,$B62,
DATA!$B:$B,"&gt;="&amp;DATE(2026,MONTH(C$61),DAY(C$61)),
DATA!$B:$B,"&lt;"&amp;DATE(2026,MONTH(C$61),DAY(C$61))+1
)</f>
        <v>0</v>
      </c>
      <c r="D62" s="30">
        <f>COUNTIFS(
DATA!$F:$F,$B62,
DATA!$B:$B,"&gt;="&amp;DATE(2026,MONTH(D$61),DAY(D$61)),
DATA!$B:$B,"&lt;"&amp;DATE(2026,MONTH(D$61),DAY(D$61))+1
)</f>
        <v>0</v>
      </c>
      <c r="E62" s="30">
        <f>COUNTIFS(
DATA!$F:$F,$B62,
DATA!$B:$B,"&gt;="&amp;DATE(2026,MONTH(E$61),DAY(E$61)),
DATA!$B:$B,"&lt;"&amp;DATE(2026,MONTH(E$61),DAY(E$61))+1
)</f>
        <v>0</v>
      </c>
      <c r="F62" s="30">
        <f>COUNTIFS(
DATA!$F:$F,$B62,
DATA!$B:$B,"&gt;="&amp;DATE(2026,MONTH(F$61),DAY(F$61)),
DATA!$B:$B,"&lt;"&amp;DATE(2026,MONTH(F$61),DAY(F$61))+1
)</f>
        <v>0</v>
      </c>
      <c r="G62" s="30">
        <f>COUNTIFS(
DATA!$F:$F,$B62,
DATA!$B:$B,"&gt;="&amp;DATE(2026,MONTH(G$61),DAY(G$61)),
DATA!$B:$B,"&lt;"&amp;DATE(2026,MONTH(G$61),DAY(G$61))+1
)</f>
        <v>0</v>
      </c>
      <c r="H62" s="30">
        <f>COUNTIFS(
DATA!$F:$F,$B62,
DATA!$B:$B,"&gt;="&amp;DATE(2026,MONTH(H$61),DAY(H$61)),
DATA!$B:$B,"&lt;"&amp;DATE(2026,MONTH(H$61),DAY(H$61))+1
)</f>
        <v>0</v>
      </c>
      <c r="I62" s="30">
        <f>COUNTIFS(
DATA!$F:$F,$B62,
DATA!$B:$B,"&gt;="&amp;DATE(2026,MONTH(I$61),DAY(I$61)),
DATA!$B:$B,"&lt;"&amp;DATE(2026,MONTH(I$61),DAY(I$61))+1
)</f>
        <v>0</v>
      </c>
      <c r="J62" s="30">
        <f>COUNTIFS(
DATA!$F:$F,$B62,
DATA!$B:$B,"&gt;="&amp;DATE(2026,MONTH(J$61),DAY(J$61)),
DATA!$B:$B,"&lt;"&amp;DATE(2026,MONTH(J$61),DAY(J$61))+1
)</f>
        <v>0</v>
      </c>
      <c r="K62" s="30">
        <f>COUNTIFS(
DATA!$F:$F,$B62,
DATA!$B:$B,"&gt;="&amp;DATE(2026,MONTH(K$61),DAY(K$61)),
DATA!$B:$B,"&lt;"&amp;DATE(2026,MONTH(K$61),DAY(K$61))+1
)</f>
        <v>0</v>
      </c>
      <c r="L62" s="30">
        <f>COUNTIFS(
DATA!$F:$F,$B62,
DATA!$B:$B,"&gt;="&amp;DATE(2026,MONTH(L$61),DAY(L$61)),
DATA!$B:$B,"&lt;"&amp;DATE(2026,MONTH(L$61),DAY(L$61))+1
)</f>
        <v>0</v>
      </c>
      <c r="M62" s="30">
        <f>COUNTIFS(
DATA!$F:$F,$B62,
DATA!$B:$B,"&gt;="&amp;DATE(2026,MONTH(M$61),DAY(M$61)),
DATA!$B:$B,"&lt;"&amp;DATE(2026,MONTH(M$61),DAY(M$61))+1
)</f>
        <v>0</v>
      </c>
      <c r="N62" s="30">
        <f>COUNTIFS(
DATA!$F:$F,$B62,
DATA!$B:$B,"&gt;="&amp;DATE(2026,MONTH(N$61),DAY(N$61)),
DATA!$B:$B,"&lt;"&amp;DATE(2026,MONTH(N$61),DAY(N$61))+1
)</f>
        <v>0</v>
      </c>
      <c r="O62" s="30">
        <f>COUNTIFS(
DATA!$F:$F,$B62,
DATA!$B:$B,"&gt;="&amp;DATE(2026,MONTH(O$61),DAY(O$61)),
DATA!$B:$B,"&lt;"&amp;DATE(2026,MONTH(O$61),DAY(O$61))+1
)</f>
        <v>0</v>
      </c>
      <c r="P62" s="30">
        <f>COUNTIFS(
DATA!$F:$F,$B62,
DATA!$B:$B,"&gt;="&amp;DATE(2026,MONTH(P$61),DAY(P$61)),
DATA!$B:$B,"&lt;"&amp;DATE(2026,MONTH(P$61),DAY(P$61))+1
)</f>
        <v>0</v>
      </c>
      <c r="Q62" s="30">
        <f>COUNTIFS(
DATA!$F:$F,$B62,
DATA!$B:$B,"&gt;="&amp;DATE(2026,MONTH(Q$61),DAY(Q$61)),
DATA!$B:$B,"&lt;"&amp;DATE(2026,MONTH(Q$61),DAY(Q$61))+1
)</f>
        <v>0</v>
      </c>
      <c r="R62" s="30">
        <f>COUNTIFS(
DATA!$F:$F,$B62,
DATA!$B:$B,"&gt;="&amp;DATE(2026,MONTH(R$61),DAY(R$61)),
DATA!$B:$B,"&lt;"&amp;DATE(2026,MONTH(R$61),DAY(R$61))+1
)</f>
        <v>0</v>
      </c>
      <c r="S62" s="30">
        <f>COUNTIFS(
DATA!$F:$F,$B62,
DATA!$B:$B,"&gt;="&amp;DATE(2026,MONTH(S$61),DAY(S$61)),
DATA!$B:$B,"&lt;"&amp;DATE(2026,MONTH(S$61),DAY(S$61))+1
)</f>
        <v>0</v>
      </c>
      <c r="T62" s="30">
        <f>COUNTIFS(
DATA!$F:$F,$B62,
DATA!$B:$B,"&gt;="&amp;DATE(2026,MONTH(T$61),DAY(T$61)),
DATA!$B:$B,"&lt;"&amp;DATE(2026,MONTH(T$61),DAY(T$61))+1
)</f>
        <v>0</v>
      </c>
      <c r="U62" s="30">
        <f>COUNTIFS(
DATA!$F:$F,$B62,
DATA!$B:$B,"&gt;="&amp;DATE(2026,MONTH(U$61),DAY(U$61)),
DATA!$B:$B,"&lt;"&amp;DATE(2026,MONTH(U$61),DAY(U$61))+1
)</f>
        <v>0</v>
      </c>
      <c r="V62" s="30">
        <f>COUNTIFS(
DATA!$F:$F,$B62,
DATA!$B:$B,"&gt;="&amp;DATE(2026,MONTH(V$61),DAY(V$61)),
DATA!$B:$B,"&lt;"&amp;DATE(2026,MONTH(V$61),DAY(V$61))+1
)</f>
        <v>0</v>
      </c>
      <c r="W62" s="30">
        <f>COUNTIFS(
DATA!$F:$F,$B62,
DATA!$B:$B,"&gt;="&amp;DATE(2026,MONTH(W$61),DAY(W$61)),
DATA!$B:$B,"&lt;"&amp;DATE(2026,MONTH(W$61),DAY(W$61))+1
)</f>
        <v>0</v>
      </c>
      <c r="X62" s="30">
        <f>COUNTIFS(
DATA!$F:$F,$B62,
DATA!$B:$B,"&gt;="&amp;DATE(2026,MONTH(X$61),DAY(X$61)),
DATA!$B:$B,"&lt;"&amp;DATE(2026,MONTH(X$61),DAY(X$61))+1
)</f>
        <v>0</v>
      </c>
      <c r="Y62" s="30">
        <f>COUNTIFS(
DATA!$F:$F,$B62,
DATA!$B:$B,"&gt;="&amp;DATE(2026,MONTH(Y$61),DAY(Y$61)),
DATA!$B:$B,"&lt;"&amp;DATE(2026,MONTH(Y$61),DAY(Y$61))+1
)</f>
        <v>0</v>
      </c>
      <c r="Z62" s="30">
        <f>COUNTIFS(
DATA!$F:$F,$B62,
DATA!$B:$B,"&gt;="&amp;DATE(2026,MONTH(Z$61),DAY(Z$61)),
DATA!$B:$B,"&lt;"&amp;DATE(2026,MONTH(Z$61),DAY(Z$61))+1
)</f>
        <v>0</v>
      </c>
      <c r="AA62" s="30">
        <f>COUNTIFS(
DATA!$F:$F,$B62,
DATA!$B:$B,"&gt;="&amp;DATE(2026,MONTH(AA$61),DAY(AA$61)),
DATA!$B:$B,"&lt;"&amp;DATE(2026,MONTH(AA$61),DAY(AA$61))+1
)</f>
        <v>0</v>
      </c>
      <c r="AB62" s="30">
        <f>COUNTIFS(
DATA!$F:$F,$B62,
DATA!$B:$B,"&gt;="&amp;DATE(2026,MONTH(AB$61),DAY(AB$61)),
DATA!$B:$B,"&lt;"&amp;DATE(2026,MONTH(AB$61),DAY(AB$61))+1
)</f>
        <v>0</v>
      </c>
      <c r="AC62" s="30">
        <f>COUNTIFS(
DATA!$F:$F,$B62,
DATA!$B:$B,"&gt;="&amp;DATE(2026,MONTH(AC$61),DAY(AC$61)),
DATA!$B:$B,"&lt;"&amp;DATE(2026,MONTH(AC$61),DAY(AC$61))+1
)</f>
        <v>0</v>
      </c>
      <c r="AD62" s="30">
        <f>COUNTIFS(
DATA!$F:$F,$B62,
DATA!$B:$B,"&gt;="&amp;DATE(2026,MONTH(AD$61),DAY(AD$61)),
DATA!$B:$B,"&lt;"&amp;DATE(2026,MONTH(AD$61),DAY(AD$61))+1
)</f>
        <v>0</v>
      </c>
      <c r="AE62" s="30">
        <f>COUNTIFS(
DATA!$F:$F,$B62,
DATA!$B:$B,"&gt;="&amp;DATE(2026,MONTH(AE$61),DAY(AE$61)),
DATA!$B:$B,"&lt;"&amp;DATE(2026,MONTH(AE$61),DAY(AE$61))+1
)</f>
        <v>0</v>
      </c>
      <c r="AF62" s="30">
        <f>COUNTIFS(
DATA!$F:$F,$B62,
DATA!$B:$B,"&gt;="&amp;DATE(2026,MONTH(AF$61),DAY(AF$61)),
DATA!$B:$B,"&lt;"&amp;DATE(2026,MONTH(AF$61),DAY(AF$61))+1
)</f>
        <v>0</v>
      </c>
      <c r="AG62" s="30">
        <f>COUNTIFS(
DATA!$F:$F,$B62,
DATA!$B:$B,"&gt;="&amp;DATE(2026,MONTH(AG$61),DAY(AG$61)),
DATA!$B:$B,"&lt;"&amp;DATE(2026,MONTH(AG$61),DAY(AG$61))+1
)</f>
        <v>0</v>
      </c>
      <c r="AH62" s="31">
        <f t="shared" ref="AH62:AH70" si="143">SUBTOTAL(9,C62:AG62)</f>
        <v>0</v>
      </c>
      <c r="AI62" s="7"/>
      <c r="AJ62" s="30">
        <v>1.0</v>
      </c>
      <c r="AK62" s="32" t="s">
        <v>60</v>
      </c>
      <c r="AL62" s="41">
        <f t="shared" ref="AL62:AL70" si="144">C62</f>
        <v>0</v>
      </c>
      <c r="AM62" s="30">
        <f t="shared" ref="AM62:BP62" si="141">SUM($C62:D62)</f>
        <v>0</v>
      </c>
      <c r="AN62" s="30">
        <f t="shared" si="141"/>
        <v>0</v>
      </c>
      <c r="AO62" s="30">
        <f t="shared" si="141"/>
        <v>0</v>
      </c>
      <c r="AP62" s="30">
        <f t="shared" si="141"/>
        <v>0</v>
      </c>
      <c r="AQ62" s="30">
        <f t="shared" si="141"/>
        <v>0</v>
      </c>
      <c r="AR62" s="30">
        <f t="shared" si="141"/>
        <v>0</v>
      </c>
      <c r="AS62" s="30">
        <f t="shared" si="141"/>
        <v>0</v>
      </c>
      <c r="AT62" s="30">
        <f t="shared" si="141"/>
        <v>0</v>
      </c>
      <c r="AU62" s="30">
        <f t="shared" si="141"/>
        <v>0</v>
      </c>
      <c r="AV62" s="30">
        <f t="shared" si="141"/>
        <v>0</v>
      </c>
      <c r="AW62" s="30">
        <f t="shared" si="141"/>
        <v>0</v>
      </c>
      <c r="AX62" s="30">
        <f t="shared" si="141"/>
        <v>0</v>
      </c>
      <c r="AY62" s="30">
        <f t="shared" si="141"/>
        <v>0</v>
      </c>
      <c r="AZ62" s="30">
        <f t="shared" si="141"/>
        <v>0</v>
      </c>
      <c r="BA62" s="30">
        <f t="shared" si="141"/>
        <v>0</v>
      </c>
      <c r="BB62" s="30">
        <f t="shared" si="141"/>
        <v>0</v>
      </c>
      <c r="BC62" s="30">
        <f t="shared" si="141"/>
        <v>0</v>
      </c>
      <c r="BD62" s="30">
        <f t="shared" si="141"/>
        <v>0</v>
      </c>
      <c r="BE62" s="30">
        <f t="shared" si="141"/>
        <v>0</v>
      </c>
      <c r="BF62" s="30">
        <f t="shared" si="141"/>
        <v>0</v>
      </c>
      <c r="BG62" s="30">
        <f t="shared" si="141"/>
        <v>0</v>
      </c>
      <c r="BH62" s="30">
        <f t="shared" si="141"/>
        <v>0</v>
      </c>
      <c r="BI62" s="30">
        <f t="shared" si="141"/>
        <v>0</v>
      </c>
      <c r="BJ62" s="30">
        <f t="shared" si="141"/>
        <v>0</v>
      </c>
      <c r="BK62" s="30">
        <f t="shared" si="141"/>
        <v>0</v>
      </c>
      <c r="BL62" s="30">
        <f t="shared" si="141"/>
        <v>0</v>
      </c>
      <c r="BM62" s="30">
        <f t="shared" si="141"/>
        <v>0</v>
      </c>
      <c r="BN62" s="30">
        <f t="shared" si="141"/>
        <v>0</v>
      </c>
      <c r="BO62" s="30">
        <f t="shared" si="141"/>
        <v>0</v>
      </c>
      <c r="BP62" s="30">
        <f t="shared" si="141"/>
        <v>0</v>
      </c>
      <c r="BQ62" s="31">
        <f t="shared" ref="BQ62:BQ70" si="146">BP62</f>
        <v>0</v>
      </c>
      <c r="BR62" s="7"/>
      <c r="BS62" s="28">
        <v>1.0</v>
      </c>
      <c r="BT62" s="29" t="s">
        <v>60</v>
      </c>
      <c r="BU62" s="88">
        <f t="shared" ref="BU62:CF62" si="142">BU34/BU6</f>
        <v>1.53633218</v>
      </c>
      <c r="BV62" s="88">
        <f t="shared" si="142"/>
        <v>1.328719723</v>
      </c>
      <c r="BW62" s="88">
        <f t="shared" si="142"/>
        <v>1.826989619</v>
      </c>
      <c r="BX62" s="88">
        <f t="shared" si="142"/>
        <v>0.955017301</v>
      </c>
      <c r="BY62" s="88">
        <f t="shared" si="142"/>
        <v>0</v>
      </c>
      <c r="BZ62" s="88">
        <f t="shared" si="142"/>
        <v>0</v>
      </c>
      <c r="CA62" s="88">
        <f t="shared" si="142"/>
        <v>0</v>
      </c>
      <c r="CB62" s="88">
        <f t="shared" si="142"/>
        <v>0</v>
      </c>
      <c r="CC62" s="88">
        <f t="shared" si="142"/>
        <v>0</v>
      </c>
      <c r="CD62" s="88">
        <f t="shared" si="142"/>
        <v>0</v>
      </c>
      <c r="CE62" s="88">
        <f t="shared" si="142"/>
        <v>0</v>
      </c>
      <c r="CF62" s="88">
        <f t="shared" si="142"/>
        <v>0</v>
      </c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</row>
    <row r="63">
      <c r="A63" s="28">
        <v>2.0</v>
      </c>
      <c r="B63" s="29" t="s">
        <v>61</v>
      </c>
      <c r="C63" s="30">
        <f>COUNTIFS(
DATA!$F:$F,$B63,
DATA!$B:$B,"&gt;="&amp;DATE(2026,MONTH(C$61),DAY(C$61)),
DATA!$B:$B,"&lt;"&amp;DATE(2026,MONTH(C$61),DAY(C$61))+1
)</f>
        <v>0</v>
      </c>
      <c r="D63" s="30">
        <f>COUNTIFS(
DATA!$F:$F,$B63,
DATA!$B:$B,"&gt;="&amp;DATE(2026,MONTH(D$61),DAY(D$61)),
DATA!$B:$B,"&lt;"&amp;DATE(2026,MONTH(D$61),DAY(D$61))+1
)</f>
        <v>0</v>
      </c>
      <c r="E63" s="30">
        <f>COUNTIFS(
DATA!$F:$F,$B63,
DATA!$B:$B,"&gt;="&amp;DATE(2026,MONTH(E$61),DAY(E$61)),
DATA!$B:$B,"&lt;"&amp;DATE(2026,MONTH(E$61),DAY(E$61))+1
)</f>
        <v>0</v>
      </c>
      <c r="F63" s="30">
        <f>COUNTIFS(
DATA!$F:$F,$B63,
DATA!$B:$B,"&gt;="&amp;DATE(2026,MONTH(F$61),DAY(F$61)),
DATA!$B:$B,"&lt;"&amp;DATE(2026,MONTH(F$61),DAY(F$61))+1
)</f>
        <v>0</v>
      </c>
      <c r="G63" s="30">
        <f>COUNTIFS(
DATA!$F:$F,$B63,
DATA!$B:$B,"&gt;="&amp;DATE(2026,MONTH(G$61),DAY(G$61)),
DATA!$B:$B,"&lt;"&amp;DATE(2026,MONTH(G$61),DAY(G$61))+1
)</f>
        <v>0</v>
      </c>
      <c r="H63" s="30">
        <f>COUNTIFS(
DATA!$F:$F,$B63,
DATA!$B:$B,"&gt;="&amp;DATE(2026,MONTH(H$61),DAY(H$61)),
DATA!$B:$B,"&lt;"&amp;DATE(2026,MONTH(H$61),DAY(H$61))+1
)</f>
        <v>0</v>
      </c>
      <c r="I63" s="30">
        <f>COUNTIFS(
DATA!$F:$F,$B63,
DATA!$B:$B,"&gt;="&amp;DATE(2026,MONTH(I$61),DAY(I$61)),
DATA!$B:$B,"&lt;"&amp;DATE(2026,MONTH(I$61),DAY(I$61))+1
)</f>
        <v>0</v>
      </c>
      <c r="J63" s="30">
        <f>COUNTIFS(
DATA!$F:$F,$B63,
DATA!$B:$B,"&gt;="&amp;DATE(2026,MONTH(J$61),DAY(J$61)),
DATA!$B:$B,"&lt;"&amp;DATE(2026,MONTH(J$61),DAY(J$61))+1
)</f>
        <v>0</v>
      </c>
      <c r="K63" s="30">
        <f>COUNTIFS(
DATA!$F:$F,$B63,
DATA!$B:$B,"&gt;="&amp;DATE(2026,MONTH(K$61),DAY(K$61)),
DATA!$B:$B,"&lt;"&amp;DATE(2026,MONTH(K$61),DAY(K$61))+1
)</f>
        <v>0</v>
      </c>
      <c r="L63" s="30">
        <f>COUNTIFS(
DATA!$F:$F,$B63,
DATA!$B:$B,"&gt;="&amp;DATE(2026,MONTH(L$61),DAY(L$61)),
DATA!$B:$B,"&lt;"&amp;DATE(2026,MONTH(L$61),DAY(L$61))+1
)</f>
        <v>0</v>
      </c>
      <c r="M63" s="30">
        <f>COUNTIFS(
DATA!$F:$F,$B63,
DATA!$B:$B,"&gt;="&amp;DATE(2026,MONTH(M$61),DAY(M$61)),
DATA!$B:$B,"&lt;"&amp;DATE(2026,MONTH(M$61),DAY(M$61))+1
)</f>
        <v>0</v>
      </c>
      <c r="N63" s="30">
        <f>COUNTIFS(
DATA!$F:$F,$B63,
DATA!$B:$B,"&gt;="&amp;DATE(2026,MONTH(N$61),DAY(N$61)),
DATA!$B:$B,"&lt;"&amp;DATE(2026,MONTH(N$61),DAY(N$61))+1
)</f>
        <v>0</v>
      </c>
      <c r="O63" s="30">
        <f>COUNTIFS(
DATA!$F:$F,$B63,
DATA!$B:$B,"&gt;="&amp;DATE(2026,MONTH(O$61),DAY(O$61)),
DATA!$B:$B,"&lt;"&amp;DATE(2026,MONTH(O$61),DAY(O$61))+1
)</f>
        <v>0</v>
      </c>
      <c r="P63" s="30">
        <f>COUNTIFS(
DATA!$F:$F,$B63,
DATA!$B:$B,"&gt;="&amp;DATE(2026,MONTH(P$61),DAY(P$61)),
DATA!$B:$B,"&lt;"&amp;DATE(2026,MONTH(P$61),DAY(P$61))+1
)</f>
        <v>0</v>
      </c>
      <c r="Q63" s="30">
        <f>COUNTIFS(
DATA!$F:$F,$B63,
DATA!$B:$B,"&gt;="&amp;DATE(2026,MONTH(Q$61),DAY(Q$61)),
DATA!$B:$B,"&lt;"&amp;DATE(2026,MONTH(Q$61),DAY(Q$61))+1
)</f>
        <v>0</v>
      </c>
      <c r="R63" s="30">
        <f>COUNTIFS(
DATA!$F:$F,$B63,
DATA!$B:$B,"&gt;="&amp;DATE(2026,MONTH(R$61),DAY(R$61)),
DATA!$B:$B,"&lt;"&amp;DATE(2026,MONTH(R$61),DAY(R$61))+1
)</f>
        <v>0</v>
      </c>
      <c r="S63" s="30">
        <f>COUNTIFS(
DATA!$F:$F,$B63,
DATA!$B:$B,"&gt;="&amp;DATE(2026,MONTH(S$61),DAY(S$61)),
DATA!$B:$B,"&lt;"&amp;DATE(2026,MONTH(S$61),DAY(S$61))+1
)</f>
        <v>0</v>
      </c>
      <c r="T63" s="30">
        <f>COUNTIFS(
DATA!$F:$F,$B63,
DATA!$B:$B,"&gt;="&amp;DATE(2026,MONTH(T$61),DAY(T$61)),
DATA!$B:$B,"&lt;"&amp;DATE(2026,MONTH(T$61),DAY(T$61))+1
)</f>
        <v>0</v>
      </c>
      <c r="U63" s="30">
        <f>COUNTIFS(
DATA!$F:$F,$B63,
DATA!$B:$B,"&gt;="&amp;DATE(2026,MONTH(U$61),DAY(U$61)),
DATA!$B:$B,"&lt;"&amp;DATE(2026,MONTH(U$61),DAY(U$61))+1
)</f>
        <v>0</v>
      </c>
      <c r="V63" s="30">
        <f>COUNTIFS(
DATA!$F:$F,$B63,
DATA!$B:$B,"&gt;="&amp;DATE(2026,MONTH(V$61),DAY(V$61)),
DATA!$B:$B,"&lt;"&amp;DATE(2026,MONTH(V$61),DAY(V$61))+1
)</f>
        <v>0</v>
      </c>
      <c r="W63" s="30">
        <f>COUNTIFS(
DATA!$F:$F,$B63,
DATA!$B:$B,"&gt;="&amp;DATE(2026,MONTH(W$61),DAY(W$61)),
DATA!$B:$B,"&lt;"&amp;DATE(2026,MONTH(W$61),DAY(W$61))+1
)</f>
        <v>0</v>
      </c>
      <c r="X63" s="30">
        <f>COUNTIFS(
DATA!$F:$F,$B63,
DATA!$B:$B,"&gt;="&amp;DATE(2026,MONTH(X$61),DAY(X$61)),
DATA!$B:$B,"&lt;"&amp;DATE(2026,MONTH(X$61),DAY(X$61))+1
)</f>
        <v>0</v>
      </c>
      <c r="Y63" s="30">
        <f>COUNTIFS(
DATA!$F:$F,$B63,
DATA!$B:$B,"&gt;="&amp;DATE(2026,MONTH(Y$61),DAY(Y$61)),
DATA!$B:$B,"&lt;"&amp;DATE(2026,MONTH(Y$61),DAY(Y$61))+1
)</f>
        <v>0</v>
      </c>
      <c r="Z63" s="30">
        <f>COUNTIFS(
DATA!$F:$F,$B63,
DATA!$B:$B,"&gt;="&amp;DATE(2026,MONTH(Z$61),DAY(Z$61)),
DATA!$B:$B,"&lt;"&amp;DATE(2026,MONTH(Z$61),DAY(Z$61))+1
)</f>
        <v>0</v>
      </c>
      <c r="AA63" s="30">
        <f>COUNTIFS(
DATA!$F:$F,$B63,
DATA!$B:$B,"&gt;="&amp;DATE(2026,MONTH(AA$61),DAY(AA$61)),
DATA!$B:$B,"&lt;"&amp;DATE(2026,MONTH(AA$61),DAY(AA$61))+1
)</f>
        <v>0</v>
      </c>
      <c r="AB63" s="30">
        <f>COUNTIFS(
DATA!$F:$F,$B63,
DATA!$B:$B,"&gt;="&amp;DATE(2026,MONTH(AB$61),DAY(AB$61)),
DATA!$B:$B,"&lt;"&amp;DATE(2026,MONTH(AB$61),DAY(AB$61))+1
)</f>
        <v>0</v>
      </c>
      <c r="AC63" s="30">
        <f>COUNTIFS(
DATA!$F:$F,$B63,
DATA!$B:$B,"&gt;="&amp;DATE(2026,MONTH(AC$61),DAY(AC$61)),
DATA!$B:$B,"&lt;"&amp;DATE(2026,MONTH(AC$61),DAY(AC$61))+1
)</f>
        <v>0</v>
      </c>
      <c r="AD63" s="30">
        <f>COUNTIFS(
DATA!$F:$F,$B63,
DATA!$B:$B,"&gt;="&amp;DATE(2026,MONTH(AD$61),DAY(AD$61)),
DATA!$B:$B,"&lt;"&amp;DATE(2026,MONTH(AD$61),DAY(AD$61))+1
)</f>
        <v>0</v>
      </c>
      <c r="AE63" s="30">
        <f>COUNTIFS(
DATA!$F:$F,$B63,
DATA!$B:$B,"&gt;="&amp;DATE(2026,MONTH(AE$61),DAY(AE$61)),
DATA!$B:$B,"&lt;"&amp;DATE(2026,MONTH(AE$61),DAY(AE$61))+1
)</f>
        <v>0</v>
      </c>
      <c r="AF63" s="30">
        <f>COUNTIFS(
DATA!$F:$F,$B63,
DATA!$B:$B,"&gt;="&amp;DATE(2026,MONTH(AF$61),DAY(AF$61)),
DATA!$B:$B,"&lt;"&amp;DATE(2026,MONTH(AF$61),DAY(AF$61))+1
)</f>
        <v>0</v>
      </c>
      <c r="AG63" s="30">
        <f>COUNTIFS(
DATA!$F:$F,$B63,
DATA!$B:$B,"&gt;="&amp;DATE(2026,MONTH(AG$61),DAY(AG$61)),
DATA!$B:$B,"&lt;"&amp;DATE(2026,MONTH(AG$61),DAY(AG$61))+1
)</f>
        <v>0</v>
      </c>
      <c r="AH63" s="31">
        <f t="shared" si="143"/>
        <v>0</v>
      </c>
      <c r="AI63" s="7"/>
      <c r="AJ63" s="30">
        <v>2.0</v>
      </c>
      <c r="AK63" s="32" t="s">
        <v>61</v>
      </c>
      <c r="AL63" s="41">
        <f t="shared" si="144"/>
        <v>0</v>
      </c>
      <c r="AM63" s="30">
        <f t="shared" ref="AM63:AM70" si="148">SUM(C63:D63)</f>
        <v>0</v>
      </c>
      <c r="AN63" s="30">
        <f t="shared" ref="AN63:BP63" si="145">SUM($C63:E63)</f>
        <v>0</v>
      </c>
      <c r="AO63" s="30">
        <f t="shared" si="145"/>
        <v>0</v>
      </c>
      <c r="AP63" s="30">
        <f t="shared" si="145"/>
        <v>0</v>
      </c>
      <c r="AQ63" s="30">
        <f t="shared" si="145"/>
        <v>0</v>
      </c>
      <c r="AR63" s="30">
        <f t="shared" si="145"/>
        <v>0</v>
      </c>
      <c r="AS63" s="30">
        <f t="shared" si="145"/>
        <v>0</v>
      </c>
      <c r="AT63" s="30">
        <f t="shared" si="145"/>
        <v>0</v>
      </c>
      <c r="AU63" s="30">
        <f t="shared" si="145"/>
        <v>0</v>
      </c>
      <c r="AV63" s="30">
        <f t="shared" si="145"/>
        <v>0</v>
      </c>
      <c r="AW63" s="30">
        <f t="shared" si="145"/>
        <v>0</v>
      </c>
      <c r="AX63" s="30">
        <f t="shared" si="145"/>
        <v>0</v>
      </c>
      <c r="AY63" s="30">
        <f t="shared" si="145"/>
        <v>0</v>
      </c>
      <c r="AZ63" s="30">
        <f t="shared" si="145"/>
        <v>0</v>
      </c>
      <c r="BA63" s="30">
        <f t="shared" si="145"/>
        <v>0</v>
      </c>
      <c r="BB63" s="30">
        <f t="shared" si="145"/>
        <v>0</v>
      </c>
      <c r="BC63" s="30">
        <f t="shared" si="145"/>
        <v>0</v>
      </c>
      <c r="BD63" s="30">
        <f t="shared" si="145"/>
        <v>0</v>
      </c>
      <c r="BE63" s="30">
        <f t="shared" si="145"/>
        <v>0</v>
      </c>
      <c r="BF63" s="30">
        <f t="shared" si="145"/>
        <v>0</v>
      </c>
      <c r="BG63" s="30">
        <f t="shared" si="145"/>
        <v>0</v>
      </c>
      <c r="BH63" s="30">
        <f t="shared" si="145"/>
        <v>0</v>
      </c>
      <c r="BI63" s="30">
        <f t="shared" si="145"/>
        <v>0</v>
      </c>
      <c r="BJ63" s="30">
        <f t="shared" si="145"/>
        <v>0</v>
      </c>
      <c r="BK63" s="30">
        <f t="shared" si="145"/>
        <v>0</v>
      </c>
      <c r="BL63" s="30">
        <f t="shared" si="145"/>
        <v>0</v>
      </c>
      <c r="BM63" s="30">
        <f t="shared" si="145"/>
        <v>0</v>
      </c>
      <c r="BN63" s="30">
        <f t="shared" si="145"/>
        <v>0</v>
      </c>
      <c r="BO63" s="30">
        <f t="shared" si="145"/>
        <v>0</v>
      </c>
      <c r="BP63" s="30">
        <f t="shared" si="145"/>
        <v>0</v>
      </c>
      <c r="BQ63" s="31">
        <f t="shared" si="146"/>
        <v>0</v>
      </c>
      <c r="BR63" s="7"/>
      <c r="BS63" s="28">
        <v>2.0</v>
      </c>
      <c r="BT63" s="29" t="s">
        <v>61</v>
      </c>
      <c r="BU63" s="88">
        <f t="shared" ref="BU63:CF63" si="147">BU35/BU7</f>
        <v>0</v>
      </c>
      <c r="BV63" s="88">
        <f t="shared" si="147"/>
        <v>2.6</v>
      </c>
      <c r="BW63" s="88">
        <f t="shared" si="147"/>
        <v>0</v>
      </c>
      <c r="BX63" s="88">
        <f t="shared" si="147"/>
        <v>0</v>
      </c>
      <c r="BY63" s="88">
        <f t="shared" si="147"/>
        <v>0</v>
      </c>
      <c r="BZ63" s="88">
        <f t="shared" si="147"/>
        <v>0</v>
      </c>
      <c r="CA63" s="88">
        <f t="shared" si="147"/>
        <v>0</v>
      </c>
      <c r="CB63" s="88">
        <f t="shared" si="147"/>
        <v>0</v>
      </c>
      <c r="CC63" s="88">
        <f t="shared" si="147"/>
        <v>0</v>
      </c>
      <c r="CD63" s="88">
        <f t="shared" si="147"/>
        <v>0</v>
      </c>
      <c r="CE63" s="88">
        <f t="shared" si="147"/>
        <v>0</v>
      </c>
      <c r="CF63" s="88">
        <f t="shared" si="147"/>
        <v>0</v>
      </c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</row>
    <row r="64">
      <c r="A64" s="28">
        <v>3.0</v>
      </c>
      <c r="B64" s="29" t="s">
        <v>62</v>
      </c>
      <c r="C64" s="30">
        <f>COUNTIFS(
DATA!$F:$F,$B64,
DATA!$B:$B,"&gt;="&amp;DATE(2026,MONTH(C$61),DAY(C$61)),
DATA!$B:$B,"&lt;"&amp;DATE(2026,MONTH(C$61),DAY(C$61))+1
)</f>
        <v>0</v>
      </c>
      <c r="D64" s="30">
        <f>COUNTIFS(
DATA!$F:$F,$B64,
DATA!$B:$B,"&gt;="&amp;DATE(2026,MONTH(D$61),DAY(D$61)),
DATA!$B:$B,"&lt;"&amp;DATE(2026,MONTH(D$61),DAY(D$61))+1
)</f>
        <v>0</v>
      </c>
      <c r="E64" s="30">
        <f>COUNTIFS(
DATA!$F:$F,$B64,
DATA!$B:$B,"&gt;="&amp;DATE(2026,MONTH(E$61),DAY(E$61)),
DATA!$B:$B,"&lt;"&amp;DATE(2026,MONTH(E$61),DAY(E$61))+1
)</f>
        <v>0</v>
      </c>
      <c r="F64" s="30">
        <f>COUNTIFS(
DATA!$F:$F,$B64,
DATA!$B:$B,"&gt;="&amp;DATE(2026,MONTH(F$61),DAY(F$61)),
DATA!$B:$B,"&lt;"&amp;DATE(2026,MONTH(F$61),DAY(F$61))+1
)</f>
        <v>0</v>
      </c>
      <c r="G64" s="30">
        <f>COUNTIFS(
DATA!$F:$F,$B64,
DATA!$B:$B,"&gt;="&amp;DATE(2026,MONTH(G$61),DAY(G$61)),
DATA!$B:$B,"&lt;"&amp;DATE(2026,MONTH(G$61),DAY(G$61))+1
)</f>
        <v>0</v>
      </c>
      <c r="H64" s="30">
        <f>COUNTIFS(
DATA!$F:$F,$B64,
DATA!$B:$B,"&gt;="&amp;DATE(2026,MONTH(H$61),DAY(H$61)),
DATA!$B:$B,"&lt;"&amp;DATE(2026,MONTH(H$61),DAY(H$61))+1
)</f>
        <v>0</v>
      </c>
      <c r="I64" s="30">
        <f>COUNTIFS(
DATA!$F:$F,$B64,
DATA!$B:$B,"&gt;="&amp;DATE(2026,MONTH(I$61),DAY(I$61)),
DATA!$B:$B,"&lt;"&amp;DATE(2026,MONTH(I$61),DAY(I$61))+1
)</f>
        <v>0</v>
      </c>
      <c r="J64" s="30">
        <f>COUNTIFS(
DATA!$F:$F,$B64,
DATA!$B:$B,"&gt;="&amp;DATE(2026,MONTH(J$61),DAY(J$61)),
DATA!$B:$B,"&lt;"&amp;DATE(2026,MONTH(J$61),DAY(J$61))+1
)</f>
        <v>0</v>
      </c>
      <c r="K64" s="30">
        <f>COUNTIFS(
DATA!$F:$F,$B64,
DATA!$B:$B,"&gt;="&amp;DATE(2026,MONTH(K$61),DAY(K$61)),
DATA!$B:$B,"&lt;"&amp;DATE(2026,MONTH(K$61),DAY(K$61))+1
)</f>
        <v>0</v>
      </c>
      <c r="L64" s="30">
        <f>COUNTIFS(
DATA!$F:$F,$B64,
DATA!$B:$B,"&gt;="&amp;DATE(2026,MONTH(L$61),DAY(L$61)),
DATA!$B:$B,"&lt;"&amp;DATE(2026,MONTH(L$61),DAY(L$61))+1
)</f>
        <v>0</v>
      </c>
      <c r="M64" s="30">
        <f>COUNTIFS(
DATA!$F:$F,$B64,
DATA!$B:$B,"&gt;="&amp;DATE(2026,MONTH(M$61),DAY(M$61)),
DATA!$B:$B,"&lt;"&amp;DATE(2026,MONTH(M$61),DAY(M$61))+1
)</f>
        <v>0</v>
      </c>
      <c r="N64" s="30">
        <f>COUNTIFS(
DATA!$F:$F,$B64,
DATA!$B:$B,"&gt;="&amp;DATE(2026,MONTH(N$61),DAY(N$61)),
DATA!$B:$B,"&lt;"&amp;DATE(2026,MONTH(N$61),DAY(N$61))+1
)</f>
        <v>0</v>
      </c>
      <c r="O64" s="30">
        <f>COUNTIFS(
DATA!$F:$F,$B64,
DATA!$B:$B,"&gt;="&amp;DATE(2026,MONTH(O$61),DAY(O$61)),
DATA!$B:$B,"&lt;"&amp;DATE(2026,MONTH(O$61),DAY(O$61))+1
)</f>
        <v>0</v>
      </c>
      <c r="P64" s="30">
        <f>COUNTIFS(
DATA!$F:$F,$B64,
DATA!$B:$B,"&gt;="&amp;DATE(2026,MONTH(P$61),DAY(P$61)),
DATA!$B:$B,"&lt;"&amp;DATE(2026,MONTH(P$61),DAY(P$61))+1
)</f>
        <v>0</v>
      </c>
      <c r="Q64" s="30">
        <f>COUNTIFS(
DATA!$F:$F,$B64,
DATA!$B:$B,"&gt;="&amp;DATE(2026,MONTH(Q$61),DAY(Q$61)),
DATA!$B:$B,"&lt;"&amp;DATE(2026,MONTH(Q$61),DAY(Q$61))+1
)</f>
        <v>0</v>
      </c>
      <c r="R64" s="30">
        <f>COUNTIFS(
DATA!$F:$F,$B64,
DATA!$B:$B,"&gt;="&amp;DATE(2026,MONTH(R$61),DAY(R$61)),
DATA!$B:$B,"&lt;"&amp;DATE(2026,MONTH(R$61),DAY(R$61))+1
)</f>
        <v>0</v>
      </c>
      <c r="S64" s="30">
        <f>COUNTIFS(
DATA!$F:$F,$B64,
DATA!$B:$B,"&gt;="&amp;DATE(2026,MONTH(S$61),DAY(S$61)),
DATA!$B:$B,"&lt;"&amp;DATE(2026,MONTH(S$61),DAY(S$61))+1
)</f>
        <v>0</v>
      </c>
      <c r="T64" s="30">
        <f>COUNTIFS(
DATA!$F:$F,$B64,
DATA!$B:$B,"&gt;="&amp;DATE(2026,MONTH(T$61),DAY(T$61)),
DATA!$B:$B,"&lt;"&amp;DATE(2026,MONTH(T$61),DAY(T$61))+1
)</f>
        <v>0</v>
      </c>
      <c r="U64" s="30">
        <f>COUNTIFS(
DATA!$F:$F,$B64,
DATA!$B:$B,"&gt;="&amp;DATE(2026,MONTH(U$61),DAY(U$61)),
DATA!$B:$B,"&lt;"&amp;DATE(2026,MONTH(U$61),DAY(U$61))+1
)</f>
        <v>0</v>
      </c>
      <c r="V64" s="30">
        <f>COUNTIFS(
DATA!$F:$F,$B64,
DATA!$B:$B,"&gt;="&amp;DATE(2026,MONTH(V$61),DAY(V$61)),
DATA!$B:$B,"&lt;"&amp;DATE(2026,MONTH(V$61),DAY(V$61))+1
)</f>
        <v>0</v>
      </c>
      <c r="W64" s="30">
        <f>COUNTIFS(
DATA!$F:$F,$B64,
DATA!$B:$B,"&gt;="&amp;DATE(2026,MONTH(W$61),DAY(W$61)),
DATA!$B:$B,"&lt;"&amp;DATE(2026,MONTH(W$61),DAY(W$61))+1
)</f>
        <v>0</v>
      </c>
      <c r="X64" s="30">
        <f>COUNTIFS(
DATA!$F:$F,$B64,
DATA!$B:$B,"&gt;="&amp;DATE(2026,MONTH(X$61),DAY(X$61)),
DATA!$B:$B,"&lt;"&amp;DATE(2026,MONTH(X$61),DAY(X$61))+1
)</f>
        <v>0</v>
      </c>
      <c r="Y64" s="30">
        <f>COUNTIFS(
DATA!$F:$F,$B64,
DATA!$B:$B,"&gt;="&amp;DATE(2026,MONTH(Y$61),DAY(Y$61)),
DATA!$B:$B,"&lt;"&amp;DATE(2026,MONTH(Y$61),DAY(Y$61))+1
)</f>
        <v>0</v>
      </c>
      <c r="Z64" s="30">
        <f>COUNTIFS(
DATA!$F:$F,$B64,
DATA!$B:$B,"&gt;="&amp;DATE(2026,MONTH(Z$61),DAY(Z$61)),
DATA!$B:$B,"&lt;"&amp;DATE(2026,MONTH(Z$61),DAY(Z$61))+1
)</f>
        <v>0</v>
      </c>
      <c r="AA64" s="30">
        <f>COUNTIFS(
DATA!$F:$F,$B64,
DATA!$B:$B,"&gt;="&amp;DATE(2026,MONTH(AA$61),DAY(AA$61)),
DATA!$B:$B,"&lt;"&amp;DATE(2026,MONTH(AA$61),DAY(AA$61))+1
)</f>
        <v>0</v>
      </c>
      <c r="AB64" s="30">
        <f>COUNTIFS(
DATA!$F:$F,$B64,
DATA!$B:$B,"&gt;="&amp;DATE(2026,MONTH(AB$61),DAY(AB$61)),
DATA!$B:$B,"&lt;"&amp;DATE(2026,MONTH(AB$61),DAY(AB$61))+1
)</f>
        <v>0</v>
      </c>
      <c r="AC64" s="30">
        <f>COUNTIFS(
DATA!$F:$F,$B64,
DATA!$B:$B,"&gt;="&amp;DATE(2026,MONTH(AC$61),DAY(AC$61)),
DATA!$B:$B,"&lt;"&amp;DATE(2026,MONTH(AC$61),DAY(AC$61))+1
)</f>
        <v>0</v>
      </c>
      <c r="AD64" s="30">
        <f>COUNTIFS(
DATA!$F:$F,$B64,
DATA!$B:$B,"&gt;="&amp;DATE(2026,MONTH(AD$61),DAY(AD$61)),
DATA!$B:$B,"&lt;"&amp;DATE(2026,MONTH(AD$61),DAY(AD$61))+1
)</f>
        <v>0</v>
      </c>
      <c r="AE64" s="30">
        <f>COUNTIFS(
DATA!$F:$F,$B64,
DATA!$B:$B,"&gt;="&amp;DATE(2026,MONTH(AE$61),DAY(AE$61)),
DATA!$B:$B,"&lt;"&amp;DATE(2026,MONTH(AE$61),DAY(AE$61))+1
)</f>
        <v>0</v>
      </c>
      <c r="AF64" s="30">
        <f>COUNTIFS(
DATA!$F:$F,$B64,
DATA!$B:$B,"&gt;="&amp;DATE(2026,MONTH(AF$61),DAY(AF$61)),
DATA!$B:$B,"&lt;"&amp;DATE(2026,MONTH(AF$61),DAY(AF$61))+1
)</f>
        <v>0</v>
      </c>
      <c r="AG64" s="30">
        <f>COUNTIFS(
DATA!$F:$F,$B64,
DATA!$B:$B,"&gt;="&amp;DATE(2026,MONTH(AG$61),DAY(AG$61)),
DATA!$B:$B,"&lt;"&amp;DATE(2026,MONTH(AG$61),DAY(AG$61))+1
)</f>
        <v>0</v>
      </c>
      <c r="AH64" s="31">
        <f t="shared" si="143"/>
        <v>0</v>
      </c>
      <c r="AI64" s="7"/>
      <c r="AJ64" s="30">
        <v>3.0</v>
      </c>
      <c r="AK64" s="32" t="s">
        <v>62</v>
      </c>
      <c r="AL64" s="41">
        <f t="shared" si="144"/>
        <v>0</v>
      </c>
      <c r="AM64" s="30">
        <f t="shared" si="148"/>
        <v>0</v>
      </c>
      <c r="AN64" s="30">
        <f t="shared" ref="AN64:BP64" si="149">SUM($C64:E64)</f>
        <v>0</v>
      </c>
      <c r="AO64" s="30">
        <f t="shared" si="149"/>
        <v>0</v>
      </c>
      <c r="AP64" s="30">
        <f t="shared" si="149"/>
        <v>0</v>
      </c>
      <c r="AQ64" s="30">
        <f t="shared" si="149"/>
        <v>0</v>
      </c>
      <c r="AR64" s="30">
        <f t="shared" si="149"/>
        <v>0</v>
      </c>
      <c r="AS64" s="30">
        <f t="shared" si="149"/>
        <v>0</v>
      </c>
      <c r="AT64" s="30">
        <f t="shared" si="149"/>
        <v>0</v>
      </c>
      <c r="AU64" s="30">
        <f t="shared" si="149"/>
        <v>0</v>
      </c>
      <c r="AV64" s="30">
        <f t="shared" si="149"/>
        <v>0</v>
      </c>
      <c r="AW64" s="30">
        <f t="shared" si="149"/>
        <v>0</v>
      </c>
      <c r="AX64" s="30">
        <f t="shared" si="149"/>
        <v>0</v>
      </c>
      <c r="AY64" s="30">
        <f t="shared" si="149"/>
        <v>0</v>
      </c>
      <c r="AZ64" s="30">
        <f t="shared" si="149"/>
        <v>0</v>
      </c>
      <c r="BA64" s="30">
        <f t="shared" si="149"/>
        <v>0</v>
      </c>
      <c r="BB64" s="30">
        <f t="shared" si="149"/>
        <v>0</v>
      </c>
      <c r="BC64" s="30">
        <f t="shared" si="149"/>
        <v>0</v>
      </c>
      <c r="BD64" s="30">
        <f t="shared" si="149"/>
        <v>0</v>
      </c>
      <c r="BE64" s="30">
        <f t="shared" si="149"/>
        <v>0</v>
      </c>
      <c r="BF64" s="30">
        <f t="shared" si="149"/>
        <v>0</v>
      </c>
      <c r="BG64" s="30">
        <f t="shared" si="149"/>
        <v>0</v>
      </c>
      <c r="BH64" s="30">
        <f t="shared" si="149"/>
        <v>0</v>
      </c>
      <c r="BI64" s="30">
        <f t="shared" si="149"/>
        <v>0</v>
      </c>
      <c r="BJ64" s="30">
        <f t="shared" si="149"/>
        <v>0</v>
      </c>
      <c r="BK64" s="30">
        <f t="shared" si="149"/>
        <v>0</v>
      </c>
      <c r="BL64" s="30">
        <f t="shared" si="149"/>
        <v>0</v>
      </c>
      <c r="BM64" s="30">
        <f t="shared" si="149"/>
        <v>0</v>
      </c>
      <c r="BN64" s="30">
        <f t="shared" si="149"/>
        <v>0</v>
      </c>
      <c r="BO64" s="30">
        <f t="shared" si="149"/>
        <v>0</v>
      </c>
      <c r="BP64" s="30">
        <f t="shared" si="149"/>
        <v>0</v>
      </c>
      <c r="BQ64" s="31">
        <f t="shared" si="146"/>
        <v>0</v>
      </c>
      <c r="BR64" s="7"/>
      <c r="BS64" s="28">
        <v>3.0</v>
      </c>
      <c r="BT64" s="29" t="s">
        <v>62</v>
      </c>
      <c r="BU64" s="88">
        <f t="shared" ref="BU64:CF64" si="150">BU36/BU8</f>
        <v>1.653543307</v>
      </c>
      <c r="BV64" s="88">
        <f t="shared" si="150"/>
        <v>0.7559055118</v>
      </c>
      <c r="BW64" s="88">
        <f t="shared" si="150"/>
        <v>0</v>
      </c>
      <c r="BX64" s="88">
        <f t="shared" si="150"/>
        <v>1.984251969</v>
      </c>
      <c r="BY64" s="88">
        <f t="shared" si="150"/>
        <v>0</v>
      </c>
      <c r="BZ64" s="88">
        <f t="shared" si="150"/>
        <v>0</v>
      </c>
      <c r="CA64" s="88">
        <f t="shared" si="150"/>
        <v>0</v>
      </c>
      <c r="CB64" s="88">
        <f t="shared" si="150"/>
        <v>0</v>
      </c>
      <c r="CC64" s="88">
        <f t="shared" si="150"/>
        <v>0</v>
      </c>
      <c r="CD64" s="88">
        <f t="shared" si="150"/>
        <v>0</v>
      </c>
      <c r="CE64" s="88">
        <f t="shared" si="150"/>
        <v>0</v>
      </c>
      <c r="CF64" s="88">
        <f t="shared" si="150"/>
        <v>0</v>
      </c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</row>
    <row r="65">
      <c r="A65" s="28">
        <v>4.0</v>
      </c>
      <c r="B65" s="29" t="s">
        <v>63</v>
      </c>
      <c r="C65" s="30">
        <f>COUNTIFS(
DATA!$F:$F,$B65,
DATA!$B:$B,"&gt;="&amp;DATE(2026,MONTH(C$61),DAY(C$61)),
DATA!$B:$B,"&lt;"&amp;DATE(2026,MONTH(C$61),DAY(C$61))+1
)</f>
        <v>0</v>
      </c>
      <c r="D65" s="30">
        <f>COUNTIFS(
DATA!$F:$F,$B65,
DATA!$B:$B,"&gt;="&amp;DATE(2026,MONTH(D$61),DAY(D$61)),
DATA!$B:$B,"&lt;"&amp;DATE(2026,MONTH(D$61),DAY(D$61))+1
)</f>
        <v>0</v>
      </c>
      <c r="E65" s="30">
        <f>COUNTIFS(
DATA!$F:$F,$B65,
DATA!$B:$B,"&gt;="&amp;DATE(2026,MONTH(E$61),DAY(E$61)),
DATA!$B:$B,"&lt;"&amp;DATE(2026,MONTH(E$61),DAY(E$61))+1
)</f>
        <v>0</v>
      </c>
      <c r="F65" s="30">
        <f>COUNTIFS(
DATA!$F:$F,$B65,
DATA!$B:$B,"&gt;="&amp;DATE(2026,MONTH(F$61),DAY(F$61)),
DATA!$B:$B,"&lt;"&amp;DATE(2026,MONTH(F$61),DAY(F$61))+1
)</f>
        <v>0</v>
      </c>
      <c r="G65" s="30">
        <f>COUNTIFS(
DATA!$F:$F,$B65,
DATA!$B:$B,"&gt;="&amp;DATE(2026,MONTH(G$61),DAY(G$61)),
DATA!$B:$B,"&lt;"&amp;DATE(2026,MONTH(G$61),DAY(G$61))+1
)</f>
        <v>0</v>
      </c>
      <c r="H65" s="30">
        <f>COUNTIFS(
DATA!$F:$F,$B65,
DATA!$B:$B,"&gt;="&amp;DATE(2026,MONTH(H$61),DAY(H$61)),
DATA!$B:$B,"&lt;"&amp;DATE(2026,MONTH(H$61),DAY(H$61))+1
)</f>
        <v>0</v>
      </c>
      <c r="I65" s="30">
        <f>COUNTIFS(
DATA!$F:$F,$B65,
DATA!$B:$B,"&gt;="&amp;DATE(2026,MONTH(I$61),DAY(I$61)),
DATA!$B:$B,"&lt;"&amp;DATE(2026,MONTH(I$61),DAY(I$61))+1
)</f>
        <v>0</v>
      </c>
      <c r="J65" s="30">
        <f>COUNTIFS(
DATA!$F:$F,$B65,
DATA!$B:$B,"&gt;="&amp;DATE(2026,MONTH(J$61),DAY(J$61)),
DATA!$B:$B,"&lt;"&amp;DATE(2026,MONTH(J$61),DAY(J$61))+1
)</f>
        <v>0</v>
      </c>
      <c r="K65" s="30">
        <f>COUNTIFS(
DATA!$F:$F,$B65,
DATA!$B:$B,"&gt;="&amp;DATE(2026,MONTH(K$61),DAY(K$61)),
DATA!$B:$B,"&lt;"&amp;DATE(2026,MONTH(K$61),DAY(K$61))+1
)</f>
        <v>0</v>
      </c>
      <c r="L65" s="30">
        <f>COUNTIFS(
DATA!$F:$F,$B65,
DATA!$B:$B,"&gt;="&amp;DATE(2026,MONTH(L$61),DAY(L$61)),
DATA!$B:$B,"&lt;"&amp;DATE(2026,MONTH(L$61),DAY(L$61))+1
)</f>
        <v>0</v>
      </c>
      <c r="M65" s="30">
        <f>COUNTIFS(
DATA!$F:$F,$B65,
DATA!$B:$B,"&gt;="&amp;DATE(2026,MONTH(M$61),DAY(M$61)),
DATA!$B:$B,"&lt;"&amp;DATE(2026,MONTH(M$61),DAY(M$61))+1
)</f>
        <v>0</v>
      </c>
      <c r="N65" s="30">
        <f>COUNTIFS(
DATA!$F:$F,$B65,
DATA!$B:$B,"&gt;="&amp;DATE(2026,MONTH(N$61),DAY(N$61)),
DATA!$B:$B,"&lt;"&amp;DATE(2026,MONTH(N$61),DAY(N$61))+1
)</f>
        <v>0</v>
      </c>
      <c r="O65" s="30">
        <f>COUNTIFS(
DATA!$F:$F,$B65,
DATA!$B:$B,"&gt;="&amp;DATE(2026,MONTH(O$61),DAY(O$61)),
DATA!$B:$B,"&lt;"&amp;DATE(2026,MONTH(O$61),DAY(O$61))+1
)</f>
        <v>0</v>
      </c>
      <c r="P65" s="30">
        <f>COUNTIFS(
DATA!$F:$F,$B65,
DATA!$B:$B,"&gt;="&amp;DATE(2026,MONTH(P$61),DAY(P$61)),
DATA!$B:$B,"&lt;"&amp;DATE(2026,MONTH(P$61),DAY(P$61))+1
)</f>
        <v>0</v>
      </c>
      <c r="Q65" s="30">
        <f>COUNTIFS(
DATA!$F:$F,$B65,
DATA!$B:$B,"&gt;="&amp;DATE(2026,MONTH(Q$61),DAY(Q$61)),
DATA!$B:$B,"&lt;"&amp;DATE(2026,MONTH(Q$61),DAY(Q$61))+1
)</f>
        <v>0</v>
      </c>
      <c r="R65" s="30">
        <f>COUNTIFS(
DATA!$F:$F,$B65,
DATA!$B:$B,"&gt;="&amp;DATE(2026,MONTH(R$61),DAY(R$61)),
DATA!$B:$B,"&lt;"&amp;DATE(2026,MONTH(R$61),DAY(R$61))+1
)</f>
        <v>0</v>
      </c>
      <c r="S65" s="30">
        <f>COUNTIFS(
DATA!$F:$F,$B65,
DATA!$B:$B,"&gt;="&amp;DATE(2026,MONTH(S$61),DAY(S$61)),
DATA!$B:$B,"&lt;"&amp;DATE(2026,MONTH(S$61),DAY(S$61))+1
)</f>
        <v>0</v>
      </c>
      <c r="T65" s="30">
        <f>COUNTIFS(
DATA!$F:$F,$B65,
DATA!$B:$B,"&gt;="&amp;DATE(2026,MONTH(T$61),DAY(T$61)),
DATA!$B:$B,"&lt;"&amp;DATE(2026,MONTH(T$61),DAY(T$61))+1
)</f>
        <v>0</v>
      </c>
      <c r="U65" s="30">
        <f>COUNTIFS(
DATA!$F:$F,$B65,
DATA!$B:$B,"&gt;="&amp;DATE(2026,MONTH(U$61),DAY(U$61)),
DATA!$B:$B,"&lt;"&amp;DATE(2026,MONTH(U$61),DAY(U$61))+1
)</f>
        <v>0</v>
      </c>
      <c r="V65" s="30">
        <f>COUNTIFS(
DATA!$F:$F,$B65,
DATA!$B:$B,"&gt;="&amp;DATE(2026,MONTH(V$61),DAY(V$61)),
DATA!$B:$B,"&lt;"&amp;DATE(2026,MONTH(V$61),DAY(V$61))+1
)</f>
        <v>0</v>
      </c>
      <c r="W65" s="30">
        <f>COUNTIFS(
DATA!$F:$F,$B65,
DATA!$B:$B,"&gt;="&amp;DATE(2026,MONTH(W$61),DAY(W$61)),
DATA!$B:$B,"&lt;"&amp;DATE(2026,MONTH(W$61),DAY(W$61))+1
)</f>
        <v>0</v>
      </c>
      <c r="X65" s="30">
        <f>COUNTIFS(
DATA!$F:$F,$B65,
DATA!$B:$B,"&gt;="&amp;DATE(2026,MONTH(X$61),DAY(X$61)),
DATA!$B:$B,"&lt;"&amp;DATE(2026,MONTH(X$61),DAY(X$61))+1
)</f>
        <v>0</v>
      </c>
      <c r="Y65" s="30">
        <f>COUNTIFS(
DATA!$F:$F,$B65,
DATA!$B:$B,"&gt;="&amp;DATE(2026,MONTH(Y$61),DAY(Y$61)),
DATA!$B:$B,"&lt;"&amp;DATE(2026,MONTH(Y$61),DAY(Y$61))+1
)</f>
        <v>0</v>
      </c>
      <c r="Z65" s="30">
        <f>COUNTIFS(
DATA!$F:$F,$B65,
DATA!$B:$B,"&gt;="&amp;DATE(2026,MONTH(Z$61),DAY(Z$61)),
DATA!$B:$B,"&lt;"&amp;DATE(2026,MONTH(Z$61),DAY(Z$61))+1
)</f>
        <v>0</v>
      </c>
      <c r="AA65" s="30">
        <f>COUNTIFS(
DATA!$F:$F,$B65,
DATA!$B:$B,"&gt;="&amp;DATE(2026,MONTH(AA$61),DAY(AA$61)),
DATA!$B:$B,"&lt;"&amp;DATE(2026,MONTH(AA$61),DAY(AA$61))+1
)</f>
        <v>0</v>
      </c>
      <c r="AB65" s="30">
        <f>COUNTIFS(
DATA!$F:$F,$B65,
DATA!$B:$B,"&gt;="&amp;DATE(2026,MONTH(AB$61),DAY(AB$61)),
DATA!$B:$B,"&lt;"&amp;DATE(2026,MONTH(AB$61),DAY(AB$61))+1
)</f>
        <v>0</v>
      </c>
      <c r="AC65" s="30">
        <f>COUNTIFS(
DATA!$F:$F,$B65,
DATA!$B:$B,"&gt;="&amp;DATE(2026,MONTH(AC$61),DAY(AC$61)),
DATA!$B:$B,"&lt;"&amp;DATE(2026,MONTH(AC$61),DAY(AC$61))+1
)</f>
        <v>0</v>
      </c>
      <c r="AD65" s="30">
        <f>COUNTIFS(
DATA!$F:$F,$B65,
DATA!$B:$B,"&gt;="&amp;DATE(2026,MONTH(AD$61),DAY(AD$61)),
DATA!$B:$B,"&lt;"&amp;DATE(2026,MONTH(AD$61),DAY(AD$61))+1
)</f>
        <v>0</v>
      </c>
      <c r="AE65" s="30">
        <f>COUNTIFS(
DATA!$F:$F,$B65,
DATA!$B:$B,"&gt;="&amp;DATE(2026,MONTH(AE$61),DAY(AE$61)),
DATA!$B:$B,"&lt;"&amp;DATE(2026,MONTH(AE$61),DAY(AE$61))+1
)</f>
        <v>0</v>
      </c>
      <c r="AF65" s="30">
        <f>COUNTIFS(
DATA!$F:$F,$B65,
DATA!$B:$B,"&gt;="&amp;DATE(2026,MONTH(AF$61),DAY(AF$61)),
DATA!$B:$B,"&lt;"&amp;DATE(2026,MONTH(AF$61),DAY(AF$61))+1
)</f>
        <v>0</v>
      </c>
      <c r="AG65" s="30">
        <f>COUNTIFS(
DATA!$F:$F,$B65,
DATA!$B:$B,"&gt;="&amp;DATE(2026,MONTH(AG$61),DAY(AG$61)),
DATA!$B:$B,"&lt;"&amp;DATE(2026,MONTH(AG$61),DAY(AG$61))+1
)</f>
        <v>0</v>
      </c>
      <c r="AH65" s="31">
        <f t="shared" si="143"/>
        <v>0</v>
      </c>
      <c r="AI65" s="7"/>
      <c r="AJ65" s="30">
        <v>4.0</v>
      </c>
      <c r="AK65" s="32" t="s">
        <v>63</v>
      </c>
      <c r="AL65" s="41">
        <f t="shared" si="144"/>
        <v>0</v>
      </c>
      <c r="AM65" s="30">
        <f t="shared" si="148"/>
        <v>0</v>
      </c>
      <c r="AN65" s="30">
        <f t="shared" ref="AN65:BP65" si="151">SUM($C65:E65)</f>
        <v>0</v>
      </c>
      <c r="AO65" s="30">
        <f t="shared" si="151"/>
        <v>0</v>
      </c>
      <c r="AP65" s="30">
        <f t="shared" si="151"/>
        <v>0</v>
      </c>
      <c r="AQ65" s="30">
        <f t="shared" si="151"/>
        <v>0</v>
      </c>
      <c r="AR65" s="30">
        <f t="shared" si="151"/>
        <v>0</v>
      </c>
      <c r="AS65" s="30">
        <f t="shared" si="151"/>
        <v>0</v>
      </c>
      <c r="AT65" s="30">
        <f t="shared" si="151"/>
        <v>0</v>
      </c>
      <c r="AU65" s="30">
        <f t="shared" si="151"/>
        <v>0</v>
      </c>
      <c r="AV65" s="30">
        <f t="shared" si="151"/>
        <v>0</v>
      </c>
      <c r="AW65" s="30">
        <f t="shared" si="151"/>
        <v>0</v>
      </c>
      <c r="AX65" s="30">
        <f t="shared" si="151"/>
        <v>0</v>
      </c>
      <c r="AY65" s="30">
        <f t="shared" si="151"/>
        <v>0</v>
      </c>
      <c r="AZ65" s="30">
        <f t="shared" si="151"/>
        <v>0</v>
      </c>
      <c r="BA65" s="30">
        <f t="shared" si="151"/>
        <v>0</v>
      </c>
      <c r="BB65" s="30">
        <f t="shared" si="151"/>
        <v>0</v>
      </c>
      <c r="BC65" s="30">
        <f t="shared" si="151"/>
        <v>0</v>
      </c>
      <c r="BD65" s="30">
        <f t="shared" si="151"/>
        <v>0</v>
      </c>
      <c r="BE65" s="30">
        <f t="shared" si="151"/>
        <v>0</v>
      </c>
      <c r="BF65" s="30">
        <f t="shared" si="151"/>
        <v>0</v>
      </c>
      <c r="BG65" s="30">
        <f t="shared" si="151"/>
        <v>0</v>
      </c>
      <c r="BH65" s="30">
        <f t="shared" si="151"/>
        <v>0</v>
      </c>
      <c r="BI65" s="30">
        <f t="shared" si="151"/>
        <v>0</v>
      </c>
      <c r="BJ65" s="30">
        <f t="shared" si="151"/>
        <v>0</v>
      </c>
      <c r="BK65" s="30">
        <f t="shared" si="151"/>
        <v>0</v>
      </c>
      <c r="BL65" s="30">
        <f t="shared" si="151"/>
        <v>0</v>
      </c>
      <c r="BM65" s="30">
        <f t="shared" si="151"/>
        <v>0</v>
      </c>
      <c r="BN65" s="30">
        <f t="shared" si="151"/>
        <v>0</v>
      </c>
      <c r="BO65" s="30">
        <f t="shared" si="151"/>
        <v>0</v>
      </c>
      <c r="BP65" s="30">
        <f t="shared" si="151"/>
        <v>0</v>
      </c>
      <c r="BQ65" s="31">
        <f t="shared" si="146"/>
        <v>0</v>
      </c>
      <c r="BR65" s="7"/>
      <c r="BS65" s="28">
        <v>4.0</v>
      </c>
      <c r="BT65" s="29" t="s">
        <v>63</v>
      </c>
      <c r="BU65" s="88">
        <f t="shared" ref="BU65:CF65" si="152">BU37/BU9</f>
        <v>1.580645161</v>
      </c>
      <c r="BV65" s="88">
        <f t="shared" si="152"/>
        <v>1.419354839</v>
      </c>
      <c r="BW65" s="88">
        <f t="shared" si="152"/>
        <v>1.290322581</v>
      </c>
      <c r="BX65" s="88">
        <f t="shared" si="152"/>
        <v>1.064516129</v>
      </c>
      <c r="BY65" s="88">
        <f t="shared" si="152"/>
        <v>0</v>
      </c>
      <c r="BZ65" s="88">
        <f t="shared" si="152"/>
        <v>0</v>
      </c>
      <c r="CA65" s="88">
        <f t="shared" si="152"/>
        <v>0</v>
      </c>
      <c r="CB65" s="88">
        <f t="shared" si="152"/>
        <v>0</v>
      </c>
      <c r="CC65" s="88">
        <f t="shared" si="152"/>
        <v>0</v>
      </c>
      <c r="CD65" s="88">
        <f t="shared" si="152"/>
        <v>0</v>
      </c>
      <c r="CE65" s="88">
        <f t="shared" si="152"/>
        <v>0</v>
      </c>
      <c r="CF65" s="88">
        <f t="shared" si="152"/>
        <v>0</v>
      </c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</row>
    <row r="66">
      <c r="A66" s="28">
        <v>5.0</v>
      </c>
      <c r="B66" s="29" t="s">
        <v>64</v>
      </c>
      <c r="C66" s="30">
        <f>COUNTIFS(
DATA!$F:$F,$B66,
DATA!$B:$B,"&gt;="&amp;DATE(2026,MONTH(C$61),DAY(C$61)),
DATA!$B:$B,"&lt;"&amp;DATE(2026,MONTH(C$61),DAY(C$61))+1
)</f>
        <v>0</v>
      </c>
      <c r="D66" s="30">
        <f>COUNTIFS(
DATA!$F:$F,$B66,
DATA!$B:$B,"&gt;="&amp;DATE(2026,MONTH(D$61),DAY(D$61)),
DATA!$B:$B,"&lt;"&amp;DATE(2026,MONTH(D$61),DAY(D$61))+1
)</f>
        <v>0</v>
      </c>
      <c r="E66" s="30">
        <f>COUNTIFS(
DATA!$F:$F,$B66,
DATA!$B:$B,"&gt;="&amp;DATE(2026,MONTH(E$61),DAY(E$61)),
DATA!$B:$B,"&lt;"&amp;DATE(2026,MONTH(E$61),DAY(E$61))+1
)</f>
        <v>0</v>
      </c>
      <c r="F66" s="30">
        <f>COUNTIFS(
DATA!$F:$F,$B66,
DATA!$B:$B,"&gt;="&amp;DATE(2026,MONTH(F$61),DAY(F$61)),
DATA!$B:$B,"&lt;"&amp;DATE(2026,MONTH(F$61),DAY(F$61))+1
)</f>
        <v>0</v>
      </c>
      <c r="G66" s="30">
        <f>COUNTIFS(
DATA!$F:$F,$B66,
DATA!$B:$B,"&gt;="&amp;DATE(2026,MONTH(G$61),DAY(G$61)),
DATA!$B:$B,"&lt;"&amp;DATE(2026,MONTH(G$61),DAY(G$61))+1
)</f>
        <v>0</v>
      </c>
      <c r="H66" s="30">
        <f>COUNTIFS(
DATA!$F:$F,$B66,
DATA!$B:$B,"&gt;="&amp;DATE(2026,MONTH(H$61),DAY(H$61)),
DATA!$B:$B,"&lt;"&amp;DATE(2026,MONTH(H$61),DAY(H$61))+1
)</f>
        <v>0</v>
      </c>
      <c r="I66" s="30">
        <f>COUNTIFS(
DATA!$F:$F,$B66,
DATA!$B:$B,"&gt;="&amp;DATE(2026,MONTH(I$61),DAY(I$61)),
DATA!$B:$B,"&lt;"&amp;DATE(2026,MONTH(I$61),DAY(I$61))+1
)</f>
        <v>0</v>
      </c>
      <c r="J66" s="30">
        <f>COUNTIFS(
DATA!$F:$F,$B66,
DATA!$B:$B,"&gt;="&amp;DATE(2026,MONTH(J$61),DAY(J$61)),
DATA!$B:$B,"&lt;"&amp;DATE(2026,MONTH(J$61),DAY(J$61))+1
)</f>
        <v>0</v>
      </c>
      <c r="K66" s="30">
        <f>COUNTIFS(
DATA!$F:$F,$B66,
DATA!$B:$B,"&gt;="&amp;DATE(2026,MONTH(K$61),DAY(K$61)),
DATA!$B:$B,"&lt;"&amp;DATE(2026,MONTH(K$61),DAY(K$61))+1
)</f>
        <v>0</v>
      </c>
      <c r="L66" s="30">
        <f>COUNTIFS(
DATA!$F:$F,$B66,
DATA!$B:$B,"&gt;="&amp;DATE(2026,MONTH(L$61),DAY(L$61)),
DATA!$B:$B,"&lt;"&amp;DATE(2026,MONTH(L$61),DAY(L$61))+1
)</f>
        <v>0</v>
      </c>
      <c r="M66" s="30">
        <f>COUNTIFS(
DATA!$F:$F,$B66,
DATA!$B:$B,"&gt;="&amp;DATE(2026,MONTH(M$61),DAY(M$61)),
DATA!$B:$B,"&lt;"&amp;DATE(2026,MONTH(M$61),DAY(M$61))+1
)</f>
        <v>0</v>
      </c>
      <c r="N66" s="30">
        <f>COUNTIFS(
DATA!$F:$F,$B66,
DATA!$B:$B,"&gt;="&amp;DATE(2026,MONTH(N$61),DAY(N$61)),
DATA!$B:$B,"&lt;"&amp;DATE(2026,MONTH(N$61),DAY(N$61))+1
)</f>
        <v>0</v>
      </c>
      <c r="O66" s="30">
        <f>COUNTIFS(
DATA!$F:$F,$B66,
DATA!$B:$B,"&gt;="&amp;DATE(2026,MONTH(O$61),DAY(O$61)),
DATA!$B:$B,"&lt;"&amp;DATE(2026,MONTH(O$61),DAY(O$61))+1
)</f>
        <v>0</v>
      </c>
      <c r="P66" s="30">
        <f>COUNTIFS(
DATA!$F:$F,$B66,
DATA!$B:$B,"&gt;="&amp;DATE(2026,MONTH(P$61),DAY(P$61)),
DATA!$B:$B,"&lt;"&amp;DATE(2026,MONTH(P$61),DAY(P$61))+1
)</f>
        <v>0</v>
      </c>
      <c r="Q66" s="30">
        <f>COUNTIFS(
DATA!$F:$F,$B66,
DATA!$B:$B,"&gt;="&amp;DATE(2026,MONTH(Q$61),DAY(Q$61)),
DATA!$B:$B,"&lt;"&amp;DATE(2026,MONTH(Q$61),DAY(Q$61))+1
)</f>
        <v>0</v>
      </c>
      <c r="R66" s="30">
        <f>COUNTIFS(
DATA!$F:$F,$B66,
DATA!$B:$B,"&gt;="&amp;DATE(2026,MONTH(R$61),DAY(R$61)),
DATA!$B:$B,"&lt;"&amp;DATE(2026,MONTH(R$61),DAY(R$61))+1
)</f>
        <v>0</v>
      </c>
      <c r="S66" s="30">
        <f>COUNTIFS(
DATA!$F:$F,$B66,
DATA!$B:$B,"&gt;="&amp;DATE(2026,MONTH(S$61),DAY(S$61)),
DATA!$B:$B,"&lt;"&amp;DATE(2026,MONTH(S$61),DAY(S$61))+1
)</f>
        <v>0</v>
      </c>
      <c r="T66" s="30">
        <f>COUNTIFS(
DATA!$F:$F,$B66,
DATA!$B:$B,"&gt;="&amp;DATE(2026,MONTH(T$61),DAY(T$61)),
DATA!$B:$B,"&lt;"&amp;DATE(2026,MONTH(T$61),DAY(T$61))+1
)</f>
        <v>0</v>
      </c>
      <c r="U66" s="30">
        <f>COUNTIFS(
DATA!$F:$F,$B66,
DATA!$B:$B,"&gt;="&amp;DATE(2026,MONTH(U$61),DAY(U$61)),
DATA!$B:$B,"&lt;"&amp;DATE(2026,MONTH(U$61),DAY(U$61))+1
)</f>
        <v>0</v>
      </c>
      <c r="V66" s="30">
        <f>COUNTIFS(
DATA!$F:$F,$B66,
DATA!$B:$B,"&gt;="&amp;DATE(2026,MONTH(V$61),DAY(V$61)),
DATA!$B:$B,"&lt;"&amp;DATE(2026,MONTH(V$61),DAY(V$61))+1
)</f>
        <v>0</v>
      </c>
      <c r="W66" s="30">
        <f>COUNTIFS(
DATA!$F:$F,$B66,
DATA!$B:$B,"&gt;="&amp;DATE(2026,MONTH(W$61),DAY(W$61)),
DATA!$B:$B,"&lt;"&amp;DATE(2026,MONTH(W$61),DAY(W$61))+1
)</f>
        <v>0</v>
      </c>
      <c r="X66" s="30">
        <f>COUNTIFS(
DATA!$F:$F,$B66,
DATA!$B:$B,"&gt;="&amp;DATE(2026,MONTH(X$61),DAY(X$61)),
DATA!$B:$B,"&lt;"&amp;DATE(2026,MONTH(X$61),DAY(X$61))+1
)</f>
        <v>0</v>
      </c>
      <c r="Y66" s="30">
        <f>COUNTIFS(
DATA!$F:$F,$B66,
DATA!$B:$B,"&gt;="&amp;DATE(2026,MONTH(Y$61),DAY(Y$61)),
DATA!$B:$B,"&lt;"&amp;DATE(2026,MONTH(Y$61),DAY(Y$61))+1
)</f>
        <v>0</v>
      </c>
      <c r="Z66" s="30">
        <f>COUNTIFS(
DATA!$F:$F,$B66,
DATA!$B:$B,"&gt;="&amp;DATE(2026,MONTH(Z$61),DAY(Z$61)),
DATA!$B:$B,"&lt;"&amp;DATE(2026,MONTH(Z$61),DAY(Z$61))+1
)</f>
        <v>0</v>
      </c>
      <c r="AA66" s="30">
        <f>COUNTIFS(
DATA!$F:$F,$B66,
DATA!$B:$B,"&gt;="&amp;DATE(2026,MONTH(AA$61),DAY(AA$61)),
DATA!$B:$B,"&lt;"&amp;DATE(2026,MONTH(AA$61),DAY(AA$61))+1
)</f>
        <v>0</v>
      </c>
      <c r="AB66" s="30">
        <f>COUNTIFS(
DATA!$F:$F,$B66,
DATA!$B:$B,"&gt;="&amp;DATE(2026,MONTH(AB$61),DAY(AB$61)),
DATA!$B:$B,"&lt;"&amp;DATE(2026,MONTH(AB$61),DAY(AB$61))+1
)</f>
        <v>0</v>
      </c>
      <c r="AC66" s="30">
        <f>COUNTIFS(
DATA!$F:$F,$B66,
DATA!$B:$B,"&gt;="&amp;DATE(2026,MONTH(AC$61),DAY(AC$61)),
DATA!$B:$B,"&lt;"&amp;DATE(2026,MONTH(AC$61),DAY(AC$61))+1
)</f>
        <v>0</v>
      </c>
      <c r="AD66" s="30">
        <f>COUNTIFS(
DATA!$F:$F,$B66,
DATA!$B:$B,"&gt;="&amp;DATE(2026,MONTH(AD$61),DAY(AD$61)),
DATA!$B:$B,"&lt;"&amp;DATE(2026,MONTH(AD$61),DAY(AD$61))+1
)</f>
        <v>0</v>
      </c>
      <c r="AE66" s="30">
        <f>COUNTIFS(
DATA!$F:$F,$B66,
DATA!$B:$B,"&gt;="&amp;DATE(2026,MONTH(AE$61),DAY(AE$61)),
DATA!$B:$B,"&lt;"&amp;DATE(2026,MONTH(AE$61),DAY(AE$61))+1
)</f>
        <v>0</v>
      </c>
      <c r="AF66" s="30">
        <f>COUNTIFS(
DATA!$F:$F,$B66,
DATA!$B:$B,"&gt;="&amp;DATE(2026,MONTH(AF$61),DAY(AF$61)),
DATA!$B:$B,"&lt;"&amp;DATE(2026,MONTH(AF$61),DAY(AF$61))+1
)</f>
        <v>0</v>
      </c>
      <c r="AG66" s="30">
        <f>COUNTIFS(
DATA!$F:$F,$B66,
DATA!$B:$B,"&gt;="&amp;DATE(2026,MONTH(AG$61),DAY(AG$61)),
DATA!$B:$B,"&lt;"&amp;DATE(2026,MONTH(AG$61),DAY(AG$61))+1
)</f>
        <v>0</v>
      </c>
      <c r="AH66" s="31">
        <f t="shared" si="143"/>
        <v>0</v>
      </c>
      <c r="AI66" s="7"/>
      <c r="AJ66" s="30">
        <v>5.0</v>
      </c>
      <c r="AK66" s="32" t="s">
        <v>64</v>
      </c>
      <c r="AL66" s="41">
        <f t="shared" si="144"/>
        <v>0</v>
      </c>
      <c r="AM66" s="30">
        <f t="shared" si="148"/>
        <v>0</v>
      </c>
      <c r="AN66" s="30">
        <f t="shared" ref="AN66:BP66" si="153">SUM($C66:E66)</f>
        <v>0</v>
      </c>
      <c r="AO66" s="30">
        <f t="shared" si="153"/>
        <v>0</v>
      </c>
      <c r="AP66" s="30">
        <f t="shared" si="153"/>
        <v>0</v>
      </c>
      <c r="AQ66" s="30">
        <f t="shared" si="153"/>
        <v>0</v>
      </c>
      <c r="AR66" s="30">
        <f t="shared" si="153"/>
        <v>0</v>
      </c>
      <c r="AS66" s="30">
        <f t="shared" si="153"/>
        <v>0</v>
      </c>
      <c r="AT66" s="30">
        <f t="shared" si="153"/>
        <v>0</v>
      </c>
      <c r="AU66" s="30">
        <f t="shared" si="153"/>
        <v>0</v>
      </c>
      <c r="AV66" s="30">
        <f t="shared" si="153"/>
        <v>0</v>
      </c>
      <c r="AW66" s="30">
        <f t="shared" si="153"/>
        <v>0</v>
      </c>
      <c r="AX66" s="30">
        <f t="shared" si="153"/>
        <v>0</v>
      </c>
      <c r="AY66" s="30">
        <f t="shared" si="153"/>
        <v>0</v>
      </c>
      <c r="AZ66" s="30">
        <f t="shared" si="153"/>
        <v>0</v>
      </c>
      <c r="BA66" s="30">
        <f t="shared" si="153"/>
        <v>0</v>
      </c>
      <c r="BB66" s="30">
        <f t="shared" si="153"/>
        <v>0</v>
      </c>
      <c r="BC66" s="30">
        <f t="shared" si="153"/>
        <v>0</v>
      </c>
      <c r="BD66" s="30">
        <f t="shared" si="153"/>
        <v>0</v>
      </c>
      <c r="BE66" s="30">
        <f t="shared" si="153"/>
        <v>0</v>
      </c>
      <c r="BF66" s="30">
        <f t="shared" si="153"/>
        <v>0</v>
      </c>
      <c r="BG66" s="30">
        <f t="shared" si="153"/>
        <v>0</v>
      </c>
      <c r="BH66" s="30">
        <f t="shared" si="153"/>
        <v>0</v>
      </c>
      <c r="BI66" s="30">
        <f t="shared" si="153"/>
        <v>0</v>
      </c>
      <c r="BJ66" s="30">
        <f t="shared" si="153"/>
        <v>0</v>
      </c>
      <c r="BK66" s="30">
        <f t="shared" si="153"/>
        <v>0</v>
      </c>
      <c r="BL66" s="30">
        <f t="shared" si="153"/>
        <v>0</v>
      </c>
      <c r="BM66" s="30">
        <f t="shared" si="153"/>
        <v>0</v>
      </c>
      <c r="BN66" s="30">
        <f t="shared" si="153"/>
        <v>0</v>
      </c>
      <c r="BO66" s="30">
        <f t="shared" si="153"/>
        <v>0</v>
      </c>
      <c r="BP66" s="30">
        <f t="shared" si="153"/>
        <v>0</v>
      </c>
      <c r="BQ66" s="31">
        <f t="shared" si="146"/>
        <v>0</v>
      </c>
      <c r="BR66" s="7"/>
      <c r="BS66" s="28">
        <v>5.0</v>
      </c>
      <c r="BT66" s="29" t="s">
        <v>64</v>
      </c>
      <c r="BU66" s="88">
        <f t="shared" ref="BU66:CF66" si="154">BU38/BU10</f>
        <v>0.8920056101</v>
      </c>
      <c r="BV66" s="88">
        <f t="shared" si="154"/>
        <v>0.9088359046</v>
      </c>
      <c r="BW66" s="88">
        <f t="shared" si="154"/>
        <v>1.565217391</v>
      </c>
      <c r="BX66" s="88">
        <f t="shared" si="154"/>
        <v>0.9424964937</v>
      </c>
      <c r="BY66" s="88">
        <f t="shared" si="154"/>
        <v>0</v>
      </c>
      <c r="BZ66" s="88">
        <f t="shared" si="154"/>
        <v>0</v>
      </c>
      <c r="CA66" s="88">
        <f t="shared" si="154"/>
        <v>0</v>
      </c>
      <c r="CB66" s="88">
        <f t="shared" si="154"/>
        <v>0</v>
      </c>
      <c r="CC66" s="88">
        <f t="shared" si="154"/>
        <v>0</v>
      </c>
      <c r="CD66" s="88">
        <f t="shared" si="154"/>
        <v>0</v>
      </c>
      <c r="CE66" s="88">
        <f t="shared" si="154"/>
        <v>0</v>
      </c>
      <c r="CF66" s="88">
        <f t="shared" si="154"/>
        <v>0</v>
      </c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</row>
    <row r="67">
      <c r="A67" s="28">
        <v>6.0</v>
      </c>
      <c r="B67" s="29" t="s">
        <v>65</v>
      </c>
      <c r="C67" s="30">
        <f>COUNTIFS(
DATA!$F:$F,$B67,
DATA!$B:$B,"&gt;="&amp;DATE(2026,MONTH(C$61),DAY(C$61)),
DATA!$B:$B,"&lt;"&amp;DATE(2026,MONTH(C$61),DAY(C$61))+1
)</f>
        <v>0</v>
      </c>
      <c r="D67" s="30">
        <f>COUNTIFS(
DATA!$F:$F,$B67,
DATA!$B:$B,"&gt;="&amp;DATE(2026,MONTH(D$61),DAY(D$61)),
DATA!$B:$B,"&lt;"&amp;DATE(2026,MONTH(D$61),DAY(D$61))+1
)</f>
        <v>0</v>
      </c>
      <c r="E67" s="30">
        <f>COUNTIFS(
DATA!$F:$F,$B67,
DATA!$B:$B,"&gt;="&amp;DATE(2026,MONTH(E$61),DAY(E$61)),
DATA!$B:$B,"&lt;"&amp;DATE(2026,MONTH(E$61),DAY(E$61))+1
)</f>
        <v>0</v>
      </c>
      <c r="F67" s="30">
        <f>COUNTIFS(
DATA!$F:$F,$B67,
DATA!$B:$B,"&gt;="&amp;DATE(2026,MONTH(F$61),DAY(F$61)),
DATA!$B:$B,"&lt;"&amp;DATE(2026,MONTH(F$61),DAY(F$61))+1
)</f>
        <v>0</v>
      </c>
      <c r="G67" s="30">
        <f>COUNTIFS(
DATA!$F:$F,$B67,
DATA!$B:$B,"&gt;="&amp;DATE(2026,MONTH(G$61),DAY(G$61)),
DATA!$B:$B,"&lt;"&amp;DATE(2026,MONTH(G$61),DAY(G$61))+1
)</f>
        <v>0</v>
      </c>
      <c r="H67" s="30">
        <f>COUNTIFS(
DATA!$F:$F,$B67,
DATA!$B:$B,"&gt;="&amp;DATE(2026,MONTH(H$61),DAY(H$61)),
DATA!$B:$B,"&lt;"&amp;DATE(2026,MONTH(H$61),DAY(H$61))+1
)</f>
        <v>0</v>
      </c>
      <c r="I67" s="30">
        <f>COUNTIFS(
DATA!$F:$F,$B67,
DATA!$B:$B,"&gt;="&amp;DATE(2026,MONTH(I$61),DAY(I$61)),
DATA!$B:$B,"&lt;"&amp;DATE(2026,MONTH(I$61),DAY(I$61))+1
)</f>
        <v>0</v>
      </c>
      <c r="J67" s="30">
        <f>COUNTIFS(
DATA!$F:$F,$B67,
DATA!$B:$B,"&gt;="&amp;DATE(2026,MONTH(J$61),DAY(J$61)),
DATA!$B:$B,"&lt;"&amp;DATE(2026,MONTH(J$61),DAY(J$61))+1
)</f>
        <v>0</v>
      </c>
      <c r="K67" s="30">
        <f>COUNTIFS(
DATA!$F:$F,$B67,
DATA!$B:$B,"&gt;="&amp;DATE(2026,MONTH(K$61),DAY(K$61)),
DATA!$B:$B,"&lt;"&amp;DATE(2026,MONTH(K$61),DAY(K$61))+1
)</f>
        <v>0</v>
      </c>
      <c r="L67" s="30">
        <f>COUNTIFS(
DATA!$F:$F,$B67,
DATA!$B:$B,"&gt;="&amp;DATE(2026,MONTH(L$61),DAY(L$61)),
DATA!$B:$B,"&lt;"&amp;DATE(2026,MONTH(L$61),DAY(L$61))+1
)</f>
        <v>0</v>
      </c>
      <c r="M67" s="30">
        <f>COUNTIFS(
DATA!$F:$F,$B67,
DATA!$B:$B,"&gt;="&amp;DATE(2026,MONTH(M$61),DAY(M$61)),
DATA!$B:$B,"&lt;"&amp;DATE(2026,MONTH(M$61),DAY(M$61))+1
)</f>
        <v>0</v>
      </c>
      <c r="N67" s="30">
        <f>COUNTIFS(
DATA!$F:$F,$B67,
DATA!$B:$B,"&gt;="&amp;DATE(2026,MONTH(N$61),DAY(N$61)),
DATA!$B:$B,"&lt;"&amp;DATE(2026,MONTH(N$61),DAY(N$61))+1
)</f>
        <v>0</v>
      </c>
      <c r="O67" s="30">
        <f>COUNTIFS(
DATA!$F:$F,$B67,
DATA!$B:$B,"&gt;="&amp;DATE(2026,MONTH(O$61),DAY(O$61)),
DATA!$B:$B,"&lt;"&amp;DATE(2026,MONTH(O$61),DAY(O$61))+1
)</f>
        <v>0</v>
      </c>
      <c r="P67" s="30">
        <f>COUNTIFS(
DATA!$F:$F,$B67,
DATA!$B:$B,"&gt;="&amp;DATE(2026,MONTH(P$61),DAY(P$61)),
DATA!$B:$B,"&lt;"&amp;DATE(2026,MONTH(P$61),DAY(P$61))+1
)</f>
        <v>0</v>
      </c>
      <c r="Q67" s="30">
        <f>COUNTIFS(
DATA!$F:$F,$B67,
DATA!$B:$B,"&gt;="&amp;DATE(2026,MONTH(Q$61),DAY(Q$61)),
DATA!$B:$B,"&lt;"&amp;DATE(2026,MONTH(Q$61),DAY(Q$61))+1
)</f>
        <v>0</v>
      </c>
      <c r="R67" s="30">
        <f>COUNTIFS(
DATA!$F:$F,$B67,
DATA!$B:$B,"&gt;="&amp;DATE(2026,MONTH(R$61),DAY(R$61)),
DATA!$B:$B,"&lt;"&amp;DATE(2026,MONTH(R$61),DAY(R$61))+1
)</f>
        <v>0</v>
      </c>
      <c r="S67" s="30">
        <f>COUNTIFS(
DATA!$F:$F,$B67,
DATA!$B:$B,"&gt;="&amp;DATE(2026,MONTH(S$61),DAY(S$61)),
DATA!$B:$B,"&lt;"&amp;DATE(2026,MONTH(S$61),DAY(S$61))+1
)</f>
        <v>0</v>
      </c>
      <c r="T67" s="30">
        <f>COUNTIFS(
DATA!$F:$F,$B67,
DATA!$B:$B,"&gt;="&amp;DATE(2026,MONTH(T$61),DAY(T$61)),
DATA!$B:$B,"&lt;"&amp;DATE(2026,MONTH(T$61),DAY(T$61))+1
)</f>
        <v>0</v>
      </c>
      <c r="U67" s="30">
        <f>COUNTIFS(
DATA!$F:$F,$B67,
DATA!$B:$B,"&gt;="&amp;DATE(2026,MONTH(U$61),DAY(U$61)),
DATA!$B:$B,"&lt;"&amp;DATE(2026,MONTH(U$61),DAY(U$61))+1
)</f>
        <v>0</v>
      </c>
      <c r="V67" s="30">
        <f>COUNTIFS(
DATA!$F:$F,$B67,
DATA!$B:$B,"&gt;="&amp;DATE(2026,MONTH(V$61),DAY(V$61)),
DATA!$B:$B,"&lt;"&amp;DATE(2026,MONTH(V$61),DAY(V$61))+1
)</f>
        <v>0</v>
      </c>
      <c r="W67" s="30">
        <f>COUNTIFS(
DATA!$F:$F,$B67,
DATA!$B:$B,"&gt;="&amp;DATE(2026,MONTH(W$61),DAY(W$61)),
DATA!$B:$B,"&lt;"&amp;DATE(2026,MONTH(W$61),DAY(W$61))+1
)</f>
        <v>0</v>
      </c>
      <c r="X67" s="30">
        <f>COUNTIFS(
DATA!$F:$F,$B67,
DATA!$B:$B,"&gt;="&amp;DATE(2026,MONTH(X$61),DAY(X$61)),
DATA!$B:$B,"&lt;"&amp;DATE(2026,MONTH(X$61),DAY(X$61))+1
)</f>
        <v>0</v>
      </c>
      <c r="Y67" s="30">
        <f>COUNTIFS(
DATA!$F:$F,$B67,
DATA!$B:$B,"&gt;="&amp;DATE(2026,MONTH(Y$61),DAY(Y$61)),
DATA!$B:$B,"&lt;"&amp;DATE(2026,MONTH(Y$61),DAY(Y$61))+1
)</f>
        <v>0</v>
      </c>
      <c r="Z67" s="30">
        <f>COUNTIFS(
DATA!$F:$F,$B67,
DATA!$B:$B,"&gt;="&amp;DATE(2026,MONTH(Z$61),DAY(Z$61)),
DATA!$B:$B,"&lt;"&amp;DATE(2026,MONTH(Z$61),DAY(Z$61))+1
)</f>
        <v>0</v>
      </c>
      <c r="AA67" s="30">
        <f>COUNTIFS(
DATA!$F:$F,$B67,
DATA!$B:$B,"&gt;="&amp;DATE(2026,MONTH(AA$61),DAY(AA$61)),
DATA!$B:$B,"&lt;"&amp;DATE(2026,MONTH(AA$61),DAY(AA$61))+1
)</f>
        <v>0</v>
      </c>
      <c r="AB67" s="30">
        <f>COUNTIFS(
DATA!$F:$F,$B67,
DATA!$B:$B,"&gt;="&amp;DATE(2026,MONTH(AB$61),DAY(AB$61)),
DATA!$B:$B,"&lt;"&amp;DATE(2026,MONTH(AB$61),DAY(AB$61))+1
)</f>
        <v>0</v>
      </c>
      <c r="AC67" s="30">
        <f>COUNTIFS(
DATA!$F:$F,$B67,
DATA!$B:$B,"&gt;="&amp;DATE(2026,MONTH(AC$61),DAY(AC$61)),
DATA!$B:$B,"&lt;"&amp;DATE(2026,MONTH(AC$61),DAY(AC$61))+1
)</f>
        <v>0</v>
      </c>
      <c r="AD67" s="30">
        <f>COUNTIFS(
DATA!$F:$F,$B67,
DATA!$B:$B,"&gt;="&amp;DATE(2026,MONTH(AD$61),DAY(AD$61)),
DATA!$B:$B,"&lt;"&amp;DATE(2026,MONTH(AD$61),DAY(AD$61))+1
)</f>
        <v>0</v>
      </c>
      <c r="AE67" s="30">
        <f>COUNTIFS(
DATA!$F:$F,$B67,
DATA!$B:$B,"&gt;="&amp;DATE(2026,MONTH(AE$61),DAY(AE$61)),
DATA!$B:$B,"&lt;"&amp;DATE(2026,MONTH(AE$61),DAY(AE$61))+1
)</f>
        <v>0</v>
      </c>
      <c r="AF67" s="30">
        <f>COUNTIFS(
DATA!$F:$F,$B67,
DATA!$B:$B,"&gt;="&amp;DATE(2026,MONTH(AF$61),DAY(AF$61)),
DATA!$B:$B,"&lt;"&amp;DATE(2026,MONTH(AF$61),DAY(AF$61))+1
)</f>
        <v>0</v>
      </c>
      <c r="AG67" s="30">
        <f>COUNTIFS(
DATA!$F:$F,$B67,
DATA!$B:$B,"&gt;="&amp;DATE(2026,MONTH(AG$61),DAY(AG$61)),
DATA!$B:$B,"&lt;"&amp;DATE(2026,MONTH(AG$61),DAY(AG$61))+1
)</f>
        <v>0</v>
      </c>
      <c r="AH67" s="31">
        <f t="shared" si="143"/>
        <v>0</v>
      </c>
      <c r="AI67" s="7"/>
      <c r="AJ67" s="30">
        <v>6.0</v>
      </c>
      <c r="AK67" s="32" t="s">
        <v>66</v>
      </c>
      <c r="AL67" s="41">
        <f t="shared" si="144"/>
        <v>0</v>
      </c>
      <c r="AM67" s="30">
        <f t="shared" si="148"/>
        <v>0</v>
      </c>
      <c r="AN67" s="30">
        <f t="shared" ref="AN67:BP67" si="155">SUM($C67:E67)</f>
        <v>0</v>
      </c>
      <c r="AO67" s="30">
        <f t="shared" si="155"/>
        <v>0</v>
      </c>
      <c r="AP67" s="30">
        <f t="shared" si="155"/>
        <v>0</v>
      </c>
      <c r="AQ67" s="30">
        <f t="shared" si="155"/>
        <v>0</v>
      </c>
      <c r="AR67" s="30">
        <f t="shared" si="155"/>
        <v>0</v>
      </c>
      <c r="AS67" s="30">
        <f t="shared" si="155"/>
        <v>0</v>
      </c>
      <c r="AT67" s="30">
        <f t="shared" si="155"/>
        <v>0</v>
      </c>
      <c r="AU67" s="30">
        <f t="shared" si="155"/>
        <v>0</v>
      </c>
      <c r="AV67" s="30">
        <f t="shared" si="155"/>
        <v>0</v>
      </c>
      <c r="AW67" s="30">
        <f t="shared" si="155"/>
        <v>0</v>
      </c>
      <c r="AX67" s="30">
        <f t="shared" si="155"/>
        <v>0</v>
      </c>
      <c r="AY67" s="30">
        <f t="shared" si="155"/>
        <v>0</v>
      </c>
      <c r="AZ67" s="30">
        <f t="shared" si="155"/>
        <v>0</v>
      </c>
      <c r="BA67" s="30">
        <f t="shared" si="155"/>
        <v>0</v>
      </c>
      <c r="BB67" s="30">
        <f t="shared" si="155"/>
        <v>0</v>
      </c>
      <c r="BC67" s="30">
        <f t="shared" si="155"/>
        <v>0</v>
      </c>
      <c r="BD67" s="30">
        <f t="shared" si="155"/>
        <v>0</v>
      </c>
      <c r="BE67" s="30">
        <f t="shared" si="155"/>
        <v>0</v>
      </c>
      <c r="BF67" s="30">
        <f t="shared" si="155"/>
        <v>0</v>
      </c>
      <c r="BG67" s="30">
        <f t="shared" si="155"/>
        <v>0</v>
      </c>
      <c r="BH67" s="30">
        <f t="shared" si="155"/>
        <v>0</v>
      </c>
      <c r="BI67" s="30">
        <f t="shared" si="155"/>
        <v>0</v>
      </c>
      <c r="BJ67" s="30">
        <f t="shared" si="155"/>
        <v>0</v>
      </c>
      <c r="BK67" s="30">
        <f t="shared" si="155"/>
        <v>0</v>
      </c>
      <c r="BL67" s="30">
        <f t="shared" si="155"/>
        <v>0</v>
      </c>
      <c r="BM67" s="30">
        <f t="shared" si="155"/>
        <v>0</v>
      </c>
      <c r="BN67" s="30">
        <f t="shared" si="155"/>
        <v>0</v>
      </c>
      <c r="BO67" s="30">
        <f t="shared" si="155"/>
        <v>0</v>
      </c>
      <c r="BP67" s="30">
        <f t="shared" si="155"/>
        <v>0</v>
      </c>
      <c r="BQ67" s="31">
        <f t="shared" si="146"/>
        <v>0</v>
      </c>
      <c r="BR67" s="7"/>
      <c r="BS67" s="28">
        <v>6.0</v>
      </c>
      <c r="BT67" s="29" t="s">
        <v>66</v>
      </c>
      <c r="BU67" s="88">
        <f t="shared" ref="BU67:CF67" si="156">BU39/BU11</f>
        <v>0.06043165468</v>
      </c>
      <c r="BV67" s="88">
        <f t="shared" si="156"/>
        <v>1.536690647</v>
      </c>
      <c r="BW67" s="88">
        <f t="shared" si="156"/>
        <v>1.769784173</v>
      </c>
      <c r="BX67" s="88">
        <f t="shared" si="156"/>
        <v>0.5697841727</v>
      </c>
      <c r="BY67" s="88">
        <f t="shared" si="156"/>
        <v>0</v>
      </c>
      <c r="BZ67" s="88">
        <f t="shared" si="156"/>
        <v>0</v>
      </c>
      <c r="CA67" s="88">
        <f t="shared" si="156"/>
        <v>0</v>
      </c>
      <c r="CB67" s="88">
        <f t="shared" si="156"/>
        <v>0</v>
      </c>
      <c r="CC67" s="88">
        <f t="shared" si="156"/>
        <v>0</v>
      </c>
      <c r="CD67" s="88">
        <f t="shared" si="156"/>
        <v>0</v>
      </c>
      <c r="CE67" s="88">
        <f t="shared" si="156"/>
        <v>0</v>
      </c>
      <c r="CF67" s="88">
        <f t="shared" si="156"/>
        <v>0</v>
      </c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</row>
    <row r="68">
      <c r="A68" s="28">
        <v>7.0</v>
      </c>
      <c r="B68" s="29" t="s">
        <v>67</v>
      </c>
      <c r="C68" s="30">
        <f>COUNTIFS(
DATA!$F:$F,$B68,
DATA!$B:$B,"&gt;="&amp;DATE(2026,MONTH(C$61),DAY(C$61)),
DATA!$B:$B,"&lt;"&amp;DATE(2026,MONTH(C$61),DAY(C$61))+1
)</f>
        <v>0</v>
      </c>
      <c r="D68" s="30">
        <f>COUNTIFS(
DATA!$F:$F,$B68,
DATA!$B:$B,"&gt;="&amp;DATE(2026,MONTH(D$61),DAY(D$61)),
DATA!$B:$B,"&lt;"&amp;DATE(2026,MONTH(D$61),DAY(D$61))+1
)</f>
        <v>0</v>
      </c>
      <c r="E68" s="30">
        <f>COUNTIFS(
DATA!$F:$F,$B68,
DATA!$B:$B,"&gt;="&amp;DATE(2026,MONTH(E$61),DAY(E$61)),
DATA!$B:$B,"&lt;"&amp;DATE(2026,MONTH(E$61),DAY(E$61))+1
)</f>
        <v>0</v>
      </c>
      <c r="F68" s="30">
        <f>COUNTIFS(
DATA!$F:$F,$B68,
DATA!$B:$B,"&gt;="&amp;DATE(2026,MONTH(F$61),DAY(F$61)),
DATA!$B:$B,"&lt;"&amp;DATE(2026,MONTH(F$61),DAY(F$61))+1
)</f>
        <v>0</v>
      </c>
      <c r="G68" s="30">
        <f>COUNTIFS(
DATA!$F:$F,$B68,
DATA!$B:$B,"&gt;="&amp;DATE(2026,MONTH(G$61),DAY(G$61)),
DATA!$B:$B,"&lt;"&amp;DATE(2026,MONTH(G$61),DAY(G$61))+1
)</f>
        <v>0</v>
      </c>
      <c r="H68" s="30">
        <f>COUNTIFS(
DATA!$F:$F,$B68,
DATA!$B:$B,"&gt;="&amp;DATE(2026,MONTH(H$61),DAY(H$61)),
DATA!$B:$B,"&lt;"&amp;DATE(2026,MONTH(H$61),DAY(H$61))+1
)</f>
        <v>0</v>
      </c>
      <c r="I68" s="30">
        <f>COUNTIFS(
DATA!$F:$F,$B68,
DATA!$B:$B,"&gt;="&amp;DATE(2026,MONTH(I$61),DAY(I$61)),
DATA!$B:$B,"&lt;"&amp;DATE(2026,MONTH(I$61),DAY(I$61))+1
)</f>
        <v>0</v>
      </c>
      <c r="J68" s="30">
        <f>COUNTIFS(
DATA!$F:$F,$B68,
DATA!$B:$B,"&gt;="&amp;DATE(2026,MONTH(J$61),DAY(J$61)),
DATA!$B:$B,"&lt;"&amp;DATE(2026,MONTH(J$61),DAY(J$61))+1
)</f>
        <v>0</v>
      </c>
      <c r="K68" s="30">
        <f>COUNTIFS(
DATA!$F:$F,$B68,
DATA!$B:$B,"&gt;="&amp;DATE(2026,MONTH(K$61),DAY(K$61)),
DATA!$B:$B,"&lt;"&amp;DATE(2026,MONTH(K$61),DAY(K$61))+1
)</f>
        <v>0</v>
      </c>
      <c r="L68" s="30">
        <f>COUNTIFS(
DATA!$F:$F,$B68,
DATA!$B:$B,"&gt;="&amp;DATE(2026,MONTH(L$61),DAY(L$61)),
DATA!$B:$B,"&lt;"&amp;DATE(2026,MONTH(L$61),DAY(L$61))+1
)</f>
        <v>0</v>
      </c>
      <c r="M68" s="30">
        <f>COUNTIFS(
DATA!$F:$F,$B68,
DATA!$B:$B,"&gt;="&amp;DATE(2026,MONTH(M$61),DAY(M$61)),
DATA!$B:$B,"&lt;"&amp;DATE(2026,MONTH(M$61),DAY(M$61))+1
)</f>
        <v>0</v>
      </c>
      <c r="N68" s="30">
        <f>COUNTIFS(
DATA!$F:$F,$B68,
DATA!$B:$B,"&gt;="&amp;DATE(2026,MONTH(N$61),DAY(N$61)),
DATA!$B:$B,"&lt;"&amp;DATE(2026,MONTH(N$61),DAY(N$61))+1
)</f>
        <v>0</v>
      </c>
      <c r="O68" s="30">
        <f>COUNTIFS(
DATA!$F:$F,$B68,
DATA!$B:$B,"&gt;="&amp;DATE(2026,MONTH(O$61),DAY(O$61)),
DATA!$B:$B,"&lt;"&amp;DATE(2026,MONTH(O$61),DAY(O$61))+1
)</f>
        <v>0</v>
      </c>
      <c r="P68" s="30">
        <f>COUNTIFS(
DATA!$F:$F,$B68,
DATA!$B:$B,"&gt;="&amp;DATE(2026,MONTH(P$61),DAY(P$61)),
DATA!$B:$B,"&lt;"&amp;DATE(2026,MONTH(P$61),DAY(P$61))+1
)</f>
        <v>0</v>
      </c>
      <c r="Q68" s="30">
        <f>COUNTIFS(
DATA!$F:$F,$B68,
DATA!$B:$B,"&gt;="&amp;DATE(2026,MONTH(Q$61),DAY(Q$61)),
DATA!$B:$B,"&lt;"&amp;DATE(2026,MONTH(Q$61),DAY(Q$61))+1
)</f>
        <v>0</v>
      </c>
      <c r="R68" s="30">
        <f>COUNTIFS(
DATA!$F:$F,$B68,
DATA!$B:$B,"&gt;="&amp;DATE(2026,MONTH(R$61),DAY(R$61)),
DATA!$B:$B,"&lt;"&amp;DATE(2026,MONTH(R$61),DAY(R$61))+1
)</f>
        <v>0</v>
      </c>
      <c r="S68" s="30">
        <f>COUNTIFS(
DATA!$F:$F,$B68,
DATA!$B:$B,"&gt;="&amp;DATE(2026,MONTH(S$61),DAY(S$61)),
DATA!$B:$B,"&lt;"&amp;DATE(2026,MONTH(S$61),DAY(S$61))+1
)</f>
        <v>0</v>
      </c>
      <c r="T68" s="30">
        <f>COUNTIFS(
DATA!$F:$F,$B68,
DATA!$B:$B,"&gt;="&amp;DATE(2026,MONTH(T$61),DAY(T$61)),
DATA!$B:$B,"&lt;"&amp;DATE(2026,MONTH(T$61),DAY(T$61))+1
)</f>
        <v>0</v>
      </c>
      <c r="U68" s="30">
        <f>COUNTIFS(
DATA!$F:$F,$B68,
DATA!$B:$B,"&gt;="&amp;DATE(2026,MONTH(U$61),DAY(U$61)),
DATA!$B:$B,"&lt;"&amp;DATE(2026,MONTH(U$61),DAY(U$61))+1
)</f>
        <v>0</v>
      </c>
      <c r="V68" s="30">
        <f>COUNTIFS(
DATA!$F:$F,$B68,
DATA!$B:$B,"&gt;="&amp;DATE(2026,MONTH(V$61),DAY(V$61)),
DATA!$B:$B,"&lt;"&amp;DATE(2026,MONTH(V$61),DAY(V$61))+1
)</f>
        <v>0</v>
      </c>
      <c r="W68" s="30">
        <f>COUNTIFS(
DATA!$F:$F,$B68,
DATA!$B:$B,"&gt;="&amp;DATE(2026,MONTH(W$61),DAY(W$61)),
DATA!$B:$B,"&lt;"&amp;DATE(2026,MONTH(W$61),DAY(W$61))+1
)</f>
        <v>0</v>
      </c>
      <c r="X68" s="30">
        <f>COUNTIFS(
DATA!$F:$F,$B68,
DATA!$B:$B,"&gt;="&amp;DATE(2026,MONTH(X$61),DAY(X$61)),
DATA!$B:$B,"&lt;"&amp;DATE(2026,MONTH(X$61),DAY(X$61))+1
)</f>
        <v>0</v>
      </c>
      <c r="Y68" s="30">
        <f>COUNTIFS(
DATA!$F:$F,$B68,
DATA!$B:$B,"&gt;="&amp;DATE(2026,MONTH(Y$61),DAY(Y$61)),
DATA!$B:$B,"&lt;"&amp;DATE(2026,MONTH(Y$61),DAY(Y$61))+1
)</f>
        <v>0</v>
      </c>
      <c r="Z68" s="30">
        <f>COUNTIFS(
DATA!$F:$F,$B68,
DATA!$B:$B,"&gt;="&amp;DATE(2026,MONTH(Z$61),DAY(Z$61)),
DATA!$B:$B,"&lt;"&amp;DATE(2026,MONTH(Z$61),DAY(Z$61))+1
)</f>
        <v>0</v>
      </c>
      <c r="AA68" s="30">
        <f>COUNTIFS(
DATA!$F:$F,$B68,
DATA!$B:$B,"&gt;="&amp;DATE(2026,MONTH(AA$61),DAY(AA$61)),
DATA!$B:$B,"&lt;"&amp;DATE(2026,MONTH(AA$61),DAY(AA$61))+1
)</f>
        <v>0</v>
      </c>
      <c r="AB68" s="30">
        <f>COUNTIFS(
DATA!$F:$F,$B68,
DATA!$B:$B,"&gt;="&amp;DATE(2026,MONTH(AB$61),DAY(AB$61)),
DATA!$B:$B,"&lt;"&amp;DATE(2026,MONTH(AB$61),DAY(AB$61))+1
)</f>
        <v>0</v>
      </c>
      <c r="AC68" s="30">
        <f>COUNTIFS(
DATA!$F:$F,$B68,
DATA!$B:$B,"&gt;="&amp;DATE(2026,MONTH(AC$61),DAY(AC$61)),
DATA!$B:$B,"&lt;"&amp;DATE(2026,MONTH(AC$61),DAY(AC$61))+1
)</f>
        <v>0</v>
      </c>
      <c r="AD68" s="30">
        <f>COUNTIFS(
DATA!$F:$F,$B68,
DATA!$B:$B,"&gt;="&amp;DATE(2026,MONTH(AD$61),DAY(AD$61)),
DATA!$B:$B,"&lt;"&amp;DATE(2026,MONTH(AD$61),DAY(AD$61))+1
)</f>
        <v>0</v>
      </c>
      <c r="AE68" s="30">
        <f>COUNTIFS(
DATA!$F:$F,$B68,
DATA!$B:$B,"&gt;="&amp;DATE(2026,MONTH(AE$61),DAY(AE$61)),
DATA!$B:$B,"&lt;"&amp;DATE(2026,MONTH(AE$61),DAY(AE$61))+1
)</f>
        <v>0</v>
      </c>
      <c r="AF68" s="30">
        <f>COUNTIFS(
DATA!$F:$F,$B68,
DATA!$B:$B,"&gt;="&amp;DATE(2026,MONTH(AF$61),DAY(AF$61)),
DATA!$B:$B,"&lt;"&amp;DATE(2026,MONTH(AF$61),DAY(AF$61))+1
)</f>
        <v>0</v>
      </c>
      <c r="AG68" s="30">
        <f>COUNTIFS(
DATA!$F:$F,$B68,
DATA!$B:$B,"&gt;="&amp;DATE(2026,MONTH(AG$61),DAY(AG$61)),
DATA!$B:$B,"&lt;"&amp;DATE(2026,MONTH(AG$61),DAY(AG$61))+1
)</f>
        <v>0</v>
      </c>
      <c r="AH68" s="31">
        <f t="shared" si="143"/>
        <v>0</v>
      </c>
      <c r="AI68" s="7"/>
      <c r="AJ68" s="30">
        <v>7.0</v>
      </c>
      <c r="AK68" s="32" t="s">
        <v>67</v>
      </c>
      <c r="AL68" s="41">
        <f t="shared" si="144"/>
        <v>0</v>
      </c>
      <c r="AM68" s="30">
        <f t="shared" si="148"/>
        <v>0</v>
      </c>
      <c r="AN68" s="30">
        <f t="shared" ref="AN68:BP68" si="157">SUM($C68:E68)</f>
        <v>0</v>
      </c>
      <c r="AO68" s="30">
        <f t="shared" si="157"/>
        <v>0</v>
      </c>
      <c r="AP68" s="30">
        <f t="shared" si="157"/>
        <v>0</v>
      </c>
      <c r="AQ68" s="30">
        <f t="shared" si="157"/>
        <v>0</v>
      </c>
      <c r="AR68" s="30">
        <f t="shared" si="157"/>
        <v>0</v>
      </c>
      <c r="AS68" s="30">
        <f t="shared" si="157"/>
        <v>0</v>
      </c>
      <c r="AT68" s="30">
        <f t="shared" si="157"/>
        <v>0</v>
      </c>
      <c r="AU68" s="30">
        <f t="shared" si="157"/>
        <v>0</v>
      </c>
      <c r="AV68" s="30">
        <f t="shared" si="157"/>
        <v>0</v>
      </c>
      <c r="AW68" s="30">
        <f t="shared" si="157"/>
        <v>0</v>
      </c>
      <c r="AX68" s="30">
        <f t="shared" si="157"/>
        <v>0</v>
      </c>
      <c r="AY68" s="30">
        <f t="shared" si="157"/>
        <v>0</v>
      </c>
      <c r="AZ68" s="30">
        <f t="shared" si="157"/>
        <v>0</v>
      </c>
      <c r="BA68" s="30">
        <f t="shared" si="157"/>
        <v>0</v>
      </c>
      <c r="BB68" s="30">
        <f t="shared" si="157"/>
        <v>0</v>
      </c>
      <c r="BC68" s="30">
        <f t="shared" si="157"/>
        <v>0</v>
      </c>
      <c r="BD68" s="30">
        <f t="shared" si="157"/>
        <v>0</v>
      </c>
      <c r="BE68" s="30">
        <f t="shared" si="157"/>
        <v>0</v>
      </c>
      <c r="BF68" s="30">
        <f t="shared" si="157"/>
        <v>0</v>
      </c>
      <c r="BG68" s="30">
        <f t="shared" si="157"/>
        <v>0</v>
      </c>
      <c r="BH68" s="30">
        <f t="shared" si="157"/>
        <v>0</v>
      </c>
      <c r="BI68" s="30">
        <f t="shared" si="157"/>
        <v>0</v>
      </c>
      <c r="BJ68" s="30">
        <f t="shared" si="157"/>
        <v>0</v>
      </c>
      <c r="BK68" s="30">
        <f t="shared" si="157"/>
        <v>0</v>
      </c>
      <c r="BL68" s="30">
        <f t="shared" si="157"/>
        <v>0</v>
      </c>
      <c r="BM68" s="30">
        <f t="shared" si="157"/>
        <v>0</v>
      </c>
      <c r="BN68" s="30">
        <f t="shared" si="157"/>
        <v>0</v>
      </c>
      <c r="BO68" s="30">
        <f t="shared" si="157"/>
        <v>0</v>
      </c>
      <c r="BP68" s="30">
        <f t="shared" si="157"/>
        <v>0</v>
      </c>
      <c r="BQ68" s="31">
        <f t="shared" si="146"/>
        <v>0</v>
      </c>
      <c r="BR68" s="7"/>
      <c r="BS68" s="28">
        <v>7.0</v>
      </c>
      <c r="BT68" s="29" t="s">
        <v>67</v>
      </c>
      <c r="BU68" s="88">
        <f t="shared" ref="BU68:CF68" si="158">BU40/BU12</f>
        <v>1.031404959</v>
      </c>
      <c r="BV68" s="88">
        <f t="shared" si="158"/>
        <v>0.8330578512</v>
      </c>
      <c r="BW68" s="88">
        <f t="shared" si="158"/>
        <v>0.9123966942</v>
      </c>
      <c r="BX68" s="88">
        <f t="shared" si="158"/>
        <v>0.8925619835</v>
      </c>
      <c r="BY68" s="88">
        <f t="shared" si="158"/>
        <v>0</v>
      </c>
      <c r="BZ68" s="88">
        <f t="shared" si="158"/>
        <v>0</v>
      </c>
      <c r="CA68" s="88">
        <f t="shared" si="158"/>
        <v>0</v>
      </c>
      <c r="CB68" s="88">
        <f t="shared" si="158"/>
        <v>0</v>
      </c>
      <c r="CC68" s="88">
        <f t="shared" si="158"/>
        <v>0</v>
      </c>
      <c r="CD68" s="88">
        <f t="shared" si="158"/>
        <v>0</v>
      </c>
      <c r="CE68" s="88">
        <f t="shared" si="158"/>
        <v>0</v>
      </c>
      <c r="CF68" s="88">
        <f t="shared" si="158"/>
        <v>0</v>
      </c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</row>
    <row r="69">
      <c r="A69" s="28">
        <v>8.0</v>
      </c>
      <c r="B69" s="29" t="s">
        <v>68</v>
      </c>
      <c r="C69" s="30">
        <f>COUNTIFS(
DATA!$F:$F,$B69,
DATA!$B:$B,"&gt;="&amp;DATE(2026,MONTH(C$61),DAY(C$61)),
DATA!$B:$B,"&lt;"&amp;DATE(2026,MONTH(C$61),DAY(C$61))+1
)</f>
        <v>0</v>
      </c>
      <c r="D69" s="30">
        <f>COUNTIFS(
DATA!$F:$F,$B69,
DATA!$B:$B,"&gt;="&amp;DATE(2026,MONTH(D$61),DAY(D$61)),
DATA!$B:$B,"&lt;"&amp;DATE(2026,MONTH(D$61),DAY(D$61))+1
)</f>
        <v>0</v>
      </c>
      <c r="E69" s="30">
        <f>COUNTIFS(
DATA!$F:$F,$B69,
DATA!$B:$B,"&gt;="&amp;DATE(2026,MONTH(E$61),DAY(E$61)),
DATA!$B:$B,"&lt;"&amp;DATE(2026,MONTH(E$61),DAY(E$61))+1
)</f>
        <v>0</v>
      </c>
      <c r="F69" s="30">
        <f>COUNTIFS(
DATA!$F:$F,$B69,
DATA!$B:$B,"&gt;="&amp;DATE(2026,MONTH(F$61),DAY(F$61)),
DATA!$B:$B,"&lt;"&amp;DATE(2026,MONTH(F$61),DAY(F$61))+1
)</f>
        <v>0</v>
      </c>
      <c r="G69" s="30">
        <f>COUNTIFS(
DATA!$F:$F,$B69,
DATA!$B:$B,"&gt;="&amp;DATE(2026,MONTH(G$61),DAY(G$61)),
DATA!$B:$B,"&lt;"&amp;DATE(2026,MONTH(G$61),DAY(G$61))+1
)</f>
        <v>0</v>
      </c>
      <c r="H69" s="30">
        <f>COUNTIFS(
DATA!$F:$F,$B69,
DATA!$B:$B,"&gt;="&amp;DATE(2026,MONTH(H$61),DAY(H$61)),
DATA!$B:$B,"&lt;"&amp;DATE(2026,MONTH(H$61),DAY(H$61))+1
)</f>
        <v>0</v>
      </c>
      <c r="I69" s="30">
        <f>COUNTIFS(
DATA!$F:$F,$B69,
DATA!$B:$B,"&gt;="&amp;DATE(2026,MONTH(I$61),DAY(I$61)),
DATA!$B:$B,"&lt;"&amp;DATE(2026,MONTH(I$61),DAY(I$61))+1
)</f>
        <v>0</v>
      </c>
      <c r="J69" s="30">
        <f>COUNTIFS(
DATA!$F:$F,$B69,
DATA!$B:$B,"&gt;="&amp;DATE(2026,MONTH(J$61),DAY(J$61)),
DATA!$B:$B,"&lt;"&amp;DATE(2026,MONTH(J$61),DAY(J$61))+1
)</f>
        <v>0</v>
      </c>
      <c r="K69" s="30">
        <f>COUNTIFS(
DATA!$F:$F,$B69,
DATA!$B:$B,"&gt;="&amp;DATE(2026,MONTH(K$61),DAY(K$61)),
DATA!$B:$B,"&lt;"&amp;DATE(2026,MONTH(K$61),DAY(K$61))+1
)</f>
        <v>0</v>
      </c>
      <c r="L69" s="30">
        <f>COUNTIFS(
DATA!$F:$F,$B69,
DATA!$B:$B,"&gt;="&amp;DATE(2026,MONTH(L$61),DAY(L$61)),
DATA!$B:$B,"&lt;"&amp;DATE(2026,MONTH(L$61),DAY(L$61))+1
)</f>
        <v>0</v>
      </c>
      <c r="M69" s="30">
        <f>COUNTIFS(
DATA!$F:$F,$B69,
DATA!$B:$B,"&gt;="&amp;DATE(2026,MONTH(M$61),DAY(M$61)),
DATA!$B:$B,"&lt;"&amp;DATE(2026,MONTH(M$61),DAY(M$61))+1
)</f>
        <v>0</v>
      </c>
      <c r="N69" s="30">
        <f>COUNTIFS(
DATA!$F:$F,$B69,
DATA!$B:$B,"&gt;="&amp;DATE(2026,MONTH(N$61),DAY(N$61)),
DATA!$B:$B,"&lt;"&amp;DATE(2026,MONTH(N$61),DAY(N$61))+1
)</f>
        <v>0</v>
      </c>
      <c r="O69" s="30">
        <f>COUNTIFS(
DATA!$F:$F,$B69,
DATA!$B:$B,"&gt;="&amp;DATE(2026,MONTH(O$61),DAY(O$61)),
DATA!$B:$B,"&lt;"&amp;DATE(2026,MONTH(O$61),DAY(O$61))+1
)</f>
        <v>0</v>
      </c>
      <c r="P69" s="30">
        <f>COUNTIFS(
DATA!$F:$F,$B69,
DATA!$B:$B,"&gt;="&amp;DATE(2026,MONTH(P$61),DAY(P$61)),
DATA!$B:$B,"&lt;"&amp;DATE(2026,MONTH(P$61),DAY(P$61))+1
)</f>
        <v>0</v>
      </c>
      <c r="Q69" s="30">
        <f>COUNTIFS(
DATA!$F:$F,$B69,
DATA!$B:$B,"&gt;="&amp;DATE(2026,MONTH(Q$61),DAY(Q$61)),
DATA!$B:$B,"&lt;"&amp;DATE(2026,MONTH(Q$61),DAY(Q$61))+1
)</f>
        <v>0</v>
      </c>
      <c r="R69" s="30">
        <f>COUNTIFS(
DATA!$F:$F,$B69,
DATA!$B:$B,"&gt;="&amp;DATE(2026,MONTH(R$61),DAY(R$61)),
DATA!$B:$B,"&lt;"&amp;DATE(2026,MONTH(R$61),DAY(R$61))+1
)</f>
        <v>0</v>
      </c>
      <c r="S69" s="30">
        <f>COUNTIFS(
DATA!$F:$F,$B69,
DATA!$B:$B,"&gt;="&amp;DATE(2026,MONTH(S$61),DAY(S$61)),
DATA!$B:$B,"&lt;"&amp;DATE(2026,MONTH(S$61),DAY(S$61))+1
)</f>
        <v>0</v>
      </c>
      <c r="T69" s="30">
        <f>COUNTIFS(
DATA!$F:$F,$B69,
DATA!$B:$B,"&gt;="&amp;DATE(2026,MONTH(T$61),DAY(T$61)),
DATA!$B:$B,"&lt;"&amp;DATE(2026,MONTH(T$61),DAY(T$61))+1
)</f>
        <v>0</v>
      </c>
      <c r="U69" s="30">
        <f>COUNTIFS(
DATA!$F:$F,$B69,
DATA!$B:$B,"&gt;="&amp;DATE(2026,MONTH(U$61),DAY(U$61)),
DATA!$B:$B,"&lt;"&amp;DATE(2026,MONTH(U$61),DAY(U$61))+1
)</f>
        <v>0</v>
      </c>
      <c r="V69" s="30">
        <f>COUNTIFS(
DATA!$F:$F,$B69,
DATA!$B:$B,"&gt;="&amp;DATE(2026,MONTH(V$61),DAY(V$61)),
DATA!$B:$B,"&lt;"&amp;DATE(2026,MONTH(V$61),DAY(V$61))+1
)</f>
        <v>0</v>
      </c>
      <c r="W69" s="30">
        <f>COUNTIFS(
DATA!$F:$F,$B69,
DATA!$B:$B,"&gt;="&amp;DATE(2026,MONTH(W$61),DAY(W$61)),
DATA!$B:$B,"&lt;"&amp;DATE(2026,MONTH(W$61),DAY(W$61))+1
)</f>
        <v>0</v>
      </c>
      <c r="X69" s="30">
        <f>COUNTIFS(
DATA!$F:$F,$B69,
DATA!$B:$B,"&gt;="&amp;DATE(2026,MONTH(X$61),DAY(X$61)),
DATA!$B:$B,"&lt;"&amp;DATE(2026,MONTH(X$61),DAY(X$61))+1
)</f>
        <v>0</v>
      </c>
      <c r="Y69" s="30">
        <f>COUNTIFS(
DATA!$F:$F,$B69,
DATA!$B:$B,"&gt;="&amp;DATE(2026,MONTH(Y$61),DAY(Y$61)),
DATA!$B:$B,"&lt;"&amp;DATE(2026,MONTH(Y$61),DAY(Y$61))+1
)</f>
        <v>0</v>
      </c>
      <c r="Z69" s="30">
        <f>COUNTIFS(
DATA!$F:$F,$B69,
DATA!$B:$B,"&gt;="&amp;DATE(2026,MONTH(Z$61),DAY(Z$61)),
DATA!$B:$B,"&lt;"&amp;DATE(2026,MONTH(Z$61),DAY(Z$61))+1
)</f>
        <v>0</v>
      </c>
      <c r="AA69" s="30">
        <f>COUNTIFS(
DATA!$F:$F,$B69,
DATA!$B:$B,"&gt;="&amp;DATE(2026,MONTH(AA$61),DAY(AA$61)),
DATA!$B:$B,"&lt;"&amp;DATE(2026,MONTH(AA$61),DAY(AA$61))+1
)</f>
        <v>0</v>
      </c>
      <c r="AB69" s="30">
        <f>COUNTIFS(
DATA!$F:$F,$B69,
DATA!$B:$B,"&gt;="&amp;DATE(2026,MONTH(AB$61),DAY(AB$61)),
DATA!$B:$B,"&lt;"&amp;DATE(2026,MONTH(AB$61),DAY(AB$61))+1
)</f>
        <v>0</v>
      </c>
      <c r="AC69" s="30">
        <f>COUNTIFS(
DATA!$F:$F,$B69,
DATA!$B:$B,"&gt;="&amp;DATE(2026,MONTH(AC$61),DAY(AC$61)),
DATA!$B:$B,"&lt;"&amp;DATE(2026,MONTH(AC$61),DAY(AC$61))+1
)</f>
        <v>0</v>
      </c>
      <c r="AD69" s="30">
        <f>COUNTIFS(
DATA!$F:$F,$B69,
DATA!$B:$B,"&gt;="&amp;DATE(2026,MONTH(AD$61),DAY(AD$61)),
DATA!$B:$B,"&lt;"&amp;DATE(2026,MONTH(AD$61),DAY(AD$61))+1
)</f>
        <v>0</v>
      </c>
      <c r="AE69" s="30">
        <f>COUNTIFS(
DATA!$F:$F,$B69,
DATA!$B:$B,"&gt;="&amp;DATE(2026,MONTH(AE$61),DAY(AE$61)),
DATA!$B:$B,"&lt;"&amp;DATE(2026,MONTH(AE$61),DAY(AE$61))+1
)</f>
        <v>0</v>
      </c>
      <c r="AF69" s="30">
        <f>COUNTIFS(
DATA!$F:$F,$B69,
DATA!$B:$B,"&gt;="&amp;DATE(2026,MONTH(AF$61),DAY(AF$61)),
DATA!$B:$B,"&lt;"&amp;DATE(2026,MONTH(AF$61),DAY(AF$61))+1
)</f>
        <v>0</v>
      </c>
      <c r="AG69" s="30">
        <f>COUNTIFS(
DATA!$F:$F,$B69,
DATA!$B:$B,"&gt;="&amp;DATE(2026,MONTH(AG$61),DAY(AG$61)),
DATA!$B:$B,"&lt;"&amp;DATE(2026,MONTH(AG$61),DAY(AG$61))+1
)</f>
        <v>0</v>
      </c>
      <c r="AH69" s="31">
        <f t="shared" si="143"/>
        <v>0</v>
      </c>
      <c r="AI69" s="7"/>
      <c r="AJ69" s="30">
        <v>8.0</v>
      </c>
      <c r="AK69" s="32" t="s">
        <v>68</v>
      </c>
      <c r="AL69" s="41">
        <f t="shared" si="144"/>
        <v>0</v>
      </c>
      <c r="AM69" s="30">
        <f t="shared" si="148"/>
        <v>0</v>
      </c>
      <c r="AN69" s="30">
        <f t="shared" ref="AN69:BP69" si="159">SUM($C69:E69)</f>
        <v>0</v>
      </c>
      <c r="AO69" s="30">
        <f t="shared" si="159"/>
        <v>0</v>
      </c>
      <c r="AP69" s="30">
        <f t="shared" si="159"/>
        <v>0</v>
      </c>
      <c r="AQ69" s="30">
        <f t="shared" si="159"/>
        <v>0</v>
      </c>
      <c r="AR69" s="30">
        <f t="shared" si="159"/>
        <v>0</v>
      </c>
      <c r="AS69" s="30">
        <f t="shared" si="159"/>
        <v>0</v>
      </c>
      <c r="AT69" s="30">
        <f t="shared" si="159"/>
        <v>0</v>
      </c>
      <c r="AU69" s="30">
        <f t="shared" si="159"/>
        <v>0</v>
      </c>
      <c r="AV69" s="30">
        <f t="shared" si="159"/>
        <v>0</v>
      </c>
      <c r="AW69" s="30">
        <f t="shared" si="159"/>
        <v>0</v>
      </c>
      <c r="AX69" s="30">
        <f t="shared" si="159"/>
        <v>0</v>
      </c>
      <c r="AY69" s="30">
        <f t="shared" si="159"/>
        <v>0</v>
      </c>
      <c r="AZ69" s="30">
        <f t="shared" si="159"/>
        <v>0</v>
      </c>
      <c r="BA69" s="30">
        <f t="shared" si="159"/>
        <v>0</v>
      </c>
      <c r="BB69" s="30">
        <f t="shared" si="159"/>
        <v>0</v>
      </c>
      <c r="BC69" s="30">
        <f t="shared" si="159"/>
        <v>0</v>
      </c>
      <c r="BD69" s="30">
        <f t="shared" si="159"/>
        <v>0</v>
      </c>
      <c r="BE69" s="30">
        <f t="shared" si="159"/>
        <v>0</v>
      </c>
      <c r="BF69" s="30">
        <f t="shared" si="159"/>
        <v>0</v>
      </c>
      <c r="BG69" s="30">
        <f t="shared" si="159"/>
        <v>0</v>
      </c>
      <c r="BH69" s="30">
        <f t="shared" si="159"/>
        <v>0</v>
      </c>
      <c r="BI69" s="30">
        <f t="shared" si="159"/>
        <v>0</v>
      </c>
      <c r="BJ69" s="30">
        <f t="shared" si="159"/>
        <v>0</v>
      </c>
      <c r="BK69" s="30">
        <f t="shared" si="159"/>
        <v>0</v>
      </c>
      <c r="BL69" s="30">
        <f t="shared" si="159"/>
        <v>0</v>
      </c>
      <c r="BM69" s="30">
        <f t="shared" si="159"/>
        <v>0</v>
      </c>
      <c r="BN69" s="30">
        <f t="shared" si="159"/>
        <v>0</v>
      </c>
      <c r="BO69" s="30">
        <f t="shared" si="159"/>
        <v>0</v>
      </c>
      <c r="BP69" s="30">
        <f t="shared" si="159"/>
        <v>0</v>
      </c>
      <c r="BQ69" s="31">
        <f t="shared" si="146"/>
        <v>0</v>
      </c>
      <c r="BR69" s="7"/>
      <c r="BS69" s="28">
        <v>8.0</v>
      </c>
      <c r="BT69" s="29" t="s">
        <v>68</v>
      </c>
      <c r="BU69" s="89">
        <f t="shared" ref="BU69:CF69" si="160">IFERROR(BU41/BU13,0)</f>
        <v>0</v>
      </c>
      <c r="BV69" s="89">
        <f t="shared" si="160"/>
        <v>0</v>
      </c>
      <c r="BW69" s="89">
        <f t="shared" si="160"/>
        <v>0</v>
      </c>
      <c r="BX69" s="89">
        <f t="shared" si="160"/>
        <v>0</v>
      </c>
      <c r="BY69" s="89">
        <f t="shared" si="160"/>
        <v>0</v>
      </c>
      <c r="BZ69" s="89">
        <f t="shared" si="160"/>
        <v>0</v>
      </c>
      <c r="CA69" s="89">
        <f t="shared" si="160"/>
        <v>0</v>
      </c>
      <c r="CB69" s="89">
        <f t="shared" si="160"/>
        <v>0</v>
      </c>
      <c r="CC69" s="89">
        <f t="shared" si="160"/>
        <v>0</v>
      </c>
      <c r="CD69" s="89">
        <f t="shared" si="160"/>
        <v>0</v>
      </c>
      <c r="CE69" s="89">
        <f t="shared" si="160"/>
        <v>0</v>
      </c>
      <c r="CF69" s="89">
        <f t="shared" si="160"/>
        <v>0</v>
      </c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</row>
    <row r="70">
      <c r="A70" s="50"/>
      <c r="B70" s="51" t="s">
        <v>69</v>
      </c>
      <c r="C70" s="49">
        <f t="shared" ref="C70:AG70" si="161">SUM(C62:C69)</f>
        <v>0</v>
      </c>
      <c r="D70" s="49">
        <f t="shared" si="161"/>
        <v>0</v>
      </c>
      <c r="E70" s="49">
        <f t="shared" si="161"/>
        <v>0</v>
      </c>
      <c r="F70" s="49">
        <f t="shared" si="161"/>
        <v>0</v>
      </c>
      <c r="G70" s="49">
        <f t="shared" si="161"/>
        <v>0</v>
      </c>
      <c r="H70" s="49">
        <f t="shared" si="161"/>
        <v>0</v>
      </c>
      <c r="I70" s="49">
        <f t="shared" si="161"/>
        <v>0</v>
      </c>
      <c r="J70" s="49">
        <f t="shared" si="161"/>
        <v>0</v>
      </c>
      <c r="K70" s="49">
        <f t="shared" si="161"/>
        <v>0</v>
      </c>
      <c r="L70" s="49">
        <f t="shared" si="161"/>
        <v>0</v>
      </c>
      <c r="M70" s="49">
        <f t="shared" si="161"/>
        <v>0</v>
      </c>
      <c r="N70" s="49">
        <f t="shared" si="161"/>
        <v>0</v>
      </c>
      <c r="O70" s="49">
        <f t="shared" si="161"/>
        <v>0</v>
      </c>
      <c r="P70" s="49">
        <f t="shared" si="161"/>
        <v>0</v>
      </c>
      <c r="Q70" s="49">
        <f t="shared" si="161"/>
        <v>0</v>
      </c>
      <c r="R70" s="49">
        <f t="shared" si="161"/>
        <v>0</v>
      </c>
      <c r="S70" s="49">
        <f t="shared" si="161"/>
        <v>0</v>
      </c>
      <c r="T70" s="49">
        <f t="shared" si="161"/>
        <v>0</v>
      </c>
      <c r="U70" s="49">
        <f t="shared" si="161"/>
        <v>0</v>
      </c>
      <c r="V70" s="49">
        <f t="shared" si="161"/>
        <v>0</v>
      </c>
      <c r="W70" s="49">
        <f t="shared" si="161"/>
        <v>0</v>
      </c>
      <c r="X70" s="49">
        <f t="shared" si="161"/>
        <v>0</v>
      </c>
      <c r="Y70" s="49">
        <f t="shared" si="161"/>
        <v>0</v>
      </c>
      <c r="Z70" s="49">
        <f t="shared" si="161"/>
        <v>0</v>
      </c>
      <c r="AA70" s="49">
        <f t="shared" si="161"/>
        <v>0</v>
      </c>
      <c r="AB70" s="49">
        <f t="shared" si="161"/>
        <v>0</v>
      </c>
      <c r="AC70" s="49">
        <f t="shared" si="161"/>
        <v>0</v>
      </c>
      <c r="AD70" s="49">
        <f t="shared" si="161"/>
        <v>0</v>
      </c>
      <c r="AE70" s="49">
        <f t="shared" si="161"/>
        <v>0</v>
      </c>
      <c r="AF70" s="49">
        <f t="shared" si="161"/>
        <v>0</v>
      </c>
      <c r="AG70" s="49">
        <f t="shared" si="161"/>
        <v>0</v>
      </c>
      <c r="AH70" s="49">
        <f t="shared" si="143"/>
        <v>0</v>
      </c>
      <c r="AI70" s="7"/>
      <c r="AJ70" s="45"/>
      <c r="AK70" s="46" t="s">
        <v>69</v>
      </c>
      <c r="AL70" s="47">
        <f t="shared" si="144"/>
        <v>0</v>
      </c>
      <c r="AM70" s="47">
        <f t="shared" si="148"/>
        <v>0</v>
      </c>
      <c r="AN70" s="47">
        <f t="shared" ref="AN70:BP70" si="162">SUM($C70:E70)</f>
        <v>0</v>
      </c>
      <c r="AO70" s="47">
        <f t="shared" si="162"/>
        <v>0</v>
      </c>
      <c r="AP70" s="47">
        <f t="shared" si="162"/>
        <v>0</v>
      </c>
      <c r="AQ70" s="47">
        <f t="shared" si="162"/>
        <v>0</v>
      </c>
      <c r="AR70" s="47">
        <f t="shared" si="162"/>
        <v>0</v>
      </c>
      <c r="AS70" s="47">
        <f t="shared" si="162"/>
        <v>0</v>
      </c>
      <c r="AT70" s="47">
        <f t="shared" si="162"/>
        <v>0</v>
      </c>
      <c r="AU70" s="47">
        <f t="shared" si="162"/>
        <v>0</v>
      </c>
      <c r="AV70" s="47">
        <f t="shared" si="162"/>
        <v>0</v>
      </c>
      <c r="AW70" s="47">
        <f t="shared" si="162"/>
        <v>0</v>
      </c>
      <c r="AX70" s="47">
        <f t="shared" si="162"/>
        <v>0</v>
      </c>
      <c r="AY70" s="47">
        <f t="shared" si="162"/>
        <v>0</v>
      </c>
      <c r="AZ70" s="47">
        <f t="shared" si="162"/>
        <v>0</v>
      </c>
      <c r="BA70" s="47">
        <f t="shared" si="162"/>
        <v>0</v>
      </c>
      <c r="BB70" s="47">
        <f t="shared" si="162"/>
        <v>0</v>
      </c>
      <c r="BC70" s="47">
        <f t="shared" si="162"/>
        <v>0</v>
      </c>
      <c r="BD70" s="47">
        <f t="shared" si="162"/>
        <v>0</v>
      </c>
      <c r="BE70" s="47">
        <f t="shared" si="162"/>
        <v>0</v>
      </c>
      <c r="BF70" s="47">
        <f t="shared" si="162"/>
        <v>0</v>
      </c>
      <c r="BG70" s="47">
        <f t="shared" si="162"/>
        <v>0</v>
      </c>
      <c r="BH70" s="47">
        <f t="shared" si="162"/>
        <v>0</v>
      </c>
      <c r="BI70" s="47">
        <f t="shared" si="162"/>
        <v>0</v>
      </c>
      <c r="BJ70" s="47">
        <f t="shared" si="162"/>
        <v>0</v>
      </c>
      <c r="BK70" s="47">
        <f t="shared" si="162"/>
        <v>0</v>
      </c>
      <c r="BL70" s="47">
        <f t="shared" si="162"/>
        <v>0</v>
      </c>
      <c r="BM70" s="47">
        <f t="shared" si="162"/>
        <v>0</v>
      </c>
      <c r="BN70" s="47">
        <f t="shared" si="162"/>
        <v>0</v>
      </c>
      <c r="BO70" s="47">
        <f t="shared" si="162"/>
        <v>0</v>
      </c>
      <c r="BP70" s="47">
        <f t="shared" si="162"/>
        <v>0</v>
      </c>
      <c r="BQ70" s="49">
        <f t="shared" si="146"/>
        <v>0</v>
      </c>
      <c r="BR70" s="7"/>
      <c r="BS70" s="61"/>
      <c r="BT70" s="62" t="s">
        <v>69</v>
      </c>
      <c r="BU70" s="90">
        <f t="shared" ref="BU70:CF70" si="163">BU42/BU14</f>
        <v>0.7591637252</v>
      </c>
      <c r="BV70" s="90">
        <f t="shared" si="163"/>
        <v>1.234862884</v>
      </c>
      <c r="BW70" s="90">
        <f t="shared" si="163"/>
        <v>1.394515341</v>
      </c>
      <c r="BX70" s="90">
        <f t="shared" si="163"/>
        <v>0.8634265544</v>
      </c>
      <c r="BY70" s="90">
        <f t="shared" si="163"/>
        <v>0</v>
      </c>
      <c r="BZ70" s="90">
        <f t="shared" si="163"/>
        <v>0</v>
      </c>
      <c r="CA70" s="90">
        <f t="shared" si="163"/>
        <v>0</v>
      </c>
      <c r="CB70" s="90">
        <f t="shared" si="163"/>
        <v>0</v>
      </c>
      <c r="CC70" s="90">
        <f t="shared" si="163"/>
        <v>0</v>
      </c>
      <c r="CD70" s="90">
        <f t="shared" si="163"/>
        <v>0</v>
      </c>
      <c r="CE70" s="90">
        <f t="shared" si="163"/>
        <v>0</v>
      </c>
      <c r="CF70" s="90">
        <f t="shared" si="163"/>
        <v>0</v>
      </c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</row>
    <row r="72">
      <c r="A72" s="8" t="s">
        <v>35</v>
      </c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</row>
    <row r="73">
      <c r="A73" s="9" t="str">
        <f>TEXT(C75,"MMMM YYYY")</f>
        <v>Juni 2026</v>
      </c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10" t="s">
        <v>82</v>
      </c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11" t="s">
        <v>83</v>
      </c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12" t="s">
        <v>38</v>
      </c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</row>
    <row r="75" ht="44.25" customHeight="1">
      <c r="A75" s="14" t="s">
        <v>41</v>
      </c>
      <c r="B75" s="14" t="s">
        <v>42</v>
      </c>
      <c r="C75" s="15">
        <v>46174.0</v>
      </c>
      <c r="D75" s="15">
        <v>46175.0</v>
      </c>
      <c r="E75" s="15">
        <v>46176.0</v>
      </c>
      <c r="F75" s="15">
        <v>46177.0</v>
      </c>
      <c r="G75" s="15">
        <v>46178.0</v>
      </c>
      <c r="H75" s="15">
        <v>46179.0</v>
      </c>
      <c r="I75" s="15">
        <v>46180.0</v>
      </c>
      <c r="J75" s="15">
        <v>46181.0</v>
      </c>
      <c r="K75" s="15">
        <v>46182.0</v>
      </c>
      <c r="L75" s="15">
        <v>46183.0</v>
      </c>
      <c r="M75" s="15">
        <v>46184.0</v>
      </c>
      <c r="N75" s="15">
        <v>46185.0</v>
      </c>
      <c r="O75" s="15">
        <v>46186.0</v>
      </c>
      <c r="P75" s="15">
        <v>46187.0</v>
      </c>
      <c r="Q75" s="15">
        <v>46188.0</v>
      </c>
      <c r="R75" s="15">
        <v>46189.0</v>
      </c>
      <c r="S75" s="15">
        <v>46190.0</v>
      </c>
      <c r="T75" s="15">
        <v>46191.0</v>
      </c>
      <c r="U75" s="15">
        <v>46192.0</v>
      </c>
      <c r="V75" s="15">
        <v>46193.0</v>
      </c>
      <c r="W75" s="15">
        <v>46194.0</v>
      </c>
      <c r="X75" s="15">
        <v>46195.0</v>
      </c>
      <c r="Y75" s="15">
        <v>46196.0</v>
      </c>
      <c r="Z75" s="15">
        <v>46197.0</v>
      </c>
      <c r="AA75" s="15">
        <v>46198.0</v>
      </c>
      <c r="AB75" s="15">
        <v>46199.0</v>
      </c>
      <c r="AC75" s="15">
        <v>46200.0</v>
      </c>
      <c r="AD75" s="15">
        <v>46201.0</v>
      </c>
      <c r="AE75" s="15">
        <v>46202.0</v>
      </c>
      <c r="AF75" s="15">
        <v>46203.0</v>
      </c>
      <c r="AG75" s="65"/>
      <c r="AH75" s="16" t="s">
        <v>43</v>
      </c>
      <c r="AI75" s="17"/>
      <c r="AJ75" s="18" t="s">
        <v>41</v>
      </c>
      <c r="AK75" s="18" t="s">
        <v>42</v>
      </c>
      <c r="AL75" s="66">
        <v>46174.0</v>
      </c>
      <c r="AM75" s="66">
        <v>46175.0</v>
      </c>
      <c r="AN75" s="66">
        <v>46176.0</v>
      </c>
      <c r="AO75" s="66">
        <v>46177.0</v>
      </c>
      <c r="AP75" s="66">
        <v>46178.0</v>
      </c>
      <c r="AQ75" s="66">
        <v>46179.0</v>
      </c>
      <c r="AR75" s="66">
        <v>46180.0</v>
      </c>
      <c r="AS75" s="66">
        <v>46181.0</v>
      </c>
      <c r="AT75" s="66">
        <v>46182.0</v>
      </c>
      <c r="AU75" s="66">
        <v>46183.0</v>
      </c>
      <c r="AV75" s="66">
        <v>46184.0</v>
      </c>
      <c r="AW75" s="66">
        <v>46185.0</v>
      </c>
      <c r="AX75" s="66">
        <v>46186.0</v>
      </c>
      <c r="AY75" s="66">
        <v>46187.0</v>
      </c>
      <c r="AZ75" s="66">
        <v>46188.0</v>
      </c>
      <c r="BA75" s="66">
        <v>46189.0</v>
      </c>
      <c r="BB75" s="66">
        <v>46190.0</v>
      </c>
      <c r="BC75" s="66">
        <v>46191.0</v>
      </c>
      <c r="BD75" s="66">
        <v>46192.0</v>
      </c>
      <c r="BE75" s="66">
        <v>46193.0</v>
      </c>
      <c r="BF75" s="66">
        <v>46194.0</v>
      </c>
      <c r="BG75" s="66">
        <v>46195.0</v>
      </c>
      <c r="BH75" s="66">
        <v>46196.0</v>
      </c>
      <c r="BI75" s="66">
        <v>46197.0</v>
      </c>
      <c r="BJ75" s="66">
        <v>46198.0</v>
      </c>
      <c r="BK75" s="66">
        <v>46199.0</v>
      </c>
      <c r="BL75" s="66">
        <v>46200.0</v>
      </c>
      <c r="BM75" s="66">
        <v>46201.0</v>
      </c>
      <c r="BN75" s="66">
        <v>46202.0</v>
      </c>
      <c r="BO75" s="66">
        <v>46203.0</v>
      </c>
      <c r="BP75" s="67"/>
      <c r="BQ75" s="18" t="s">
        <v>43</v>
      </c>
      <c r="BR75" s="17"/>
      <c r="BS75" s="20" t="s">
        <v>41</v>
      </c>
      <c r="BT75" s="20" t="s">
        <v>42</v>
      </c>
      <c r="BU75" s="20" t="s">
        <v>44</v>
      </c>
      <c r="BV75" s="20" t="s">
        <v>45</v>
      </c>
      <c r="BW75" s="20" t="s">
        <v>46</v>
      </c>
      <c r="BX75" s="20" t="s">
        <v>47</v>
      </c>
      <c r="BY75" s="20" t="s">
        <v>48</v>
      </c>
      <c r="BZ75" s="20" t="s">
        <v>49</v>
      </c>
      <c r="CA75" s="20" t="s">
        <v>50</v>
      </c>
      <c r="CB75" s="20" t="s">
        <v>51</v>
      </c>
      <c r="CC75" s="20" t="s">
        <v>52</v>
      </c>
      <c r="CD75" s="20" t="s">
        <v>53</v>
      </c>
      <c r="CE75" s="20" t="s">
        <v>54</v>
      </c>
      <c r="CF75" s="20" t="s">
        <v>55</v>
      </c>
      <c r="CG75" s="68"/>
      <c r="CH75" s="68"/>
      <c r="CI75" s="68"/>
      <c r="CJ75" s="68"/>
      <c r="CK75" s="68"/>
      <c r="CL75" s="68"/>
      <c r="CM75" s="68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</row>
    <row r="76">
      <c r="A76" s="28">
        <v>1.0</v>
      </c>
      <c r="B76" s="29" t="s">
        <v>60</v>
      </c>
      <c r="C76" s="30">
        <f>COUNTIFS(
DATA!$F:$F,$B76,
DATA!$B:$B,"&gt;="&amp;DATE(2026,MONTH(C$75),DAY(C$75)),
DATA!$B:$B,"&lt;"&amp;DATE(2026,MONTH(C$75),DAY(C$75))+1
)</f>
        <v>0</v>
      </c>
      <c r="D76" s="30">
        <f>COUNTIFS(
DATA!$F:$F,$B76,
DATA!$B:$B,"&gt;="&amp;DATE(2026,MONTH(D$75),DAY(D$75)),
DATA!$B:$B,"&lt;"&amp;DATE(2026,MONTH(D$75),DAY(D$75))+1
)</f>
        <v>0</v>
      </c>
      <c r="E76" s="30">
        <f>COUNTIFS(
DATA!$F:$F,$B76,
DATA!$B:$B,"&gt;="&amp;DATE(2026,MONTH(E$75),DAY(E$75)),
DATA!$B:$B,"&lt;"&amp;DATE(2026,MONTH(E$75),DAY(E$75))+1
)</f>
        <v>0</v>
      </c>
      <c r="F76" s="30">
        <f>COUNTIFS(
DATA!$F:$F,$B76,
DATA!$B:$B,"&gt;="&amp;DATE(2026,MONTH(F$75),DAY(F$75)),
DATA!$B:$B,"&lt;"&amp;DATE(2026,MONTH(F$75),DAY(F$75))+1
)</f>
        <v>0</v>
      </c>
      <c r="G76" s="30">
        <f>COUNTIFS(
DATA!$F:$F,$B76,
DATA!$B:$B,"&gt;="&amp;DATE(2026,MONTH(G$75),DAY(G$75)),
DATA!$B:$B,"&lt;"&amp;DATE(2026,MONTH(G$75),DAY(G$75))+1
)</f>
        <v>0</v>
      </c>
      <c r="H76" s="30">
        <f>COUNTIFS(
DATA!$F:$F,$B76,
DATA!$B:$B,"&gt;="&amp;DATE(2026,MONTH(H$75),DAY(H$75)),
DATA!$B:$B,"&lt;"&amp;DATE(2026,MONTH(H$75),DAY(H$75))+1
)</f>
        <v>0</v>
      </c>
      <c r="I76" s="30">
        <f>COUNTIFS(
DATA!$F:$F,$B76,
DATA!$B:$B,"&gt;="&amp;DATE(2026,MONTH(I$75),DAY(I$75)),
DATA!$B:$B,"&lt;"&amp;DATE(2026,MONTH(I$75),DAY(I$75))+1
)</f>
        <v>0</v>
      </c>
      <c r="J76" s="30">
        <f>COUNTIFS(
DATA!$F:$F,$B76,
DATA!$B:$B,"&gt;="&amp;DATE(2026,MONTH(J$75),DAY(J$75)),
DATA!$B:$B,"&lt;"&amp;DATE(2026,MONTH(J$75),DAY(J$75))+1
)</f>
        <v>0</v>
      </c>
      <c r="K76" s="30">
        <f>COUNTIFS(
DATA!$F:$F,$B76,
DATA!$B:$B,"&gt;="&amp;DATE(2026,MONTH(K$75),DAY(K$75)),
DATA!$B:$B,"&lt;"&amp;DATE(2026,MONTH(K$75),DAY(K$75))+1
)</f>
        <v>0</v>
      </c>
      <c r="L76" s="30">
        <f>COUNTIFS(
DATA!$F:$F,$B76,
DATA!$B:$B,"&gt;="&amp;DATE(2026,MONTH(L$75),DAY(L$75)),
DATA!$B:$B,"&lt;"&amp;DATE(2026,MONTH(L$75),DAY(L$75))+1
)</f>
        <v>0</v>
      </c>
      <c r="M76" s="30">
        <f>COUNTIFS(
DATA!$F:$F,$B76,
DATA!$B:$B,"&gt;="&amp;DATE(2026,MONTH(M$75),DAY(M$75)),
DATA!$B:$B,"&lt;"&amp;DATE(2026,MONTH(M$75),DAY(M$75))+1
)</f>
        <v>0</v>
      </c>
      <c r="N76" s="30">
        <f>COUNTIFS(
DATA!$F:$F,$B76,
DATA!$B:$B,"&gt;="&amp;DATE(2026,MONTH(N$75),DAY(N$75)),
DATA!$B:$B,"&lt;"&amp;DATE(2026,MONTH(N$75),DAY(N$75))+1
)</f>
        <v>0</v>
      </c>
      <c r="O76" s="30">
        <f>COUNTIFS(
DATA!$F:$F,$B76,
DATA!$B:$B,"&gt;="&amp;DATE(2026,MONTH(O$75),DAY(O$75)),
DATA!$B:$B,"&lt;"&amp;DATE(2026,MONTH(O$75),DAY(O$75))+1
)</f>
        <v>0</v>
      </c>
      <c r="P76" s="30">
        <f>COUNTIFS(
DATA!$F:$F,$B76,
DATA!$B:$B,"&gt;="&amp;DATE(2026,MONTH(P$75),DAY(P$75)),
DATA!$B:$B,"&lt;"&amp;DATE(2026,MONTH(P$75),DAY(P$75))+1
)</f>
        <v>0</v>
      </c>
      <c r="Q76" s="30">
        <f>COUNTIFS(
DATA!$F:$F,$B76,
DATA!$B:$B,"&gt;="&amp;DATE(2026,MONTH(Q$75),DAY(Q$75)),
DATA!$B:$B,"&lt;"&amp;DATE(2026,MONTH(Q$75),DAY(Q$75))+1
)</f>
        <v>0</v>
      </c>
      <c r="R76" s="30">
        <f>COUNTIFS(
DATA!$F:$F,$B76,
DATA!$B:$B,"&gt;="&amp;DATE(2026,MONTH(R$75),DAY(R$75)),
DATA!$B:$B,"&lt;"&amp;DATE(2026,MONTH(R$75),DAY(R$75))+1
)</f>
        <v>0</v>
      </c>
      <c r="S76" s="30">
        <f>COUNTIFS(
DATA!$F:$F,$B76,
DATA!$B:$B,"&gt;="&amp;DATE(2026,MONTH(S$75),DAY(S$75)),
DATA!$B:$B,"&lt;"&amp;DATE(2026,MONTH(S$75),DAY(S$75))+1
)</f>
        <v>0</v>
      </c>
      <c r="T76" s="30">
        <f>COUNTIFS(
DATA!$F:$F,$B76,
DATA!$B:$B,"&gt;="&amp;DATE(2026,MONTH(T$75),DAY(T$75)),
DATA!$B:$B,"&lt;"&amp;DATE(2026,MONTH(T$75),DAY(T$75))+1
)</f>
        <v>0</v>
      </c>
      <c r="U76" s="30">
        <f>COUNTIFS(
DATA!$F:$F,$B76,
DATA!$B:$B,"&gt;="&amp;DATE(2026,MONTH(U$75),DAY(U$75)),
DATA!$B:$B,"&lt;"&amp;DATE(2026,MONTH(U$75),DAY(U$75))+1
)</f>
        <v>0</v>
      </c>
      <c r="V76" s="30">
        <f>COUNTIFS(
DATA!$F:$F,$B76,
DATA!$B:$B,"&gt;="&amp;DATE(2026,MONTH(V$75),DAY(V$75)),
DATA!$B:$B,"&lt;"&amp;DATE(2026,MONTH(V$75),DAY(V$75))+1
)</f>
        <v>0</v>
      </c>
      <c r="W76" s="30">
        <f>COUNTIFS(
DATA!$F:$F,$B76,
DATA!$B:$B,"&gt;="&amp;DATE(2026,MONTH(W$75),DAY(W$75)),
DATA!$B:$B,"&lt;"&amp;DATE(2026,MONTH(W$75),DAY(W$75))+1
)</f>
        <v>0</v>
      </c>
      <c r="X76" s="30">
        <f>COUNTIFS(
DATA!$F:$F,$B76,
DATA!$B:$B,"&gt;="&amp;DATE(2026,MONTH(X$75),DAY(X$75)),
DATA!$B:$B,"&lt;"&amp;DATE(2026,MONTH(X$75),DAY(X$75))+1
)</f>
        <v>0</v>
      </c>
      <c r="Y76" s="30">
        <f>COUNTIFS(
DATA!$F:$F,$B76,
DATA!$B:$B,"&gt;="&amp;DATE(2026,MONTH(Y$75),DAY(Y$75)),
DATA!$B:$B,"&lt;"&amp;DATE(2026,MONTH(Y$75),DAY(Y$75))+1
)</f>
        <v>0</v>
      </c>
      <c r="Z76" s="30">
        <f>COUNTIFS(
DATA!$F:$F,$B76,
DATA!$B:$B,"&gt;="&amp;DATE(2026,MONTH(Z$75),DAY(Z$75)),
DATA!$B:$B,"&lt;"&amp;DATE(2026,MONTH(Z$75),DAY(Z$75))+1
)</f>
        <v>0</v>
      </c>
      <c r="AA76" s="30">
        <f>COUNTIFS(
DATA!$F:$F,$B76,
DATA!$B:$B,"&gt;="&amp;DATE(2026,MONTH(AA$75),DAY(AA$75)),
DATA!$B:$B,"&lt;"&amp;DATE(2026,MONTH(AA$75),DAY(AA$75))+1
)</f>
        <v>0</v>
      </c>
      <c r="AB76" s="30">
        <f>COUNTIFS(
DATA!$F:$F,$B76,
DATA!$B:$B,"&gt;="&amp;DATE(2026,MONTH(AB$75),DAY(AB$75)),
DATA!$B:$B,"&lt;"&amp;DATE(2026,MONTH(AB$75),DAY(AB$75))+1
)</f>
        <v>0</v>
      </c>
      <c r="AC76" s="30">
        <f>COUNTIFS(
DATA!$F:$F,$B76,
DATA!$B:$B,"&gt;="&amp;DATE(2026,MONTH(AC$75),DAY(AC$75)),
DATA!$B:$B,"&lt;"&amp;DATE(2026,MONTH(AC$75),DAY(AC$75))+1
)</f>
        <v>0</v>
      </c>
      <c r="AD76" s="30">
        <f>COUNTIFS(
DATA!$F:$F,$B76,
DATA!$B:$B,"&gt;="&amp;DATE(2026,MONTH(AD$75),DAY(AD$75)),
DATA!$B:$B,"&lt;"&amp;DATE(2026,MONTH(AD$75),DAY(AD$75))+1
)</f>
        <v>0</v>
      </c>
      <c r="AE76" s="30">
        <f>COUNTIFS(
DATA!$F:$F,$B76,
DATA!$B:$B,"&gt;="&amp;DATE(2026,MONTH(AE$75),DAY(AE$75)),
DATA!$B:$B,"&lt;"&amp;DATE(2026,MONTH(AE$75),DAY(AE$75))+1
)</f>
        <v>0</v>
      </c>
      <c r="AF76" s="30">
        <f>COUNTIFS(
DATA!$F:$F,$B76,
DATA!$B:$B,"&gt;="&amp;DATE(2026,MONTH(AF$75),DAY(AF$75)),
DATA!$B:$B,"&lt;"&amp;DATE(2026,MONTH(AF$75),DAY(AF$75))+1
)</f>
        <v>0</v>
      </c>
      <c r="AG76" s="30">
        <f>COUNTIFS(
DATA!$F:$F,$B76,
DATA!$B:$B,"&gt;="&amp;DATE(2026,MONTH(AG$75),DAY(AG$75)),
DATA!$B:$B,"&lt;"&amp;DATE(2026,MONTH(AG$75),DAY(AG$75))+1
)</f>
        <v>0</v>
      </c>
      <c r="AH76" s="31">
        <f t="shared" ref="AH76:AH84" si="166">SUBTOTAL(9,C76:AG76)</f>
        <v>0</v>
      </c>
      <c r="AI76" s="7"/>
      <c r="AJ76" s="30">
        <v>1.0</v>
      </c>
      <c r="AK76" s="32" t="s">
        <v>60</v>
      </c>
      <c r="AL76" s="41">
        <f t="shared" ref="AL76:AL84" si="167">C76</f>
        <v>0</v>
      </c>
      <c r="AM76" s="30">
        <f t="shared" ref="AM76:BO76" si="164">SUM($C76:D76)</f>
        <v>0</v>
      </c>
      <c r="AN76" s="30">
        <f t="shared" si="164"/>
        <v>0</v>
      </c>
      <c r="AO76" s="30">
        <f t="shared" si="164"/>
        <v>0</v>
      </c>
      <c r="AP76" s="30">
        <f t="shared" si="164"/>
        <v>0</v>
      </c>
      <c r="AQ76" s="30">
        <f t="shared" si="164"/>
        <v>0</v>
      </c>
      <c r="AR76" s="30">
        <f t="shared" si="164"/>
        <v>0</v>
      </c>
      <c r="AS76" s="30">
        <f t="shared" si="164"/>
        <v>0</v>
      </c>
      <c r="AT76" s="30">
        <f t="shared" si="164"/>
        <v>0</v>
      </c>
      <c r="AU76" s="30">
        <f t="shared" si="164"/>
        <v>0</v>
      </c>
      <c r="AV76" s="30">
        <f t="shared" si="164"/>
        <v>0</v>
      </c>
      <c r="AW76" s="30">
        <f t="shared" si="164"/>
        <v>0</v>
      </c>
      <c r="AX76" s="30">
        <f t="shared" si="164"/>
        <v>0</v>
      </c>
      <c r="AY76" s="30">
        <f t="shared" si="164"/>
        <v>0</v>
      </c>
      <c r="AZ76" s="30">
        <f t="shared" si="164"/>
        <v>0</v>
      </c>
      <c r="BA76" s="30">
        <f t="shared" si="164"/>
        <v>0</v>
      </c>
      <c r="BB76" s="30">
        <f t="shared" si="164"/>
        <v>0</v>
      </c>
      <c r="BC76" s="30">
        <f t="shared" si="164"/>
        <v>0</v>
      </c>
      <c r="BD76" s="30">
        <f t="shared" si="164"/>
        <v>0</v>
      </c>
      <c r="BE76" s="30">
        <f t="shared" si="164"/>
        <v>0</v>
      </c>
      <c r="BF76" s="30">
        <f t="shared" si="164"/>
        <v>0</v>
      </c>
      <c r="BG76" s="30">
        <f t="shared" si="164"/>
        <v>0</v>
      </c>
      <c r="BH76" s="30">
        <f t="shared" si="164"/>
        <v>0</v>
      </c>
      <c r="BI76" s="30">
        <f t="shared" si="164"/>
        <v>0</v>
      </c>
      <c r="BJ76" s="30">
        <f t="shared" si="164"/>
        <v>0</v>
      </c>
      <c r="BK76" s="30">
        <f t="shared" si="164"/>
        <v>0</v>
      </c>
      <c r="BL76" s="30">
        <f t="shared" si="164"/>
        <v>0</v>
      </c>
      <c r="BM76" s="30">
        <f t="shared" si="164"/>
        <v>0</v>
      </c>
      <c r="BN76" s="30">
        <f t="shared" si="164"/>
        <v>0</v>
      </c>
      <c r="BO76" s="30">
        <f t="shared" si="164"/>
        <v>0</v>
      </c>
      <c r="BP76" s="41"/>
      <c r="BQ76" s="85" t="str">
        <f t="shared" ref="BQ76:BQ84" si="169">BP76</f>
        <v/>
      </c>
      <c r="BR76" s="7"/>
      <c r="BS76" s="28">
        <v>1.0</v>
      </c>
      <c r="BT76" s="29" t="s">
        <v>60</v>
      </c>
      <c r="BU76" s="88">
        <f t="shared" ref="BU76:CF76" si="165">BU48/BU20</f>
        <v>1.53633218</v>
      </c>
      <c r="BV76" s="88">
        <f t="shared" si="165"/>
        <v>1.432525952</v>
      </c>
      <c r="BW76" s="88">
        <f t="shared" si="165"/>
        <v>1.564013841</v>
      </c>
      <c r="BX76" s="88">
        <f t="shared" si="165"/>
        <v>1.411764706</v>
      </c>
      <c r="BY76" s="88">
        <f t="shared" si="165"/>
        <v>1.129411765</v>
      </c>
      <c r="BZ76" s="88">
        <f t="shared" si="165"/>
        <v>0.9411764706</v>
      </c>
      <c r="CA76" s="88">
        <f t="shared" si="165"/>
        <v>0.8067226891</v>
      </c>
      <c r="CB76" s="88">
        <f t="shared" si="165"/>
        <v>0.7058823529</v>
      </c>
      <c r="CC76" s="88">
        <f t="shared" si="165"/>
        <v>0.6274509804</v>
      </c>
      <c r="CD76" s="88">
        <f t="shared" si="165"/>
        <v>0.5647058824</v>
      </c>
      <c r="CE76" s="88">
        <f t="shared" si="165"/>
        <v>0.513368984</v>
      </c>
      <c r="CF76" s="88">
        <f t="shared" si="165"/>
        <v>0.4705882353</v>
      </c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</row>
    <row r="77">
      <c r="A77" s="28">
        <v>2.0</v>
      </c>
      <c r="B77" s="29" t="s">
        <v>61</v>
      </c>
      <c r="C77" s="30">
        <f>COUNTIFS(
DATA!$F:$F,$B77,
DATA!$B:$B,"&gt;="&amp;DATE(2026,MONTH(C$75),DAY(C$75)),
DATA!$B:$B,"&lt;"&amp;DATE(2026,MONTH(C$75),DAY(C$75))+1
)</f>
        <v>0</v>
      </c>
      <c r="D77" s="30">
        <f>COUNTIFS(
DATA!$F:$F,$B77,
DATA!$B:$B,"&gt;="&amp;DATE(2026,MONTH(D$75),DAY(D$75)),
DATA!$B:$B,"&lt;"&amp;DATE(2026,MONTH(D$75),DAY(D$75))+1
)</f>
        <v>0</v>
      </c>
      <c r="E77" s="30">
        <f>COUNTIFS(
DATA!$F:$F,$B77,
DATA!$B:$B,"&gt;="&amp;DATE(2026,MONTH(E$75),DAY(E$75)),
DATA!$B:$B,"&lt;"&amp;DATE(2026,MONTH(E$75),DAY(E$75))+1
)</f>
        <v>0</v>
      </c>
      <c r="F77" s="30">
        <f>COUNTIFS(
DATA!$F:$F,$B77,
DATA!$B:$B,"&gt;="&amp;DATE(2026,MONTH(F$75),DAY(F$75)),
DATA!$B:$B,"&lt;"&amp;DATE(2026,MONTH(F$75),DAY(F$75))+1
)</f>
        <v>0</v>
      </c>
      <c r="G77" s="30">
        <f>COUNTIFS(
DATA!$F:$F,$B77,
DATA!$B:$B,"&gt;="&amp;DATE(2026,MONTH(G$75),DAY(G$75)),
DATA!$B:$B,"&lt;"&amp;DATE(2026,MONTH(G$75),DAY(G$75))+1
)</f>
        <v>0</v>
      </c>
      <c r="H77" s="30">
        <f>COUNTIFS(
DATA!$F:$F,$B77,
DATA!$B:$B,"&gt;="&amp;DATE(2026,MONTH(H$75),DAY(H$75)),
DATA!$B:$B,"&lt;"&amp;DATE(2026,MONTH(H$75),DAY(H$75))+1
)</f>
        <v>0</v>
      </c>
      <c r="I77" s="30">
        <f>COUNTIFS(
DATA!$F:$F,$B77,
DATA!$B:$B,"&gt;="&amp;DATE(2026,MONTH(I$75),DAY(I$75)),
DATA!$B:$B,"&lt;"&amp;DATE(2026,MONTH(I$75),DAY(I$75))+1
)</f>
        <v>0</v>
      </c>
      <c r="J77" s="30">
        <f>COUNTIFS(
DATA!$F:$F,$B77,
DATA!$B:$B,"&gt;="&amp;DATE(2026,MONTH(J$75),DAY(J$75)),
DATA!$B:$B,"&lt;"&amp;DATE(2026,MONTH(J$75),DAY(J$75))+1
)</f>
        <v>0</v>
      </c>
      <c r="K77" s="30">
        <f>COUNTIFS(
DATA!$F:$F,$B77,
DATA!$B:$B,"&gt;="&amp;DATE(2026,MONTH(K$75),DAY(K$75)),
DATA!$B:$B,"&lt;"&amp;DATE(2026,MONTH(K$75),DAY(K$75))+1
)</f>
        <v>0</v>
      </c>
      <c r="L77" s="30">
        <f>COUNTIFS(
DATA!$F:$F,$B77,
DATA!$B:$B,"&gt;="&amp;DATE(2026,MONTH(L$75),DAY(L$75)),
DATA!$B:$B,"&lt;"&amp;DATE(2026,MONTH(L$75),DAY(L$75))+1
)</f>
        <v>0</v>
      </c>
      <c r="M77" s="30">
        <f>COUNTIFS(
DATA!$F:$F,$B77,
DATA!$B:$B,"&gt;="&amp;DATE(2026,MONTH(M$75),DAY(M$75)),
DATA!$B:$B,"&lt;"&amp;DATE(2026,MONTH(M$75),DAY(M$75))+1
)</f>
        <v>0</v>
      </c>
      <c r="N77" s="30">
        <f>COUNTIFS(
DATA!$F:$F,$B77,
DATA!$B:$B,"&gt;="&amp;DATE(2026,MONTH(N$75),DAY(N$75)),
DATA!$B:$B,"&lt;"&amp;DATE(2026,MONTH(N$75),DAY(N$75))+1
)</f>
        <v>0</v>
      </c>
      <c r="O77" s="30">
        <f>COUNTIFS(
DATA!$F:$F,$B77,
DATA!$B:$B,"&gt;="&amp;DATE(2026,MONTH(O$75),DAY(O$75)),
DATA!$B:$B,"&lt;"&amp;DATE(2026,MONTH(O$75),DAY(O$75))+1
)</f>
        <v>0</v>
      </c>
      <c r="P77" s="30">
        <f>COUNTIFS(
DATA!$F:$F,$B77,
DATA!$B:$B,"&gt;="&amp;DATE(2026,MONTH(P$75),DAY(P$75)),
DATA!$B:$B,"&lt;"&amp;DATE(2026,MONTH(P$75),DAY(P$75))+1
)</f>
        <v>0</v>
      </c>
      <c r="Q77" s="30">
        <f>COUNTIFS(
DATA!$F:$F,$B77,
DATA!$B:$B,"&gt;="&amp;DATE(2026,MONTH(Q$75),DAY(Q$75)),
DATA!$B:$B,"&lt;"&amp;DATE(2026,MONTH(Q$75),DAY(Q$75))+1
)</f>
        <v>0</v>
      </c>
      <c r="R77" s="30">
        <f>COUNTIFS(
DATA!$F:$F,$B77,
DATA!$B:$B,"&gt;="&amp;DATE(2026,MONTH(R$75),DAY(R$75)),
DATA!$B:$B,"&lt;"&amp;DATE(2026,MONTH(R$75),DAY(R$75))+1
)</f>
        <v>0</v>
      </c>
      <c r="S77" s="30">
        <f>COUNTIFS(
DATA!$F:$F,$B77,
DATA!$B:$B,"&gt;="&amp;DATE(2026,MONTH(S$75),DAY(S$75)),
DATA!$B:$B,"&lt;"&amp;DATE(2026,MONTH(S$75),DAY(S$75))+1
)</f>
        <v>0</v>
      </c>
      <c r="T77" s="30">
        <f>COUNTIFS(
DATA!$F:$F,$B77,
DATA!$B:$B,"&gt;="&amp;DATE(2026,MONTH(T$75),DAY(T$75)),
DATA!$B:$B,"&lt;"&amp;DATE(2026,MONTH(T$75),DAY(T$75))+1
)</f>
        <v>0</v>
      </c>
      <c r="U77" s="30">
        <f>COUNTIFS(
DATA!$F:$F,$B77,
DATA!$B:$B,"&gt;="&amp;DATE(2026,MONTH(U$75),DAY(U$75)),
DATA!$B:$B,"&lt;"&amp;DATE(2026,MONTH(U$75),DAY(U$75))+1
)</f>
        <v>0</v>
      </c>
      <c r="V77" s="30">
        <f>COUNTIFS(
DATA!$F:$F,$B77,
DATA!$B:$B,"&gt;="&amp;DATE(2026,MONTH(V$75),DAY(V$75)),
DATA!$B:$B,"&lt;"&amp;DATE(2026,MONTH(V$75),DAY(V$75))+1
)</f>
        <v>0</v>
      </c>
      <c r="W77" s="30">
        <f>COUNTIFS(
DATA!$F:$F,$B77,
DATA!$B:$B,"&gt;="&amp;DATE(2026,MONTH(W$75),DAY(W$75)),
DATA!$B:$B,"&lt;"&amp;DATE(2026,MONTH(W$75),DAY(W$75))+1
)</f>
        <v>0</v>
      </c>
      <c r="X77" s="30">
        <f>COUNTIFS(
DATA!$F:$F,$B77,
DATA!$B:$B,"&gt;="&amp;DATE(2026,MONTH(X$75),DAY(X$75)),
DATA!$B:$B,"&lt;"&amp;DATE(2026,MONTH(X$75),DAY(X$75))+1
)</f>
        <v>0</v>
      </c>
      <c r="Y77" s="30">
        <f>COUNTIFS(
DATA!$F:$F,$B77,
DATA!$B:$B,"&gt;="&amp;DATE(2026,MONTH(Y$75),DAY(Y$75)),
DATA!$B:$B,"&lt;"&amp;DATE(2026,MONTH(Y$75),DAY(Y$75))+1
)</f>
        <v>0</v>
      </c>
      <c r="Z77" s="30">
        <f>COUNTIFS(
DATA!$F:$F,$B77,
DATA!$B:$B,"&gt;="&amp;DATE(2026,MONTH(Z$75),DAY(Z$75)),
DATA!$B:$B,"&lt;"&amp;DATE(2026,MONTH(Z$75),DAY(Z$75))+1
)</f>
        <v>0</v>
      </c>
      <c r="AA77" s="30">
        <f>COUNTIFS(
DATA!$F:$F,$B77,
DATA!$B:$B,"&gt;="&amp;DATE(2026,MONTH(AA$75),DAY(AA$75)),
DATA!$B:$B,"&lt;"&amp;DATE(2026,MONTH(AA$75),DAY(AA$75))+1
)</f>
        <v>0</v>
      </c>
      <c r="AB77" s="30">
        <f>COUNTIFS(
DATA!$F:$F,$B77,
DATA!$B:$B,"&gt;="&amp;DATE(2026,MONTH(AB$75),DAY(AB$75)),
DATA!$B:$B,"&lt;"&amp;DATE(2026,MONTH(AB$75),DAY(AB$75))+1
)</f>
        <v>0</v>
      </c>
      <c r="AC77" s="30">
        <f>COUNTIFS(
DATA!$F:$F,$B77,
DATA!$B:$B,"&gt;="&amp;DATE(2026,MONTH(AC$75),DAY(AC$75)),
DATA!$B:$B,"&lt;"&amp;DATE(2026,MONTH(AC$75),DAY(AC$75))+1
)</f>
        <v>0</v>
      </c>
      <c r="AD77" s="30">
        <f>COUNTIFS(
DATA!$F:$F,$B77,
DATA!$B:$B,"&gt;="&amp;DATE(2026,MONTH(AD$75),DAY(AD$75)),
DATA!$B:$B,"&lt;"&amp;DATE(2026,MONTH(AD$75),DAY(AD$75))+1
)</f>
        <v>0</v>
      </c>
      <c r="AE77" s="30">
        <f>COUNTIFS(
DATA!$F:$F,$B77,
DATA!$B:$B,"&gt;="&amp;DATE(2026,MONTH(AE$75),DAY(AE$75)),
DATA!$B:$B,"&lt;"&amp;DATE(2026,MONTH(AE$75),DAY(AE$75))+1
)</f>
        <v>0</v>
      </c>
      <c r="AF77" s="30">
        <f>COUNTIFS(
DATA!$F:$F,$B77,
DATA!$B:$B,"&gt;="&amp;DATE(2026,MONTH(AF$75),DAY(AF$75)),
DATA!$B:$B,"&lt;"&amp;DATE(2026,MONTH(AF$75),DAY(AF$75))+1
)</f>
        <v>0</v>
      </c>
      <c r="AG77" s="30">
        <f>COUNTIFS(
DATA!$F:$F,$B77,
DATA!$B:$B,"&gt;="&amp;DATE(2026,MONTH(AG$75),DAY(AG$75)),
DATA!$B:$B,"&lt;"&amp;DATE(2026,MONTH(AG$75),DAY(AG$75))+1
)</f>
        <v>0</v>
      </c>
      <c r="AH77" s="31">
        <f t="shared" si="166"/>
        <v>0</v>
      </c>
      <c r="AI77" s="7"/>
      <c r="AJ77" s="30">
        <v>2.0</v>
      </c>
      <c r="AK77" s="32" t="s">
        <v>61</v>
      </c>
      <c r="AL77" s="41">
        <f t="shared" si="167"/>
        <v>0</v>
      </c>
      <c r="AM77" s="30">
        <f t="shared" ref="AM77:AM84" si="171">SUM(C77:D77)</f>
        <v>0</v>
      </c>
      <c r="AN77" s="30">
        <f t="shared" ref="AN77:BO77" si="168">SUM($C77:E77)</f>
        <v>0</v>
      </c>
      <c r="AO77" s="30">
        <f t="shared" si="168"/>
        <v>0</v>
      </c>
      <c r="AP77" s="30">
        <f t="shared" si="168"/>
        <v>0</v>
      </c>
      <c r="AQ77" s="30">
        <f t="shared" si="168"/>
        <v>0</v>
      </c>
      <c r="AR77" s="30">
        <f t="shared" si="168"/>
        <v>0</v>
      </c>
      <c r="AS77" s="30">
        <f t="shared" si="168"/>
        <v>0</v>
      </c>
      <c r="AT77" s="30">
        <f t="shared" si="168"/>
        <v>0</v>
      </c>
      <c r="AU77" s="30">
        <f t="shared" si="168"/>
        <v>0</v>
      </c>
      <c r="AV77" s="30">
        <f t="shared" si="168"/>
        <v>0</v>
      </c>
      <c r="AW77" s="30">
        <f t="shared" si="168"/>
        <v>0</v>
      </c>
      <c r="AX77" s="30">
        <f t="shared" si="168"/>
        <v>0</v>
      </c>
      <c r="AY77" s="30">
        <f t="shared" si="168"/>
        <v>0</v>
      </c>
      <c r="AZ77" s="30">
        <f t="shared" si="168"/>
        <v>0</v>
      </c>
      <c r="BA77" s="30">
        <f t="shared" si="168"/>
        <v>0</v>
      </c>
      <c r="BB77" s="30">
        <f t="shared" si="168"/>
        <v>0</v>
      </c>
      <c r="BC77" s="30">
        <f t="shared" si="168"/>
        <v>0</v>
      </c>
      <c r="BD77" s="30">
        <f t="shared" si="168"/>
        <v>0</v>
      </c>
      <c r="BE77" s="30">
        <f t="shared" si="168"/>
        <v>0</v>
      </c>
      <c r="BF77" s="30">
        <f t="shared" si="168"/>
        <v>0</v>
      </c>
      <c r="BG77" s="30">
        <f t="shared" si="168"/>
        <v>0</v>
      </c>
      <c r="BH77" s="30">
        <f t="shared" si="168"/>
        <v>0</v>
      </c>
      <c r="BI77" s="30">
        <f t="shared" si="168"/>
        <v>0</v>
      </c>
      <c r="BJ77" s="30">
        <f t="shared" si="168"/>
        <v>0</v>
      </c>
      <c r="BK77" s="30">
        <f t="shared" si="168"/>
        <v>0</v>
      </c>
      <c r="BL77" s="30">
        <f t="shared" si="168"/>
        <v>0</v>
      </c>
      <c r="BM77" s="30">
        <f t="shared" si="168"/>
        <v>0</v>
      </c>
      <c r="BN77" s="30">
        <f t="shared" si="168"/>
        <v>0</v>
      </c>
      <c r="BO77" s="30">
        <f t="shared" si="168"/>
        <v>0</v>
      </c>
      <c r="BP77" s="41"/>
      <c r="BQ77" s="85" t="str">
        <f t="shared" si="169"/>
        <v/>
      </c>
      <c r="BR77" s="7"/>
      <c r="BS77" s="28">
        <v>2.0</v>
      </c>
      <c r="BT77" s="29" t="s">
        <v>61</v>
      </c>
      <c r="BU77" s="88">
        <f t="shared" ref="BU77:CF77" si="170">BU49/BU21</f>
        <v>0</v>
      </c>
      <c r="BV77" s="88">
        <f t="shared" si="170"/>
        <v>1.3</v>
      </c>
      <c r="BW77" s="88">
        <f t="shared" si="170"/>
        <v>0.8666666667</v>
      </c>
      <c r="BX77" s="88">
        <f t="shared" si="170"/>
        <v>0.65</v>
      </c>
      <c r="BY77" s="88">
        <f t="shared" si="170"/>
        <v>0.52</v>
      </c>
      <c r="BZ77" s="88">
        <f t="shared" si="170"/>
        <v>0.4333333333</v>
      </c>
      <c r="CA77" s="88">
        <f t="shared" si="170"/>
        <v>0.3714285714</v>
      </c>
      <c r="CB77" s="88">
        <f t="shared" si="170"/>
        <v>0.325</v>
      </c>
      <c r="CC77" s="88">
        <f t="shared" si="170"/>
        <v>0.2888888889</v>
      </c>
      <c r="CD77" s="88">
        <f t="shared" si="170"/>
        <v>0.26</v>
      </c>
      <c r="CE77" s="88">
        <f t="shared" si="170"/>
        <v>0.2363636364</v>
      </c>
      <c r="CF77" s="88">
        <f t="shared" si="170"/>
        <v>0.2166666667</v>
      </c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</row>
    <row r="78">
      <c r="A78" s="28">
        <v>3.0</v>
      </c>
      <c r="B78" s="29" t="s">
        <v>62</v>
      </c>
      <c r="C78" s="30">
        <f>COUNTIFS(
DATA!$F:$F,$B78,
DATA!$B:$B,"&gt;="&amp;DATE(2026,MONTH(C$75),DAY(C$75)),
DATA!$B:$B,"&lt;"&amp;DATE(2026,MONTH(C$75),DAY(C$75))+1
)</f>
        <v>0</v>
      </c>
      <c r="D78" s="30">
        <f>COUNTIFS(
DATA!$F:$F,$B78,
DATA!$B:$B,"&gt;="&amp;DATE(2026,MONTH(D$75),DAY(D$75)),
DATA!$B:$B,"&lt;"&amp;DATE(2026,MONTH(D$75),DAY(D$75))+1
)</f>
        <v>0</v>
      </c>
      <c r="E78" s="30">
        <f>COUNTIFS(
DATA!$F:$F,$B78,
DATA!$B:$B,"&gt;="&amp;DATE(2026,MONTH(E$75),DAY(E$75)),
DATA!$B:$B,"&lt;"&amp;DATE(2026,MONTH(E$75),DAY(E$75))+1
)</f>
        <v>0</v>
      </c>
      <c r="F78" s="30">
        <f>COUNTIFS(
DATA!$F:$F,$B78,
DATA!$B:$B,"&gt;="&amp;DATE(2026,MONTH(F$75),DAY(F$75)),
DATA!$B:$B,"&lt;"&amp;DATE(2026,MONTH(F$75),DAY(F$75))+1
)</f>
        <v>0</v>
      </c>
      <c r="G78" s="30">
        <f>COUNTIFS(
DATA!$F:$F,$B78,
DATA!$B:$B,"&gt;="&amp;DATE(2026,MONTH(G$75),DAY(G$75)),
DATA!$B:$B,"&lt;"&amp;DATE(2026,MONTH(G$75),DAY(G$75))+1
)</f>
        <v>0</v>
      </c>
      <c r="H78" s="30">
        <f>COUNTIFS(
DATA!$F:$F,$B78,
DATA!$B:$B,"&gt;="&amp;DATE(2026,MONTH(H$75),DAY(H$75)),
DATA!$B:$B,"&lt;"&amp;DATE(2026,MONTH(H$75),DAY(H$75))+1
)</f>
        <v>0</v>
      </c>
      <c r="I78" s="30">
        <f>COUNTIFS(
DATA!$F:$F,$B78,
DATA!$B:$B,"&gt;="&amp;DATE(2026,MONTH(I$75),DAY(I$75)),
DATA!$B:$B,"&lt;"&amp;DATE(2026,MONTH(I$75),DAY(I$75))+1
)</f>
        <v>0</v>
      </c>
      <c r="J78" s="30">
        <f>COUNTIFS(
DATA!$F:$F,$B78,
DATA!$B:$B,"&gt;="&amp;DATE(2026,MONTH(J$75),DAY(J$75)),
DATA!$B:$B,"&lt;"&amp;DATE(2026,MONTH(J$75),DAY(J$75))+1
)</f>
        <v>0</v>
      </c>
      <c r="K78" s="30">
        <f>COUNTIFS(
DATA!$F:$F,$B78,
DATA!$B:$B,"&gt;="&amp;DATE(2026,MONTH(K$75),DAY(K$75)),
DATA!$B:$B,"&lt;"&amp;DATE(2026,MONTH(K$75),DAY(K$75))+1
)</f>
        <v>0</v>
      </c>
      <c r="L78" s="30">
        <f>COUNTIFS(
DATA!$F:$F,$B78,
DATA!$B:$B,"&gt;="&amp;DATE(2026,MONTH(L$75),DAY(L$75)),
DATA!$B:$B,"&lt;"&amp;DATE(2026,MONTH(L$75),DAY(L$75))+1
)</f>
        <v>0</v>
      </c>
      <c r="M78" s="30">
        <f>COUNTIFS(
DATA!$F:$F,$B78,
DATA!$B:$B,"&gt;="&amp;DATE(2026,MONTH(M$75),DAY(M$75)),
DATA!$B:$B,"&lt;"&amp;DATE(2026,MONTH(M$75),DAY(M$75))+1
)</f>
        <v>0</v>
      </c>
      <c r="N78" s="30">
        <f>COUNTIFS(
DATA!$F:$F,$B78,
DATA!$B:$B,"&gt;="&amp;DATE(2026,MONTH(N$75),DAY(N$75)),
DATA!$B:$B,"&lt;"&amp;DATE(2026,MONTH(N$75),DAY(N$75))+1
)</f>
        <v>0</v>
      </c>
      <c r="O78" s="30">
        <f>COUNTIFS(
DATA!$F:$F,$B78,
DATA!$B:$B,"&gt;="&amp;DATE(2026,MONTH(O$75),DAY(O$75)),
DATA!$B:$B,"&lt;"&amp;DATE(2026,MONTH(O$75),DAY(O$75))+1
)</f>
        <v>0</v>
      </c>
      <c r="P78" s="30">
        <f>COUNTIFS(
DATA!$F:$F,$B78,
DATA!$B:$B,"&gt;="&amp;DATE(2026,MONTH(P$75),DAY(P$75)),
DATA!$B:$B,"&lt;"&amp;DATE(2026,MONTH(P$75),DAY(P$75))+1
)</f>
        <v>0</v>
      </c>
      <c r="Q78" s="30">
        <f>COUNTIFS(
DATA!$F:$F,$B78,
DATA!$B:$B,"&gt;="&amp;DATE(2026,MONTH(Q$75),DAY(Q$75)),
DATA!$B:$B,"&lt;"&amp;DATE(2026,MONTH(Q$75),DAY(Q$75))+1
)</f>
        <v>0</v>
      </c>
      <c r="R78" s="30">
        <f>COUNTIFS(
DATA!$F:$F,$B78,
DATA!$B:$B,"&gt;="&amp;DATE(2026,MONTH(R$75),DAY(R$75)),
DATA!$B:$B,"&lt;"&amp;DATE(2026,MONTH(R$75),DAY(R$75))+1
)</f>
        <v>0</v>
      </c>
      <c r="S78" s="30">
        <f>COUNTIFS(
DATA!$F:$F,$B78,
DATA!$B:$B,"&gt;="&amp;DATE(2026,MONTH(S$75),DAY(S$75)),
DATA!$B:$B,"&lt;"&amp;DATE(2026,MONTH(S$75),DAY(S$75))+1
)</f>
        <v>0</v>
      </c>
      <c r="T78" s="30">
        <f>COUNTIFS(
DATA!$F:$F,$B78,
DATA!$B:$B,"&gt;="&amp;DATE(2026,MONTH(T$75),DAY(T$75)),
DATA!$B:$B,"&lt;"&amp;DATE(2026,MONTH(T$75),DAY(T$75))+1
)</f>
        <v>0</v>
      </c>
      <c r="U78" s="30">
        <f>COUNTIFS(
DATA!$F:$F,$B78,
DATA!$B:$B,"&gt;="&amp;DATE(2026,MONTH(U$75),DAY(U$75)),
DATA!$B:$B,"&lt;"&amp;DATE(2026,MONTH(U$75),DAY(U$75))+1
)</f>
        <v>0</v>
      </c>
      <c r="V78" s="30">
        <f>COUNTIFS(
DATA!$F:$F,$B78,
DATA!$B:$B,"&gt;="&amp;DATE(2026,MONTH(V$75),DAY(V$75)),
DATA!$B:$B,"&lt;"&amp;DATE(2026,MONTH(V$75),DAY(V$75))+1
)</f>
        <v>0</v>
      </c>
      <c r="W78" s="30">
        <f>COUNTIFS(
DATA!$F:$F,$B78,
DATA!$B:$B,"&gt;="&amp;DATE(2026,MONTH(W$75),DAY(W$75)),
DATA!$B:$B,"&lt;"&amp;DATE(2026,MONTH(W$75),DAY(W$75))+1
)</f>
        <v>0</v>
      </c>
      <c r="X78" s="30">
        <f>COUNTIFS(
DATA!$F:$F,$B78,
DATA!$B:$B,"&gt;="&amp;DATE(2026,MONTH(X$75),DAY(X$75)),
DATA!$B:$B,"&lt;"&amp;DATE(2026,MONTH(X$75),DAY(X$75))+1
)</f>
        <v>0</v>
      </c>
      <c r="Y78" s="30">
        <f>COUNTIFS(
DATA!$F:$F,$B78,
DATA!$B:$B,"&gt;="&amp;DATE(2026,MONTH(Y$75),DAY(Y$75)),
DATA!$B:$B,"&lt;"&amp;DATE(2026,MONTH(Y$75),DAY(Y$75))+1
)</f>
        <v>0</v>
      </c>
      <c r="Z78" s="30">
        <f>COUNTIFS(
DATA!$F:$F,$B78,
DATA!$B:$B,"&gt;="&amp;DATE(2026,MONTH(Z$75),DAY(Z$75)),
DATA!$B:$B,"&lt;"&amp;DATE(2026,MONTH(Z$75),DAY(Z$75))+1
)</f>
        <v>0</v>
      </c>
      <c r="AA78" s="30">
        <f>COUNTIFS(
DATA!$F:$F,$B78,
DATA!$B:$B,"&gt;="&amp;DATE(2026,MONTH(AA$75),DAY(AA$75)),
DATA!$B:$B,"&lt;"&amp;DATE(2026,MONTH(AA$75),DAY(AA$75))+1
)</f>
        <v>0</v>
      </c>
      <c r="AB78" s="30">
        <f>COUNTIFS(
DATA!$F:$F,$B78,
DATA!$B:$B,"&gt;="&amp;DATE(2026,MONTH(AB$75),DAY(AB$75)),
DATA!$B:$B,"&lt;"&amp;DATE(2026,MONTH(AB$75),DAY(AB$75))+1
)</f>
        <v>0</v>
      </c>
      <c r="AC78" s="30">
        <f>COUNTIFS(
DATA!$F:$F,$B78,
DATA!$B:$B,"&gt;="&amp;DATE(2026,MONTH(AC$75),DAY(AC$75)),
DATA!$B:$B,"&lt;"&amp;DATE(2026,MONTH(AC$75),DAY(AC$75))+1
)</f>
        <v>0</v>
      </c>
      <c r="AD78" s="30">
        <f>COUNTIFS(
DATA!$F:$F,$B78,
DATA!$B:$B,"&gt;="&amp;DATE(2026,MONTH(AD$75),DAY(AD$75)),
DATA!$B:$B,"&lt;"&amp;DATE(2026,MONTH(AD$75),DAY(AD$75))+1
)</f>
        <v>0</v>
      </c>
      <c r="AE78" s="30">
        <f>COUNTIFS(
DATA!$F:$F,$B78,
DATA!$B:$B,"&gt;="&amp;DATE(2026,MONTH(AE$75),DAY(AE$75)),
DATA!$B:$B,"&lt;"&amp;DATE(2026,MONTH(AE$75),DAY(AE$75))+1
)</f>
        <v>0</v>
      </c>
      <c r="AF78" s="30">
        <f>COUNTIFS(
DATA!$F:$F,$B78,
DATA!$B:$B,"&gt;="&amp;DATE(2026,MONTH(AF$75),DAY(AF$75)),
DATA!$B:$B,"&lt;"&amp;DATE(2026,MONTH(AF$75),DAY(AF$75))+1
)</f>
        <v>0</v>
      </c>
      <c r="AG78" s="30">
        <f>COUNTIFS(
DATA!$F:$F,$B78,
DATA!$B:$B,"&gt;="&amp;DATE(2026,MONTH(AG$75),DAY(AG$75)),
DATA!$B:$B,"&lt;"&amp;DATE(2026,MONTH(AG$75),DAY(AG$75))+1
)</f>
        <v>0</v>
      </c>
      <c r="AH78" s="31">
        <f t="shared" si="166"/>
        <v>0</v>
      </c>
      <c r="AI78" s="7"/>
      <c r="AJ78" s="30">
        <v>3.0</v>
      </c>
      <c r="AK78" s="32" t="s">
        <v>62</v>
      </c>
      <c r="AL78" s="41">
        <f t="shared" si="167"/>
        <v>0</v>
      </c>
      <c r="AM78" s="30">
        <f t="shared" si="171"/>
        <v>0</v>
      </c>
      <c r="AN78" s="30">
        <f t="shared" ref="AN78:BO78" si="172">SUM($C78:E78)</f>
        <v>0</v>
      </c>
      <c r="AO78" s="30">
        <f t="shared" si="172"/>
        <v>0</v>
      </c>
      <c r="AP78" s="30">
        <f t="shared" si="172"/>
        <v>0</v>
      </c>
      <c r="AQ78" s="30">
        <f t="shared" si="172"/>
        <v>0</v>
      </c>
      <c r="AR78" s="30">
        <f t="shared" si="172"/>
        <v>0</v>
      </c>
      <c r="AS78" s="30">
        <f t="shared" si="172"/>
        <v>0</v>
      </c>
      <c r="AT78" s="30">
        <f t="shared" si="172"/>
        <v>0</v>
      </c>
      <c r="AU78" s="30">
        <f t="shared" si="172"/>
        <v>0</v>
      </c>
      <c r="AV78" s="30">
        <f t="shared" si="172"/>
        <v>0</v>
      </c>
      <c r="AW78" s="30">
        <f t="shared" si="172"/>
        <v>0</v>
      </c>
      <c r="AX78" s="30">
        <f t="shared" si="172"/>
        <v>0</v>
      </c>
      <c r="AY78" s="30">
        <f t="shared" si="172"/>
        <v>0</v>
      </c>
      <c r="AZ78" s="30">
        <f t="shared" si="172"/>
        <v>0</v>
      </c>
      <c r="BA78" s="30">
        <f t="shared" si="172"/>
        <v>0</v>
      </c>
      <c r="BB78" s="30">
        <f t="shared" si="172"/>
        <v>0</v>
      </c>
      <c r="BC78" s="30">
        <f t="shared" si="172"/>
        <v>0</v>
      </c>
      <c r="BD78" s="30">
        <f t="shared" si="172"/>
        <v>0</v>
      </c>
      <c r="BE78" s="30">
        <f t="shared" si="172"/>
        <v>0</v>
      </c>
      <c r="BF78" s="30">
        <f t="shared" si="172"/>
        <v>0</v>
      </c>
      <c r="BG78" s="30">
        <f t="shared" si="172"/>
        <v>0</v>
      </c>
      <c r="BH78" s="30">
        <f t="shared" si="172"/>
        <v>0</v>
      </c>
      <c r="BI78" s="30">
        <f t="shared" si="172"/>
        <v>0</v>
      </c>
      <c r="BJ78" s="30">
        <f t="shared" si="172"/>
        <v>0</v>
      </c>
      <c r="BK78" s="30">
        <f t="shared" si="172"/>
        <v>0</v>
      </c>
      <c r="BL78" s="30">
        <f t="shared" si="172"/>
        <v>0</v>
      </c>
      <c r="BM78" s="30">
        <f t="shared" si="172"/>
        <v>0</v>
      </c>
      <c r="BN78" s="30">
        <f t="shared" si="172"/>
        <v>0</v>
      </c>
      <c r="BO78" s="30">
        <f t="shared" si="172"/>
        <v>0</v>
      </c>
      <c r="BP78" s="41"/>
      <c r="BQ78" s="85" t="str">
        <f t="shared" si="169"/>
        <v/>
      </c>
      <c r="BR78" s="7"/>
      <c r="BS78" s="28">
        <v>3.0</v>
      </c>
      <c r="BT78" s="29" t="s">
        <v>62</v>
      </c>
      <c r="BU78" s="88">
        <f t="shared" ref="BU78:CF78" si="173">BU50/BU22</f>
        <v>1.653543307</v>
      </c>
      <c r="BV78" s="88">
        <f t="shared" si="173"/>
        <v>1.204724409</v>
      </c>
      <c r="BW78" s="88">
        <f t="shared" si="173"/>
        <v>0.8031496063</v>
      </c>
      <c r="BX78" s="88">
        <f t="shared" si="173"/>
        <v>1.098425197</v>
      </c>
      <c r="BY78" s="88">
        <f t="shared" si="173"/>
        <v>0.8787401575</v>
      </c>
      <c r="BZ78" s="88">
        <f t="shared" si="173"/>
        <v>0.7322834646</v>
      </c>
      <c r="CA78" s="88">
        <f t="shared" si="173"/>
        <v>0.6276715411</v>
      </c>
      <c r="CB78" s="88">
        <f t="shared" si="173"/>
        <v>0.5492125984</v>
      </c>
      <c r="CC78" s="88">
        <f t="shared" si="173"/>
        <v>0.4881889764</v>
      </c>
      <c r="CD78" s="88">
        <f t="shared" si="173"/>
        <v>0.4393700787</v>
      </c>
      <c r="CE78" s="88">
        <f t="shared" si="173"/>
        <v>0.3994273443</v>
      </c>
      <c r="CF78" s="88">
        <f t="shared" si="173"/>
        <v>0.3661417323</v>
      </c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</row>
    <row r="79">
      <c r="A79" s="28">
        <v>4.0</v>
      </c>
      <c r="B79" s="29" t="s">
        <v>63</v>
      </c>
      <c r="C79" s="30">
        <f>COUNTIFS(
DATA!$F:$F,$B79,
DATA!$B:$B,"&gt;="&amp;DATE(2026,MONTH(C$75),DAY(C$75)),
DATA!$B:$B,"&lt;"&amp;DATE(2026,MONTH(C$75),DAY(C$75))+1
)</f>
        <v>0</v>
      </c>
      <c r="D79" s="30">
        <f>COUNTIFS(
DATA!$F:$F,$B79,
DATA!$B:$B,"&gt;="&amp;DATE(2026,MONTH(D$75),DAY(D$75)),
DATA!$B:$B,"&lt;"&amp;DATE(2026,MONTH(D$75),DAY(D$75))+1
)</f>
        <v>0</v>
      </c>
      <c r="E79" s="30">
        <f>COUNTIFS(
DATA!$F:$F,$B79,
DATA!$B:$B,"&gt;="&amp;DATE(2026,MONTH(E$75),DAY(E$75)),
DATA!$B:$B,"&lt;"&amp;DATE(2026,MONTH(E$75),DAY(E$75))+1
)</f>
        <v>0</v>
      </c>
      <c r="F79" s="30">
        <f>COUNTIFS(
DATA!$F:$F,$B79,
DATA!$B:$B,"&gt;="&amp;DATE(2026,MONTH(F$75),DAY(F$75)),
DATA!$B:$B,"&lt;"&amp;DATE(2026,MONTH(F$75),DAY(F$75))+1
)</f>
        <v>0</v>
      </c>
      <c r="G79" s="30">
        <f>COUNTIFS(
DATA!$F:$F,$B79,
DATA!$B:$B,"&gt;="&amp;DATE(2026,MONTH(G$75),DAY(G$75)),
DATA!$B:$B,"&lt;"&amp;DATE(2026,MONTH(G$75),DAY(G$75))+1
)</f>
        <v>0</v>
      </c>
      <c r="H79" s="30">
        <f>COUNTIFS(
DATA!$F:$F,$B79,
DATA!$B:$B,"&gt;="&amp;DATE(2026,MONTH(H$75),DAY(H$75)),
DATA!$B:$B,"&lt;"&amp;DATE(2026,MONTH(H$75),DAY(H$75))+1
)</f>
        <v>0</v>
      </c>
      <c r="I79" s="30">
        <f>COUNTIFS(
DATA!$F:$F,$B79,
DATA!$B:$B,"&gt;="&amp;DATE(2026,MONTH(I$75),DAY(I$75)),
DATA!$B:$B,"&lt;"&amp;DATE(2026,MONTH(I$75),DAY(I$75))+1
)</f>
        <v>0</v>
      </c>
      <c r="J79" s="30">
        <f>COUNTIFS(
DATA!$F:$F,$B79,
DATA!$B:$B,"&gt;="&amp;DATE(2026,MONTH(J$75),DAY(J$75)),
DATA!$B:$B,"&lt;"&amp;DATE(2026,MONTH(J$75),DAY(J$75))+1
)</f>
        <v>0</v>
      </c>
      <c r="K79" s="30">
        <f>COUNTIFS(
DATA!$F:$F,$B79,
DATA!$B:$B,"&gt;="&amp;DATE(2026,MONTH(K$75),DAY(K$75)),
DATA!$B:$B,"&lt;"&amp;DATE(2026,MONTH(K$75),DAY(K$75))+1
)</f>
        <v>0</v>
      </c>
      <c r="L79" s="30">
        <f>COUNTIFS(
DATA!$F:$F,$B79,
DATA!$B:$B,"&gt;="&amp;DATE(2026,MONTH(L$75),DAY(L$75)),
DATA!$B:$B,"&lt;"&amp;DATE(2026,MONTH(L$75),DAY(L$75))+1
)</f>
        <v>0</v>
      </c>
      <c r="M79" s="30">
        <f>COUNTIFS(
DATA!$F:$F,$B79,
DATA!$B:$B,"&gt;="&amp;DATE(2026,MONTH(M$75),DAY(M$75)),
DATA!$B:$B,"&lt;"&amp;DATE(2026,MONTH(M$75),DAY(M$75))+1
)</f>
        <v>0</v>
      </c>
      <c r="N79" s="30">
        <f>COUNTIFS(
DATA!$F:$F,$B79,
DATA!$B:$B,"&gt;="&amp;DATE(2026,MONTH(N$75),DAY(N$75)),
DATA!$B:$B,"&lt;"&amp;DATE(2026,MONTH(N$75),DAY(N$75))+1
)</f>
        <v>0</v>
      </c>
      <c r="O79" s="30">
        <f>COUNTIFS(
DATA!$F:$F,$B79,
DATA!$B:$B,"&gt;="&amp;DATE(2026,MONTH(O$75),DAY(O$75)),
DATA!$B:$B,"&lt;"&amp;DATE(2026,MONTH(O$75),DAY(O$75))+1
)</f>
        <v>0</v>
      </c>
      <c r="P79" s="30">
        <f>COUNTIFS(
DATA!$F:$F,$B79,
DATA!$B:$B,"&gt;="&amp;DATE(2026,MONTH(P$75),DAY(P$75)),
DATA!$B:$B,"&lt;"&amp;DATE(2026,MONTH(P$75),DAY(P$75))+1
)</f>
        <v>0</v>
      </c>
      <c r="Q79" s="30">
        <f>COUNTIFS(
DATA!$F:$F,$B79,
DATA!$B:$B,"&gt;="&amp;DATE(2026,MONTH(Q$75),DAY(Q$75)),
DATA!$B:$B,"&lt;"&amp;DATE(2026,MONTH(Q$75),DAY(Q$75))+1
)</f>
        <v>0</v>
      </c>
      <c r="R79" s="30">
        <f>COUNTIFS(
DATA!$F:$F,$B79,
DATA!$B:$B,"&gt;="&amp;DATE(2026,MONTH(R$75),DAY(R$75)),
DATA!$B:$B,"&lt;"&amp;DATE(2026,MONTH(R$75),DAY(R$75))+1
)</f>
        <v>0</v>
      </c>
      <c r="S79" s="30">
        <f>COUNTIFS(
DATA!$F:$F,$B79,
DATA!$B:$B,"&gt;="&amp;DATE(2026,MONTH(S$75),DAY(S$75)),
DATA!$B:$B,"&lt;"&amp;DATE(2026,MONTH(S$75),DAY(S$75))+1
)</f>
        <v>0</v>
      </c>
      <c r="T79" s="30">
        <f>COUNTIFS(
DATA!$F:$F,$B79,
DATA!$B:$B,"&gt;="&amp;DATE(2026,MONTH(T$75),DAY(T$75)),
DATA!$B:$B,"&lt;"&amp;DATE(2026,MONTH(T$75),DAY(T$75))+1
)</f>
        <v>0</v>
      </c>
      <c r="U79" s="30">
        <f>COUNTIFS(
DATA!$F:$F,$B79,
DATA!$B:$B,"&gt;="&amp;DATE(2026,MONTH(U$75),DAY(U$75)),
DATA!$B:$B,"&lt;"&amp;DATE(2026,MONTH(U$75),DAY(U$75))+1
)</f>
        <v>0</v>
      </c>
      <c r="V79" s="30">
        <f>COUNTIFS(
DATA!$F:$F,$B79,
DATA!$B:$B,"&gt;="&amp;DATE(2026,MONTH(V$75),DAY(V$75)),
DATA!$B:$B,"&lt;"&amp;DATE(2026,MONTH(V$75),DAY(V$75))+1
)</f>
        <v>0</v>
      </c>
      <c r="W79" s="30">
        <f>COUNTIFS(
DATA!$F:$F,$B79,
DATA!$B:$B,"&gt;="&amp;DATE(2026,MONTH(W$75),DAY(W$75)),
DATA!$B:$B,"&lt;"&amp;DATE(2026,MONTH(W$75),DAY(W$75))+1
)</f>
        <v>0</v>
      </c>
      <c r="X79" s="30">
        <f>COUNTIFS(
DATA!$F:$F,$B79,
DATA!$B:$B,"&gt;="&amp;DATE(2026,MONTH(X$75),DAY(X$75)),
DATA!$B:$B,"&lt;"&amp;DATE(2026,MONTH(X$75),DAY(X$75))+1
)</f>
        <v>0</v>
      </c>
      <c r="Y79" s="30">
        <f>COUNTIFS(
DATA!$F:$F,$B79,
DATA!$B:$B,"&gt;="&amp;DATE(2026,MONTH(Y$75),DAY(Y$75)),
DATA!$B:$B,"&lt;"&amp;DATE(2026,MONTH(Y$75),DAY(Y$75))+1
)</f>
        <v>0</v>
      </c>
      <c r="Z79" s="30">
        <f>COUNTIFS(
DATA!$F:$F,$B79,
DATA!$B:$B,"&gt;="&amp;DATE(2026,MONTH(Z$75),DAY(Z$75)),
DATA!$B:$B,"&lt;"&amp;DATE(2026,MONTH(Z$75),DAY(Z$75))+1
)</f>
        <v>0</v>
      </c>
      <c r="AA79" s="30">
        <f>COUNTIFS(
DATA!$F:$F,$B79,
DATA!$B:$B,"&gt;="&amp;DATE(2026,MONTH(AA$75),DAY(AA$75)),
DATA!$B:$B,"&lt;"&amp;DATE(2026,MONTH(AA$75),DAY(AA$75))+1
)</f>
        <v>0</v>
      </c>
      <c r="AB79" s="30">
        <f>COUNTIFS(
DATA!$F:$F,$B79,
DATA!$B:$B,"&gt;="&amp;DATE(2026,MONTH(AB$75),DAY(AB$75)),
DATA!$B:$B,"&lt;"&amp;DATE(2026,MONTH(AB$75),DAY(AB$75))+1
)</f>
        <v>0</v>
      </c>
      <c r="AC79" s="30">
        <f>COUNTIFS(
DATA!$F:$F,$B79,
DATA!$B:$B,"&gt;="&amp;DATE(2026,MONTH(AC$75),DAY(AC$75)),
DATA!$B:$B,"&lt;"&amp;DATE(2026,MONTH(AC$75),DAY(AC$75))+1
)</f>
        <v>0</v>
      </c>
      <c r="AD79" s="30">
        <f>COUNTIFS(
DATA!$F:$F,$B79,
DATA!$B:$B,"&gt;="&amp;DATE(2026,MONTH(AD$75),DAY(AD$75)),
DATA!$B:$B,"&lt;"&amp;DATE(2026,MONTH(AD$75),DAY(AD$75))+1
)</f>
        <v>0</v>
      </c>
      <c r="AE79" s="30">
        <f>COUNTIFS(
DATA!$F:$F,$B79,
DATA!$B:$B,"&gt;="&amp;DATE(2026,MONTH(AE$75),DAY(AE$75)),
DATA!$B:$B,"&lt;"&amp;DATE(2026,MONTH(AE$75),DAY(AE$75))+1
)</f>
        <v>0</v>
      </c>
      <c r="AF79" s="30">
        <f>COUNTIFS(
DATA!$F:$F,$B79,
DATA!$B:$B,"&gt;="&amp;DATE(2026,MONTH(AF$75),DAY(AF$75)),
DATA!$B:$B,"&lt;"&amp;DATE(2026,MONTH(AF$75),DAY(AF$75))+1
)</f>
        <v>0</v>
      </c>
      <c r="AG79" s="30">
        <f>COUNTIFS(
DATA!$F:$F,$B79,
DATA!$B:$B,"&gt;="&amp;DATE(2026,MONTH(AG$75),DAY(AG$75)),
DATA!$B:$B,"&lt;"&amp;DATE(2026,MONTH(AG$75),DAY(AG$75))+1
)</f>
        <v>0</v>
      </c>
      <c r="AH79" s="31">
        <f t="shared" si="166"/>
        <v>0</v>
      </c>
      <c r="AI79" s="7"/>
      <c r="AJ79" s="30">
        <v>4.0</v>
      </c>
      <c r="AK79" s="32" t="s">
        <v>63</v>
      </c>
      <c r="AL79" s="41">
        <f t="shared" si="167"/>
        <v>0</v>
      </c>
      <c r="AM79" s="30">
        <f t="shared" si="171"/>
        <v>0</v>
      </c>
      <c r="AN79" s="30">
        <f t="shared" ref="AN79:BO79" si="174">SUM($C79:E79)</f>
        <v>0</v>
      </c>
      <c r="AO79" s="30">
        <f t="shared" si="174"/>
        <v>0</v>
      </c>
      <c r="AP79" s="30">
        <f t="shared" si="174"/>
        <v>0</v>
      </c>
      <c r="AQ79" s="30">
        <f t="shared" si="174"/>
        <v>0</v>
      </c>
      <c r="AR79" s="30">
        <f t="shared" si="174"/>
        <v>0</v>
      </c>
      <c r="AS79" s="30">
        <f t="shared" si="174"/>
        <v>0</v>
      </c>
      <c r="AT79" s="30">
        <f t="shared" si="174"/>
        <v>0</v>
      </c>
      <c r="AU79" s="30">
        <f t="shared" si="174"/>
        <v>0</v>
      </c>
      <c r="AV79" s="30">
        <f t="shared" si="174"/>
        <v>0</v>
      </c>
      <c r="AW79" s="30">
        <f t="shared" si="174"/>
        <v>0</v>
      </c>
      <c r="AX79" s="30">
        <f t="shared" si="174"/>
        <v>0</v>
      </c>
      <c r="AY79" s="30">
        <f t="shared" si="174"/>
        <v>0</v>
      </c>
      <c r="AZ79" s="30">
        <f t="shared" si="174"/>
        <v>0</v>
      </c>
      <c r="BA79" s="30">
        <f t="shared" si="174"/>
        <v>0</v>
      </c>
      <c r="BB79" s="30">
        <f t="shared" si="174"/>
        <v>0</v>
      </c>
      <c r="BC79" s="30">
        <f t="shared" si="174"/>
        <v>0</v>
      </c>
      <c r="BD79" s="30">
        <f t="shared" si="174"/>
        <v>0</v>
      </c>
      <c r="BE79" s="30">
        <f t="shared" si="174"/>
        <v>0</v>
      </c>
      <c r="BF79" s="30">
        <f t="shared" si="174"/>
        <v>0</v>
      </c>
      <c r="BG79" s="30">
        <f t="shared" si="174"/>
        <v>0</v>
      </c>
      <c r="BH79" s="30">
        <f t="shared" si="174"/>
        <v>0</v>
      </c>
      <c r="BI79" s="30">
        <f t="shared" si="174"/>
        <v>0</v>
      </c>
      <c r="BJ79" s="30">
        <f t="shared" si="174"/>
        <v>0</v>
      </c>
      <c r="BK79" s="30">
        <f t="shared" si="174"/>
        <v>0</v>
      </c>
      <c r="BL79" s="30">
        <f t="shared" si="174"/>
        <v>0</v>
      </c>
      <c r="BM79" s="30">
        <f t="shared" si="174"/>
        <v>0</v>
      </c>
      <c r="BN79" s="30">
        <f t="shared" si="174"/>
        <v>0</v>
      </c>
      <c r="BO79" s="30">
        <f t="shared" si="174"/>
        <v>0</v>
      </c>
      <c r="BP79" s="41"/>
      <c r="BQ79" s="85" t="str">
        <f t="shared" si="169"/>
        <v/>
      </c>
      <c r="BR79" s="7"/>
      <c r="BS79" s="28">
        <v>4.0</v>
      </c>
      <c r="BT79" s="29" t="s">
        <v>63</v>
      </c>
      <c r="BU79" s="88">
        <f t="shared" ref="BU79:CF79" si="175">BU51/BU23</f>
        <v>1.580645161</v>
      </c>
      <c r="BV79" s="88">
        <f t="shared" si="175"/>
        <v>1.5</v>
      </c>
      <c r="BW79" s="88">
        <f t="shared" si="175"/>
        <v>1.430107527</v>
      </c>
      <c r="BX79" s="88">
        <f t="shared" si="175"/>
        <v>1.338709677</v>
      </c>
      <c r="BY79" s="88">
        <f t="shared" si="175"/>
        <v>1.070967742</v>
      </c>
      <c r="BZ79" s="88">
        <f t="shared" si="175"/>
        <v>0.8924731183</v>
      </c>
      <c r="CA79" s="88">
        <f t="shared" si="175"/>
        <v>0.7649769585</v>
      </c>
      <c r="CB79" s="88">
        <f t="shared" si="175"/>
        <v>0.6693548387</v>
      </c>
      <c r="CC79" s="88">
        <f t="shared" si="175"/>
        <v>0.5949820789</v>
      </c>
      <c r="CD79" s="88">
        <f t="shared" si="175"/>
        <v>0.535483871</v>
      </c>
      <c r="CE79" s="88">
        <f t="shared" si="175"/>
        <v>0.4868035191</v>
      </c>
      <c r="CF79" s="88">
        <f t="shared" si="175"/>
        <v>0.4462365591</v>
      </c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</row>
    <row r="80">
      <c r="A80" s="28">
        <v>5.0</v>
      </c>
      <c r="B80" s="29" t="s">
        <v>64</v>
      </c>
      <c r="C80" s="30">
        <f>COUNTIFS(
DATA!$F:$F,$B80,
DATA!$B:$B,"&gt;="&amp;DATE(2026,MONTH(C$75),DAY(C$75)),
DATA!$B:$B,"&lt;"&amp;DATE(2026,MONTH(C$75),DAY(C$75))+1
)</f>
        <v>0</v>
      </c>
      <c r="D80" s="30">
        <f>COUNTIFS(
DATA!$F:$F,$B80,
DATA!$B:$B,"&gt;="&amp;DATE(2026,MONTH(D$75),DAY(D$75)),
DATA!$B:$B,"&lt;"&amp;DATE(2026,MONTH(D$75),DAY(D$75))+1
)</f>
        <v>0</v>
      </c>
      <c r="E80" s="30">
        <f>COUNTIFS(
DATA!$F:$F,$B80,
DATA!$B:$B,"&gt;="&amp;DATE(2026,MONTH(E$75),DAY(E$75)),
DATA!$B:$B,"&lt;"&amp;DATE(2026,MONTH(E$75),DAY(E$75))+1
)</f>
        <v>0</v>
      </c>
      <c r="F80" s="30">
        <f>COUNTIFS(
DATA!$F:$F,$B80,
DATA!$B:$B,"&gt;="&amp;DATE(2026,MONTH(F$75),DAY(F$75)),
DATA!$B:$B,"&lt;"&amp;DATE(2026,MONTH(F$75),DAY(F$75))+1
)</f>
        <v>0</v>
      </c>
      <c r="G80" s="30">
        <f>COUNTIFS(
DATA!$F:$F,$B80,
DATA!$B:$B,"&gt;="&amp;DATE(2026,MONTH(G$75),DAY(G$75)),
DATA!$B:$B,"&lt;"&amp;DATE(2026,MONTH(G$75),DAY(G$75))+1
)</f>
        <v>0</v>
      </c>
      <c r="H80" s="30">
        <f>COUNTIFS(
DATA!$F:$F,$B80,
DATA!$B:$B,"&gt;="&amp;DATE(2026,MONTH(H$75),DAY(H$75)),
DATA!$B:$B,"&lt;"&amp;DATE(2026,MONTH(H$75),DAY(H$75))+1
)</f>
        <v>0</v>
      </c>
      <c r="I80" s="30">
        <f>COUNTIFS(
DATA!$F:$F,$B80,
DATA!$B:$B,"&gt;="&amp;DATE(2026,MONTH(I$75),DAY(I$75)),
DATA!$B:$B,"&lt;"&amp;DATE(2026,MONTH(I$75),DAY(I$75))+1
)</f>
        <v>0</v>
      </c>
      <c r="J80" s="30">
        <f>COUNTIFS(
DATA!$F:$F,$B80,
DATA!$B:$B,"&gt;="&amp;DATE(2026,MONTH(J$75),DAY(J$75)),
DATA!$B:$B,"&lt;"&amp;DATE(2026,MONTH(J$75),DAY(J$75))+1
)</f>
        <v>0</v>
      </c>
      <c r="K80" s="30">
        <f>COUNTIFS(
DATA!$F:$F,$B80,
DATA!$B:$B,"&gt;="&amp;DATE(2026,MONTH(K$75),DAY(K$75)),
DATA!$B:$B,"&lt;"&amp;DATE(2026,MONTH(K$75),DAY(K$75))+1
)</f>
        <v>0</v>
      </c>
      <c r="L80" s="30">
        <f>COUNTIFS(
DATA!$F:$F,$B80,
DATA!$B:$B,"&gt;="&amp;DATE(2026,MONTH(L$75),DAY(L$75)),
DATA!$B:$B,"&lt;"&amp;DATE(2026,MONTH(L$75),DAY(L$75))+1
)</f>
        <v>0</v>
      </c>
      <c r="M80" s="30">
        <f>COUNTIFS(
DATA!$F:$F,$B80,
DATA!$B:$B,"&gt;="&amp;DATE(2026,MONTH(M$75),DAY(M$75)),
DATA!$B:$B,"&lt;"&amp;DATE(2026,MONTH(M$75),DAY(M$75))+1
)</f>
        <v>0</v>
      </c>
      <c r="N80" s="30">
        <f>COUNTIFS(
DATA!$F:$F,$B80,
DATA!$B:$B,"&gt;="&amp;DATE(2026,MONTH(N$75),DAY(N$75)),
DATA!$B:$B,"&lt;"&amp;DATE(2026,MONTH(N$75),DAY(N$75))+1
)</f>
        <v>0</v>
      </c>
      <c r="O80" s="30">
        <f>COUNTIFS(
DATA!$F:$F,$B80,
DATA!$B:$B,"&gt;="&amp;DATE(2026,MONTH(O$75),DAY(O$75)),
DATA!$B:$B,"&lt;"&amp;DATE(2026,MONTH(O$75),DAY(O$75))+1
)</f>
        <v>0</v>
      </c>
      <c r="P80" s="30">
        <f>COUNTIFS(
DATA!$F:$F,$B80,
DATA!$B:$B,"&gt;="&amp;DATE(2026,MONTH(P$75),DAY(P$75)),
DATA!$B:$B,"&lt;"&amp;DATE(2026,MONTH(P$75),DAY(P$75))+1
)</f>
        <v>0</v>
      </c>
      <c r="Q80" s="30">
        <f>COUNTIFS(
DATA!$F:$F,$B80,
DATA!$B:$B,"&gt;="&amp;DATE(2026,MONTH(Q$75),DAY(Q$75)),
DATA!$B:$B,"&lt;"&amp;DATE(2026,MONTH(Q$75),DAY(Q$75))+1
)</f>
        <v>0</v>
      </c>
      <c r="R80" s="30">
        <f>COUNTIFS(
DATA!$F:$F,$B80,
DATA!$B:$B,"&gt;="&amp;DATE(2026,MONTH(R$75),DAY(R$75)),
DATA!$B:$B,"&lt;"&amp;DATE(2026,MONTH(R$75),DAY(R$75))+1
)</f>
        <v>0</v>
      </c>
      <c r="S80" s="30">
        <f>COUNTIFS(
DATA!$F:$F,$B80,
DATA!$B:$B,"&gt;="&amp;DATE(2026,MONTH(S$75),DAY(S$75)),
DATA!$B:$B,"&lt;"&amp;DATE(2026,MONTH(S$75),DAY(S$75))+1
)</f>
        <v>0</v>
      </c>
      <c r="T80" s="30">
        <f>COUNTIFS(
DATA!$F:$F,$B80,
DATA!$B:$B,"&gt;="&amp;DATE(2026,MONTH(T$75),DAY(T$75)),
DATA!$B:$B,"&lt;"&amp;DATE(2026,MONTH(T$75),DAY(T$75))+1
)</f>
        <v>0</v>
      </c>
      <c r="U80" s="30">
        <f>COUNTIFS(
DATA!$F:$F,$B80,
DATA!$B:$B,"&gt;="&amp;DATE(2026,MONTH(U$75),DAY(U$75)),
DATA!$B:$B,"&lt;"&amp;DATE(2026,MONTH(U$75),DAY(U$75))+1
)</f>
        <v>0</v>
      </c>
      <c r="V80" s="30">
        <f>COUNTIFS(
DATA!$F:$F,$B80,
DATA!$B:$B,"&gt;="&amp;DATE(2026,MONTH(V$75),DAY(V$75)),
DATA!$B:$B,"&lt;"&amp;DATE(2026,MONTH(V$75),DAY(V$75))+1
)</f>
        <v>0</v>
      </c>
      <c r="W80" s="30">
        <f>COUNTIFS(
DATA!$F:$F,$B80,
DATA!$B:$B,"&gt;="&amp;DATE(2026,MONTH(W$75),DAY(W$75)),
DATA!$B:$B,"&lt;"&amp;DATE(2026,MONTH(W$75),DAY(W$75))+1
)</f>
        <v>0</v>
      </c>
      <c r="X80" s="30">
        <f>COUNTIFS(
DATA!$F:$F,$B80,
DATA!$B:$B,"&gt;="&amp;DATE(2026,MONTH(X$75),DAY(X$75)),
DATA!$B:$B,"&lt;"&amp;DATE(2026,MONTH(X$75),DAY(X$75))+1
)</f>
        <v>0</v>
      </c>
      <c r="Y80" s="30">
        <f>COUNTIFS(
DATA!$F:$F,$B80,
DATA!$B:$B,"&gt;="&amp;DATE(2026,MONTH(Y$75),DAY(Y$75)),
DATA!$B:$B,"&lt;"&amp;DATE(2026,MONTH(Y$75),DAY(Y$75))+1
)</f>
        <v>0</v>
      </c>
      <c r="Z80" s="30">
        <f>COUNTIFS(
DATA!$F:$F,$B80,
DATA!$B:$B,"&gt;="&amp;DATE(2026,MONTH(Z$75),DAY(Z$75)),
DATA!$B:$B,"&lt;"&amp;DATE(2026,MONTH(Z$75),DAY(Z$75))+1
)</f>
        <v>0</v>
      </c>
      <c r="AA80" s="30">
        <f>COUNTIFS(
DATA!$F:$F,$B80,
DATA!$B:$B,"&gt;="&amp;DATE(2026,MONTH(AA$75),DAY(AA$75)),
DATA!$B:$B,"&lt;"&amp;DATE(2026,MONTH(AA$75),DAY(AA$75))+1
)</f>
        <v>0</v>
      </c>
      <c r="AB80" s="30">
        <f>COUNTIFS(
DATA!$F:$F,$B80,
DATA!$B:$B,"&gt;="&amp;DATE(2026,MONTH(AB$75),DAY(AB$75)),
DATA!$B:$B,"&lt;"&amp;DATE(2026,MONTH(AB$75),DAY(AB$75))+1
)</f>
        <v>0</v>
      </c>
      <c r="AC80" s="30">
        <f>COUNTIFS(
DATA!$F:$F,$B80,
DATA!$B:$B,"&gt;="&amp;DATE(2026,MONTH(AC$75),DAY(AC$75)),
DATA!$B:$B,"&lt;"&amp;DATE(2026,MONTH(AC$75),DAY(AC$75))+1
)</f>
        <v>0</v>
      </c>
      <c r="AD80" s="30">
        <f>COUNTIFS(
DATA!$F:$F,$B80,
DATA!$B:$B,"&gt;="&amp;DATE(2026,MONTH(AD$75),DAY(AD$75)),
DATA!$B:$B,"&lt;"&amp;DATE(2026,MONTH(AD$75),DAY(AD$75))+1
)</f>
        <v>0</v>
      </c>
      <c r="AE80" s="30">
        <f>COUNTIFS(
DATA!$F:$F,$B80,
DATA!$B:$B,"&gt;="&amp;DATE(2026,MONTH(AE$75),DAY(AE$75)),
DATA!$B:$B,"&lt;"&amp;DATE(2026,MONTH(AE$75),DAY(AE$75))+1
)</f>
        <v>0</v>
      </c>
      <c r="AF80" s="30">
        <f>COUNTIFS(
DATA!$F:$F,$B80,
DATA!$B:$B,"&gt;="&amp;DATE(2026,MONTH(AF$75),DAY(AF$75)),
DATA!$B:$B,"&lt;"&amp;DATE(2026,MONTH(AF$75),DAY(AF$75))+1
)</f>
        <v>0</v>
      </c>
      <c r="AG80" s="30">
        <f>COUNTIFS(
DATA!$F:$F,$B80,
DATA!$B:$B,"&gt;="&amp;DATE(2026,MONTH(AG$75),DAY(AG$75)),
DATA!$B:$B,"&lt;"&amp;DATE(2026,MONTH(AG$75),DAY(AG$75))+1
)</f>
        <v>0</v>
      </c>
      <c r="AH80" s="31">
        <f t="shared" si="166"/>
        <v>0</v>
      </c>
      <c r="AI80" s="7"/>
      <c r="AJ80" s="30">
        <v>5.0</v>
      </c>
      <c r="AK80" s="32" t="s">
        <v>64</v>
      </c>
      <c r="AL80" s="41">
        <f t="shared" si="167"/>
        <v>0</v>
      </c>
      <c r="AM80" s="30">
        <f t="shared" si="171"/>
        <v>0</v>
      </c>
      <c r="AN80" s="30">
        <f t="shared" ref="AN80:BO80" si="176">SUM($C80:E80)</f>
        <v>0</v>
      </c>
      <c r="AO80" s="30">
        <f t="shared" si="176"/>
        <v>0</v>
      </c>
      <c r="AP80" s="30">
        <f t="shared" si="176"/>
        <v>0</v>
      </c>
      <c r="AQ80" s="30">
        <f t="shared" si="176"/>
        <v>0</v>
      </c>
      <c r="AR80" s="30">
        <f t="shared" si="176"/>
        <v>0</v>
      </c>
      <c r="AS80" s="30">
        <f t="shared" si="176"/>
        <v>0</v>
      </c>
      <c r="AT80" s="30">
        <f t="shared" si="176"/>
        <v>0</v>
      </c>
      <c r="AU80" s="30">
        <f t="shared" si="176"/>
        <v>0</v>
      </c>
      <c r="AV80" s="30">
        <f t="shared" si="176"/>
        <v>0</v>
      </c>
      <c r="AW80" s="30">
        <f t="shared" si="176"/>
        <v>0</v>
      </c>
      <c r="AX80" s="30">
        <f t="shared" si="176"/>
        <v>0</v>
      </c>
      <c r="AY80" s="30">
        <f t="shared" si="176"/>
        <v>0</v>
      </c>
      <c r="AZ80" s="30">
        <f t="shared" si="176"/>
        <v>0</v>
      </c>
      <c r="BA80" s="30">
        <f t="shared" si="176"/>
        <v>0</v>
      </c>
      <c r="BB80" s="30">
        <f t="shared" si="176"/>
        <v>0</v>
      </c>
      <c r="BC80" s="30">
        <f t="shared" si="176"/>
        <v>0</v>
      </c>
      <c r="BD80" s="30">
        <f t="shared" si="176"/>
        <v>0</v>
      </c>
      <c r="BE80" s="30">
        <f t="shared" si="176"/>
        <v>0</v>
      </c>
      <c r="BF80" s="30">
        <f t="shared" si="176"/>
        <v>0</v>
      </c>
      <c r="BG80" s="30">
        <f t="shared" si="176"/>
        <v>0</v>
      </c>
      <c r="BH80" s="30">
        <f t="shared" si="176"/>
        <v>0</v>
      </c>
      <c r="BI80" s="30">
        <f t="shared" si="176"/>
        <v>0</v>
      </c>
      <c r="BJ80" s="30">
        <f t="shared" si="176"/>
        <v>0</v>
      </c>
      <c r="BK80" s="30">
        <f t="shared" si="176"/>
        <v>0</v>
      </c>
      <c r="BL80" s="30">
        <f t="shared" si="176"/>
        <v>0</v>
      </c>
      <c r="BM80" s="30">
        <f t="shared" si="176"/>
        <v>0</v>
      </c>
      <c r="BN80" s="30">
        <f t="shared" si="176"/>
        <v>0</v>
      </c>
      <c r="BO80" s="30">
        <f t="shared" si="176"/>
        <v>0</v>
      </c>
      <c r="BP80" s="41"/>
      <c r="BQ80" s="85" t="str">
        <f t="shared" si="169"/>
        <v/>
      </c>
      <c r="BR80" s="7"/>
      <c r="BS80" s="28">
        <v>5.0</v>
      </c>
      <c r="BT80" s="29" t="s">
        <v>64</v>
      </c>
      <c r="BU80" s="88">
        <f t="shared" ref="BU80:CF80" si="177">BU52/BU24</f>
        <v>0.8920056101</v>
      </c>
      <c r="BV80" s="88">
        <f t="shared" si="177"/>
        <v>0.9004207574</v>
      </c>
      <c r="BW80" s="88">
        <f t="shared" si="177"/>
        <v>1.122019635</v>
      </c>
      <c r="BX80" s="88">
        <f t="shared" si="177"/>
        <v>1.07713885</v>
      </c>
      <c r="BY80" s="88">
        <f t="shared" si="177"/>
        <v>0.8617110799</v>
      </c>
      <c r="BZ80" s="88">
        <f t="shared" si="177"/>
        <v>0.7180925666</v>
      </c>
      <c r="CA80" s="88">
        <f t="shared" si="177"/>
        <v>0.6155079142</v>
      </c>
      <c r="CB80" s="88">
        <f t="shared" si="177"/>
        <v>0.538569425</v>
      </c>
      <c r="CC80" s="88">
        <f t="shared" si="177"/>
        <v>0.4787283777</v>
      </c>
      <c r="CD80" s="88">
        <f t="shared" si="177"/>
        <v>0.43085554</v>
      </c>
      <c r="CE80" s="88">
        <f t="shared" si="177"/>
        <v>0.3916868545</v>
      </c>
      <c r="CF80" s="88">
        <f t="shared" si="177"/>
        <v>0.3590462833</v>
      </c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</row>
    <row r="81">
      <c r="A81" s="28">
        <v>6.0</v>
      </c>
      <c r="B81" s="29" t="s">
        <v>66</v>
      </c>
      <c r="C81" s="30">
        <f>COUNTIFS(
DATA!$F:$F,$B81,
DATA!$B:$B,"&gt;="&amp;DATE(2026,MONTH(C$75),DAY(C$75)),
DATA!$B:$B,"&lt;"&amp;DATE(2026,MONTH(C$75),DAY(C$75))+1
)</f>
        <v>0</v>
      </c>
      <c r="D81" s="30">
        <f>COUNTIFS(
DATA!$F:$F,$B81,
DATA!$B:$B,"&gt;="&amp;DATE(2026,MONTH(D$75),DAY(D$75)),
DATA!$B:$B,"&lt;"&amp;DATE(2026,MONTH(D$75),DAY(D$75))+1
)</f>
        <v>0</v>
      </c>
      <c r="E81" s="30">
        <f>COUNTIFS(
DATA!$F:$F,$B81,
DATA!$B:$B,"&gt;="&amp;DATE(2026,MONTH(E$75),DAY(E$75)),
DATA!$B:$B,"&lt;"&amp;DATE(2026,MONTH(E$75),DAY(E$75))+1
)</f>
        <v>0</v>
      </c>
      <c r="F81" s="30">
        <f>COUNTIFS(
DATA!$F:$F,$B81,
DATA!$B:$B,"&gt;="&amp;DATE(2026,MONTH(F$75),DAY(F$75)),
DATA!$B:$B,"&lt;"&amp;DATE(2026,MONTH(F$75),DAY(F$75))+1
)</f>
        <v>0</v>
      </c>
      <c r="G81" s="30">
        <f>COUNTIFS(
DATA!$F:$F,$B81,
DATA!$B:$B,"&gt;="&amp;DATE(2026,MONTH(G$75),DAY(G$75)),
DATA!$B:$B,"&lt;"&amp;DATE(2026,MONTH(G$75),DAY(G$75))+1
)</f>
        <v>0</v>
      </c>
      <c r="H81" s="30">
        <f>COUNTIFS(
DATA!$F:$F,$B81,
DATA!$B:$B,"&gt;="&amp;DATE(2026,MONTH(H$75),DAY(H$75)),
DATA!$B:$B,"&lt;"&amp;DATE(2026,MONTH(H$75),DAY(H$75))+1
)</f>
        <v>0</v>
      </c>
      <c r="I81" s="30">
        <f>COUNTIFS(
DATA!$F:$F,$B81,
DATA!$B:$B,"&gt;="&amp;DATE(2026,MONTH(I$75),DAY(I$75)),
DATA!$B:$B,"&lt;"&amp;DATE(2026,MONTH(I$75),DAY(I$75))+1
)</f>
        <v>0</v>
      </c>
      <c r="J81" s="30">
        <f>COUNTIFS(
DATA!$F:$F,$B81,
DATA!$B:$B,"&gt;="&amp;DATE(2026,MONTH(J$75),DAY(J$75)),
DATA!$B:$B,"&lt;"&amp;DATE(2026,MONTH(J$75),DAY(J$75))+1
)</f>
        <v>0</v>
      </c>
      <c r="K81" s="30">
        <f>COUNTIFS(
DATA!$F:$F,$B81,
DATA!$B:$B,"&gt;="&amp;DATE(2026,MONTH(K$75),DAY(K$75)),
DATA!$B:$B,"&lt;"&amp;DATE(2026,MONTH(K$75),DAY(K$75))+1
)</f>
        <v>0</v>
      </c>
      <c r="L81" s="30">
        <f>COUNTIFS(
DATA!$F:$F,$B81,
DATA!$B:$B,"&gt;="&amp;DATE(2026,MONTH(L$75),DAY(L$75)),
DATA!$B:$B,"&lt;"&amp;DATE(2026,MONTH(L$75),DAY(L$75))+1
)</f>
        <v>0</v>
      </c>
      <c r="M81" s="30">
        <f>COUNTIFS(
DATA!$F:$F,$B81,
DATA!$B:$B,"&gt;="&amp;DATE(2026,MONTH(M$75),DAY(M$75)),
DATA!$B:$B,"&lt;"&amp;DATE(2026,MONTH(M$75),DAY(M$75))+1
)</f>
        <v>0</v>
      </c>
      <c r="N81" s="30">
        <f>COUNTIFS(
DATA!$F:$F,$B81,
DATA!$B:$B,"&gt;="&amp;DATE(2026,MONTH(N$75),DAY(N$75)),
DATA!$B:$B,"&lt;"&amp;DATE(2026,MONTH(N$75),DAY(N$75))+1
)</f>
        <v>0</v>
      </c>
      <c r="O81" s="30">
        <f>COUNTIFS(
DATA!$F:$F,$B81,
DATA!$B:$B,"&gt;="&amp;DATE(2026,MONTH(O$75),DAY(O$75)),
DATA!$B:$B,"&lt;"&amp;DATE(2026,MONTH(O$75),DAY(O$75))+1
)</f>
        <v>0</v>
      </c>
      <c r="P81" s="30">
        <f>COUNTIFS(
DATA!$F:$F,$B81,
DATA!$B:$B,"&gt;="&amp;DATE(2026,MONTH(P$75),DAY(P$75)),
DATA!$B:$B,"&lt;"&amp;DATE(2026,MONTH(P$75),DAY(P$75))+1
)</f>
        <v>0</v>
      </c>
      <c r="Q81" s="30">
        <f>COUNTIFS(
DATA!$F:$F,$B81,
DATA!$B:$B,"&gt;="&amp;DATE(2026,MONTH(Q$75),DAY(Q$75)),
DATA!$B:$B,"&lt;"&amp;DATE(2026,MONTH(Q$75),DAY(Q$75))+1
)</f>
        <v>0</v>
      </c>
      <c r="R81" s="30">
        <f>COUNTIFS(
DATA!$F:$F,$B81,
DATA!$B:$B,"&gt;="&amp;DATE(2026,MONTH(R$75),DAY(R$75)),
DATA!$B:$B,"&lt;"&amp;DATE(2026,MONTH(R$75),DAY(R$75))+1
)</f>
        <v>0</v>
      </c>
      <c r="S81" s="30">
        <f>COUNTIFS(
DATA!$F:$F,$B81,
DATA!$B:$B,"&gt;="&amp;DATE(2026,MONTH(S$75),DAY(S$75)),
DATA!$B:$B,"&lt;"&amp;DATE(2026,MONTH(S$75),DAY(S$75))+1
)</f>
        <v>0</v>
      </c>
      <c r="T81" s="30">
        <f>COUNTIFS(
DATA!$F:$F,$B81,
DATA!$B:$B,"&gt;="&amp;DATE(2026,MONTH(T$75),DAY(T$75)),
DATA!$B:$B,"&lt;"&amp;DATE(2026,MONTH(T$75),DAY(T$75))+1
)</f>
        <v>0</v>
      </c>
      <c r="U81" s="30">
        <f>COUNTIFS(
DATA!$F:$F,$B81,
DATA!$B:$B,"&gt;="&amp;DATE(2026,MONTH(U$75),DAY(U$75)),
DATA!$B:$B,"&lt;"&amp;DATE(2026,MONTH(U$75),DAY(U$75))+1
)</f>
        <v>0</v>
      </c>
      <c r="V81" s="30">
        <f>COUNTIFS(
DATA!$F:$F,$B81,
DATA!$B:$B,"&gt;="&amp;DATE(2026,MONTH(V$75),DAY(V$75)),
DATA!$B:$B,"&lt;"&amp;DATE(2026,MONTH(V$75),DAY(V$75))+1
)</f>
        <v>0</v>
      </c>
      <c r="W81" s="30">
        <f>COUNTIFS(
DATA!$F:$F,$B81,
DATA!$B:$B,"&gt;="&amp;DATE(2026,MONTH(W$75),DAY(W$75)),
DATA!$B:$B,"&lt;"&amp;DATE(2026,MONTH(W$75),DAY(W$75))+1
)</f>
        <v>0</v>
      </c>
      <c r="X81" s="30">
        <f>COUNTIFS(
DATA!$F:$F,$B81,
DATA!$B:$B,"&gt;="&amp;DATE(2026,MONTH(X$75),DAY(X$75)),
DATA!$B:$B,"&lt;"&amp;DATE(2026,MONTH(X$75),DAY(X$75))+1
)</f>
        <v>0</v>
      </c>
      <c r="Y81" s="30">
        <f>COUNTIFS(
DATA!$F:$F,$B81,
DATA!$B:$B,"&gt;="&amp;DATE(2026,MONTH(Y$75),DAY(Y$75)),
DATA!$B:$B,"&lt;"&amp;DATE(2026,MONTH(Y$75),DAY(Y$75))+1
)</f>
        <v>0</v>
      </c>
      <c r="Z81" s="30">
        <f>COUNTIFS(
DATA!$F:$F,$B81,
DATA!$B:$B,"&gt;="&amp;DATE(2026,MONTH(Z$75),DAY(Z$75)),
DATA!$B:$B,"&lt;"&amp;DATE(2026,MONTH(Z$75),DAY(Z$75))+1
)</f>
        <v>0</v>
      </c>
      <c r="AA81" s="30">
        <f>COUNTIFS(
DATA!$F:$F,$B81,
DATA!$B:$B,"&gt;="&amp;DATE(2026,MONTH(AA$75),DAY(AA$75)),
DATA!$B:$B,"&lt;"&amp;DATE(2026,MONTH(AA$75),DAY(AA$75))+1
)</f>
        <v>0</v>
      </c>
      <c r="AB81" s="30">
        <f>COUNTIFS(
DATA!$F:$F,$B81,
DATA!$B:$B,"&gt;="&amp;DATE(2026,MONTH(AB$75),DAY(AB$75)),
DATA!$B:$B,"&lt;"&amp;DATE(2026,MONTH(AB$75),DAY(AB$75))+1
)</f>
        <v>0</v>
      </c>
      <c r="AC81" s="30">
        <f>COUNTIFS(
DATA!$F:$F,$B81,
DATA!$B:$B,"&gt;="&amp;DATE(2026,MONTH(AC$75),DAY(AC$75)),
DATA!$B:$B,"&lt;"&amp;DATE(2026,MONTH(AC$75),DAY(AC$75))+1
)</f>
        <v>0</v>
      </c>
      <c r="AD81" s="30">
        <f>COUNTIFS(
DATA!$F:$F,$B81,
DATA!$B:$B,"&gt;="&amp;DATE(2026,MONTH(AD$75),DAY(AD$75)),
DATA!$B:$B,"&lt;"&amp;DATE(2026,MONTH(AD$75),DAY(AD$75))+1
)</f>
        <v>0</v>
      </c>
      <c r="AE81" s="30">
        <f>COUNTIFS(
DATA!$F:$F,$B81,
DATA!$B:$B,"&gt;="&amp;DATE(2026,MONTH(AE$75),DAY(AE$75)),
DATA!$B:$B,"&lt;"&amp;DATE(2026,MONTH(AE$75),DAY(AE$75))+1
)</f>
        <v>0</v>
      </c>
      <c r="AF81" s="30">
        <f>COUNTIFS(
DATA!$F:$F,$B81,
DATA!$B:$B,"&gt;="&amp;DATE(2026,MONTH(AF$75),DAY(AF$75)),
DATA!$B:$B,"&lt;"&amp;DATE(2026,MONTH(AF$75),DAY(AF$75))+1
)</f>
        <v>0</v>
      </c>
      <c r="AG81" s="30">
        <f>COUNTIFS(
DATA!$F:$F,$B81,
DATA!$B:$B,"&gt;="&amp;DATE(2026,MONTH(AG$75),DAY(AG$75)),
DATA!$B:$B,"&lt;"&amp;DATE(2026,MONTH(AG$75),DAY(AG$75))+1
)</f>
        <v>0</v>
      </c>
      <c r="AH81" s="31">
        <f t="shared" si="166"/>
        <v>0</v>
      </c>
      <c r="AI81" s="7"/>
      <c r="AJ81" s="30">
        <v>6.0</v>
      </c>
      <c r="AK81" s="32" t="s">
        <v>66</v>
      </c>
      <c r="AL81" s="41">
        <f t="shared" si="167"/>
        <v>0</v>
      </c>
      <c r="AM81" s="30">
        <f t="shared" si="171"/>
        <v>0</v>
      </c>
      <c r="AN81" s="30">
        <f t="shared" ref="AN81:BO81" si="178">SUM($C81:E81)</f>
        <v>0</v>
      </c>
      <c r="AO81" s="30">
        <f t="shared" si="178"/>
        <v>0</v>
      </c>
      <c r="AP81" s="30">
        <f t="shared" si="178"/>
        <v>0</v>
      </c>
      <c r="AQ81" s="30">
        <f t="shared" si="178"/>
        <v>0</v>
      </c>
      <c r="AR81" s="30">
        <f t="shared" si="178"/>
        <v>0</v>
      </c>
      <c r="AS81" s="30">
        <f t="shared" si="178"/>
        <v>0</v>
      </c>
      <c r="AT81" s="30">
        <f t="shared" si="178"/>
        <v>0</v>
      </c>
      <c r="AU81" s="30">
        <f t="shared" si="178"/>
        <v>0</v>
      </c>
      <c r="AV81" s="30">
        <f t="shared" si="178"/>
        <v>0</v>
      </c>
      <c r="AW81" s="30">
        <f t="shared" si="178"/>
        <v>0</v>
      </c>
      <c r="AX81" s="30">
        <f t="shared" si="178"/>
        <v>0</v>
      </c>
      <c r="AY81" s="30">
        <f t="shared" si="178"/>
        <v>0</v>
      </c>
      <c r="AZ81" s="30">
        <f t="shared" si="178"/>
        <v>0</v>
      </c>
      <c r="BA81" s="30">
        <f t="shared" si="178"/>
        <v>0</v>
      </c>
      <c r="BB81" s="30">
        <f t="shared" si="178"/>
        <v>0</v>
      </c>
      <c r="BC81" s="30">
        <f t="shared" si="178"/>
        <v>0</v>
      </c>
      <c r="BD81" s="30">
        <f t="shared" si="178"/>
        <v>0</v>
      </c>
      <c r="BE81" s="30">
        <f t="shared" si="178"/>
        <v>0</v>
      </c>
      <c r="BF81" s="30">
        <f t="shared" si="178"/>
        <v>0</v>
      </c>
      <c r="BG81" s="30">
        <f t="shared" si="178"/>
        <v>0</v>
      </c>
      <c r="BH81" s="30">
        <f t="shared" si="178"/>
        <v>0</v>
      </c>
      <c r="BI81" s="30">
        <f t="shared" si="178"/>
        <v>0</v>
      </c>
      <c r="BJ81" s="30">
        <f t="shared" si="178"/>
        <v>0</v>
      </c>
      <c r="BK81" s="30">
        <f t="shared" si="178"/>
        <v>0</v>
      </c>
      <c r="BL81" s="30">
        <f t="shared" si="178"/>
        <v>0</v>
      </c>
      <c r="BM81" s="30">
        <f t="shared" si="178"/>
        <v>0</v>
      </c>
      <c r="BN81" s="30">
        <f t="shared" si="178"/>
        <v>0</v>
      </c>
      <c r="BO81" s="30">
        <f t="shared" si="178"/>
        <v>0</v>
      </c>
      <c r="BP81" s="41"/>
      <c r="BQ81" s="85" t="str">
        <f t="shared" si="169"/>
        <v/>
      </c>
      <c r="BR81" s="7"/>
      <c r="BS81" s="28">
        <v>6.0</v>
      </c>
      <c r="BT81" s="29" t="s">
        <v>66</v>
      </c>
      <c r="BU81" s="88">
        <f t="shared" ref="BU81:CF81" si="179">BU53/BU25</f>
        <v>0.06043165468</v>
      </c>
      <c r="BV81" s="88">
        <f t="shared" si="179"/>
        <v>0.7985611511</v>
      </c>
      <c r="BW81" s="88">
        <f t="shared" si="179"/>
        <v>1.122302158</v>
      </c>
      <c r="BX81" s="88">
        <f t="shared" si="179"/>
        <v>0.9841726619</v>
      </c>
      <c r="BY81" s="88">
        <f t="shared" si="179"/>
        <v>0.7873381295</v>
      </c>
      <c r="BZ81" s="88">
        <f t="shared" si="179"/>
        <v>0.6561151079</v>
      </c>
      <c r="CA81" s="88">
        <f t="shared" si="179"/>
        <v>0.5623843782</v>
      </c>
      <c r="CB81" s="88">
        <f t="shared" si="179"/>
        <v>0.4920863309</v>
      </c>
      <c r="CC81" s="88">
        <f t="shared" si="179"/>
        <v>0.4374100719</v>
      </c>
      <c r="CD81" s="88">
        <f t="shared" si="179"/>
        <v>0.3936690647</v>
      </c>
      <c r="CE81" s="88">
        <f t="shared" si="179"/>
        <v>0.357880968</v>
      </c>
      <c r="CF81" s="88">
        <f t="shared" si="179"/>
        <v>0.328057554</v>
      </c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</row>
    <row r="82">
      <c r="A82" s="28">
        <v>7.0</v>
      </c>
      <c r="B82" s="29" t="s">
        <v>67</v>
      </c>
      <c r="C82" s="30">
        <f>COUNTIFS(
DATA!$F:$F,$B82,
DATA!$B:$B,"&gt;="&amp;DATE(2026,MONTH(C$75),DAY(C$75)),
DATA!$B:$B,"&lt;"&amp;DATE(2026,MONTH(C$75),DAY(C$75))+1
)</f>
        <v>0</v>
      </c>
      <c r="D82" s="30">
        <f>COUNTIFS(
DATA!$F:$F,$B82,
DATA!$B:$B,"&gt;="&amp;DATE(2026,MONTH(D$75),DAY(D$75)),
DATA!$B:$B,"&lt;"&amp;DATE(2026,MONTH(D$75),DAY(D$75))+1
)</f>
        <v>0</v>
      </c>
      <c r="E82" s="30">
        <f>COUNTIFS(
DATA!$F:$F,$B82,
DATA!$B:$B,"&gt;="&amp;DATE(2026,MONTH(E$75),DAY(E$75)),
DATA!$B:$B,"&lt;"&amp;DATE(2026,MONTH(E$75),DAY(E$75))+1
)</f>
        <v>0</v>
      </c>
      <c r="F82" s="30">
        <f>COUNTIFS(
DATA!$F:$F,$B82,
DATA!$B:$B,"&gt;="&amp;DATE(2026,MONTH(F$75),DAY(F$75)),
DATA!$B:$B,"&lt;"&amp;DATE(2026,MONTH(F$75),DAY(F$75))+1
)</f>
        <v>0</v>
      </c>
      <c r="G82" s="30">
        <f>COUNTIFS(
DATA!$F:$F,$B82,
DATA!$B:$B,"&gt;="&amp;DATE(2026,MONTH(G$75),DAY(G$75)),
DATA!$B:$B,"&lt;"&amp;DATE(2026,MONTH(G$75),DAY(G$75))+1
)</f>
        <v>0</v>
      </c>
      <c r="H82" s="30">
        <f>COUNTIFS(
DATA!$F:$F,$B82,
DATA!$B:$B,"&gt;="&amp;DATE(2026,MONTH(H$75),DAY(H$75)),
DATA!$B:$B,"&lt;"&amp;DATE(2026,MONTH(H$75),DAY(H$75))+1
)</f>
        <v>0</v>
      </c>
      <c r="I82" s="30">
        <f>COUNTIFS(
DATA!$F:$F,$B82,
DATA!$B:$B,"&gt;="&amp;DATE(2026,MONTH(I$75),DAY(I$75)),
DATA!$B:$B,"&lt;"&amp;DATE(2026,MONTH(I$75),DAY(I$75))+1
)</f>
        <v>0</v>
      </c>
      <c r="J82" s="30">
        <f>COUNTIFS(
DATA!$F:$F,$B82,
DATA!$B:$B,"&gt;="&amp;DATE(2026,MONTH(J$75),DAY(J$75)),
DATA!$B:$B,"&lt;"&amp;DATE(2026,MONTH(J$75),DAY(J$75))+1
)</f>
        <v>0</v>
      </c>
      <c r="K82" s="30">
        <f>COUNTIFS(
DATA!$F:$F,$B82,
DATA!$B:$B,"&gt;="&amp;DATE(2026,MONTH(K$75),DAY(K$75)),
DATA!$B:$B,"&lt;"&amp;DATE(2026,MONTH(K$75),DAY(K$75))+1
)</f>
        <v>0</v>
      </c>
      <c r="L82" s="30">
        <f>COUNTIFS(
DATA!$F:$F,$B82,
DATA!$B:$B,"&gt;="&amp;DATE(2026,MONTH(L$75),DAY(L$75)),
DATA!$B:$B,"&lt;"&amp;DATE(2026,MONTH(L$75),DAY(L$75))+1
)</f>
        <v>0</v>
      </c>
      <c r="M82" s="30">
        <f>COUNTIFS(
DATA!$F:$F,$B82,
DATA!$B:$B,"&gt;="&amp;DATE(2026,MONTH(M$75),DAY(M$75)),
DATA!$B:$B,"&lt;"&amp;DATE(2026,MONTH(M$75),DAY(M$75))+1
)</f>
        <v>0</v>
      </c>
      <c r="N82" s="30">
        <f>COUNTIFS(
DATA!$F:$F,$B82,
DATA!$B:$B,"&gt;="&amp;DATE(2026,MONTH(N$75),DAY(N$75)),
DATA!$B:$B,"&lt;"&amp;DATE(2026,MONTH(N$75),DAY(N$75))+1
)</f>
        <v>0</v>
      </c>
      <c r="O82" s="30">
        <f>COUNTIFS(
DATA!$F:$F,$B82,
DATA!$B:$B,"&gt;="&amp;DATE(2026,MONTH(O$75),DAY(O$75)),
DATA!$B:$B,"&lt;"&amp;DATE(2026,MONTH(O$75),DAY(O$75))+1
)</f>
        <v>0</v>
      </c>
      <c r="P82" s="30">
        <f>COUNTIFS(
DATA!$F:$F,$B82,
DATA!$B:$B,"&gt;="&amp;DATE(2026,MONTH(P$75),DAY(P$75)),
DATA!$B:$B,"&lt;"&amp;DATE(2026,MONTH(P$75),DAY(P$75))+1
)</f>
        <v>0</v>
      </c>
      <c r="Q82" s="30">
        <f>COUNTIFS(
DATA!$F:$F,$B82,
DATA!$B:$B,"&gt;="&amp;DATE(2026,MONTH(Q$75),DAY(Q$75)),
DATA!$B:$B,"&lt;"&amp;DATE(2026,MONTH(Q$75),DAY(Q$75))+1
)</f>
        <v>0</v>
      </c>
      <c r="R82" s="30">
        <f>COUNTIFS(
DATA!$F:$F,$B82,
DATA!$B:$B,"&gt;="&amp;DATE(2026,MONTH(R$75),DAY(R$75)),
DATA!$B:$B,"&lt;"&amp;DATE(2026,MONTH(R$75),DAY(R$75))+1
)</f>
        <v>0</v>
      </c>
      <c r="S82" s="30">
        <f>COUNTIFS(
DATA!$F:$F,$B82,
DATA!$B:$B,"&gt;="&amp;DATE(2026,MONTH(S$75),DAY(S$75)),
DATA!$B:$B,"&lt;"&amp;DATE(2026,MONTH(S$75),DAY(S$75))+1
)</f>
        <v>0</v>
      </c>
      <c r="T82" s="30">
        <f>COUNTIFS(
DATA!$F:$F,$B82,
DATA!$B:$B,"&gt;="&amp;DATE(2026,MONTH(T$75),DAY(T$75)),
DATA!$B:$B,"&lt;"&amp;DATE(2026,MONTH(T$75),DAY(T$75))+1
)</f>
        <v>0</v>
      </c>
      <c r="U82" s="30">
        <f>COUNTIFS(
DATA!$F:$F,$B82,
DATA!$B:$B,"&gt;="&amp;DATE(2026,MONTH(U$75),DAY(U$75)),
DATA!$B:$B,"&lt;"&amp;DATE(2026,MONTH(U$75),DAY(U$75))+1
)</f>
        <v>0</v>
      </c>
      <c r="V82" s="30">
        <f>COUNTIFS(
DATA!$F:$F,$B82,
DATA!$B:$B,"&gt;="&amp;DATE(2026,MONTH(V$75),DAY(V$75)),
DATA!$B:$B,"&lt;"&amp;DATE(2026,MONTH(V$75),DAY(V$75))+1
)</f>
        <v>0</v>
      </c>
      <c r="W82" s="30">
        <f>COUNTIFS(
DATA!$F:$F,$B82,
DATA!$B:$B,"&gt;="&amp;DATE(2026,MONTH(W$75),DAY(W$75)),
DATA!$B:$B,"&lt;"&amp;DATE(2026,MONTH(W$75),DAY(W$75))+1
)</f>
        <v>0</v>
      </c>
      <c r="X82" s="30">
        <f>COUNTIFS(
DATA!$F:$F,$B82,
DATA!$B:$B,"&gt;="&amp;DATE(2026,MONTH(X$75),DAY(X$75)),
DATA!$B:$B,"&lt;"&amp;DATE(2026,MONTH(X$75),DAY(X$75))+1
)</f>
        <v>0</v>
      </c>
      <c r="Y82" s="30">
        <f>COUNTIFS(
DATA!$F:$F,$B82,
DATA!$B:$B,"&gt;="&amp;DATE(2026,MONTH(Y$75),DAY(Y$75)),
DATA!$B:$B,"&lt;"&amp;DATE(2026,MONTH(Y$75),DAY(Y$75))+1
)</f>
        <v>0</v>
      </c>
      <c r="Z82" s="30">
        <f>COUNTIFS(
DATA!$F:$F,$B82,
DATA!$B:$B,"&gt;="&amp;DATE(2026,MONTH(Z$75),DAY(Z$75)),
DATA!$B:$B,"&lt;"&amp;DATE(2026,MONTH(Z$75),DAY(Z$75))+1
)</f>
        <v>0</v>
      </c>
      <c r="AA82" s="30">
        <f>COUNTIFS(
DATA!$F:$F,$B82,
DATA!$B:$B,"&gt;="&amp;DATE(2026,MONTH(AA$75),DAY(AA$75)),
DATA!$B:$B,"&lt;"&amp;DATE(2026,MONTH(AA$75),DAY(AA$75))+1
)</f>
        <v>0</v>
      </c>
      <c r="AB82" s="30">
        <f>COUNTIFS(
DATA!$F:$F,$B82,
DATA!$B:$B,"&gt;="&amp;DATE(2026,MONTH(AB$75),DAY(AB$75)),
DATA!$B:$B,"&lt;"&amp;DATE(2026,MONTH(AB$75),DAY(AB$75))+1
)</f>
        <v>0</v>
      </c>
      <c r="AC82" s="30">
        <f>COUNTIFS(
DATA!$F:$F,$B82,
DATA!$B:$B,"&gt;="&amp;DATE(2026,MONTH(AC$75),DAY(AC$75)),
DATA!$B:$B,"&lt;"&amp;DATE(2026,MONTH(AC$75),DAY(AC$75))+1
)</f>
        <v>0</v>
      </c>
      <c r="AD82" s="30">
        <f>COUNTIFS(
DATA!$F:$F,$B82,
DATA!$B:$B,"&gt;="&amp;DATE(2026,MONTH(AD$75),DAY(AD$75)),
DATA!$B:$B,"&lt;"&amp;DATE(2026,MONTH(AD$75),DAY(AD$75))+1
)</f>
        <v>0</v>
      </c>
      <c r="AE82" s="30">
        <f>COUNTIFS(
DATA!$F:$F,$B82,
DATA!$B:$B,"&gt;="&amp;DATE(2026,MONTH(AE$75),DAY(AE$75)),
DATA!$B:$B,"&lt;"&amp;DATE(2026,MONTH(AE$75),DAY(AE$75))+1
)</f>
        <v>0</v>
      </c>
      <c r="AF82" s="30">
        <f>COUNTIFS(
DATA!$F:$F,$B82,
DATA!$B:$B,"&gt;="&amp;DATE(2026,MONTH(AF$75),DAY(AF$75)),
DATA!$B:$B,"&lt;"&amp;DATE(2026,MONTH(AF$75),DAY(AF$75))+1
)</f>
        <v>0</v>
      </c>
      <c r="AG82" s="30">
        <f>COUNTIFS(
DATA!$F:$F,$B82,
DATA!$B:$B,"&gt;="&amp;DATE(2026,MONTH(AG$75),DAY(AG$75)),
DATA!$B:$B,"&lt;"&amp;DATE(2026,MONTH(AG$75),DAY(AG$75))+1
)</f>
        <v>0</v>
      </c>
      <c r="AH82" s="31">
        <f t="shared" si="166"/>
        <v>0</v>
      </c>
      <c r="AI82" s="7"/>
      <c r="AJ82" s="30">
        <v>7.0</v>
      </c>
      <c r="AK82" s="32" t="s">
        <v>67</v>
      </c>
      <c r="AL82" s="41">
        <f t="shared" si="167"/>
        <v>0</v>
      </c>
      <c r="AM82" s="30">
        <f t="shared" si="171"/>
        <v>0</v>
      </c>
      <c r="AN82" s="30">
        <f t="shared" ref="AN82:BO82" si="180">SUM($C82:E82)</f>
        <v>0</v>
      </c>
      <c r="AO82" s="30">
        <f t="shared" si="180"/>
        <v>0</v>
      </c>
      <c r="AP82" s="30">
        <f t="shared" si="180"/>
        <v>0</v>
      </c>
      <c r="AQ82" s="30">
        <f t="shared" si="180"/>
        <v>0</v>
      </c>
      <c r="AR82" s="30">
        <f t="shared" si="180"/>
        <v>0</v>
      </c>
      <c r="AS82" s="30">
        <f t="shared" si="180"/>
        <v>0</v>
      </c>
      <c r="AT82" s="30">
        <f t="shared" si="180"/>
        <v>0</v>
      </c>
      <c r="AU82" s="30">
        <f t="shared" si="180"/>
        <v>0</v>
      </c>
      <c r="AV82" s="30">
        <f t="shared" si="180"/>
        <v>0</v>
      </c>
      <c r="AW82" s="30">
        <f t="shared" si="180"/>
        <v>0</v>
      </c>
      <c r="AX82" s="30">
        <f t="shared" si="180"/>
        <v>0</v>
      </c>
      <c r="AY82" s="30">
        <f t="shared" si="180"/>
        <v>0</v>
      </c>
      <c r="AZ82" s="30">
        <f t="shared" si="180"/>
        <v>0</v>
      </c>
      <c r="BA82" s="30">
        <f t="shared" si="180"/>
        <v>0</v>
      </c>
      <c r="BB82" s="30">
        <f t="shared" si="180"/>
        <v>0</v>
      </c>
      <c r="BC82" s="30">
        <f t="shared" si="180"/>
        <v>0</v>
      </c>
      <c r="BD82" s="30">
        <f t="shared" si="180"/>
        <v>0</v>
      </c>
      <c r="BE82" s="30">
        <f t="shared" si="180"/>
        <v>0</v>
      </c>
      <c r="BF82" s="30">
        <f t="shared" si="180"/>
        <v>0</v>
      </c>
      <c r="BG82" s="30">
        <f t="shared" si="180"/>
        <v>0</v>
      </c>
      <c r="BH82" s="30">
        <f t="shared" si="180"/>
        <v>0</v>
      </c>
      <c r="BI82" s="30">
        <f t="shared" si="180"/>
        <v>0</v>
      </c>
      <c r="BJ82" s="30">
        <f t="shared" si="180"/>
        <v>0</v>
      </c>
      <c r="BK82" s="30">
        <f t="shared" si="180"/>
        <v>0</v>
      </c>
      <c r="BL82" s="30">
        <f t="shared" si="180"/>
        <v>0</v>
      </c>
      <c r="BM82" s="30">
        <f t="shared" si="180"/>
        <v>0</v>
      </c>
      <c r="BN82" s="30">
        <f t="shared" si="180"/>
        <v>0</v>
      </c>
      <c r="BO82" s="30">
        <f t="shared" si="180"/>
        <v>0</v>
      </c>
      <c r="BP82" s="41"/>
      <c r="BQ82" s="85" t="str">
        <f t="shared" si="169"/>
        <v/>
      </c>
      <c r="BR82" s="7"/>
      <c r="BS82" s="28">
        <v>7.0</v>
      </c>
      <c r="BT82" s="29" t="s">
        <v>67</v>
      </c>
      <c r="BU82" s="88">
        <f t="shared" ref="BU82:CF82" si="181">BU54/BU26</f>
        <v>1.031404959</v>
      </c>
      <c r="BV82" s="88">
        <f t="shared" si="181"/>
        <v>0.932231405</v>
      </c>
      <c r="BW82" s="88">
        <f t="shared" si="181"/>
        <v>0.9256198347</v>
      </c>
      <c r="BX82" s="88">
        <f t="shared" si="181"/>
        <v>0.9173553719</v>
      </c>
      <c r="BY82" s="88">
        <f t="shared" si="181"/>
        <v>0.7338842975</v>
      </c>
      <c r="BZ82" s="88">
        <f t="shared" si="181"/>
        <v>0.6115702479</v>
      </c>
      <c r="CA82" s="88">
        <f t="shared" si="181"/>
        <v>0.5242030697</v>
      </c>
      <c r="CB82" s="88">
        <f t="shared" si="181"/>
        <v>0.458677686</v>
      </c>
      <c r="CC82" s="88">
        <f t="shared" si="181"/>
        <v>0.4077134986</v>
      </c>
      <c r="CD82" s="88">
        <f t="shared" si="181"/>
        <v>0.3669421488</v>
      </c>
      <c r="CE82" s="88">
        <f t="shared" si="181"/>
        <v>0.3335837716</v>
      </c>
      <c r="CF82" s="88">
        <f t="shared" si="181"/>
        <v>0.305785124</v>
      </c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</row>
    <row r="83">
      <c r="A83" s="28">
        <v>8.0</v>
      </c>
      <c r="B83" s="29" t="s">
        <v>68</v>
      </c>
      <c r="C83" s="30">
        <f>COUNTIFS(
DATA!$F:$F,$B83,
DATA!$B:$B,"&gt;="&amp;DATE(2026,MONTH(C$75),DAY(C$75)),
DATA!$B:$B,"&lt;"&amp;DATE(2026,MONTH(C$75),DAY(C$75))+1
)</f>
        <v>0</v>
      </c>
      <c r="D83" s="30">
        <f>COUNTIFS(
DATA!$F:$F,$B83,
DATA!$B:$B,"&gt;="&amp;DATE(2026,MONTH(D$75),DAY(D$75)),
DATA!$B:$B,"&lt;"&amp;DATE(2026,MONTH(D$75),DAY(D$75))+1
)</f>
        <v>0</v>
      </c>
      <c r="E83" s="30">
        <f>COUNTIFS(
DATA!$F:$F,$B83,
DATA!$B:$B,"&gt;="&amp;DATE(2026,MONTH(E$75),DAY(E$75)),
DATA!$B:$B,"&lt;"&amp;DATE(2026,MONTH(E$75),DAY(E$75))+1
)</f>
        <v>0</v>
      </c>
      <c r="F83" s="30">
        <f>COUNTIFS(
DATA!$F:$F,$B83,
DATA!$B:$B,"&gt;="&amp;DATE(2026,MONTH(F$75),DAY(F$75)),
DATA!$B:$B,"&lt;"&amp;DATE(2026,MONTH(F$75),DAY(F$75))+1
)</f>
        <v>0</v>
      </c>
      <c r="G83" s="30">
        <f>COUNTIFS(
DATA!$F:$F,$B83,
DATA!$B:$B,"&gt;="&amp;DATE(2026,MONTH(G$75),DAY(G$75)),
DATA!$B:$B,"&lt;"&amp;DATE(2026,MONTH(G$75),DAY(G$75))+1
)</f>
        <v>0</v>
      </c>
      <c r="H83" s="30">
        <f>COUNTIFS(
DATA!$F:$F,$B83,
DATA!$B:$B,"&gt;="&amp;DATE(2026,MONTH(H$75),DAY(H$75)),
DATA!$B:$B,"&lt;"&amp;DATE(2026,MONTH(H$75),DAY(H$75))+1
)</f>
        <v>0</v>
      </c>
      <c r="I83" s="30">
        <f>COUNTIFS(
DATA!$F:$F,$B83,
DATA!$B:$B,"&gt;="&amp;DATE(2026,MONTH(I$75),DAY(I$75)),
DATA!$B:$B,"&lt;"&amp;DATE(2026,MONTH(I$75),DAY(I$75))+1
)</f>
        <v>0</v>
      </c>
      <c r="J83" s="30">
        <f>COUNTIFS(
DATA!$F:$F,$B83,
DATA!$B:$B,"&gt;="&amp;DATE(2026,MONTH(J$75),DAY(J$75)),
DATA!$B:$B,"&lt;"&amp;DATE(2026,MONTH(J$75),DAY(J$75))+1
)</f>
        <v>0</v>
      </c>
      <c r="K83" s="30">
        <f>COUNTIFS(
DATA!$F:$F,$B83,
DATA!$B:$B,"&gt;="&amp;DATE(2026,MONTH(K$75),DAY(K$75)),
DATA!$B:$B,"&lt;"&amp;DATE(2026,MONTH(K$75),DAY(K$75))+1
)</f>
        <v>0</v>
      </c>
      <c r="L83" s="30">
        <f>COUNTIFS(
DATA!$F:$F,$B83,
DATA!$B:$B,"&gt;="&amp;DATE(2026,MONTH(L$75),DAY(L$75)),
DATA!$B:$B,"&lt;"&amp;DATE(2026,MONTH(L$75),DAY(L$75))+1
)</f>
        <v>0</v>
      </c>
      <c r="M83" s="30">
        <f>COUNTIFS(
DATA!$F:$F,$B83,
DATA!$B:$B,"&gt;="&amp;DATE(2026,MONTH(M$75),DAY(M$75)),
DATA!$B:$B,"&lt;"&amp;DATE(2026,MONTH(M$75),DAY(M$75))+1
)</f>
        <v>0</v>
      </c>
      <c r="N83" s="30">
        <f>COUNTIFS(
DATA!$F:$F,$B83,
DATA!$B:$B,"&gt;="&amp;DATE(2026,MONTH(N$75),DAY(N$75)),
DATA!$B:$B,"&lt;"&amp;DATE(2026,MONTH(N$75),DAY(N$75))+1
)</f>
        <v>0</v>
      </c>
      <c r="O83" s="30">
        <f>COUNTIFS(
DATA!$F:$F,$B83,
DATA!$B:$B,"&gt;="&amp;DATE(2026,MONTH(O$75),DAY(O$75)),
DATA!$B:$B,"&lt;"&amp;DATE(2026,MONTH(O$75),DAY(O$75))+1
)</f>
        <v>0</v>
      </c>
      <c r="P83" s="30">
        <f>COUNTIFS(
DATA!$F:$F,$B83,
DATA!$B:$B,"&gt;="&amp;DATE(2026,MONTH(P$75),DAY(P$75)),
DATA!$B:$B,"&lt;"&amp;DATE(2026,MONTH(P$75),DAY(P$75))+1
)</f>
        <v>0</v>
      </c>
      <c r="Q83" s="30">
        <f>COUNTIFS(
DATA!$F:$F,$B83,
DATA!$B:$B,"&gt;="&amp;DATE(2026,MONTH(Q$75),DAY(Q$75)),
DATA!$B:$B,"&lt;"&amp;DATE(2026,MONTH(Q$75),DAY(Q$75))+1
)</f>
        <v>0</v>
      </c>
      <c r="R83" s="30">
        <f>COUNTIFS(
DATA!$F:$F,$B83,
DATA!$B:$B,"&gt;="&amp;DATE(2026,MONTH(R$75),DAY(R$75)),
DATA!$B:$B,"&lt;"&amp;DATE(2026,MONTH(R$75),DAY(R$75))+1
)</f>
        <v>0</v>
      </c>
      <c r="S83" s="30">
        <f>COUNTIFS(
DATA!$F:$F,$B83,
DATA!$B:$B,"&gt;="&amp;DATE(2026,MONTH(S$75),DAY(S$75)),
DATA!$B:$B,"&lt;"&amp;DATE(2026,MONTH(S$75),DAY(S$75))+1
)</f>
        <v>0</v>
      </c>
      <c r="T83" s="30">
        <f>COUNTIFS(
DATA!$F:$F,$B83,
DATA!$B:$B,"&gt;="&amp;DATE(2026,MONTH(T$75),DAY(T$75)),
DATA!$B:$B,"&lt;"&amp;DATE(2026,MONTH(T$75),DAY(T$75))+1
)</f>
        <v>0</v>
      </c>
      <c r="U83" s="30">
        <f>COUNTIFS(
DATA!$F:$F,$B83,
DATA!$B:$B,"&gt;="&amp;DATE(2026,MONTH(U$75),DAY(U$75)),
DATA!$B:$B,"&lt;"&amp;DATE(2026,MONTH(U$75),DAY(U$75))+1
)</f>
        <v>0</v>
      </c>
      <c r="V83" s="30">
        <f>COUNTIFS(
DATA!$F:$F,$B83,
DATA!$B:$B,"&gt;="&amp;DATE(2026,MONTH(V$75),DAY(V$75)),
DATA!$B:$B,"&lt;"&amp;DATE(2026,MONTH(V$75),DAY(V$75))+1
)</f>
        <v>0</v>
      </c>
      <c r="W83" s="30">
        <f>COUNTIFS(
DATA!$F:$F,$B83,
DATA!$B:$B,"&gt;="&amp;DATE(2026,MONTH(W$75),DAY(W$75)),
DATA!$B:$B,"&lt;"&amp;DATE(2026,MONTH(W$75),DAY(W$75))+1
)</f>
        <v>0</v>
      </c>
      <c r="X83" s="30">
        <f>COUNTIFS(
DATA!$F:$F,$B83,
DATA!$B:$B,"&gt;="&amp;DATE(2026,MONTH(X$75),DAY(X$75)),
DATA!$B:$B,"&lt;"&amp;DATE(2026,MONTH(X$75),DAY(X$75))+1
)</f>
        <v>0</v>
      </c>
      <c r="Y83" s="30">
        <f>COUNTIFS(
DATA!$F:$F,$B83,
DATA!$B:$B,"&gt;="&amp;DATE(2026,MONTH(Y$75),DAY(Y$75)),
DATA!$B:$B,"&lt;"&amp;DATE(2026,MONTH(Y$75),DAY(Y$75))+1
)</f>
        <v>0</v>
      </c>
      <c r="Z83" s="30">
        <f>COUNTIFS(
DATA!$F:$F,$B83,
DATA!$B:$B,"&gt;="&amp;DATE(2026,MONTH(Z$75),DAY(Z$75)),
DATA!$B:$B,"&lt;"&amp;DATE(2026,MONTH(Z$75),DAY(Z$75))+1
)</f>
        <v>0</v>
      </c>
      <c r="AA83" s="30">
        <f>COUNTIFS(
DATA!$F:$F,$B83,
DATA!$B:$B,"&gt;="&amp;DATE(2026,MONTH(AA$75),DAY(AA$75)),
DATA!$B:$B,"&lt;"&amp;DATE(2026,MONTH(AA$75),DAY(AA$75))+1
)</f>
        <v>0</v>
      </c>
      <c r="AB83" s="30">
        <f>COUNTIFS(
DATA!$F:$F,$B83,
DATA!$B:$B,"&gt;="&amp;DATE(2026,MONTH(AB$75),DAY(AB$75)),
DATA!$B:$B,"&lt;"&amp;DATE(2026,MONTH(AB$75),DAY(AB$75))+1
)</f>
        <v>0</v>
      </c>
      <c r="AC83" s="30">
        <f>COUNTIFS(
DATA!$F:$F,$B83,
DATA!$B:$B,"&gt;="&amp;DATE(2026,MONTH(AC$75),DAY(AC$75)),
DATA!$B:$B,"&lt;"&amp;DATE(2026,MONTH(AC$75),DAY(AC$75))+1
)</f>
        <v>0</v>
      </c>
      <c r="AD83" s="30">
        <f>COUNTIFS(
DATA!$F:$F,$B83,
DATA!$B:$B,"&gt;="&amp;DATE(2026,MONTH(AD$75),DAY(AD$75)),
DATA!$B:$B,"&lt;"&amp;DATE(2026,MONTH(AD$75),DAY(AD$75))+1
)</f>
        <v>0</v>
      </c>
      <c r="AE83" s="30">
        <f>COUNTIFS(
DATA!$F:$F,$B83,
DATA!$B:$B,"&gt;="&amp;DATE(2026,MONTH(AE$75),DAY(AE$75)),
DATA!$B:$B,"&lt;"&amp;DATE(2026,MONTH(AE$75),DAY(AE$75))+1
)</f>
        <v>0</v>
      </c>
      <c r="AF83" s="30">
        <f>COUNTIFS(
DATA!$F:$F,$B83,
DATA!$B:$B,"&gt;="&amp;DATE(2026,MONTH(AF$75),DAY(AF$75)),
DATA!$B:$B,"&lt;"&amp;DATE(2026,MONTH(AF$75),DAY(AF$75))+1
)</f>
        <v>0</v>
      </c>
      <c r="AG83" s="30">
        <f>COUNTIFS(
DATA!$F:$F,$B83,
DATA!$B:$B,"&gt;="&amp;DATE(2026,MONTH(AG$75),DAY(AG$75)),
DATA!$B:$B,"&lt;"&amp;DATE(2026,MONTH(AG$75),DAY(AG$75))+1
)</f>
        <v>0</v>
      </c>
      <c r="AH83" s="31">
        <f t="shared" si="166"/>
        <v>0</v>
      </c>
      <c r="AI83" s="7"/>
      <c r="AJ83" s="30">
        <v>8.0</v>
      </c>
      <c r="AK83" s="32" t="s">
        <v>68</v>
      </c>
      <c r="AL83" s="41">
        <f t="shared" si="167"/>
        <v>0</v>
      </c>
      <c r="AM83" s="30">
        <f t="shared" si="171"/>
        <v>0</v>
      </c>
      <c r="AN83" s="30">
        <f t="shared" ref="AN83:BO83" si="182">SUM($C83:E83)</f>
        <v>0</v>
      </c>
      <c r="AO83" s="30">
        <f t="shared" si="182"/>
        <v>0</v>
      </c>
      <c r="AP83" s="30">
        <f t="shared" si="182"/>
        <v>0</v>
      </c>
      <c r="AQ83" s="30">
        <f t="shared" si="182"/>
        <v>0</v>
      </c>
      <c r="AR83" s="30">
        <f t="shared" si="182"/>
        <v>0</v>
      </c>
      <c r="AS83" s="30">
        <f t="shared" si="182"/>
        <v>0</v>
      </c>
      <c r="AT83" s="30">
        <f t="shared" si="182"/>
        <v>0</v>
      </c>
      <c r="AU83" s="30">
        <f t="shared" si="182"/>
        <v>0</v>
      </c>
      <c r="AV83" s="30">
        <f t="shared" si="182"/>
        <v>0</v>
      </c>
      <c r="AW83" s="30">
        <f t="shared" si="182"/>
        <v>0</v>
      </c>
      <c r="AX83" s="30">
        <f t="shared" si="182"/>
        <v>0</v>
      </c>
      <c r="AY83" s="30">
        <f t="shared" si="182"/>
        <v>0</v>
      </c>
      <c r="AZ83" s="30">
        <f t="shared" si="182"/>
        <v>0</v>
      </c>
      <c r="BA83" s="30">
        <f t="shared" si="182"/>
        <v>0</v>
      </c>
      <c r="BB83" s="30">
        <f t="shared" si="182"/>
        <v>0</v>
      </c>
      <c r="BC83" s="30">
        <f t="shared" si="182"/>
        <v>0</v>
      </c>
      <c r="BD83" s="30">
        <f t="shared" si="182"/>
        <v>0</v>
      </c>
      <c r="BE83" s="30">
        <f t="shared" si="182"/>
        <v>0</v>
      </c>
      <c r="BF83" s="30">
        <f t="shared" si="182"/>
        <v>0</v>
      </c>
      <c r="BG83" s="30">
        <f t="shared" si="182"/>
        <v>0</v>
      </c>
      <c r="BH83" s="30">
        <f t="shared" si="182"/>
        <v>0</v>
      </c>
      <c r="BI83" s="30">
        <f t="shared" si="182"/>
        <v>0</v>
      </c>
      <c r="BJ83" s="30">
        <f t="shared" si="182"/>
        <v>0</v>
      </c>
      <c r="BK83" s="30">
        <f t="shared" si="182"/>
        <v>0</v>
      </c>
      <c r="BL83" s="30">
        <f t="shared" si="182"/>
        <v>0</v>
      </c>
      <c r="BM83" s="30">
        <f t="shared" si="182"/>
        <v>0</v>
      </c>
      <c r="BN83" s="30">
        <f t="shared" si="182"/>
        <v>0</v>
      </c>
      <c r="BO83" s="30">
        <f t="shared" si="182"/>
        <v>0</v>
      </c>
      <c r="BP83" s="41"/>
      <c r="BQ83" s="85" t="str">
        <f t="shared" si="169"/>
        <v/>
      </c>
      <c r="BR83" s="7"/>
      <c r="BS83" s="28">
        <v>8.0</v>
      </c>
      <c r="BT83" s="29" t="s">
        <v>68</v>
      </c>
      <c r="BU83" s="88">
        <f t="shared" ref="BU83:CF83" si="183">IFERROR(BU55/BU27,0)</f>
        <v>0</v>
      </c>
      <c r="BV83" s="88">
        <f t="shared" si="183"/>
        <v>0</v>
      </c>
      <c r="BW83" s="88">
        <f t="shared" si="183"/>
        <v>0</v>
      </c>
      <c r="BX83" s="88">
        <f t="shared" si="183"/>
        <v>0</v>
      </c>
      <c r="BY83" s="88">
        <f t="shared" si="183"/>
        <v>0</v>
      </c>
      <c r="BZ83" s="88">
        <f t="shared" si="183"/>
        <v>0</v>
      </c>
      <c r="CA83" s="88">
        <f t="shared" si="183"/>
        <v>0</v>
      </c>
      <c r="CB83" s="88">
        <f t="shared" si="183"/>
        <v>0</v>
      </c>
      <c r="CC83" s="88">
        <f t="shared" si="183"/>
        <v>0</v>
      </c>
      <c r="CD83" s="88">
        <f t="shared" si="183"/>
        <v>0</v>
      </c>
      <c r="CE83" s="88">
        <f t="shared" si="183"/>
        <v>0</v>
      </c>
      <c r="CF83" s="88">
        <f t="shared" si="183"/>
        <v>0</v>
      </c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</row>
    <row r="84">
      <c r="A84" s="50"/>
      <c r="B84" s="51" t="s">
        <v>69</v>
      </c>
      <c r="C84" s="49">
        <f t="shared" ref="C84:AG84" si="184">SUM(C76:C83)</f>
        <v>0</v>
      </c>
      <c r="D84" s="49">
        <f t="shared" si="184"/>
        <v>0</v>
      </c>
      <c r="E84" s="49">
        <f t="shared" si="184"/>
        <v>0</v>
      </c>
      <c r="F84" s="49">
        <f t="shared" si="184"/>
        <v>0</v>
      </c>
      <c r="G84" s="49">
        <f t="shared" si="184"/>
        <v>0</v>
      </c>
      <c r="H84" s="49">
        <f t="shared" si="184"/>
        <v>0</v>
      </c>
      <c r="I84" s="49">
        <f t="shared" si="184"/>
        <v>0</v>
      </c>
      <c r="J84" s="49">
        <f t="shared" si="184"/>
        <v>0</v>
      </c>
      <c r="K84" s="49">
        <f t="shared" si="184"/>
        <v>0</v>
      </c>
      <c r="L84" s="49">
        <f t="shared" si="184"/>
        <v>0</v>
      </c>
      <c r="M84" s="49">
        <f t="shared" si="184"/>
        <v>0</v>
      </c>
      <c r="N84" s="49">
        <f t="shared" si="184"/>
        <v>0</v>
      </c>
      <c r="O84" s="49">
        <f t="shared" si="184"/>
        <v>0</v>
      </c>
      <c r="P84" s="49">
        <f t="shared" si="184"/>
        <v>0</v>
      </c>
      <c r="Q84" s="49">
        <f t="shared" si="184"/>
        <v>0</v>
      </c>
      <c r="R84" s="49">
        <f t="shared" si="184"/>
        <v>0</v>
      </c>
      <c r="S84" s="49">
        <f t="shared" si="184"/>
        <v>0</v>
      </c>
      <c r="T84" s="49">
        <f t="shared" si="184"/>
        <v>0</v>
      </c>
      <c r="U84" s="49">
        <f t="shared" si="184"/>
        <v>0</v>
      </c>
      <c r="V84" s="49">
        <f t="shared" si="184"/>
        <v>0</v>
      </c>
      <c r="W84" s="49">
        <f t="shared" si="184"/>
        <v>0</v>
      </c>
      <c r="X84" s="49">
        <f t="shared" si="184"/>
        <v>0</v>
      </c>
      <c r="Y84" s="49">
        <f t="shared" si="184"/>
        <v>0</v>
      </c>
      <c r="Z84" s="49">
        <f t="shared" si="184"/>
        <v>0</v>
      </c>
      <c r="AA84" s="49">
        <f t="shared" si="184"/>
        <v>0</v>
      </c>
      <c r="AB84" s="49">
        <f t="shared" si="184"/>
        <v>0</v>
      </c>
      <c r="AC84" s="49">
        <f t="shared" si="184"/>
        <v>0</v>
      </c>
      <c r="AD84" s="49">
        <f t="shared" si="184"/>
        <v>0</v>
      </c>
      <c r="AE84" s="49">
        <f t="shared" si="184"/>
        <v>0</v>
      </c>
      <c r="AF84" s="49">
        <f t="shared" si="184"/>
        <v>0</v>
      </c>
      <c r="AG84" s="49">
        <f t="shared" si="184"/>
        <v>0</v>
      </c>
      <c r="AH84" s="49">
        <f t="shared" si="166"/>
        <v>0</v>
      </c>
      <c r="AI84" s="7"/>
      <c r="AJ84" s="45"/>
      <c r="AK84" s="46" t="s">
        <v>69</v>
      </c>
      <c r="AL84" s="47">
        <f t="shared" si="167"/>
        <v>0</v>
      </c>
      <c r="AM84" s="47">
        <f t="shared" si="171"/>
        <v>0</v>
      </c>
      <c r="AN84" s="47">
        <f t="shared" ref="AN84:BP84" si="185">SUM($C84:E84)</f>
        <v>0</v>
      </c>
      <c r="AO84" s="47">
        <f t="shared" si="185"/>
        <v>0</v>
      </c>
      <c r="AP84" s="47">
        <f t="shared" si="185"/>
        <v>0</v>
      </c>
      <c r="AQ84" s="47">
        <f t="shared" si="185"/>
        <v>0</v>
      </c>
      <c r="AR84" s="47">
        <f t="shared" si="185"/>
        <v>0</v>
      </c>
      <c r="AS84" s="47">
        <f t="shared" si="185"/>
        <v>0</v>
      </c>
      <c r="AT84" s="47">
        <f t="shared" si="185"/>
        <v>0</v>
      </c>
      <c r="AU84" s="47">
        <f t="shared" si="185"/>
        <v>0</v>
      </c>
      <c r="AV84" s="47">
        <f t="shared" si="185"/>
        <v>0</v>
      </c>
      <c r="AW84" s="47">
        <f t="shared" si="185"/>
        <v>0</v>
      </c>
      <c r="AX84" s="47">
        <f t="shared" si="185"/>
        <v>0</v>
      </c>
      <c r="AY84" s="47">
        <f t="shared" si="185"/>
        <v>0</v>
      </c>
      <c r="AZ84" s="47">
        <f t="shared" si="185"/>
        <v>0</v>
      </c>
      <c r="BA84" s="47">
        <f t="shared" si="185"/>
        <v>0</v>
      </c>
      <c r="BB84" s="47">
        <f t="shared" si="185"/>
        <v>0</v>
      </c>
      <c r="BC84" s="47">
        <f t="shared" si="185"/>
        <v>0</v>
      </c>
      <c r="BD84" s="47">
        <f t="shared" si="185"/>
        <v>0</v>
      </c>
      <c r="BE84" s="47">
        <f t="shared" si="185"/>
        <v>0</v>
      </c>
      <c r="BF84" s="47">
        <f t="shared" si="185"/>
        <v>0</v>
      </c>
      <c r="BG84" s="47">
        <f t="shared" si="185"/>
        <v>0</v>
      </c>
      <c r="BH84" s="47">
        <f t="shared" si="185"/>
        <v>0</v>
      </c>
      <c r="BI84" s="47">
        <f t="shared" si="185"/>
        <v>0</v>
      </c>
      <c r="BJ84" s="47">
        <f t="shared" si="185"/>
        <v>0</v>
      </c>
      <c r="BK84" s="47">
        <f t="shared" si="185"/>
        <v>0</v>
      </c>
      <c r="BL84" s="47">
        <f t="shared" si="185"/>
        <v>0</v>
      </c>
      <c r="BM84" s="47">
        <f t="shared" si="185"/>
        <v>0</v>
      </c>
      <c r="BN84" s="47">
        <f t="shared" si="185"/>
        <v>0</v>
      </c>
      <c r="BO84" s="47">
        <f t="shared" si="185"/>
        <v>0</v>
      </c>
      <c r="BP84" s="47">
        <f t="shared" si="185"/>
        <v>0</v>
      </c>
      <c r="BQ84" s="49">
        <f t="shared" si="169"/>
        <v>0</v>
      </c>
      <c r="BR84" s="7"/>
      <c r="BS84" s="61"/>
      <c r="BT84" s="62" t="s">
        <v>69</v>
      </c>
      <c r="BU84" s="90">
        <f t="shared" ref="BU84:CF84" si="186">BU56/BU28</f>
        <v>0.7591637252</v>
      </c>
      <c r="BV84" s="90">
        <f t="shared" si="186"/>
        <v>0.9970133044</v>
      </c>
      <c r="BW84" s="90">
        <f t="shared" si="186"/>
        <v>1.129513983</v>
      </c>
      <c r="BX84" s="90">
        <f t="shared" si="186"/>
        <v>1.062992126</v>
      </c>
      <c r="BY84" s="90">
        <f t="shared" si="186"/>
        <v>0.8503937008</v>
      </c>
      <c r="BZ84" s="90">
        <f t="shared" si="186"/>
        <v>0.7086614173</v>
      </c>
      <c r="CA84" s="90">
        <f t="shared" si="186"/>
        <v>0.607424072</v>
      </c>
      <c r="CB84" s="90">
        <f t="shared" si="186"/>
        <v>0.531496063</v>
      </c>
      <c r="CC84" s="90">
        <f t="shared" si="186"/>
        <v>0.4724409449</v>
      </c>
      <c r="CD84" s="90">
        <f t="shared" si="186"/>
        <v>0.4251968504</v>
      </c>
      <c r="CE84" s="90">
        <f t="shared" si="186"/>
        <v>0.3865425913</v>
      </c>
      <c r="CF84" s="90">
        <f t="shared" si="186"/>
        <v>0.3543307087</v>
      </c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</row>
    <row r="86">
      <c r="A86" s="8" t="s">
        <v>35</v>
      </c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</row>
    <row r="87">
      <c r="A87" s="9" t="str">
        <f>TEXT(C89,"MMMM YYYY")</f>
        <v>Juli 2026</v>
      </c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11" t="s">
        <v>84</v>
      </c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</row>
    <row r="89" ht="45.0" customHeight="1">
      <c r="A89" s="14" t="s">
        <v>41</v>
      </c>
      <c r="B89" s="14" t="s">
        <v>42</v>
      </c>
      <c r="C89" s="15">
        <v>46204.0</v>
      </c>
      <c r="D89" s="15">
        <v>46205.0</v>
      </c>
      <c r="E89" s="15">
        <v>46206.0</v>
      </c>
      <c r="F89" s="15">
        <v>46207.0</v>
      </c>
      <c r="G89" s="15">
        <v>46208.0</v>
      </c>
      <c r="H89" s="15">
        <v>46209.0</v>
      </c>
      <c r="I89" s="15">
        <v>46210.0</v>
      </c>
      <c r="J89" s="15">
        <v>46211.0</v>
      </c>
      <c r="K89" s="15">
        <v>46212.0</v>
      </c>
      <c r="L89" s="15">
        <v>46213.0</v>
      </c>
      <c r="M89" s="15">
        <v>46214.0</v>
      </c>
      <c r="N89" s="15">
        <v>46215.0</v>
      </c>
      <c r="O89" s="15">
        <v>46216.0</v>
      </c>
      <c r="P89" s="15">
        <v>46217.0</v>
      </c>
      <c r="Q89" s="15">
        <v>46218.0</v>
      </c>
      <c r="R89" s="15">
        <v>46219.0</v>
      </c>
      <c r="S89" s="15">
        <v>46220.0</v>
      </c>
      <c r="T89" s="15">
        <v>46221.0</v>
      </c>
      <c r="U89" s="15">
        <v>46222.0</v>
      </c>
      <c r="V89" s="15">
        <v>46223.0</v>
      </c>
      <c r="W89" s="15">
        <v>46224.0</v>
      </c>
      <c r="X89" s="15">
        <v>46225.0</v>
      </c>
      <c r="Y89" s="15">
        <v>46226.0</v>
      </c>
      <c r="Z89" s="15">
        <v>46227.0</v>
      </c>
      <c r="AA89" s="15">
        <v>46228.0</v>
      </c>
      <c r="AB89" s="15">
        <v>46229.0</v>
      </c>
      <c r="AC89" s="15">
        <v>46230.0</v>
      </c>
      <c r="AD89" s="15">
        <v>46231.0</v>
      </c>
      <c r="AE89" s="15">
        <v>46232.0</v>
      </c>
      <c r="AF89" s="15">
        <v>46233.0</v>
      </c>
      <c r="AG89" s="15">
        <v>46234.0</v>
      </c>
      <c r="AH89" s="16" t="s">
        <v>43</v>
      </c>
      <c r="AI89" s="17"/>
      <c r="AJ89" s="18" t="s">
        <v>41</v>
      </c>
      <c r="AK89" s="18" t="s">
        <v>42</v>
      </c>
      <c r="AL89" s="66">
        <v>46204.0</v>
      </c>
      <c r="AM89" s="66">
        <v>46205.0</v>
      </c>
      <c r="AN89" s="66">
        <v>46206.0</v>
      </c>
      <c r="AO89" s="66">
        <v>46207.0</v>
      </c>
      <c r="AP89" s="66">
        <v>46208.0</v>
      </c>
      <c r="AQ89" s="66">
        <v>46209.0</v>
      </c>
      <c r="AR89" s="66">
        <v>46210.0</v>
      </c>
      <c r="AS89" s="66">
        <v>46211.0</v>
      </c>
      <c r="AT89" s="66">
        <v>46212.0</v>
      </c>
      <c r="AU89" s="66">
        <v>46213.0</v>
      </c>
      <c r="AV89" s="66">
        <v>46214.0</v>
      </c>
      <c r="AW89" s="66">
        <v>46215.0</v>
      </c>
      <c r="AX89" s="66">
        <v>46216.0</v>
      </c>
      <c r="AY89" s="66">
        <v>46217.0</v>
      </c>
      <c r="AZ89" s="66">
        <v>46218.0</v>
      </c>
      <c r="BA89" s="66">
        <v>46219.0</v>
      </c>
      <c r="BB89" s="66">
        <v>46220.0</v>
      </c>
      <c r="BC89" s="66">
        <v>46221.0</v>
      </c>
      <c r="BD89" s="66">
        <v>46222.0</v>
      </c>
      <c r="BE89" s="66">
        <v>46223.0</v>
      </c>
      <c r="BF89" s="66">
        <v>46224.0</v>
      </c>
      <c r="BG89" s="66">
        <v>46225.0</v>
      </c>
      <c r="BH89" s="66">
        <v>46226.0</v>
      </c>
      <c r="BI89" s="66">
        <v>46227.0</v>
      </c>
      <c r="BJ89" s="66">
        <v>46228.0</v>
      </c>
      <c r="BK89" s="66">
        <v>46229.0</v>
      </c>
      <c r="BL89" s="66">
        <v>46230.0</v>
      </c>
      <c r="BM89" s="66">
        <v>46231.0</v>
      </c>
      <c r="BN89" s="66">
        <v>46232.0</v>
      </c>
      <c r="BO89" s="66">
        <v>46233.0</v>
      </c>
      <c r="BP89" s="66">
        <v>46234.0</v>
      </c>
      <c r="BQ89" s="18" t="s">
        <v>43</v>
      </c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</row>
    <row r="90">
      <c r="A90" s="28">
        <v>1.0</v>
      </c>
      <c r="B90" s="29" t="s">
        <v>60</v>
      </c>
      <c r="C90" s="30">
        <f>COUNTIFS(
DATA!$F:$F,$B90,
DATA!$B:$B,"&gt;="&amp;DATE(2026,MONTH(C$89),DAY(C$89)),
DATA!$B:$B,"&lt;"&amp;DATE(2026,MONTH(C$89),DAY(C$89))+1
)</f>
        <v>0</v>
      </c>
      <c r="D90" s="30">
        <f>COUNTIFS(
DATA!$F:$F,$B90,
DATA!$B:$B,"&gt;="&amp;DATE(2026,MONTH(D$89),DAY(D$89)),
DATA!$B:$B,"&lt;"&amp;DATE(2026,MONTH(D$89),DAY(D$89))+1
)</f>
        <v>0</v>
      </c>
      <c r="E90" s="30">
        <f>COUNTIFS(
DATA!$F:$F,$B90,
DATA!$B:$B,"&gt;="&amp;DATE(2026,MONTH(E$89),DAY(E$89)),
DATA!$B:$B,"&lt;"&amp;DATE(2026,MONTH(E$89),DAY(E$89))+1
)</f>
        <v>0</v>
      </c>
      <c r="F90" s="30">
        <f>COUNTIFS(
DATA!$F:$F,$B90,
DATA!$B:$B,"&gt;="&amp;DATE(2026,MONTH(F$89),DAY(F$89)),
DATA!$B:$B,"&lt;"&amp;DATE(2026,MONTH(F$89),DAY(F$89))+1
)</f>
        <v>0</v>
      </c>
      <c r="G90" s="30">
        <f>COUNTIFS(
DATA!$F:$F,$B90,
DATA!$B:$B,"&gt;="&amp;DATE(2026,MONTH(G$89),DAY(G$89)),
DATA!$B:$B,"&lt;"&amp;DATE(2026,MONTH(G$89),DAY(G$89))+1
)</f>
        <v>0</v>
      </c>
      <c r="H90" s="30">
        <f>COUNTIFS(
DATA!$F:$F,$B90,
DATA!$B:$B,"&gt;="&amp;DATE(2026,MONTH(H$89),DAY(H$89)),
DATA!$B:$B,"&lt;"&amp;DATE(2026,MONTH(H$89),DAY(H$89))+1
)</f>
        <v>0</v>
      </c>
      <c r="I90" s="30">
        <f>COUNTIFS(
DATA!$F:$F,$B90,
DATA!$B:$B,"&gt;="&amp;DATE(2026,MONTH(I$89),DAY(I$89)),
DATA!$B:$B,"&lt;"&amp;DATE(2026,MONTH(I$89),DAY(I$89))+1
)</f>
        <v>0</v>
      </c>
      <c r="J90" s="30">
        <f>COUNTIFS(
DATA!$F:$F,$B90,
DATA!$B:$B,"&gt;="&amp;DATE(2026,MONTH(J$89),DAY(J$89)),
DATA!$B:$B,"&lt;"&amp;DATE(2026,MONTH(J$89),DAY(J$89))+1
)</f>
        <v>0</v>
      </c>
      <c r="K90" s="30">
        <f>COUNTIFS(
DATA!$F:$F,$B90,
DATA!$B:$B,"&gt;="&amp;DATE(2026,MONTH(K$89),DAY(K$89)),
DATA!$B:$B,"&lt;"&amp;DATE(2026,MONTH(K$89),DAY(K$89))+1
)</f>
        <v>0</v>
      </c>
      <c r="L90" s="30">
        <f>COUNTIFS(
DATA!$F:$F,$B90,
DATA!$B:$B,"&gt;="&amp;DATE(2026,MONTH(L$89),DAY(L$89)),
DATA!$B:$B,"&lt;"&amp;DATE(2026,MONTH(L$89),DAY(L$89))+1
)</f>
        <v>0</v>
      </c>
      <c r="M90" s="30">
        <f>COUNTIFS(
DATA!$F:$F,$B90,
DATA!$B:$B,"&gt;="&amp;DATE(2026,MONTH(M$89),DAY(M$89)),
DATA!$B:$B,"&lt;"&amp;DATE(2026,MONTH(M$89),DAY(M$89))+1
)</f>
        <v>0</v>
      </c>
      <c r="N90" s="30">
        <f>COUNTIFS(
DATA!$F:$F,$B90,
DATA!$B:$B,"&gt;="&amp;DATE(2026,MONTH(N$89),DAY(N$89)),
DATA!$B:$B,"&lt;"&amp;DATE(2026,MONTH(N$89),DAY(N$89))+1
)</f>
        <v>0</v>
      </c>
      <c r="O90" s="30">
        <f>COUNTIFS(
DATA!$F:$F,$B90,
DATA!$B:$B,"&gt;="&amp;DATE(2026,MONTH(O$89),DAY(O$89)),
DATA!$B:$B,"&lt;"&amp;DATE(2026,MONTH(O$89),DAY(O$89))+1
)</f>
        <v>0</v>
      </c>
      <c r="P90" s="30">
        <f>COUNTIFS(
DATA!$F:$F,$B90,
DATA!$B:$B,"&gt;="&amp;DATE(2026,MONTH(P$89),DAY(P$89)),
DATA!$B:$B,"&lt;"&amp;DATE(2026,MONTH(P$89),DAY(P$89))+1
)</f>
        <v>0</v>
      </c>
      <c r="Q90" s="30">
        <f>COUNTIFS(
DATA!$F:$F,$B90,
DATA!$B:$B,"&gt;="&amp;DATE(2026,MONTH(Q$89),DAY(Q$89)),
DATA!$B:$B,"&lt;"&amp;DATE(2026,MONTH(Q$89),DAY(Q$89))+1
)</f>
        <v>0</v>
      </c>
      <c r="R90" s="30">
        <f>COUNTIFS(
DATA!$F:$F,$B90,
DATA!$B:$B,"&gt;="&amp;DATE(2026,MONTH(R$89),DAY(R$89)),
DATA!$B:$B,"&lt;"&amp;DATE(2026,MONTH(R$89),DAY(R$89))+1
)</f>
        <v>0</v>
      </c>
      <c r="S90" s="30">
        <f>COUNTIFS(
DATA!$F:$F,$B90,
DATA!$B:$B,"&gt;="&amp;DATE(2026,MONTH(S$89),DAY(S$89)),
DATA!$B:$B,"&lt;"&amp;DATE(2026,MONTH(S$89),DAY(S$89))+1
)</f>
        <v>0</v>
      </c>
      <c r="T90" s="30">
        <f>COUNTIFS(
DATA!$F:$F,$B90,
DATA!$B:$B,"&gt;="&amp;DATE(2026,MONTH(T$89),DAY(T$89)),
DATA!$B:$B,"&lt;"&amp;DATE(2026,MONTH(T$89),DAY(T$89))+1
)</f>
        <v>0</v>
      </c>
      <c r="U90" s="30">
        <f>COUNTIFS(
DATA!$F:$F,$B90,
DATA!$B:$B,"&gt;="&amp;DATE(2026,MONTH(U$89),DAY(U$89)),
DATA!$B:$B,"&lt;"&amp;DATE(2026,MONTH(U$89),DAY(U$89))+1
)</f>
        <v>0</v>
      </c>
      <c r="V90" s="30">
        <f>COUNTIFS(
DATA!$F:$F,$B90,
DATA!$B:$B,"&gt;="&amp;DATE(2026,MONTH(V$89),DAY(V$89)),
DATA!$B:$B,"&lt;"&amp;DATE(2026,MONTH(V$89),DAY(V$89))+1
)</f>
        <v>0</v>
      </c>
      <c r="W90" s="30">
        <f>COUNTIFS(
DATA!$F:$F,$B90,
DATA!$B:$B,"&gt;="&amp;DATE(2026,MONTH(W$89),DAY(W$89)),
DATA!$B:$B,"&lt;"&amp;DATE(2026,MONTH(W$89),DAY(W$89))+1
)</f>
        <v>0</v>
      </c>
      <c r="X90" s="30">
        <f>COUNTIFS(
DATA!$F:$F,$B90,
DATA!$B:$B,"&gt;="&amp;DATE(2026,MONTH(X$89),DAY(X$89)),
DATA!$B:$B,"&lt;"&amp;DATE(2026,MONTH(X$89),DAY(X$89))+1
)</f>
        <v>0</v>
      </c>
      <c r="Y90" s="30">
        <f>COUNTIFS(
DATA!$F:$F,$B90,
DATA!$B:$B,"&gt;="&amp;DATE(2026,MONTH(Y$89),DAY(Y$89)),
DATA!$B:$B,"&lt;"&amp;DATE(2026,MONTH(Y$89),DAY(Y$89))+1
)</f>
        <v>0</v>
      </c>
      <c r="Z90" s="30">
        <f>COUNTIFS(
DATA!$F:$F,$B90,
DATA!$B:$B,"&gt;="&amp;DATE(2026,MONTH(Z$89),DAY(Z$89)),
DATA!$B:$B,"&lt;"&amp;DATE(2026,MONTH(Z$89),DAY(Z$89))+1
)</f>
        <v>0</v>
      </c>
      <c r="AA90" s="30">
        <f>COUNTIFS(
DATA!$F:$F,$B90,
DATA!$B:$B,"&gt;="&amp;DATE(2026,MONTH(AA$89),DAY(AA$89)),
DATA!$B:$B,"&lt;"&amp;DATE(2026,MONTH(AA$89),DAY(AA$89))+1
)</f>
        <v>0</v>
      </c>
      <c r="AB90" s="30">
        <f>COUNTIFS(
DATA!$F:$F,$B90,
DATA!$B:$B,"&gt;="&amp;DATE(2026,MONTH(AB$89),DAY(AB$89)),
DATA!$B:$B,"&lt;"&amp;DATE(2026,MONTH(AB$89),DAY(AB$89))+1
)</f>
        <v>0</v>
      </c>
      <c r="AC90" s="30">
        <f>COUNTIFS(
DATA!$F:$F,$B90,
DATA!$B:$B,"&gt;="&amp;DATE(2026,MONTH(AC$89),DAY(AC$89)),
DATA!$B:$B,"&lt;"&amp;DATE(2026,MONTH(AC$89),DAY(AC$89))+1
)</f>
        <v>0</v>
      </c>
      <c r="AD90" s="30">
        <f>COUNTIFS(
DATA!$F:$F,$B90,
DATA!$B:$B,"&gt;="&amp;DATE(2026,MONTH(AD$89),DAY(AD$89)),
DATA!$B:$B,"&lt;"&amp;DATE(2026,MONTH(AD$89),DAY(AD$89))+1
)</f>
        <v>0</v>
      </c>
      <c r="AE90" s="30">
        <f>COUNTIFS(
DATA!$F:$F,$B90,
DATA!$B:$B,"&gt;="&amp;DATE(2026,MONTH(AE$89),DAY(AE$89)),
DATA!$B:$B,"&lt;"&amp;DATE(2026,MONTH(AE$89),DAY(AE$89))+1
)</f>
        <v>0</v>
      </c>
      <c r="AF90" s="30">
        <f>COUNTIFS(
DATA!$F:$F,$B90,
DATA!$B:$B,"&gt;="&amp;DATE(2026,MONTH(AF$89),DAY(AF$89)),
DATA!$B:$B,"&lt;"&amp;DATE(2026,MONTH(AF$89),DAY(AF$89))+1
)</f>
        <v>0</v>
      </c>
      <c r="AG90" s="30">
        <f>COUNTIFS(
DATA!$F:$F,$B90,
DATA!$B:$B,"&gt;="&amp;DATE(2026,MONTH(AG$89),DAY(AG$89)),
DATA!$B:$B,"&lt;"&amp;DATE(2026,MONTH(AG$89),DAY(AG$89))+1
)</f>
        <v>0</v>
      </c>
      <c r="AH90" s="31">
        <f t="shared" ref="AH90:AH98" si="188">SUBTOTAL(9,C90:AG90)</f>
        <v>0</v>
      </c>
      <c r="AI90" s="7"/>
      <c r="AJ90" s="30">
        <v>1.0</v>
      </c>
      <c r="AK90" s="32" t="s">
        <v>60</v>
      </c>
      <c r="AL90" s="41">
        <f t="shared" ref="AL90:AL98" si="189">C90</f>
        <v>0</v>
      </c>
      <c r="AM90" s="30">
        <f t="shared" ref="AM90:BP90" si="187">SUM($C90:D90)</f>
        <v>0</v>
      </c>
      <c r="AN90" s="30">
        <f t="shared" si="187"/>
        <v>0</v>
      </c>
      <c r="AO90" s="30">
        <f t="shared" si="187"/>
        <v>0</v>
      </c>
      <c r="AP90" s="30">
        <f t="shared" si="187"/>
        <v>0</v>
      </c>
      <c r="AQ90" s="30">
        <f t="shared" si="187"/>
        <v>0</v>
      </c>
      <c r="AR90" s="30">
        <f t="shared" si="187"/>
        <v>0</v>
      </c>
      <c r="AS90" s="30">
        <f t="shared" si="187"/>
        <v>0</v>
      </c>
      <c r="AT90" s="30">
        <f t="shared" si="187"/>
        <v>0</v>
      </c>
      <c r="AU90" s="30">
        <f t="shared" si="187"/>
        <v>0</v>
      </c>
      <c r="AV90" s="30">
        <f t="shared" si="187"/>
        <v>0</v>
      </c>
      <c r="AW90" s="30">
        <f t="shared" si="187"/>
        <v>0</v>
      </c>
      <c r="AX90" s="30">
        <f t="shared" si="187"/>
        <v>0</v>
      </c>
      <c r="AY90" s="30">
        <f t="shared" si="187"/>
        <v>0</v>
      </c>
      <c r="AZ90" s="30">
        <f t="shared" si="187"/>
        <v>0</v>
      </c>
      <c r="BA90" s="30">
        <f t="shared" si="187"/>
        <v>0</v>
      </c>
      <c r="BB90" s="30">
        <f t="shared" si="187"/>
        <v>0</v>
      </c>
      <c r="BC90" s="30">
        <f t="shared" si="187"/>
        <v>0</v>
      </c>
      <c r="BD90" s="30">
        <f t="shared" si="187"/>
        <v>0</v>
      </c>
      <c r="BE90" s="30">
        <f t="shared" si="187"/>
        <v>0</v>
      </c>
      <c r="BF90" s="30">
        <f t="shared" si="187"/>
        <v>0</v>
      </c>
      <c r="BG90" s="30">
        <f t="shared" si="187"/>
        <v>0</v>
      </c>
      <c r="BH90" s="30">
        <f t="shared" si="187"/>
        <v>0</v>
      </c>
      <c r="BI90" s="30">
        <f t="shared" si="187"/>
        <v>0</v>
      </c>
      <c r="BJ90" s="30">
        <f t="shared" si="187"/>
        <v>0</v>
      </c>
      <c r="BK90" s="30">
        <f t="shared" si="187"/>
        <v>0</v>
      </c>
      <c r="BL90" s="30">
        <f t="shared" si="187"/>
        <v>0</v>
      </c>
      <c r="BM90" s="30">
        <f t="shared" si="187"/>
        <v>0</v>
      </c>
      <c r="BN90" s="30">
        <f t="shared" si="187"/>
        <v>0</v>
      </c>
      <c r="BO90" s="30">
        <f t="shared" si="187"/>
        <v>0</v>
      </c>
      <c r="BP90" s="30">
        <f t="shared" si="187"/>
        <v>0</v>
      </c>
      <c r="BQ90" s="31">
        <f t="shared" ref="BQ90:BQ98" si="191">BP90</f>
        <v>0</v>
      </c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</row>
    <row r="91">
      <c r="A91" s="28">
        <v>2.0</v>
      </c>
      <c r="B91" s="29" t="s">
        <v>61</v>
      </c>
      <c r="C91" s="30">
        <f>COUNTIFS(
DATA!$F:$F,$B91,
DATA!$B:$B,"&gt;="&amp;DATE(2026,MONTH(C$89),DAY(C$89)),
DATA!$B:$B,"&lt;"&amp;DATE(2026,MONTH(C$89),DAY(C$89))+1
)</f>
        <v>0</v>
      </c>
      <c r="D91" s="30">
        <f>COUNTIFS(
DATA!$F:$F,$B91,
DATA!$B:$B,"&gt;="&amp;DATE(2026,MONTH(D$89),DAY(D$89)),
DATA!$B:$B,"&lt;"&amp;DATE(2026,MONTH(D$89),DAY(D$89))+1
)</f>
        <v>0</v>
      </c>
      <c r="E91" s="30">
        <f>COUNTIFS(
DATA!$F:$F,$B91,
DATA!$B:$B,"&gt;="&amp;DATE(2026,MONTH(E$89),DAY(E$89)),
DATA!$B:$B,"&lt;"&amp;DATE(2026,MONTH(E$89),DAY(E$89))+1
)</f>
        <v>0</v>
      </c>
      <c r="F91" s="30">
        <f>COUNTIFS(
DATA!$F:$F,$B91,
DATA!$B:$B,"&gt;="&amp;DATE(2026,MONTH(F$89),DAY(F$89)),
DATA!$B:$B,"&lt;"&amp;DATE(2026,MONTH(F$89),DAY(F$89))+1
)</f>
        <v>0</v>
      </c>
      <c r="G91" s="30">
        <f>COUNTIFS(
DATA!$F:$F,$B91,
DATA!$B:$B,"&gt;="&amp;DATE(2026,MONTH(G$89),DAY(G$89)),
DATA!$B:$B,"&lt;"&amp;DATE(2026,MONTH(G$89),DAY(G$89))+1
)</f>
        <v>0</v>
      </c>
      <c r="H91" s="30">
        <f>COUNTIFS(
DATA!$F:$F,$B91,
DATA!$B:$B,"&gt;="&amp;DATE(2026,MONTH(H$89),DAY(H$89)),
DATA!$B:$B,"&lt;"&amp;DATE(2026,MONTH(H$89),DAY(H$89))+1
)</f>
        <v>0</v>
      </c>
      <c r="I91" s="30">
        <f>COUNTIFS(
DATA!$F:$F,$B91,
DATA!$B:$B,"&gt;="&amp;DATE(2026,MONTH(I$89),DAY(I$89)),
DATA!$B:$B,"&lt;"&amp;DATE(2026,MONTH(I$89),DAY(I$89))+1
)</f>
        <v>0</v>
      </c>
      <c r="J91" s="30">
        <f>COUNTIFS(
DATA!$F:$F,$B91,
DATA!$B:$B,"&gt;="&amp;DATE(2026,MONTH(J$89),DAY(J$89)),
DATA!$B:$B,"&lt;"&amp;DATE(2026,MONTH(J$89),DAY(J$89))+1
)</f>
        <v>0</v>
      </c>
      <c r="K91" s="30">
        <f>COUNTIFS(
DATA!$F:$F,$B91,
DATA!$B:$B,"&gt;="&amp;DATE(2026,MONTH(K$89),DAY(K$89)),
DATA!$B:$B,"&lt;"&amp;DATE(2026,MONTH(K$89),DAY(K$89))+1
)</f>
        <v>0</v>
      </c>
      <c r="L91" s="30">
        <f>COUNTIFS(
DATA!$F:$F,$B91,
DATA!$B:$B,"&gt;="&amp;DATE(2026,MONTH(L$89),DAY(L$89)),
DATA!$B:$B,"&lt;"&amp;DATE(2026,MONTH(L$89),DAY(L$89))+1
)</f>
        <v>0</v>
      </c>
      <c r="M91" s="30">
        <f>COUNTIFS(
DATA!$F:$F,$B91,
DATA!$B:$B,"&gt;="&amp;DATE(2026,MONTH(M$89),DAY(M$89)),
DATA!$B:$B,"&lt;"&amp;DATE(2026,MONTH(M$89),DAY(M$89))+1
)</f>
        <v>0</v>
      </c>
      <c r="N91" s="30">
        <f>COUNTIFS(
DATA!$F:$F,$B91,
DATA!$B:$B,"&gt;="&amp;DATE(2026,MONTH(N$89),DAY(N$89)),
DATA!$B:$B,"&lt;"&amp;DATE(2026,MONTH(N$89),DAY(N$89))+1
)</f>
        <v>0</v>
      </c>
      <c r="O91" s="30">
        <f>COUNTIFS(
DATA!$F:$F,$B91,
DATA!$B:$B,"&gt;="&amp;DATE(2026,MONTH(O$89),DAY(O$89)),
DATA!$B:$B,"&lt;"&amp;DATE(2026,MONTH(O$89),DAY(O$89))+1
)</f>
        <v>0</v>
      </c>
      <c r="P91" s="30">
        <f>COUNTIFS(
DATA!$F:$F,$B91,
DATA!$B:$B,"&gt;="&amp;DATE(2026,MONTH(P$89),DAY(P$89)),
DATA!$B:$B,"&lt;"&amp;DATE(2026,MONTH(P$89),DAY(P$89))+1
)</f>
        <v>0</v>
      </c>
      <c r="Q91" s="30">
        <f>COUNTIFS(
DATA!$F:$F,$B91,
DATA!$B:$B,"&gt;="&amp;DATE(2026,MONTH(Q$89),DAY(Q$89)),
DATA!$B:$B,"&lt;"&amp;DATE(2026,MONTH(Q$89),DAY(Q$89))+1
)</f>
        <v>0</v>
      </c>
      <c r="R91" s="30">
        <f>COUNTIFS(
DATA!$F:$F,$B91,
DATA!$B:$B,"&gt;="&amp;DATE(2026,MONTH(R$89),DAY(R$89)),
DATA!$B:$B,"&lt;"&amp;DATE(2026,MONTH(R$89),DAY(R$89))+1
)</f>
        <v>0</v>
      </c>
      <c r="S91" s="30">
        <f>COUNTIFS(
DATA!$F:$F,$B91,
DATA!$B:$B,"&gt;="&amp;DATE(2026,MONTH(S$89),DAY(S$89)),
DATA!$B:$B,"&lt;"&amp;DATE(2026,MONTH(S$89),DAY(S$89))+1
)</f>
        <v>0</v>
      </c>
      <c r="T91" s="30">
        <f>COUNTIFS(
DATA!$F:$F,$B91,
DATA!$B:$B,"&gt;="&amp;DATE(2026,MONTH(T$89),DAY(T$89)),
DATA!$B:$B,"&lt;"&amp;DATE(2026,MONTH(T$89),DAY(T$89))+1
)</f>
        <v>0</v>
      </c>
      <c r="U91" s="30">
        <f>COUNTIFS(
DATA!$F:$F,$B91,
DATA!$B:$B,"&gt;="&amp;DATE(2026,MONTH(U$89),DAY(U$89)),
DATA!$B:$B,"&lt;"&amp;DATE(2026,MONTH(U$89),DAY(U$89))+1
)</f>
        <v>0</v>
      </c>
      <c r="V91" s="30">
        <f>COUNTIFS(
DATA!$F:$F,$B91,
DATA!$B:$B,"&gt;="&amp;DATE(2026,MONTH(V$89),DAY(V$89)),
DATA!$B:$B,"&lt;"&amp;DATE(2026,MONTH(V$89),DAY(V$89))+1
)</f>
        <v>0</v>
      </c>
      <c r="W91" s="30">
        <f>COUNTIFS(
DATA!$F:$F,$B91,
DATA!$B:$B,"&gt;="&amp;DATE(2026,MONTH(W$89),DAY(W$89)),
DATA!$B:$B,"&lt;"&amp;DATE(2026,MONTH(W$89),DAY(W$89))+1
)</f>
        <v>0</v>
      </c>
      <c r="X91" s="30">
        <f>COUNTIFS(
DATA!$F:$F,$B91,
DATA!$B:$B,"&gt;="&amp;DATE(2026,MONTH(X$89),DAY(X$89)),
DATA!$B:$B,"&lt;"&amp;DATE(2026,MONTH(X$89),DAY(X$89))+1
)</f>
        <v>0</v>
      </c>
      <c r="Y91" s="30">
        <f>COUNTIFS(
DATA!$F:$F,$B91,
DATA!$B:$B,"&gt;="&amp;DATE(2026,MONTH(Y$89),DAY(Y$89)),
DATA!$B:$B,"&lt;"&amp;DATE(2026,MONTH(Y$89),DAY(Y$89))+1
)</f>
        <v>0</v>
      </c>
      <c r="Z91" s="30">
        <f>COUNTIFS(
DATA!$F:$F,$B91,
DATA!$B:$B,"&gt;="&amp;DATE(2026,MONTH(Z$89),DAY(Z$89)),
DATA!$B:$B,"&lt;"&amp;DATE(2026,MONTH(Z$89),DAY(Z$89))+1
)</f>
        <v>0</v>
      </c>
      <c r="AA91" s="30">
        <f>COUNTIFS(
DATA!$F:$F,$B91,
DATA!$B:$B,"&gt;="&amp;DATE(2026,MONTH(AA$89),DAY(AA$89)),
DATA!$B:$B,"&lt;"&amp;DATE(2026,MONTH(AA$89),DAY(AA$89))+1
)</f>
        <v>0</v>
      </c>
      <c r="AB91" s="30">
        <f>COUNTIFS(
DATA!$F:$F,$B91,
DATA!$B:$B,"&gt;="&amp;DATE(2026,MONTH(AB$89),DAY(AB$89)),
DATA!$B:$B,"&lt;"&amp;DATE(2026,MONTH(AB$89),DAY(AB$89))+1
)</f>
        <v>0</v>
      </c>
      <c r="AC91" s="30">
        <f>COUNTIFS(
DATA!$F:$F,$B91,
DATA!$B:$B,"&gt;="&amp;DATE(2026,MONTH(AC$89),DAY(AC$89)),
DATA!$B:$B,"&lt;"&amp;DATE(2026,MONTH(AC$89),DAY(AC$89))+1
)</f>
        <v>0</v>
      </c>
      <c r="AD91" s="30">
        <f>COUNTIFS(
DATA!$F:$F,$B91,
DATA!$B:$B,"&gt;="&amp;DATE(2026,MONTH(AD$89),DAY(AD$89)),
DATA!$B:$B,"&lt;"&amp;DATE(2026,MONTH(AD$89),DAY(AD$89))+1
)</f>
        <v>0</v>
      </c>
      <c r="AE91" s="30">
        <f>COUNTIFS(
DATA!$F:$F,$B91,
DATA!$B:$B,"&gt;="&amp;DATE(2026,MONTH(AE$89),DAY(AE$89)),
DATA!$B:$B,"&lt;"&amp;DATE(2026,MONTH(AE$89),DAY(AE$89))+1
)</f>
        <v>0</v>
      </c>
      <c r="AF91" s="30">
        <f>COUNTIFS(
DATA!$F:$F,$B91,
DATA!$B:$B,"&gt;="&amp;DATE(2026,MONTH(AF$89),DAY(AF$89)),
DATA!$B:$B,"&lt;"&amp;DATE(2026,MONTH(AF$89),DAY(AF$89))+1
)</f>
        <v>0</v>
      </c>
      <c r="AG91" s="30">
        <f>COUNTIFS(
DATA!$F:$F,$B91,
DATA!$B:$B,"&gt;="&amp;DATE(2026,MONTH(AG$89),DAY(AG$89)),
DATA!$B:$B,"&lt;"&amp;DATE(2026,MONTH(AG$89),DAY(AG$89))+1
)</f>
        <v>0</v>
      </c>
      <c r="AH91" s="31">
        <f t="shared" si="188"/>
        <v>0</v>
      </c>
      <c r="AI91" s="7"/>
      <c r="AJ91" s="30">
        <v>2.0</v>
      </c>
      <c r="AK91" s="32" t="s">
        <v>61</v>
      </c>
      <c r="AL91" s="41">
        <f t="shared" si="189"/>
        <v>0</v>
      </c>
      <c r="AM91" s="30">
        <f t="shared" ref="AM91:AM98" si="192">SUM(C91:D91)</f>
        <v>0</v>
      </c>
      <c r="AN91" s="30">
        <f t="shared" ref="AN91:BP91" si="190">SUM($C91:E91)</f>
        <v>0</v>
      </c>
      <c r="AO91" s="30">
        <f t="shared" si="190"/>
        <v>0</v>
      </c>
      <c r="AP91" s="30">
        <f t="shared" si="190"/>
        <v>0</v>
      </c>
      <c r="AQ91" s="30">
        <f t="shared" si="190"/>
        <v>0</v>
      </c>
      <c r="AR91" s="30">
        <f t="shared" si="190"/>
        <v>0</v>
      </c>
      <c r="AS91" s="30">
        <f t="shared" si="190"/>
        <v>0</v>
      </c>
      <c r="AT91" s="30">
        <f t="shared" si="190"/>
        <v>0</v>
      </c>
      <c r="AU91" s="30">
        <f t="shared" si="190"/>
        <v>0</v>
      </c>
      <c r="AV91" s="30">
        <f t="shared" si="190"/>
        <v>0</v>
      </c>
      <c r="AW91" s="30">
        <f t="shared" si="190"/>
        <v>0</v>
      </c>
      <c r="AX91" s="30">
        <f t="shared" si="190"/>
        <v>0</v>
      </c>
      <c r="AY91" s="30">
        <f t="shared" si="190"/>
        <v>0</v>
      </c>
      <c r="AZ91" s="30">
        <f t="shared" si="190"/>
        <v>0</v>
      </c>
      <c r="BA91" s="30">
        <f t="shared" si="190"/>
        <v>0</v>
      </c>
      <c r="BB91" s="30">
        <f t="shared" si="190"/>
        <v>0</v>
      </c>
      <c r="BC91" s="30">
        <f t="shared" si="190"/>
        <v>0</v>
      </c>
      <c r="BD91" s="30">
        <f t="shared" si="190"/>
        <v>0</v>
      </c>
      <c r="BE91" s="30">
        <f t="shared" si="190"/>
        <v>0</v>
      </c>
      <c r="BF91" s="30">
        <f t="shared" si="190"/>
        <v>0</v>
      </c>
      <c r="BG91" s="30">
        <f t="shared" si="190"/>
        <v>0</v>
      </c>
      <c r="BH91" s="30">
        <f t="shared" si="190"/>
        <v>0</v>
      </c>
      <c r="BI91" s="30">
        <f t="shared" si="190"/>
        <v>0</v>
      </c>
      <c r="BJ91" s="30">
        <f t="shared" si="190"/>
        <v>0</v>
      </c>
      <c r="BK91" s="30">
        <f t="shared" si="190"/>
        <v>0</v>
      </c>
      <c r="BL91" s="30">
        <f t="shared" si="190"/>
        <v>0</v>
      </c>
      <c r="BM91" s="30">
        <f t="shared" si="190"/>
        <v>0</v>
      </c>
      <c r="BN91" s="30">
        <f t="shared" si="190"/>
        <v>0</v>
      </c>
      <c r="BO91" s="30">
        <f t="shared" si="190"/>
        <v>0</v>
      </c>
      <c r="BP91" s="30">
        <f t="shared" si="190"/>
        <v>0</v>
      </c>
      <c r="BQ91" s="31">
        <f t="shared" si="191"/>
        <v>0</v>
      </c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</row>
    <row r="92">
      <c r="A92" s="28">
        <v>3.0</v>
      </c>
      <c r="B92" s="29" t="s">
        <v>62</v>
      </c>
      <c r="C92" s="30">
        <f>COUNTIFS(
DATA!$F:$F,$B92,
DATA!$B:$B,"&gt;="&amp;DATE(2026,MONTH(C$89),DAY(C$89)),
DATA!$B:$B,"&lt;"&amp;DATE(2026,MONTH(C$89),DAY(C$89))+1
)</f>
        <v>0</v>
      </c>
      <c r="D92" s="30">
        <f>COUNTIFS(
DATA!$F:$F,$B92,
DATA!$B:$B,"&gt;="&amp;DATE(2026,MONTH(D$89),DAY(D$89)),
DATA!$B:$B,"&lt;"&amp;DATE(2026,MONTH(D$89),DAY(D$89))+1
)</f>
        <v>0</v>
      </c>
      <c r="E92" s="30">
        <f>COUNTIFS(
DATA!$F:$F,$B92,
DATA!$B:$B,"&gt;="&amp;DATE(2026,MONTH(E$89),DAY(E$89)),
DATA!$B:$B,"&lt;"&amp;DATE(2026,MONTH(E$89),DAY(E$89))+1
)</f>
        <v>0</v>
      </c>
      <c r="F92" s="30">
        <f>COUNTIFS(
DATA!$F:$F,$B92,
DATA!$B:$B,"&gt;="&amp;DATE(2026,MONTH(F$89),DAY(F$89)),
DATA!$B:$B,"&lt;"&amp;DATE(2026,MONTH(F$89),DAY(F$89))+1
)</f>
        <v>0</v>
      </c>
      <c r="G92" s="30">
        <f>COUNTIFS(
DATA!$F:$F,$B92,
DATA!$B:$B,"&gt;="&amp;DATE(2026,MONTH(G$89),DAY(G$89)),
DATA!$B:$B,"&lt;"&amp;DATE(2026,MONTH(G$89),DAY(G$89))+1
)</f>
        <v>0</v>
      </c>
      <c r="H92" s="30">
        <f>COUNTIFS(
DATA!$F:$F,$B92,
DATA!$B:$B,"&gt;="&amp;DATE(2026,MONTH(H$89),DAY(H$89)),
DATA!$B:$B,"&lt;"&amp;DATE(2026,MONTH(H$89),DAY(H$89))+1
)</f>
        <v>0</v>
      </c>
      <c r="I92" s="30">
        <f>COUNTIFS(
DATA!$F:$F,$B92,
DATA!$B:$B,"&gt;="&amp;DATE(2026,MONTH(I$89),DAY(I$89)),
DATA!$B:$B,"&lt;"&amp;DATE(2026,MONTH(I$89),DAY(I$89))+1
)</f>
        <v>0</v>
      </c>
      <c r="J92" s="30">
        <f>COUNTIFS(
DATA!$F:$F,$B92,
DATA!$B:$B,"&gt;="&amp;DATE(2026,MONTH(J$89),DAY(J$89)),
DATA!$B:$B,"&lt;"&amp;DATE(2026,MONTH(J$89),DAY(J$89))+1
)</f>
        <v>0</v>
      </c>
      <c r="K92" s="30">
        <f>COUNTIFS(
DATA!$F:$F,$B92,
DATA!$B:$B,"&gt;="&amp;DATE(2026,MONTH(K$89),DAY(K$89)),
DATA!$B:$B,"&lt;"&amp;DATE(2026,MONTH(K$89),DAY(K$89))+1
)</f>
        <v>0</v>
      </c>
      <c r="L92" s="30">
        <f>COUNTIFS(
DATA!$F:$F,$B92,
DATA!$B:$B,"&gt;="&amp;DATE(2026,MONTH(L$89),DAY(L$89)),
DATA!$B:$B,"&lt;"&amp;DATE(2026,MONTH(L$89),DAY(L$89))+1
)</f>
        <v>0</v>
      </c>
      <c r="M92" s="30">
        <f>COUNTIFS(
DATA!$F:$F,$B92,
DATA!$B:$B,"&gt;="&amp;DATE(2026,MONTH(M$89),DAY(M$89)),
DATA!$B:$B,"&lt;"&amp;DATE(2026,MONTH(M$89),DAY(M$89))+1
)</f>
        <v>0</v>
      </c>
      <c r="N92" s="30">
        <f>COUNTIFS(
DATA!$F:$F,$B92,
DATA!$B:$B,"&gt;="&amp;DATE(2026,MONTH(N$89),DAY(N$89)),
DATA!$B:$B,"&lt;"&amp;DATE(2026,MONTH(N$89),DAY(N$89))+1
)</f>
        <v>0</v>
      </c>
      <c r="O92" s="30">
        <f>COUNTIFS(
DATA!$F:$F,$B92,
DATA!$B:$B,"&gt;="&amp;DATE(2026,MONTH(O$89),DAY(O$89)),
DATA!$B:$B,"&lt;"&amp;DATE(2026,MONTH(O$89),DAY(O$89))+1
)</f>
        <v>0</v>
      </c>
      <c r="P92" s="30">
        <f>COUNTIFS(
DATA!$F:$F,$B92,
DATA!$B:$B,"&gt;="&amp;DATE(2026,MONTH(P$89),DAY(P$89)),
DATA!$B:$B,"&lt;"&amp;DATE(2026,MONTH(P$89),DAY(P$89))+1
)</f>
        <v>0</v>
      </c>
      <c r="Q92" s="30">
        <f>COUNTIFS(
DATA!$F:$F,$B92,
DATA!$B:$B,"&gt;="&amp;DATE(2026,MONTH(Q$89),DAY(Q$89)),
DATA!$B:$B,"&lt;"&amp;DATE(2026,MONTH(Q$89),DAY(Q$89))+1
)</f>
        <v>0</v>
      </c>
      <c r="R92" s="30">
        <f>COUNTIFS(
DATA!$F:$F,$B92,
DATA!$B:$B,"&gt;="&amp;DATE(2026,MONTH(R$89),DAY(R$89)),
DATA!$B:$B,"&lt;"&amp;DATE(2026,MONTH(R$89),DAY(R$89))+1
)</f>
        <v>0</v>
      </c>
      <c r="S92" s="30">
        <f>COUNTIFS(
DATA!$F:$F,$B92,
DATA!$B:$B,"&gt;="&amp;DATE(2026,MONTH(S$89),DAY(S$89)),
DATA!$B:$B,"&lt;"&amp;DATE(2026,MONTH(S$89),DAY(S$89))+1
)</f>
        <v>0</v>
      </c>
      <c r="T92" s="30">
        <f>COUNTIFS(
DATA!$F:$F,$B92,
DATA!$B:$B,"&gt;="&amp;DATE(2026,MONTH(T$89),DAY(T$89)),
DATA!$B:$B,"&lt;"&amp;DATE(2026,MONTH(T$89),DAY(T$89))+1
)</f>
        <v>0</v>
      </c>
      <c r="U92" s="30">
        <f>COUNTIFS(
DATA!$F:$F,$B92,
DATA!$B:$B,"&gt;="&amp;DATE(2026,MONTH(U$89),DAY(U$89)),
DATA!$B:$B,"&lt;"&amp;DATE(2026,MONTH(U$89),DAY(U$89))+1
)</f>
        <v>0</v>
      </c>
      <c r="V92" s="30">
        <f>COUNTIFS(
DATA!$F:$F,$B92,
DATA!$B:$B,"&gt;="&amp;DATE(2026,MONTH(V$89),DAY(V$89)),
DATA!$B:$B,"&lt;"&amp;DATE(2026,MONTH(V$89),DAY(V$89))+1
)</f>
        <v>0</v>
      </c>
      <c r="W92" s="30">
        <f>COUNTIFS(
DATA!$F:$F,$B92,
DATA!$B:$B,"&gt;="&amp;DATE(2026,MONTH(W$89),DAY(W$89)),
DATA!$B:$B,"&lt;"&amp;DATE(2026,MONTH(W$89),DAY(W$89))+1
)</f>
        <v>0</v>
      </c>
      <c r="X92" s="30">
        <f>COUNTIFS(
DATA!$F:$F,$B92,
DATA!$B:$B,"&gt;="&amp;DATE(2026,MONTH(X$89),DAY(X$89)),
DATA!$B:$B,"&lt;"&amp;DATE(2026,MONTH(X$89),DAY(X$89))+1
)</f>
        <v>0</v>
      </c>
      <c r="Y92" s="30">
        <f>COUNTIFS(
DATA!$F:$F,$B92,
DATA!$B:$B,"&gt;="&amp;DATE(2026,MONTH(Y$89),DAY(Y$89)),
DATA!$B:$B,"&lt;"&amp;DATE(2026,MONTH(Y$89),DAY(Y$89))+1
)</f>
        <v>0</v>
      </c>
      <c r="Z92" s="30">
        <f>COUNTIFS(
DATA!$F:$F,$B92,
DATA!$B:$B,"&gt;="&amp;DATE(2026,MONTH(Z$89),DAY(Z$89)),
DATA!$B:$B,"&lt;"&amp;DATE(2026,MONTH(Z$89),DAY(Z$89))+1
)</f>
        <v>0</v>
      </c>
      <c r="AA92" s="30">
        <f>COUNTIFS(
DATA!$F:$F,$B92,
DATA!$B:$B,"&gt;="&amp;DATE(2026,MONTH(AA$89),DAY(AA$89)),
DATA!$B:$B,"&lt;"&amp;DATE(2026,MONTH(AA$89),DAY(AA$89))+1
)</f>
        <v>0</v>
      </c>
      <c r="AB92" s="30">
        <f>COUNTIFS(
DATA!$F:$F,$B92,
DATA!$B:$B,"&gt;="&amp;DATE(2026,MONTH(AB$89),DAY(AB$89)),
DATA!$B:$B,"&lt;"&amp;DATE(2026,MONTH(AB$89),DAY(AB$89))+1
)</f>
        <v>0</v>
      </c>
      <c r="AC92" s="30">
        <f>COUNTIFS(
DATA!$F:$F,$B92,
DATA!$B:$B,"&gt;="&amp;DATE(2026,MONTH(AC$89),DAY(AC$89)),
DATA!$B:$B,"&lt;"&amp;DATE(2026,MONTH(AC$89),DAY(AC$89))+1
)</f>
        <v>0</v>
      </c>
      <c r="AD92" s="30">
        <f>COUNTIFS(
DATA!$F:$F,$B92,
DATA!$B:$B,"&gt;="&amp;DATE(2026,MONTH(AD$89),DAY(AD$89)),
DATA!$B:$B,"&lt;"&amp;DATE(2026,MONTH(AD$89),DAY(AD$89))+1
)</f>
        <v>0</v>
      </c>
      <c r="AE92" s="30">
        <f>COUNTIFS(
DATA!$F:$F,$B92,
DATA!$B:$B,"&gt;="&amp;DATE(2026,MONTH(AE$89),DAY(AE$89)),
DATA!$B:$B,"&lt;"&amp;DATE(2026,MONTH(AE$89),DAY(AE$89))+1
)</f>
        <v>0</v>
      </c>
      <c r="AF92" s="30">
        <f>COUNTIFS(
DATA!$F:$F,$B92,
DATA!$B:$B,"&gt;="&amp;DATE(2026,MONTH(AF$89),DAY(AF$89)),
DATA!$B:$B,"&lt;"&amp;DATE(2026,MONTH(AF$89),DAY(AF$89))+1
)</f>
        <v>0</v>
      </c>
      <c r="AG92" s="30">
        <f>COUNTIFS(
DATA!$F:$F,$B92,
DATA!$B:$B,"&gt;="&amp;DATE(2026,MONTH(AG$89),DAY(AG$89)),
DATA!$B:$B,"&lt;"&amp;DATE(2026,MONTH(AG$89),DAY(AG$89))+1
)</f>
        <v>0</v>
      </c>
      <c r="AH92" s="31">
        <f t="shared" si="188"/>
        <v>0</v>
      </c>
      <c r="AI92" s="7"/>
      <c r="AJ92" s="30">
        <v>3.0</v>
      </c>
      <c r="AK92" s="32" t="s">
        <v>62</v>
      </c>
      <c r="AL92" s="41">
        <f t="shared" si="189"/>
        <v>0</v>
      </c>
      <c r="AM92" s="30">
        <f t="shared" si="192"/>
        <v>0</v>
      </c>
      <c r="AN92" s="30">
        <f t="shared" ref="AN92:BP92" si="193">SUM($C92:E92)</f>
        <v>0</v>
      </c>
      <c r="AO92" s="30">
        <f t="shared" si="193"/>
        <v>0</v>
      </c>
      <c r="AP92" s="30">
        <f t="shared" si="193"/>
        <v>0</v>
      </c>
      <c r="AQ92" s="30">
        <f t="shared" si="193"/>
        <v>0</v>
      </c>
      <c r="AR92" s="30">
        <f t="shared" si="193"/>
        <v>0</v>
      </c>
      <c r="AS92" s="30">
        <f t="shared" si="193"/>
        <v>0</v>
      </c>
      <c r="AT92" s="30">
        <f t="shared" si="193"/>
        <v>0</v>
      </c>
      <c r="AU92" s="30">
        <f t="shared" si="193"/>
        <v>0</v>
      </c>
      <c r="AV92" s="30">
        <f t="shared" si="193"/>
        <v>0</v>
      </c>
      <c r="AW92" s="30">
        <f t="shared" si="193"/>
        <v>0</v>
      </c>
      <c r="AX92" s="30">
        <f t="shared" si="193"/>
        <v>0</v>
      </c>
      <c r="AY92" s="30">
        <f t="shared" si="193"/>
        <v>0</v>
      </c>
      <c r="AZ92" s="30">
        <f t="shared" si="193"/>
        <v>0</v>
      </c>
      <c r="BA92" s="30">
        <f t="shared" si="193"/>
        <v>0</v>
      </c>
      <c r="BB92" s="30">
        <f t="shared" si="193"/>
        <v>0</v>
      </c>
      <c r="BC92" s="30">
        <f t="shared" si="193"/>
        <v>0</v>
      </c>
      <c r="BD92" s="30">
        <f t="shared" si="193"/>
        <v>0</v>
      </c>
      <c r="BE92" s="30">
        <f t="shared" si="193"/>
        <v>0</v>
      </c>
      <c r="BF92" s="30">
        <f t="shared" si="193"/>
        <v>0</v>
      </c>
      <c r="BG92" s="30">
        <f t="shared" si="193"/>
        <v>0</v>
      </c>
      <c r="BH92" s="30">
        <f t="shared" si="193"/>
        <v>0</v>
      </c>
      <c r="BI92" s="30">
        <f t="shared" si="193"/>
        <v>0</v>
      </c>
      <c r="BJ92" s="30">
        <f t="shared" si="193"/>
        <v>0</v>
      </c>
      <c r="BK92" s="30">
        <f t="shared" si="193"/>
        <v>0</v>
      </c>
      <c r="BL92" s="30">
        <f t="shared" si="193"/>
        <v>0</v>
      </c>
      <c r="BM92" s="30">
        <f t="shared" si="193"/>
        <v>0</v>
      </c>
      <c r="BN92" s="30">
        <f t="shared" si="193"/>
        <v>0</v>
      </c>
      <c r="BO92" s="30">
        <f t="shared" si="193"/>
        <v>0</v>
      </c>
      <c r="BP92" s="30">
        <f t="shared" si="193"/>
        <v>0</v>
      </c>
      <c r="BQ92" s="31">
        <f t="shared" si="191"/>
        <v>0</v>
      </c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</row>
    <row r="93">
      <c r="A93" s="28">
        <v>4.0</v>
      </c>
      <c r="B93" s="29" t="s">
        <v>63</v>
      </c>
      <c r="C93" s="30">
        <f>COUNTIFS(
DATA!$F:$F,$B93,
DATA!$B:$B,"&gt;="&amp;DATE(2026,MONTH(C$89),DAY(C$89)),
DATA!$B:$B,"&lt;"&amp;DATE(2026,MONTH(C$89),DAY(C$89))+1
)</f>
        <v>0</v>
      </c>
      <c r="D93" s="30">
        <f>COUNTIFS(
DATA!$F:$F,$B93,
DATA!$B:$B,"&gt;="&amp;DATE(2026,MONTH(D$89),DAY(D$89)),
DATA!$B:$B,"&lt;"&amp;DATE(2026,MONTH(D$89),DAY(D$89))+1
)</f>
        <v>0</v>
      </c>
      <c r="E93" s="30">
        <f>COUNTIFS(
DATA!$F:$F,$B93,
DATA!$B:$B,"&gt;="&amp;DATE(2026,MONTH(E$89),DAY(E$89)),
DATA!$B:$B,"&lt;"&amp;DATE(2026,MONTH(E$89),DAY(E$89))+1
)</f>
        <v>0</v>
      </c>
      <c r="F93" s="30">
        <f>COUNTIFS(
DATA!$F:$F,$B93,
DATA!$B:$B,"&gt;="&amp;DATE(2026,MONTH(F$89),DAY(F$89)),
DATA!$B:$B,"&lt;"&amp;DATE(2026,MONTH(F$89),DAY(F$89))+1
)</f>
        <v>0</v>
      </c>
      <c r="G93" s="30">
        <f>COUNTIFS(
DATA!$F:$F,$B93,
DATA!$B:$B,"&gt;="&amp;DATE(2026,MONTH(G$89),DAY(G$89)),
DATA!$B:$B,"&lt;"&amp;DATE(2026,MONTH(G$89),DAY(G$89))+1
)</f>
        <v>0</v>
      </c>
      <c r="H93" s="30">
        <f>COUNTIFS(
DATA!$F:$F,$B93,
DATA!$B:$B,"&gt;="&amp;DATE(2026,MONTH(H$89),DAY(H$89)),
DATA!$B:$B,"&lt;"&amp;DATE(2026,MONTH(H$89),DAY(H$89))+1
)</f>
        <v>0</v>
      </c>
      <c r="I93" s="30">
        <f>COUNTIFS(
DATA!$F:$F,$B93,
DATA!$B:$B,"&gt;="&amp;DATE(2026,MONTH(I$89),DAY(I$89)),
DATA!$B:$B,"&lt;"&amp;DATE(2026,MONTH(I$89),DAY(I$89))+1
)</f>
        <v>0</v>
      </c>
      <c r="J93" s="30">
        <f>COUNTIFS(
DATA!$F:$F,$B93,
DATA!$B:$B,"&gt;="&amp;DATE(2026,MONTH(J$89),DAY(J$89)),
DATA!$B:$B,"&lt;"&amp;DATE(2026,MONTH(J$89),DAY(J$89))+1
)</f>
        <v>0</v>
      </c>
      <c r="K93" s="30">
        <f>COUNTIFS(
DATA!$F:$F,$B93,
DATA!$B:$B,"&gt;="&amp;DATE(2026,MONTH(K$89),DAY(K$89)),
DATA!$B:$B,"&lt;"&amp;DATE(2026,MONTH(K$89),DAY(K$89))+1
)</f>
        <v>0</v>
      </c>
      <c r="L93" s="30">
        <f>COUNTIFS(
DATA!$F:$F,$B93,
DATA!$B:$B,"&gt;="&amp;DATE(2026,MONTH(L$89),DAY(L$89)),
DATA!$B:$B,"&lt;"&amp;DATE(2026,MONTH(L$89),DAY(L$89))+1
)</f>
        <v>0</v>
      </c>
      <c r="M93" s="30">
        <f>COUNTIFS(
DATA!$F:$F,$B93,
DATA!$B:$B,"&gt;="&amp;DATE(2026,MONTH(M$89),DAY(M$89)),
DATA!$B:$B,"&lt;"&amp;DATE(2026,MONTH(M$89),DAY(M$89))+1
)</f>
        <v>0</v>
      </c>
      <c r="N93" s="30">
        <f>COUNTIFS(
DATA!$F:$F,$B93,
DATA!$B:$B,"&gt;="&amp;DATE(2026,MONTH(N$89),DAY(N$89)),
DATA!$B:$B,"&lt;"&amp;DATE(2026,MONTH(N$89),DAY(N$89))+1
)</f>
        <v>0</v>
      </c>
      <c r="O93" s="30">
        <f>COUNTIFS(
DATA!$F:$F,$B93,
DATA!$B:$B,"&gt;="&amp;DATE(2026,MONTH(O$89),DAY(O$89)),
DATA!$B:$B,"&lt;"&amp;DATE(2026,MONTH(O$89),DAY(O$89))+1
)</f>
        <v>0</v>
      </c>
      <c r="P93" s="30">
        <f>COUNTIFS(
DATA!$F:$F,$B93,
DATA!$B:$B,"&gt;="&amp;DATE(2026,MONTH(P$89),DAY(P$89)),
DATA!$B:$B,"&lt;"&amp;DATE(2026,MONTH(P$89),DAY(P$89))+1
)</f>
        <v>0</v>
      </c>
      <c r="Q93" s="30">
        <f>COUNTIFS(
DATA!$F:$F,$B93,
DATA!$B:$B,"&gt;="&amp;DATE(2026,MONTH(Q$89),DAY(Q$89)),
DATA!$B:$B,"&lt;"&amp;DATE(2026,MONTH(Q$89),DAY(Q$89))+1
)</f>
        <v>0</v>
      </c>
      <c r="R93" s="30">
        <f>COUNTIFS(
DATA!$F:$F,$B93,
DATA!$B:$B,"&gt;="&amp;DATE(2026,MONTH(R$89),DAY(R$89)),
DATA!$B:$B,"&lt;"&amp;DATE(2026,MONTH(R$89),DAY(R$89))+1
)</f>
        <v>0</v>
      </c>
      <c r="S93" s="30">
        <f>COUNTIFS(
DATA!$F:$F,$B93,
DATA!$B:$B,"&gt;="&amp;DATE(2026,MONTH(S$89),DAY(S$89)),
DATA!$B:$B,"&lt;"&amp;DATE(2026,MONTH(S$89),DAY(S$89))+1
)</f>
        <v>0</v>
      </c>
      <c r="T93" s="30">
        <f>COUNTIFS(
DATA!$F:$F,$B93,
DATA!$B:$B,"&gt;="&amp;DATE(2026,MONTH(T$89),DAY(T$89)),
DATA!$B:$B,"&lt;"&amp;DATE(2026,MONTH(T$89),DAY(T$89))+1
)</f>
        <v>0</v>
      </c>
      <c r="U93" s="30">
        <f>COUNTIFS(
DATA!$F:$F,$B93,
DATA!$B:$B,"&gt;="&amp;DATE(2026,MONTH(U$89),DAY(U$89)),
DATA!$B:$B,"&lt;"&amp;DATE(2026,MONTH(U$89),DAY(U$89))+1
)</f>
        <v>0</v>
      </c>
      <c r="V93" s="30">
        <f>COUNTIFS(
DATA!$F:$F,$B93,
DATA!$B:$B,"&gt;="&amp;DATE(2026,MONTH(V$89),DAY(V$89)),
DATA!$B:$B,"&lt;"&amp;DATE(2026,MONTH(V$89),DAY(V$89))+1
)</f>
        <v>0</v>
      </c>
      <c r="W93" s="30">
        <f>COUNTIFS(
DATA!$F:$F,$B93,
DATA!$B:$B,"&gt;="&amp;DATE(2026,MONTH(W$89),DAY(W$89)),
DATA!$B:$B,"&lt;"&amp;DATE(2026,MONTH(W$89),DAY(W$89))+1
)</f>
        <v>0</v>
      </c>
      <c r="X93" s="30">
        <f>COUNTIFS(
DATA!$F:$F,$B93,
DATA!$B:$B,"&gt;="&amp;DATE(2026,MONTH(X$89),DAY(X$89)),
DATA!$B:$B,"&lt;"&amp;DATE(2026,MONTH(X$89),DAY(X$89))+1
)</f>
        <v>0</v>
      </c>
      <c r="Y93" s="30">
        <f>COUNTIFS(
DATA!$F:$F,$B93,
DATA!$B:$B,"&gt;="&amp;DATE(2026,MONTH(Y$89),DAY(Y$89)),
DATA!$B:$B,"&lt;"&amp;DATE(2026,MONTH(Y$89),DAY(Y$89))+1
)</f>
        <v>0</v>
      </c>
      <c r="Z93" s="30">
        <f>COUNTIFS(
DATA!$F:$F,$B93,
DATA!$B:$B,"&gt;="&amp;DATE(2026,MONTH(Z$89),DAY(Z$89)),
DATA!$B:$B,"&lt;"&amp;DATE(2026,MONTH(Z$89),DAY(Z$89))+1
)</f>
        <v>0</v>
      </c>
      <c r="AA93" s="30">
        <f>COUNTIFS(
DATA!$F:$F,$B93,
DATA!$B:$B,"&gt;="&amp;DATE(2026,MONTH(AA$89),DAY(AA$89)),
DATA!$B:$B,"&lt;"&amp;DATE(2026,MONTH(AA$89),DAY(AA$89))+1
)</f>
        <v>0</v>
      </c>
      <c r="AB93" s="30">
        <f>COUNTIFS(
DATA!$F:$F,$B93,
DATA!$B:$B,"&gt;="&amp;DATE(2026,MONTH(AB$89),DAY(AB$89)),
DATA!$B:$B,"&lt;"&amp;DATE(2026,MONTH(AB$89),DAY(AB$89))+1
)</f>
        <v>0</v>
      </c>
      <c r="AC93" s="30">
        <f>COUNTIFS(
DATA!$F:$F,$B93,
DATA!$B:$B,"&gt;="&amp;DATE(2026,MONTH(AC$89),DAY(AC$89)),
DATA!$B:$B,"&lt;"&amp;DATE(2026,MONTH(AC$89),DAY(AC$89))+1
)</f>
        <v>0</v>
      </c>
      <c r="AD93" s="30">
        <f>COUNTIFS(
DATA!$F:$F,$B93,
DATA!$B:$B,"&gt;="&amp;DATE(2026,MONTH(AD$89),DAY(AD$89)),
DATA!$B:$B,"&lt;"&amp;DATE(2026,MONTH(AD$89),DAY(AD$89))+1
)</f>
        <v>0</v>
      </c>
      <c r="AE93" s="30">
        <f>COUNTIFS(
DATA!$F:$F,$B93,
DATA!$B:$B,"&gt;="&amp;DATE(2026,MONTH(AE$89),DAY(AE$89)),
DATA!$B:$B,"&lt;"&amp;DATE(2026,MONTH(AE$89),DAY(AE$89))+1
)</f>
        <v>0</v>
      </c>
      <c r="AF93" s="30">
        <f>COUNTIFS(
DATA!$F:$F,$B93,
DATA!$B:$B,"&gt;="&amp;DATE(2026,MONTH(AF$89),DAY(AF$89)),
DATA!$B:$B,"&lt;"&amp;DATE(2026,MONTH(AF$89),DAY(AF$89))+1
)</f>
        <v>0</v>
      </c>
      <c r="AG93" s="30">
        <f>COUNTIFS(
DATA!$F:$F,$B93,
DATA!$B:$B,"&gt;="&amp;DATE(2026,MONTH(AG$89),DAY(AG$89)),
DATA!$B:$B,"&lt;"&amp;DATE(2026,MONTH(AG$89),DAY(AG$89))+1
)</f>
        <v>0</v>
      </c>
      <c r="AH93" s="31">
        <f t="shared" si="188"/>
        <v>0</v>
      </c>
      <c r="AI93" s="7"/>
      <c r="AJ93" s="30">
        <v>4.0</v>
      </c>
      <c r="AK93" s="32" t="s">
        <v>63</v>
      </c>
      <c r="AL93" s="41">
        <f t="shared" si="189"/>
        <v>0</v>
      </c>
      <c r="AM93" s="30">
        <f t="shared" si="192"/>
        <v>0</v>
      </c>
      <c r="AN93" s="30">
        <f t="shared" ref="AN93:BP93" si="194">SUM($C93:E93)</f>
        <v>0</v>
      </c>
      <c r="AO93" s="30">
        <f t="shared" si="194"/>
        <v>0</v>
      </c>
      <c r="AP93" s="30">
        <f t="shared" si="194"/>
        <v>0</v>
      </c>
      <c r="AQ93" s="30">
        <f t="shared" si="194"/>
        <v>0</v>
      </c>
      <c r="AR93" s="30">
        <f t="shared" si="194"/>
        <v>0</v>
      </c>
      <c r="AS93" s="30">
        <f t="shared" si="194"/>
        <v>0</v>
      </c>
      <c r="AT93" s="30">
        <f t="shared" si="194"/>
        <v>0</v>
      </c>
      <c r="AU93" s="30">
        <f t="shared" si="194"/>
        <v>0</v>
      </c>
      <c r="AV93" s="30">
        <f t="shared" si="194"/>
        <v>0</v>
      </c>
      <c r="AW93" s="30">
        <f t="shared" si="194"/>
        <v>0</v>
      </c>
      <c r="AX93" s="30">
        <f t="shared" si="194"/>
        <v>0</v>
      </c>
      <c r="AY93" s="30">
        <f t="shared" si="194"/>
        <v>0</v>
      </c>
      <c r="AZ93" s="30">
        <f t="shared" si="194"/>
        <v>0</v>
      </c>
      <c r="BA93" s="30">
        <f t="shared" si="194"/>
        <v>0</v>
      </c>
      <c r="BB93" s="30">
        <f t="shared" si="194"/>
        <v>0</v>
      </c>
      <c r="BC93" s="30">
        <f t="shared" si="194"/>
        <v>0</v>
      </c>
      <c r="BD93" s="30">
        <f t="shared" si="194"/>
        <v>0</v>
      </c>
      <c r="BE93" s="30">
        <f t="shared" si="194"/>
        <v>0</v>
      </c>
      <c r="BF93" s="30">
        <f t="shared" si="194"/>
        <v>0</v>
      </c>
      <c r="BG93" s="30">
        <f t="shared" si="194"/>
        <v>0</v>
      </c>
      <c r="BH93" s="30">
        <f t="shared" si="194"/>
        <v>0</v>
      </c>
      <c r="BI93" s="30">
        <f t="shared" si="194"/>
        <v>0</v>
      </c>
      <c r="BJ93" s="30">
        <f t="shared" si="194"/>
        <v>0</v>
      </c>
      <c r="BK93" s="30">
        <f t="shared" si="194"/>
        <v>0</v>
      </c>
      <c r="BL93" s="30">
        <f t="shared" si="194"/>
        <v>0</v>
      </c>
      <c r="BM93" s="30">
        <f t="shared" si="194"/>
        <v>0</v>
      </c>
      <c r="BN93" s="30">
        <f t="shared" si="194"/>
        <v>0</v>
      </c>
      <c r="BO93" s="30">
        <f t="shared" si="194"/>
        <v>0</v>
      </c>
      <c r="BP93" s="30">
        <f t="shared" si="194"/>
        <v>0</v>
      </c>
      <c r="BQ93" s="31">
        <f t="shared" si="191"/>
        <v>0</v>
      </c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</row>
    <row r="94">
      <c r="A94" s="28">
        <v>5.0</v>
      </c>
      <c r="B94" s="29" t="s">
        <v>64</v>
      </c>
      <c r="C94" s="30">
        <f>COUNTIFS(
DATA!$F:$F,$B94,
DATA!$B:$B,"&gt;="&amp;DATE(2026,MONTH(C$89),DAY(C$89)),
DATA!$B:$B,"&lt;"&amp;DATE(2026,MONTH(C$89),DAY(C$89))+1
)</f>
        <v>0</v>
      </c>
      <c r="D94" s="30">
        <f>COUNTIFS(
DATA!$F:$F,$B94,
DATA!$B:$B,"&gt;="&amp;DATE(2026,MONTH(D$89),DAY(D$89)),
DATA!$B:$B,"&lt;"&amp;DATE(2026,MONTH(D$89),DAY(D$89))+1
)</f>
        <v>0</v>
      </c>
      <c r="E94" s="30">
        <f>COUNTIFS(
DATA!$F:$F,$B94,
DATA!$B:$B,"&gt;="&amp;DATE(2026,MONTH(E$89),DAY(E$89)),
DATA!$B:$B,"&lt;"&amp;DATE(2026,MONTH(E$89),DAY(E$89))+1
)</f>
        <v>0</v>
      </c>
      <c r="F94" s="30">
        <f>COUNTIFS(
DATA!$F:$F,$B94,
DATA!$B:$B,"&gt;="&amp;DATE(2026,MONTH(F$89),DAY(F$89)),
DATA!$B:$B,"&lt;"&amp;DATE(2026,MONTH(F$89),DAY(F$89))+1
)</f>
        <v>0</v>
      </c>
      <c r="G94" s="30">
        <f>COUNTIFS(
DATA!$F:$F,$B94,
DATA!$B:$B,"&gt;="&amp;DATE(2026,MONTH(G$89),DAY(G$89)),
DATA!$B:$B,"&lt;"&amp;DATE(2026,MONTH(G$89),DAY(G$89))+1
)</f>
        <v>0</v>
      </c>
      <c r="H94" s="30">
        <f>COUNTIFS(
DATA!$F:$F,$B94,
DATA!$B:$B,"&gt;="&amp;DATE(2026,MONTH(H$89),DAY(H$89)),
DATA!$B:$B,"&lt;"&amp;DATE(2026,MONTH(H$89),DAY(H$89))+1
)</f>
        <v>0</v>
      </c>
      <c r="I94" s="30">
        <f>COUNTIFS(
DATA!$F:$F,$B94,
DATA!$B:$B,"&gt;="&amp;DATE(2026,MONTH(I$89),DAY(I$89)),
DATA!$B:$B,"&lt;"&amp;DATE(2026,MONTH(I$89),DAY(I$89))+1
)</f>
        <v>0</v>
      </c>
      <c r="J94" s="30">
        <f>COUNTIFS(
DATA!$F:$F,$B94,
DATA!$B:$B,"&gt;="&amp;DATE(2026,MONTH(J$89),DAY(J$89)),
DATA!$B:$B,"&lt;"&amp;DATE(2026,MONTH(J$89),DAY(J$89))+1
)</f>
        <v>0</v>
      </c>
      <c r="K94" s="30">
        <f>COUNTIFS(
DATA!$F:$F,$B94,
DATA!$B:$B,"&gt;="&amp;DATE(2026,MONTH(K$89),DAY(K$89)),
DATA!$B:$B,"&lt;"&amp;DATE(2026,MONTH(K$89),DAY(K$89))+1
)</f>
        <v>0</v>
      </c>
      <c r="L94" s="30">
        <f>COUNTIFS(
DATA!$F:$F,$B94,
DATA!$B:$B,"&gt;="&amp;DATE(2026,MONTH(L$89),DAY(L$89)),
DATA!$B:$B,"&lt;"&amp;DATE(2026,MONTH(L$89),DAY(L$89))+1
)</f>
        <v>0</v>
      </c>
      <c r="M94" s="30">
        <f>COUNTIFS(
DATA!$F:$F,$B94,
DATA!$B:$B,"&gt;="&amp;DATE(2026,MONTH(M$89),DAY(M$89)),
DATA!$B:$B,"&lt;"&amp;DATE(2026,MONTH(M$89),DAY(M$89))+1
)</f>
        <v>0</v>
      </c>
      <c r="N94" s="30">
        <f>COUNTIFS(
DATA!$F:$F,$B94,
DATA!$B:$B,"&gt;="&amp;DATE(2026,MONTH(N$89),DAY(N$89)),
DATA!$B:$B,"&lt;"&amp;DATE(2026,MONTH(N$89),DAY(N$89))+1
)</f>
        <v>0</v>
      </c>
      <c r="O94" s="30">
        <f>COUNTIFS(
DATA!$F:$F,$B94,
DATA!$B:$B,"&gt;="&amp;DATE(2026,MONTH(O$89),DAY(O$89)),
DATA!$B:$B,"&lt;"&amp;DATE(2026,MONTH(O$89),DAY(O$89))+1
)</f>
        <v>0</v>
      </c>
      <c r="P94" s="30">
        <f>COUNTIFS(
DATA!$F:$F,$B94,
DATA!$B:$B,"&gt;="&amp;DATE(2026,MONTH(P$89),DAY(P$89)),
DATA!$B:$B,"&lt;"&amp;DATE(2026,MONTH(P$89),DAY(P$89))+1
)</f>
        <v>0</v>
      </c>
      <c r="Q94" s="30">
        <f>COUNTIFS(
DATA!$F:$F,$B94,
DATA!$B:$B,"&gt;="&amp;DATE(2026,MONTH(Q$89),DAY(Q$89)),
DATA!$B:$B,"&lt;"&amp;DATE(2026,MONTH(Q$89),DAY(Q$89))+1
)</f>
        <v>0</v>
      </c>
      <c r="R94" s="30">
        <f>COUNTIFS(
DATA!$F:$F,$B94,
DATA!$B:$B,"&gt;="&amp;DATE(2026,MONTH(R$89),DAY(R$89)),
DATA!$B:$B,"&lt;"&amp;DATE(2026,MONTH(R$89),DAY(R$89))+1
)</f>
        <v>0</v>
      </c>
      <c r="S94" s="30">
        <f>COUNTIFS(
DATA!$F:$F,$B94,
DATA!$B:$B,"&gt;="&amp;DATE(2026,MONTH(S$89),DAY(S$89)),
DATA!$B:$B,"&lt;"&amp;DATE(2026,MONTH(S$89),DAY(S$89))+1
)</f>
        <v>0</v>
      </c>
      <c r="T94" s="30">
        <f>COUNTIFS(
DATA!$F:$F,$B94,
DATA!$B:$B,"&gt;="&amp;DATE(2026,MONTH(T$89),DAY(T$89)),
DATA!$B:$B,"&lt;"&amp;DATE(2026,MONTH(T$89),DAY(T$89))+1
)</f>
        <v>0</v>
      </c>
      <c r="U94" s="30">
        <f>COUNTIFS(
DATA!$F:$F,$B94,
DATA!$B:$B,"&gt;="&amp;DATE(2026,MONTH(U$89),DAY(U$89)),
DATA!$B:$B,"&lt;"&amp;DATE(2026,MONTH(U$89),DAY(U$89))+1
)</f>
        <v>0</v>
      </c>
      <c r="V94" s="30">
        <f>COUNTIFS(
DATA!$F:$F,$B94,
DATA!$B:$B,"&gt;="&amp;DATE(2026,MONTH(V$89),DAY(V$89)),
DATA!$B:$B,"&lt;"&amp;DATE(2026,MONTH(V$89),DAY(V$89))+1
)</f>
        <v>0</v>
      </c>
      <c r="W94" s="30">
        <f>COUNTIFS(
DATA!$F:$F,$B94,
DATA!$B:$B,"&gt;="&amp;DATE(2026,MONTH(W$89),DAY(W$89)),
DATA!$B:$B,"&lt;"&amp;DATE(2026,MONTH(W$89),DAY(W$89))+1
)</f>
        <v>0</v>
      </c>
      <c r="X94" s="30">
        <f>COUNTIFS(
DATA!$F:$F,$B94,
DATA!$B:$B,"&gt;="&amp;DATE(2026,MONTH(X$89),DAY(X$89)),
DATA!$B:$B,"&lt;"&amp;DATE(2026,MONTH(X$89),DAY(X$89))+1
)</f>
        <v>0</v>
      </c>
      <c r="Y94" s="30">
        <f>COUNTIFS(
DATA!$F:$F,$B94,
DATA!$B:$B,"&gt;="&amp;DATE(2026,MONTH(Y$89),DAY(Y$89)),
DATA!$B:$B,"&lt;"&amp;DATE(2026,MONTH(Y$89),DAY(Y$89))+1
)</f>
        <v>0</v>
      </c>
      <c r="Z94" s="30">
        <f>COUNTIFS(
DATA!$F:$F,$B94,
DATA!$B:$B,"&gt;="&amp;DATE(2026,MONTH(Z$89),DAY(Z$89)),
DATA!$B:$B,"&lt;"&amp;DATE(2026,MONTH(Z$89),DAY(Z$89))+1
)</f>
        <v>0</v>
      </c>
      <c r="AA94" s="30">
        <f>COUNTIFS(
DATA!$F:$F,$B94,
DATA!$B:$B,"&gt;="&amp;DATE(2026,MONTH(AA$89),DAY(AA$89)),
DATA!$B:$B,"&lt;"&amp;DATE(2026,MONTH(AA$89),DAY(AA$89))+1
)</f>
        <v>0</v>
      </c>
      <c r="AB94" s="30">
        <f>COUNTIFS(
DATA!$F:$F,$B94,
DATA!$B:$B,"&gt;="&amp;DATE(2026,MONTH(AB$89),DAY(AB$89)),
DATA!$B:$B,"&lt;"&amp;DATE(2026,MONTH(AB$89),DAY(AB$89))+1
)</f>
        <v>0</v>
      </c>
      <c r="AC94" s="30">
        <f>COUNTIFS(
DATA!$F:$F,$B94,
DATA!$B:$B,"&gt;="&amp;DATE(2026,MONTH(AC$89),DAY(AC$89)),
DATA!$B:$B,"&lt;"&amp;DATE(2026,MONTH(AC$89),DAY(AC$89))+1
)</f>
        <v>0</v>
      </c>
      <c r="AD94" s="30">
        <f>COUNTIFS(
DATA!$F:$F,$B94,
DATA!$B:$B,"&gt;="&amp;DATE(2026,MONTH(AD$89),DAY(AD$89)),
DATA!$B:$B,"&lt;"&amp;DATE(2026,MONTH(AD$89),DAY(AD$89))+1
)</f>
        <v>0</v>
      </c>
      <c r="AE94" s="30">
        <f>COUNTIFS(
DATA!$F:$F,$B94,
DATA!$B:$B,"&gt;="&amp;DATE(2026,MONTH(AE$89),DAY(AE$89)),
DATA!$B:$B,"&lt;"&amp;DATE(2026,MONTH(AE$89),DAY(AE$89))+1
)</f>
        <v>0</v>
      </c>
      <c r="AF94" s="30">
        <f>COUNTIFS(
DATA!$F:$F,$B94,
DATA!$B:$B,"&gt;="&amp;DATE(2026,MONTH(AF$89),DAY(AF$89)),
DATA!$B:$B,"&lt;"&amp;DATE(2026,MONTH(AF$89),DAY(AF$89))+1
)</f>
        <v>0</v>
      </c>
      <c r="AG94" s="30">
        <f>COUNTIFS(
DATA!$F:$F,$B94,
DATA!$B:$B,"&gt;="&amp;DATE(2026,MONTH(AG$89),DAY(AG$89)),
DATA!$B:$B,"&lt;"&amp;DATE(2026,MONTH(AG$89),DAY(AG$89))+1
)</f>
        <v>0</v>
      </c>
      <c r="AH94" s="31">
        <f t="shared" si="188"/>
        <v>0</v>
      </c>
      <c r="AI94" s="7"/>
      <c r="AJ94" s="30">
        <v>5.0</v>
      </c>
      <c r="AK94" s="32" t="s">
        <v>64</v>
      </c>
      <c r="AL94" s="41">
        <f t="shared" si="189"/>
        <v>0</v>
      </c>
      <c r="AM94" s="30">
        <f t="shared" si="192"/>
        <v>0</v>
      </c>
      <c r="AN94" s="30">
        <f t="shared" ref="AN94:BP94" si="195">SUM($C94:E94)</f>
        <v>0</v>
      </c>
      <c r="AO94" s="30">
        <f t="shared" si="195"/>
        <v>0</v>
      </c>
      <c r="AP94" s="30">
        <f t="shared" si="195"/>
        <v>0</v>
      </c>
      <c r="AQ94" s="30">
        <f t="shared" si="195"/>
        <v>0</v>
      </c>
      <c r="AR94" s="30">
        <f t="shared" si="195"/>
        <v>0</v>
      </c>
      <c r="AS94" s="30">
        <f t="shared" si="195"/>
        <v>0</v>
      </c>
      <c r="AT94" s="30">
        <f t="shared" si="195"/>
        <v>0</v>
      </c>
      <c r="AU94" s="30">
        <f t="shared" si="195"/>
        <v>0</v>
      </c>
      <c r="AV94" s="30">
        <f t="shared" si="195"/>
        <v>0</v>
      </c>
      <c r="AW94" s="30">
        <f t="shared" si="195"/>
        <v>0</v>
      </c>
      <c r="AX94" s="30">
        <f t="shared" si="195"/>
        <v>0</v>
      </c>
      <c r="AY94" s="30">
        <f t="shared" si="195"/>
        <v>0</v>
      </c>
      <c r="AZ94" s="30">
        <f t="shared" si="195"/>
        <v>0</v>
      </c>
      <c r="BA94" s="30">
        <f t="shared" si="195"/>
        <v>0</v>
      </c>
      <c r="BB94" s="30">
        <f t="shared" si="195"/>
        <v>0</v>
      </c>
      <c r="BC94" s="30">
        <f t="shared" si="195"/>
        <v>0</v>
      </c>
      <c r="BD94" s="30">
        <f t="shared" si="195"/>
        <v>0</v>
      </c>
      <c r="BE94" s="30">
        <f t="shared" si="195"/>
        <v>0</v>
      </c>
      <c r="BF94" s="30">
        <f t="shared" si="195"/>
        <v>0</v>
      </c>
      <c r="BG94" s="30">
        <f t="shared" si="195"/>
        <v>0</v>
      </c>
      <c r="BH94" s="30">
        <f t="shared" si="195"/>
        <v>0</v>
      </c>
      <c r="BI94" s="30">
        <f t="shared" si="195"/>
        <v>0</v>
      </c>
      <c r="BJ94" s="30">
        <f t="shared" si="195"/>
        <v>0</v>
      </c>
      <c r="BK94" s="30">
        <f t="shared" si="195"/>
        <v>0</v>
      </c>
      <c r="BL94" s="30">
        <f t="shared" si="195"/>
        <v>0</v>
      </c>
      <c r="BM94" s="30">
        <f t="shared" si="195"/>
        <v>0</v>
      </c>
      <c r="BN94" s="30">
        <f t="shared" si="195"/>
        <v>0</v>
      </c>
      <c r="BO94" s="30">
        <f t="shared" si="195"/>
        <v>0</v>
      </c>
      <c r="BP94" s="30">
        <f t="shared" si="195"/>
        <v>0</v>
      </c>
      <c r="BQ94" s="31">
        <f t="shared" si="191"/>
        <v>0</v>
      </c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</row>
    <row r="95">
      <c r="A95" s="28">
        <v>6.0</v>
      </c>
      <c r="B95" s="29" t="s">
        <v>66</v>
      </c>
      <c r="C95" s="30">
        <f>COUNTIFS(
DATA!$F:$F,$B95,
DATA!$B:$B,"&gt;="&amp;DATE(2026,MONTH(C$89),DAY(C$89)),
DATA!$B:$B,"&lt;"&amp;DATE(2026,MONTH(C$89),DAY(C$89))+1
)</f>
        <v>0</v>
      </c>
      <c r="D95" s="30">
        <f>COUNTIFS(
DATA!$F:$F,$B95,
DATA!$B:$B,"&gt;="&amp;DATE(2026,MONTH(D$89),DAY(D$89)),
DATA!$B:$B,"&lt;"&amp;DATE(2026,MONTH(D$89),DAY(D$89))+1
)</f>
        <v>0</v>
      </c>
      <c r="E95" s="30">
        <f>COUNTIFS(
DATA!$F:$F,$B95,
DATA!$B:$B,"&gt;="&amp;DATE(2026,MONTH(E$89),DAY(E$89)),
DATA!$B:$B,"&lt;"&amp;DATE(2026,MONTH(E$89),DAY(E$89))+1
)</f>
        <v>0</v>
      </c>
      <c r="F95" s="30">
        <f>COUNTIFS(
DATA!$F:$F,$B95,
DATA!$B:$B,"&gt;="&amp;DATE(2026,MONTH(F$89),DAY(F$89)),
DATA!$B:$B,"&lt;"&amp;DATE(2026,MONTH(F$89),DAY(F$89))+1
)</f>
        <v>0</v>
      </c>
      <c r="G95" s="30">
        <f>COUNTIFS(
DATA!$F:$F,$B95,
DATA!$B:$B,"&gt;="&amp;DATE(2026,MONTH(G$89),DAY(G$89)),
DATA!$B:$B,"&lt;"&amp;DATE(2026,MONTH(G$89),DAY(G$89))+1
)</f>
        <v>0</v>
      </c>
      <c r="H95" s="30">
        <f>COUNTIFS(
DATA!$F:$F,$B95,
DATA!$B:$B,"&gt;="&amp;DATE(2026,MONTH(H$89),DAY(H$89)),
DATA!$B:$B,"&lt;"&amp;DATE(2026,MONTH(H$89),DAY(H$89))+1
)</f>
        <v>0</v>
      </c>
      <c r="I95" s="30">
        <f>COUNTIFS(
DATA!$F:$F,$B95,
DATA!$B:$B,"&gt;="&amp;DATE(2026,MONTH(I$89),DAY(I$89)),
DATA!$B:$B,"&lt;"&amp;DATE(2026,MONTH(I$89),DAY(I$89))+1
)</f>
        <v>0</v>
      </c>
      <c r="J95" s="30">
        <f>COUNTIFS(
DATA!$F:$F,$B95,
DATA!$B:$B,"&gt;="&amp;DATE(2026,MONTH(J$89),DAY(J$89)),
DATA!$B:$B,"&lt;"&amp;DATE(2026,MONTH(J$89),DAY(J$89))+1
)</f>
        <v>0</v>
      </c>
      <c r="K95" s="30">
        <f>COUNTIFS(
DATA!$F:$F,$B95,
DATA!$B:$B,"&gt;="&amp;DATE(2026,MONTH(K$89),DAY(K$89)),
DATA!$B:$B,"&lt;"&amp;DATE(2026,MONTH(K$89),DAY(K$89))+1
)</f>
        <v>0</v>
      </c>
      <c r="L95" s="30">
        <f>COUNTIFS(
DATA!$F:$F,$B95,
DATA!$B:$B,"&gt;="&amp;DATE(2026,MONTH(L$89),DAY(L$89)),
DATA!$B:$B,"&lt;"&amp;DATE(2026,MONTH(L$89),DAY(L$89))+1
)</f>
        <v>0</v>
      </c>
      <c r="M95" s="30">
        <f>COUNTIFS(
DATA!$F:$F,$B95,
DATA!$B:$B,"&gt;="&amp;DATE(2026,MONTH(M$89),DAY(M$89)),
DATA!$B:$B,"&lt;"&amp;DATE(2026,MONTH(M$89),DAY(M$89))+1
)</f>
        <v>0</v>
      </c>
      <c r="N95" s="30">
        <f>COUNTIFS(
DATA!$F:$F,$B95,
DATA!$B:$B,"&gt;="&amp;DATE(2026,MONTH(N$89),DAY(N$89)),
DATA!$B:$B,"&lt;"&amp;DATE(2026,MONTH(N$89),DAY(N$89))+1
)</f>
        <v>0</v>
      </c>
      <c r="O95" s="30">
        <f>COUNTIFS(
DATA!$F:$F,$B95,
DATA!$B:$B,"&gt;="&amp;DATE(2026,MONTH(O$89),DAY(O$89)),
DATA!$B:$B,"&lt;"&amp;DATE(2026,MONTH(O$89),DAY(O$89))+1
)</f>
        <v>0</v>
      </c>
      <c r="P95" s="30">
        <f>COUNTIFS(
DATA!$F:$F,$B95,
DATA!$B:$B,"&gt;="&amp;DATE(2026,MONTH(P$89),DAY(P$89)),
DATA!$B:$B,"&lt;"&amp;DATE(2026,MONTH(P$89),DAY(P$89))+1
)</f>
        <v>0</v>
      </c>
      <c r="Q95" s="30">
        <f>COUNTIFS(
DATA!$F:$F,$B95,
DATA!$B:$B,"&gt;="&amp;DATE(2026,MONTH(Q$89),DAY(Q$89)),
DATA!$B:$B,"&lt;"&amp;DATE(2026,MONTH(Q$89),DAY(Q$89))+1
)</f>
        <v>0</v>
      </c>
      <c r="R95" s="30">
        <f>COUNTIFS(
DATA!$F:$F,$B95,
DATA!$B:$B,"&gt;="&amp;DATE(2026,MONTH(R$89),DAY(R$89)),
DATA!$B:$B,"&lt;"&amp;DATE(2026,MONTH(R$89),DAY(R$89))+1
)</f>
        <v>0</v>
      </c>
      <c r="S95" s="30">
        <f>COUNTIFS(
DATA!$F:$F,$B95,
DATA!$B:$B,"&gt;="&amp;DATE(2026,MONTH(S$89),DAY(S$89)),
DATA!$B:$B,"&lt;"&amp;DATE(2026,MONTH(S$89),DAY(S$89))+1
)</f>
        <v>0</v>
      </c>
      <c r="T95" s="30">
        <f>COUNTIFS(
DATA!$F:$F,$B95,
DATA!$B:$B,"&gt;="&amp;DATE(2026,MONTH(T$89),DAY(T$89)),
DATA!$B:$B,"&lt;"&amp;DATE(2026,MONTH(T$89),DAY(T$89))+1
)</f>
        <v>0</v>
      </c>
      <c r="U95" s="30">
        <f>COUNTIFS(
DATA!$F:$F,$B95,
DATA!$B:$B,"&gt;="&amp;DATE(2026,MONTH(U$89),DAY(U$89)),
DATA!$B:$B,"&lt;"&amp;DATE(2026,MONTH(U$89),DAY(U$89))+1
)</f>
        <v>0</v>
      </c>
      <c r="V95" s="30">
        <f>COUNTIFS(
DATA!$F:$F,$B95,
DATA!$B:$B,"&gt;="&amp;DATE(2026,MONTH(V$89),DAY(V$89)),
DATA!$B:$B,"&lt;"&amp;DATE(2026,MONTH(V$89),DAY(V$89))+1
)</f>
        <v>0</v>
      </c>
      <c r="W95" s="30">
        <f>COUNTIFS(
DATA!$F:$F,$B95,
DATA!$B:$B,"&gt;="&amp;DATE(2026,MONTH(W$89),DAY(W$89)),
DATA!$B:$B,"&lt;"&amp;DATE(2026,MONTH(W$89),DAY(W$89))+1
)</f>
        <v>0</v>
      </c>
      <c r="X95" s="30">
        <f>COUNTIFS(
DATA!$F:$F,$B95,
DATA!$B:$B,"&gt;="&amp;DATE(2026,MONTH(X$89),DAY(X$89)),
DATA!$B:$B,"&lt;"&amp;DATE(2026,MONTH(X$89),DAY(X$89))+1
)</f>
        <v>0</v>
      </c>
      <c r="Y95" s="30">
        <f>COUNTIFS(
DATA!$F:$F,$B95,
DATA!$B:$B,"&gt;="&amp;DATE(2026,MONTH(Y$89),DAY(Y$89)),
DATA!$B:$B,"&lt;"&amp;DATE(2026,MONTH(Y$89),DAY(Y$89))+1
)</f>
        <v>0</v>
      </c>
      <c r="Z95" s="30">
        <f>COUNTIFS(
DATA!$F:$F,$B95,
DATA!$B:$B,"&gt;="&amp;DATE(2026,MONTH(Z$89),DAY(Z$89)),
DATA!$B:$B,"&lt;"&amp;DATE(2026,MONTH(Z$89),DAY(Z$89))+1
)</f>
        <v>0</v>
      </c>
      <c r="AA95" s="30">
        <f>COUNTIFS(
DATA!$F:$F,$B95,
DATA!$B:$B,"&gt;="&amp;DATE(2026,MONTH(AA$89),DAY(AA$89)),
DATA!$B:$B,"&lt;"&amp;DATE(2026,MONTH(AA$89),DAY(AA$89))+1
)</f>
        <v>0</v>
      </c>
      <c r="AB95" s="30">
        <f>COUNTIFS(
DATA!$F:$F,$B95,
DATA!$B:$B,"&gt;="&amp;DATE(2026,MONTH(AB$89),DAY(AB$89)),
DATA!$B:$B,"&lt;"&amp;DATE(2026,MONTH(AB$89),DAY(AB$89))+1
)</f>
        <v>0</v>
      </c>
      <c r="AC95" s="30">
        <f>COUNTIFS(
DATA!$F:$F,$B95,
DATA!$B:$B,"&gt;="&amp;DATE(2026,MONTH(AC$89),DAY(AC$89)),
DATA!$B:$B,"&lt;"&amp;DATE(2026,MONTH(AC$89),DAY(AC$89))+1
)</f>
        <v>0</v>
      </c>
      <c r="AD95" s="30">
        <f>COUNTIFS(
DATA!$F:$F,$B95,
DATA!$B:$B,"&gt;="&amp;DATE(2026,MONTH(AD$89),DAY(AD$89)),
DATA!$B:$B,"&lt;"&amp;DATE(2026,MONTH(AD$89),DAY(AD$89))+1
)</f>
        <v>0</v>
      </c>
      <c r="AE95" s="30">
        <f>COUNTIFS(
DATA!$F:$F,$B95,
DATA!$B:$B,"&gt;="&amp;DATE(2026,MONTH(AE$89),DAY(AE$89)),
DATA!$B:$B,"&lt;"&amp;DATE(2026,MONTH(AE$89),DAY(AE$89))+1
)</f>
        <v>0</v>
      </c>
      <c r="AF95" s="30">
        <f>COUNTIFS(
DATA!$F:$F,$B95,
DATA!$B:$B,"&gt;="&amp;DATE(2026,MONTH(AF$89),DAY(AF$89)),
DATA!$B:$B,"&lt;"&amp;DATE(2026,MONTH(AF$89),DAY(AF$89))+1
)</f>
        <v>0</v>
      </c>
      <c r="AG95" s="30">
        <f>COUNTIFS(
DATA!$F:$F,$B95,
DATA!$B:$B,"&gt;="&amp;DATE(2026,MONTH(AG$89),DAY(AG$89)),
DATA!$B:$B,"&lt;"&amp;DATE(2026,MONTH(AG$89),DAY(AG$89))+1
)</f>
        <v>0</v>
      </c>
      <c r="AH95" s="31">
        <f t="shared" si="188"/>
        <v>0</v>
      </c>
      <c r="AI95" s="7"/>
      <c r="AJ95" s="30">
        <v>6.0</v>
      </c>
      <c r="AK95" s="32" t="s">
        <v>66</v>
      </c>
      <c r="AL95" s="41">
        <f t="shared" si="189"/>
        <v>0</v>
      </c>
      <c r="AM95" s="30">
        <f t="shared" si="192"/>
        <v>0</v>
      </c>
      <c r="AN95" s="30">
        <f t="shared" ref="AN95:BP95" si="196">SUM($C95:E95)</f>
        <v>0</v>
      </c>
      <c r="AO95" s="30">
        <f t="shared" si="196"/>
        <v>0</v>
      </c>
      <c r="AP95" s="30">
        <f t="shared" si="196"/>
        <v>0</v>
      </c>
      <c r="AQ95" s="30">
        <f t="shared" si="196"/>
        <v>0</v>
      </c>
      <c r="AR95" s="30">
        <f t="shared" si="196"/>
        <v>0</v>
      </c>
      <c r="AS95" s="30">
        <f t="shared" si="196"/>
        <v>0</v>
      </c>
      <c r="AT95" s="30">
        <f t="shared" si="196"/>
        <v>0</v>
      </c>
      <c r="AU95" s="30">
        <f t="shared" si="196"/>
        <v>0</v>
      </c>
      <c r="AV95" s="30">
        <f t="shared" si="196"/>
        <v>0</v>
      </c>
      <c r="AW95" s="30">
        <f t="shared" si="196"/>
        <v>0</v>
      </c>
      <c r="AX95" s="30">
        <f t="shared" si="196"/>
        <v>0</v>
      </c>
      <c r="AY95" s="30">
        <f t="shared" si="196"/>
        <v>0</v>
      </c>
      <c r="AZ95" s="30">
        <f t="shared" si="196"/>
        <v>0</v>
      </c>
      <c r="BA95" s="30">
        <f t="shared" si="196"/>
        <v>0</v>
      </c>
      <c r="BB95" s="30">
        <f t="shared" si="196"/>
        <v>0</v>
      </c>
      <c r="BC95" s="30">
        <f t="shared" si="196"/>
        <v>0</v>
      </c>
      <c r="BD95" s="30">
        <f t="shared" si="196"/>
        <v>0</v>
      </c>
      <c r="BE95" s="30">
        <f t="shared" si="196"/>
        <v>0</v>
      </c>
      <c r="BF95" s="30">
        <f t="shared" si="196"/>
        <v>0</v>
      </c>
      <c r="BG95" s="30">
        <f t="shared" si="196"/>
        <v>0</v>
      </c>
      <c r="BH95" s="30">
        <f t="shared" si="196"/>
        <v>0</v>
      </c>
      <c r="BI95" s="30">
        <f t="shared" si="196"/>
        <v>0</v>
      </c>
      <c r="BJ95" s="30">
        <f t="shared" si="196"/>
        <v>0</v>
      </c>
      <c r="BK95" s="30">
        <f t="shared" si="196"/>
        <v>0</v>
      </c>
      <c r="BL95" s="30">
        <f t="shared" si="196"/>
        <v>0</v>
      </c>
      <c r="BM95" s="30">
        <f t="shared" si="196"/>
        <v>0</v>
      </c>
      <c r="BN95" s="30">
        <f t="shared" si="196"/>
        <v>0</v>
      </c>
      <c r="BO95" s="30">
        <f t="shared" si="196"/>
        <v>0</v>
      </c>
      <c r="BP95" s="30">
        <f t="shared" si="196"/>
        <v>0</v>
      </c>
      <c r="BQ95" s="31">
        <f t="shared" si="191"/>
        <v>0</v>
      </c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</row>
    <row r="96">
      <c r="A96" s="28">
        <v>7.0</v>
      </c>
      <c r="B96" s="29" t="s">
        <v>67</v>
      </c>
      <c r="C96" s="30">
        <f>COUNTIFS(
DATA!$F:$F,$B96,
DATA!$B:$B,"&gt;="&amp;DATE(2026,MONTH(C$89),DAY(C$89)),
DATA!$B:$B,"&lt;"&amp;DATE(2026,MONTH(C$89),DAY(C$89))+1
)</f>
        <v>0</v>
      </c>
      <c r="D96" s="30">
        <f>COUNTIFS(
DATA!$F:$F,$B96,
DATA!$B:$B,"&gt;="&amp;DATE(2026,MONTH(D$89),DAY(D$89)),
DATA!$B:$B,"&lt;"&amp;DATE(2026,MONTH(D$89),DAY(D$89))+1
)</f>
        <v>0</v>
      </c>
      <c r="E96" s="30">
        <f>COUNTIFS(
DATA!$F:$F,$B96,
DATA!$B:$B,"&gt;="&amp;DATE(2026,MONTH(E$89),DAY(E$89)),
DATA!$B:$B,"&lt;"&amp;DATE(2026,MONTH(E$89),DAY(E$89))+1
)</f>
        <v>0</v>
      </c>
      <c r="F96" s="30">
        <f>COUNTIFS(
DATA!$F:$F,$B96,
DATA!$B:$B,"&gt;="&amp;DATE(2026,MONTH(F$89),DAY(F$89)),
DATA!$B:$B,"&lt;"&amp;DATE(2026,MONTH(F$89),DAY(F$89))+1
)</f>
        <v>0</v>
      </c>
      <c r="G96" s="30">
        <f>COUNTIFS(
DATA!$F:$F,$B96,
DATA!$B:$B,"&gt;="&amp;DATE(2026,MONTH(G$89),DAY(G$89)),
DATA!$B:$B,"&lt;"&amp;DATE(2026,MONTH(G$89),DAY(G$89))+1
)</f>
        <v>0</v>
      </c>
      <c r="H96" s="30">
        <f>COUNTIFS(
DATA!$F:$F,$B96,
DATA!$B:$B,"&gt;="&amp;DATE(2026,MONTH(H$89),DAY(H$89)),
DATA!$B:$B,"&lt;"&amp;DATE(2026,MONTH(H$89),DAY(H$89))+1
)</f>
        <v>0</v>
      </c>
      <c r="I96" s="30">
        <f>COUNTIFS(
DATA!$F:$F,$B96,
DATA!$B:$B,"&gt;="&amp;DATE(2026,MONTH(I$89),DAY(I$89)),
DATA!$B:$B,"&lt;"&amp;DATE(2026,MONTH(I$89),DAY(I$89))+1
)</f>
        <v>0</v>
      </c>
      <c r="J96" s="30">
        <f>COUNTIFS(
DATA!$F:$F,$B96,
DATA!$B:$B,"&gt;="&amp;DATE(2026,MONTH(J$89),DAY(J$89)),
DATA!$B:$B,"&lt;"&amp;DATE(2026,MONTH(J$89),DAY(J$89))+1
)</f>
        <v>0</v>
      </c>
      <c r="K96" s="30">
        <f>COUNTIFS(
DATA!$F:$F,$B96,
DATA!$B:$B,"&gt;="&amp;DATE(2026,MONTH(K$89),DAY(K$89)),
DATA!$B:$B,"&lt;"&amp;DATE(2026,MONTH(K$89),DAY(K$89))+1
)</f>
        <v>0</v>
      </c>
      <c r="L96" s="30">
        <f>COUNTIFS(
DATA!$F:$F,$B96,
DATA!$B:$B,"&gt;="&amp;DATE(2026,MONTH(L$89),DAY(L$89)),
DATA!$B:$B,"&lt;"&amp;DATE(2026,MONTH(L$89),DAY(L$89))+1
)</f>
        <v>0</v>
      </c>
      <c r="M96" s="30">
        <f>COUNTIFS(
DATA!$F:$F,$B96,
DATA!$B:$B,"&gt;="&amp;DATE(2026,MONTH(M$89),DAY(M$89)),
DATA!$B:$B,"&lt;"&amp;DATE(2026,MONTH(M$89),DAY(M$89))+1
)</f>
        <v>0</v>
      </c>
      <c r="N96" s="30">
        <f>COUNTIFS(
DATA!$F:$F,$B96,
DATA!$B:$B,"&gt;="&amp;DATE(2026,MONTH(N$89),DAY(N$89)),
DATA!$B:$B,"&lt;"&amp;DATE(2026,MONTH(N$89),DAY(N$89))+1
)</f>
        <v>0</v>
      </c>
      <c r="O96" s="30">
        <f>COUNTIFS(
DATA!$F:$F,$B96,
DATA!$B:$B,"&gt;="&amp;DATE(2026,MONTH(O$89),DAY(O$89)),
DATA!$B:$B,"&lt;"&amp;DATE(2026,MONTH(O$89),DAY(O$89))+1
)</f>
        <v>0</v>
      </c>
      <c r="P96" s="30">
        <f>COUNTIFS(
DATA!$F:$F,$B96,
DATA!$B:$B,"&gt;="&amp;DATE(2026,MONTH(P$89),DAY(P$89)),
DATA!$B:$B,"&lt;"&amp;DATE(2026,MONTH(P$89),DAY(P$89))+1
)</f>
        <v>0</v>
      </c>
      <c r="Q96" s="30">
        <f>COUNTIFS(
DATA!$F:$F,$B96,
DATA!$B:$B,"&gt;="&amp;DATE(2026,MONTH(Q$89),DAY(Q$89)),
DATA!$B:$B,"&lt;"&amp;DATE(2026,MONTH(Q$89),DAY(Q$89))+1
)</f>
        <v>0</v>
      </c>
      <c r="R96" s="30">
        <f>COUNTIFS(
DATA!$F:$F,$B96,
DATA!$B:$B,"&gt;="&amp;DATE(2026,MONTH(R$89),DAY(R$89)),
DATA!$B:$B,"&lt;"&amp;DATE(2026,MONTH(R$89),DAY(R$89))+1
)</f>
        <v>0</v>
      </c>
      <c r="S96" s="30">
        <f>COUNTIFS(
DATA!$F:$F,$B96,
DATA!$B:$B,"&gt;="&amp;DATE(2026,MONTH(S$89),DAY(S$89)),
DATA!$B:$B,"&lt;"&amp;DATE(2026,MONTH(S$89),DAY(S$89))+1
)</f>
        <v>0</v>
      </c>
      <c r="T96" s="30">
        <f>COUNTIFS(
DATA!$F:$F,$B96,
DATA!$B:$B,"&gt;="&amp;DATE(2026,MONTH(T$89),DAY(T$89)),
DATA!$B:$B,"&lt;"&amp;DATE(2026,MONTH(T$89),DAY(T$89))+1
)</f>
        <v>0</v>
      </c>
      <c r="U96" s="30">
        <f>COUNTIFS(
DATA!$F:$F,$B96,
DATA!$B:$B,"&gt;="&amp;DATE(2026,MONTH(U$89),DAY(U$89)),
DATA!$B:$B,"&lt;"&amp;DATE(2026,MONTH(U$89),DAY(U$89))+1
)</f>
        <v>0</v>
      </c>
      <c r="V96" s="30">
        <f>COUNTIFS(
DATA!$F:$F,$B96,
DATA!$B:$B,"&gt;="&amp;DATE(2026,MONTH(V$89),DAY(V$89)),
DATA!$B:$B,"&lt;"&amp;DATE(2026,MONTH(V$89),DAY(V$89))+1
)</f>
        <v>0</v>
      </c>
      <c r="W96" s="30">
        <f>COUNTIFS(
DATA!$F:$F,$B96,
DATA!$B:$B,"&gt;="&amp;DATE(2026,MONTH(W$89),DAY(W$89)),
DATA!$B:$B,"&lt;"&amp;DATE(2026,MONTH(W$89),DAY(W$89))+1
)</f>
        <v>0</v>
      </c>
      <c r="X96" s="30">
        <f>COUNTIFS(
DATA!$F:$F,$B96,
DATA!$B:$B,"&gt;="&amp;DATE(2026,MONTH(X$89),DAY(X$89)),
DATA!$B:$B,"&lt;"&amp;DATE(2026,MONTH(X$89),DAY(X$89))+1
)</f>
        <v>0</v>
      </c>
      <c r="Y96" s="30">
        <f>COUNTIFS(
DATA!$F:$F,$B96,
DATA!$B:$B,"&gt;="&amp;DATE(2026,MONTH(Y$89),DAY(Y$89)),
DATA!$B:$B,"&lt;"&amp;DATE(2026,MONTH(Y$89),DAY(Y$89))+1
)</f>
        <v>0</v>
      </c>
      <c r="Z96" s="30">
        <f>COUNTIFS(
DATA!$F:$F,$B96,
DATA!$B:$B,"&gt;="&amp;DATE(2026,MONTH(Z$89),DAY(Z$89)),
DATA!$B:$B,"&lt;"&amp;DATE(2026,MONTH(Z$89),DAY(Z$89))+1
)</f>
        <v>0</v>
      </c>
      <c r="AA96" s="30">
        <f>COUNTIFS(
DATA!$F:$F,$B96,
DATA!$B:$B,"&gt;="&amp;DATE(2026,MONTH(AA$89),DAY(AA$89)),
DATA!$B:$B,"&lt;"&amp;DATE(2026,MONTH(AA$89),DAY(AA$89))+1
)</f>
        <v>0</v>
      </c>
      <c r="AB96" s="30">
        <f>COUNTIFS(
DATA!$F:$F,$B96,
DATA!$B:$B,"&gt;="&amp;DATE(2026,MONTH(AB$89),DAY(AB$89)),
DATA!$B:$B,"&lt;"&amp;DATE(2026,MONTH(AB$89),DAY(AB$89))+1
)</f>
        <v>0</v>
      </c>
      <c r="AC96" s="30">
        <f>COUNTIFS(
DATA!$F:$F,$B96,
DATA!$B:$B,"&gt;="&amp;DATE(2026,MONTH(AC$89),DAY(AC$89)),
DATA!$B:$B,"&lt;"&amp;DATE(2026,MONTH(AC$89),DAY(AC$89))+1
)</f>
        <v>0</v>
      </c>
      <c r="AD96" s="30">
        <f>COUNTIFS(
DATA!$F:$F,$B96,
DATA!$B:$B,"&gt;="&amp;DATE(2026,MONTH(AD$89),DAY(AD$89)),
DATA!$B:$B,"&lt;"&amp;DATE(2026,MONTH(AD$89),DAY(AD$89))+1
)</f>
        <v>0</v>
      </c>
      <c r="AE96" s="30">
        <f>COUNTIFS(
DATA!$F:$F,$B96,
DATA!$B:$B,"&gt;="&amp;DATE(2026,MONTH(AE$89),DAY(AE$89)),
DATA!$B:$B,"&lt;"&amp;DATE(2026,MONTH(AE$89),DAY(AE$89))+1
)</f>
        <v>0</v>
      </c>
      <c r="AF96" s="30">
        <f>COUNTIFS(
DATA!$F:$F,$B96,
DATA!$B:$B,"&gt;="&amp;DATE(2026,MONTH(AF$89),DAY(AF$89)),
DATA!$B:$B,"&lt;"&amp;DATE(2026,MONTH(AF$89),DAY(AF$89))+1
)</f>
        <v>0</v>
      </c>
      <c r="AG96" s="30">
        <f>COUNTIFS(
DATA!$F:$F,$B96,
DATA!$B:$B,"&gt;="&amp;DATE(2026,MONTH(AG$89),DAY(AG$89)),
DATA!$B:$B,"&lt;"&amp;DATE(2026,MONTH(AG$89),DAY(AG$89))+1
)</f>
        <v>0</v>
      </c>
      <c r="AH96" s="31">
        <f t="shared" si="188"/>
        <v>0</v>
      </c>
      <c r="AI96" s="7"/>
      <c r="AJ96" s="30">
        <v>7.0</v>
      </c>
      <c r="AK96" s="32" t="s">
        <v>67</v>
      </c>
      <c r="AL96" s="41">
        <f t="shared" si="189"/>
        <v>0</v>
      </c>
      <c r="AM96" s="30">
        <f t="shared" si="192"/>
        <v>0</v>
      </c>
      <c r="AN96" s="30">
        <f t="shared" ref="AN96:BP96" si="197">SUM($C96:E96)</f>
        <v>0</v>
      </c>
      <c r="AO96" s="30">
        <f t="shared" si="197"/>
        <v>0</v>
      </c>
      <c r="AP96" s="30">
        <f t="shared" si="197"/>
        <v>0</v>
      </c>
      <c r="AQ96" s="30">
        <f t="shared" si="197"/>
        <v>0</v>
      </c>
      <c r="AR96" s="30">
        <f t="shared" si="197"/>
        <v>0</v>
      </c>
      <c r="AS96" s="30">
        <f t="shared" si="197"/>
        <v>0</v>
      </c>
      <c r="AT96" s="30">
        <f t="shared" si="197"/>
        <v>0</v>
      </c>
      <c r="AU96" s="30">
        <f t="shared" si="197"/>
        <v>0</v>
      </c>
      <c r="AV96" s="30">
        <f t="shared" si="197"/>
        <v>0</v>
      </c>
      <c r="AW96" s="30">
        <f t="shared" si="197"/>
        <v>0</v>
      </c>
      <c r="AX96" s="30">
        <f t="shared" si="197"/>
        <v>0</v>
      </c>
      <c r="AY96" s="30">
        <f t="shared" si="197"/>
        <v>0</v>
      </c>
      <c r="AZ96" s="30">
        <f t="shared" si="197"/>
        <v>0</v>
      </c>
      <c r="BA96" s="30">
        <f t="shared" si="197"/>
        <v>0</v>
      </c>
      <c r="BB96" s="30">
        <f t="shared" si="197"/>
        <v>0</v>
      </c>
      <c r="BC96" s="30">
        <f t="shared" si="197"/>
        <v>0</v>
      </c>
      <c r="BD96" s="30">
        <f t="shared" si="197"/>
        <v>0</v>
      </c>
      <c r="BE96" s="30">
        <f t="shared" si="197"/>
        <v>0</v>
      </c>
      <c r="BF96" s="30">
        <f t="shared" si="197"/>
        <v>0</v>
      </c>
      <c r="BG96" s="30">
        <f t="shared" si="197"/>
        <v>0</v>
      </c>
      <c r="BH96" s="30">
        <f t="shared" si="197"/>
        <v>0</v>
      </c>
      <c r="BI96" s="30">
        <f t="shared" si="197"/>
        <v>0</v>
      </c>
      <c r="BJ96" s="30">
        <f t="shared" si="197"/>
        <v>0</v>
      </c>
      <c r="BK96" s="30">
        <f t="shared" si="197"/>
        <v>0</v>
      </c>
      <c r="BL96" s="30">
        <f t="shared" si="197"/>
        <v>0</v>
      </c>
      <c r="BM96" s="30">
        <f t="shared" si="197"/>
        <v>0</v>
      </c>
      <c r="BN96" s="30">
        <f t="shared" si="197"/>
        <v>0</v>
      </c>
      <c r="BO96" s="30">
        <f t="shared" si="197"/>
        <v>0</v>
      </c>
      <c r="BP96" s="30">
        <f t="shared" si="197"/>
        <v>0</v>
      </c>
      <c r="BQ96" s="31">
        <f t="shared" si="191"/>
        <v>0</v>
      </c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</row>
    <row r="97">
      <c r="A97" s="28">
        <v>8.0</v>
      </c>
      <c r="B97" s="29" t="s">
        <v>68</v>
      </c>
      <c r="C97" s="30">
        <f>COUNTIFS(
DATA!$F:$F,$B97,
DATA!$B:$B,"&gt;="&amp;DATE(2026,MONTH(C$89),DAY(C$89)),
DATA!$B:$B,"&lt;"&amp;DATE(2026,MONTH(C$89),DAY(C$89))+1
)</f>
        <v>0</v>
      </c>
      <c r="D97" s="30">
        <f>COUNTIFS(
DATA!$F:$F,$B97,
DATA!$B:$B,"&gt;="&amp;DATE(2026,MONTH(D$89),DAY(D$89)),
DATA!$B:$B,"&lt;"&amp;DATE(2026,MONTH(D$89),DAY(D$89))+1
)</f>
        <v>0</v>
      </c>
      <c r="E97" s="30">
        <f>COUNTIFS(
DATA!$F:$F,$B97,
DATA!$B:$B,"&gt;="&amp;DATE(2026,MONTH(E$89),DAY(E$89)),
DATA!$B:$B,"&lt;"&amp;DATE(2026,MONTH(E$89),DAY(E$89))+1
)</f>
        <v>0</v>
      </c>
      <c r="F97" s="30">
        <f>COUNTIFS(
DATA!$F:$F,$B97,
DATA!$B:$B,"&gt;="&amp;DATE(2026,MONTH(F$89),DAY(F$89)),
DATA!$B:$B,"&lt;"&amp;DATE(2026,MONTH(F$89),DAY(F$89))+1
)</f>
        <v>0</v>
      </c>
      <c r="G97" s="30">
        <f>COUNTIFS(
DATA!$F:$F,$B97,
DATA!$B:$B,"&gt;="&amp;DATE(2026,MONTH(G$89),DAY(G$89)),
DATA!$B:$B,"&lt;"&amp;DATE(2026,MONTH(G$89),DAY(G$89))+1
)</f>
        <v>0</v>
      </c>
      <c r="H97" s="30">
        <f>COUNTIFS(
DATA!$F:$F,$B97,
DATA!$B:$B,"&gt;="&amp;DATE(2026,MONTH(H$89),DAY(H$89)),
DATA!$B:$B,"&lt;"&amp;DATE(2026,MONTH(H$89),DAY(H$89))+1
)</f>
        <v>0</v>
      </c>
      <c r="I97" s="30">
        <f>COUNTIFS(
DATA!$F:$F,$B97,
DATA!$B:$B,"&gt;="&amp;DATE(2026,MONTH(I$89),DAY(I$89)),
DATA!$B:$B,"&lt;"&amp;DATE(2026,MONTH(I$89),DAY(I$89))+1
)</f>
        <v>0</v>
      </c>
      <c r="J97" s="30">
        <f>COUNTIFS(
DATA!$F:$F,$B97,
DATA!$B:$B,"&gt;="&amp;DATE(2026,MONTH(J$89),DAY(J$89)),
DATA!$B:$B,"&lt;"&amp;DATE(2026,MONTH(J$89),DAY(J$89))+1
)</f>
        <v>0</v>
      </c>
      <c r="K97" s="30">
        <f>COUNTIFS(
DATA!$F:$F,$B97,
DATA!$B:$B,"&gt;="&amp;DATE(2026,MONTH(K$89),DAY(K$89)),
DATA!$B:$B,"&lt;"&amp;DATE(2026,MONTH(K$89),DAY(K$89))+1
)</f>
        <v>0</v>
      </c>
      <c r="L97" s="30">
        <f>COUNTIFS(
DATA!$F:$F,$B97,
DATA!$B:$B,"&gt;="&amp;DATE(2026,MONTH(L$89),DAY(L$89)),
DATA!$B:$B,"&lt;"&amp;DATE(2026,MONTH(L$89),DAY(L$89))+1
)</f>
        <v>0</v>
      </c>
      <c r="M97" s="30">
        <f>COUNTIFS(
DATA!$F:$F,$B97,
DATA!$B:$B,"&gt;="&amp;DATE(2026,MONTH(M$89),DAY(M$89)),
DATA!$B:$B,"&lt;"&amp;DATE(2026,MONTH(M$89),DAY(M$89))+1
)</f>
        <v>0</v>
      </c>
      <c r="N97" s="30">
        <f>COUNTIFS(
DATA!$F:$F,$B97,
DATA!$B:$B,"&gt;="&amp;DATE(2026,MONTH(N$89),DAY(N$89)),
DATA!$B:$B,"&lt;"&amp;DATE(2026,MONTH(N$89),DAY(N$89))+1
)</f>
        <v>0</v>
      </c>
      <c r="O97" s="30">
        <f>COUNTIFS(
DATA!$F:$F,$B97,
DATA!$B:$B,"&gt;="&amp;DATE(2026,MONTH(O$89),DAY(O$89)),
DATA!$B:$B,"&lt;"&amp;DATE(2026,MONTH(O$89),DAY(O$89))+1
)</f>
        <v>0</v>
      </c>
      <c r="P97" s="30">
        <f>COUNTIFS(
DATA!$F:$F,$B97,
DATA!$B:$B,"&gt;="&amp;DATE(2026,MONTH(P$89),DAY(P$89)),
DATA!$B:$B,"&lt;"&amp;DATE(2026,MONTH(P$89),DAY(P$89))+1
)</f>
        <v>0</v>
      </c>
      <c r="Q97" s="30">
        <f>COUNTIFS(
DATA!$F:$F,$B97,
DATA!$B:$B,"&gt;="&amp;DATE(2026,MONTH(Q$89),DAY(Q$89)),
DATA!$B:$B,"&lt;"&amp;DATE(2026,MONTH(Q$89),DAY(Q$89))+1
)</f>
        <v>0</v>
      </c>
      <c r="R97" s="30">
        <f>COUNTIFS(
DATA!$F:$F,$B97,
DATA!$B:$B,"&gt;="&amp;DATE(2026,MONTH(R$89),DAY(R$89)),
DATA!$B:$B,"&lt;"&amp;DATE(2026,MONTH(R$89),DAY(R$89))+1
)</f>
        <v>0</v>
      </c>
      <c r="S97" s="30">
        <f>COUNTIFS(
DATA!$F:$F,$B97,
DATA!$B:$B,"&gt;="&amp;DATE(2026,MONTH(S$89),DAY(S$89)),
DATA!$B:$B,"&lt;"&amp;DATE(2026,MONTH(S$89),DAY(S$89))+1
)</f>
        <v>0</v>
      </c>
      <c r="T97" s="30">
        <f>COUNTIFS(
DATA!$F:$F,$B97,
DATA!$B:$B,"&gt;="&amp;DATE(2026,MONTH(T$89),DAY(T$89)),
DATA!$B:$B,"&lt;"&amp;DATE(2026,MONTH(T$89),DAY(T$89))+1
)</f>
        <v>0</v>
      </c>
      <c r="U97" s="30">
        <f>COUNTIFS(
DATA!$F:$F,$B97,
DATA!$B:$B,"&gt;="&amp;DATE(2026,MONTH(U$89),DAY(U$89)),
DATA!$B:$B,"&lt;"&amp;DATE(2026,MONTH(U$89),DAY(U$89))+1
)</f>
        <v>0</v>
      </c>
      <c r="V97" s="30">
        <f>COUNTIFS(
DATA!$F:$F,$B97,
DATA!$B:$B,"&gt;="&amp;DATE(2026,MONTH(V$89),DAY(V$89)),
DATA!$B:$B,"&lt;"&amp;DATE(2026,MONTH(V$89),DAY(V$89))+1
)</f>
        <v>0</v>
      </c>
      <c r="W97" s="30">
        <f>COUNTIFS(
DATA!$F:$F,$B97,
DATA!$B:$B,"&gt;="&amp;DATE(2026,MONTH(W$89),DAY(W$89)),
DATA!$B:$B,"&lt;"&amp;DATE(2026,MONTH(W$89),DAY(W$89))+1
)</f>
        <v>0</v>
      </c>
      <c r="X97" s="30">
        <f>COUNTIFS(
DATA!$F:$F,$B97,
DATA!$B:$B,"&gt;="&amp;DATE(2026,MONTH(X$89),DAY(X$89)),
DATA!$B:$B,"&lt;"&amp;DATE(2026,MONTH(X$89),DAY(X$89))+1
)</f>
        <v>0</v>
      </c>
      <c r="Y97" s="30">
        <f>COUNTIFS(
DATA!$F:$F,$B97,
DATA!$B:$B,"&gt;="&amp;DATE(2026,MONTH(Y$89),DAY(Y$89)),
DATA!$B:$B,"&lt;"&amp;DATE(2026,MONTH(Y$89),DAY(Y$89))+1
)</f>
        <v>0</v>
      </c>
      <c r="Z97" s="30">
        <f>COUNTIFS(
DATA!$F:$F,$B97,
DATA!$B:$B,"&gt;="&amp;DATE(2026,MONTH(Z$89),DAY(Z$89)),
DATA!$B:$B,"&lt;"&amp;DATE(2026,MONTH(Z$89),DAY(Z$89))+1
)</f>
        <v>0</v>
      </c>
      <c r="AA97" s="30">
        <f>COUNTIFS(
DATA!$F:$F,$B97,
DATA!$B:$B,"&gt;="&amp;DATE(2026,MONTH(AA$89),DAY(AA$89)),
DATA!$B:$B,"&lt;"&amp;DATE(2026,MONTH(AA$89),DAY(AA$89))+1
)</f>
        <v>0</v>
      </c>
      <c r="AB97" s="30">
        <f>COUNTIFS(
DATA!$F:$F,$B97,
DATA!$B:$B,"&gt;="&amp;DATE(2026,MONTH(AB$89),DAY(AB$89)),
DATA!$B:$B,"&lt;"&amp;DATE(2026,MONTH(AB$89),DAY(AB$89))+1
)</f>
        <v>0</v>
      </c>
      <c r="AC97" s="30">
        <f>COUNTIFS(
DATA!$F:$F,$B97,
DATA!$B:$B,"&gt;="&amp;DATE(2026,MONTH(AC$89),DAY(AC$89)),
DATA!$B:$B,"&lt;"&amp;DATE(2026,MONTH(AC$89),DAY(AC$89))+1
)</f>
        <v>0</v>
      </c>
      <c r="AD97" s="30">
        <f>COUNTIFS(
DATA!$F:$F,$B97,
DATA!$B:$B,"&gt;="&amp;DATE(2026,MONTH(AD$89),DAY(AD$89)),
DATA!$B:$B,"&lt;"&amp;DATE(2026,MONTH(AD$89),DAY(AD$89))+1
)</f>
        <v>0</v>
      </c>
      <c r="AE97" s="30">
        <f>COUNTIFS(
DATA!$F:$F,$B97,
DATA!$B:$B,"&gt;="&amp;DATE(2026,MONTH(AE$89),DAY(AE$89)),
DATA!$B:$B,"&lt;"&amp;DATE(2026,MONTH(AE$89),DAY(AE$89))+1
)</f>
        <v>0</v>
      </c>
      <c r="AF97" s="30">
        <f>COUNTIFS(
DATA!$F:$F,$B97,
DATA!$B:$B,"&gt;="&amp;DATE(2026,MONTH(AF$89),DAY(AF$89)),
DATA!$B:$B,"&lt;"&amp;DATE(2026,MONTH(AF$89),DAY(AF$89))+1
)</f>
        <v>0</v>
      </c>
      <c r="AG97" s="30">
        <f>COUNTIFS(
DATA!$F:$F,$B97,
DATA!$B:$B,"&gt;="&amp;DATE(2026,MONTH(AG$89),DAY(AG$89)),
DATA!$B:$B,"&lt;"&amp;DATE(2026,MONTH(AG$89),DAY(AG$89))+1
)</f>
        <v>0</v>
      </c>
      <c r="AH97" s="31">
        <f t="shared" si="188"/>
        <v>0</v>
      </c>
      <c r="AI97" s="7"/>
      <c r="AJ97" s="30">
        <v>8.0</v>
      </c>
      <c r="AK97" s="32" t="s">
        <v>68</v>
      </c>
      <c r="AL97" s="41">
        <f t="shared" si="189"/>
        <v>0</v>
      </c>
      <c r="AM97" s="30">
        <f t="shared" si="192"/>
        <v>0</v>
      </c>
      <c r="AN97" s="30">
        <f t="shared" ref="AN97:BP97" si="198">SUM($C97:E97)</f>
        <v>0</v>
      </c>
      <c r="AO97" s="30">
        <f t="shared" si="198"/>
        <v>0</v>
      </c>
      <c r="AP97" s="30">
        <f t="shared" si="198"/>
        <v>0</v>
      </c>
      <c r="AQ97" s="30">
        <f t="shared" si="198"/>
        <v>0</v>
      </c>
      <c r="AR97" s="30">
        <f t="shared" si="198"/>
        <v>0</v>
      </c>
      <c r="AS97" s="30">
        <f t="shared" si="198"/>
        <v>0</v>
      </c>
      <c r="AT97" s="30">
        <f t="shared" si="198"/>
        <v>0</v>
      </c>
      <c r="AU97" s="30">
        <f t="shared" si="198"/>
        <v>0</v>
      </c>
      <c r="AV97" s="30">
        <f t="shared" si="198"/>
        <v>0</v>
      </c>
      <c r="AW97" s="30">
        <f t="shared" si="198"/>
        <v>0</v>
      </c>
      <c r="AX97" s="30">
        <f t="shared" si="198"/>
        <v>0</v>
      </c>
      <c r="AY97" s="30">
        <f t="shared" si="198"/>
        <v>0</v>
      </c>
      <c r="AZ97" s="30">
        <f t="shared" si="198"/>
        <v>0</v>
      </c>
      <c r="BA97" s="30">
        <f t="shared" si="198"/>
        <v>0</v>
      </c>
      <c r="BB97" s="30">
        <f t="shared" si="198"/>
        <v>0</v>
      </c>
      <c r="BC97" s="30">
        <f t="shared" si="198"/>
        <v>0</v>
      </c>
      <c r="BD97" s="30">
        <f t="shared" si="198"/>
        <v>0</v>
      </c>
      <c r="BE97" s="30">
        <f t="shared" si="198"/>
        <v>0</v>
      </c>
      <c r="BF97" s="30">
        <f t="shared" si="198"/>
        <v>0</v>
      </c>
      <c r="BG97" s="30">
        <f t="shared" si="198"/>
        <v>0</v>
      </c>
      <c r="BH97" s="30">
        <f t="shared" si="198"/>
        <v>0</v>
      </c>
      <c r="BI97" s="30">
        <f t="shared" si="198"/>
        <v>0</v>
      </c>
      <c r="BJ97" s="30">
        <f t="shared" si="198"/>
        <v>0</v>
      </c>
      <c r="BK97" s="30">
        <f t="shared" si="198"/>
        <v>0</v>
      </c>
      <c r="BL97" s="30">
        <f t="shared" si="198"/>
        <v>0</v>
      </c>
      <c r="BM97" s="30">
        <f t="shared" si="198"/>
        <v>0</v>
      </c>
      <c r="BN97" s="30">
        <f t="shared" si="198"/>
        <v>0</v>
      </c>
      <c r="BO97" s="30">
        <f t="shared" si="198"/>
        <v>0</v>
      </c>
      <c r="BP97" s="30">
        <f t="shared" si="198"/>
        <v>0</v>
      </c>
      <c r="BQ97" s="31">
        <f t="shared" si="191"/>
        <v>0</v>
      </c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</row>
    <row r="98">
      <c r="A98" s="50"/>
      <c r="B98" s="51" t="s">
        <v>69</v>
      </c>
      <c r="C98" s="49">
        <f t="shared" ref="C98:AG98" si="199">SUM(C90:C97)</f>
        <v>0</v>
      </c>
      <c r="D98" s="49">
        <f t="shared" si="199"/>
        <v>0</v>
      </c>
      <c r="E98" s="49">
        <f t="shared" si="199"/>
        <v>0</v>
      </c>
      <c r="F98" s="49">
        <f t="shared" si="199"/>
        <v>0</v>
      </c>
      <c r="G98" s="49">
        <f t="shared" si="199"/>
        <v>0</v>
      </c>
      <c r="H98" s="49">
        <f t="shared" si="199"/>
        <v>0</v>
      </c>
      <c r="I98" s="49">
        <f t="shared" si="199"/>
        <v>0</v>
      </c>
      <c r="J98" s="49">
        <f t="shared" si="199"/>
        <v>0</v>
      </c>
      <c r="K98" s="49">
        <f t="shared" si="199"/>
        <v>0</v>
      </c>
      <c r="L98" s="49">
        <f t="shared" si="199"/>
        <v>0</v>
      </c>
      <c r="M98" s="49">
        <f t="shared" si="199"/>
        <v>0</v>
      </c>
      <c r="N98" s="49">
        <f t="shared" si="199"/>
        <v>0</v>
      </c>
      <c r="O98" s="49">
        <f t="shared" si="199"/>
        <v>0</v>
      </c>
      <c r="P98" s="49">
        <f t="shared" si="199"/>
        <v>0</v>
      </c>
      <c r="Q98" s="49">
        <f t="shared" si="199"/>
        <v>0</v>
      </c>
      <c r="R98" s="49">
        <f t="shared" si="199"/>
        <v>0</v>
      </c>
      <c r="S98" s="49">
        <f t="shared" si="199"/>
        <v>0</v>
      </c>
      <c r="T98" s="49">
        <f t="shared" si="199"/>
        <v>0</v>
      </c>
      <c r="U98" s="49">
        <f t="shared" si="199"/>
        <v>0</v>
      </c>
      <c r="V98" s="49">
        <f t="shared" si="199"/>
        <v>0</v>
      </c>
      <c r="W98" s="49">
        <f t="shared" si="199"/>
        <v>0</v>
      </c>
      <c r="X98" s="49">
        <f t="shared" si="199"/>
        <v>0</v>
      </c>
      <c r="Y98" s="49">
        <f t="shared" si="199"/>
        <v>0</v>
      </c>
      <c r="Z98" s="49">
        <f t="shared" si="199"/>
        <v>0</v>
      </c>
      <c r="AA98" s="49">
        <f t="shared" si="199"/>
        <v>0</v>
      </c>
      <c r="AB98" s="49">
        <f t="shared" si="199"/>
        <v>0</v>
      </c>
      <c r="AC98" s="49">
        <f t="shared" si="199"/>
        <v>0</v>
      </c>
      <c r="AD98" s="49">
        <f t="shared" si="199"/>
        <v>0</v>
      </c>
      <c r="AE98" s="49">
        <f t="shared" si="199"/>
        <v>0</v>
      </c>
      <c r="AF98" s="49">
        <f t="shared" si="199"/>
        <v>0</v>
      </c>
      <c r="AG98" s="49">
        <f t="shared" si="199"/>
        <v>0</v>
      </c>
      <c r="AH98" s="49">
        <f t="shared" si="188"/>
        <v>0</v>
      </c>
      <c r="AI98" s="7"/>
      <c r="AJ98" s="45"/>
      <c r="AK98" s="46" t="s">
        <v>69</v>
      </c>
      <c r="AL98" s="47">
        <f t="shared" si="189"/>
        <v>0</v>
      </c>
      <c r="AM98" s="47">
        <f t="shared" si="192"/>
        <v>0</v>
      </c>
      <c r="AN98" s="47">
        <f t="shared" ref="AN98:BP98" si="200">SUM($C98:E98)</f>
        <v>0</v>
      </c>
      <c r="AO98" s="47">
        <f t="shared" si="200"/>
        <v>0</v>
      </c>
      <c r="AP98" s="47">
        <f t="shared" si="200"/>
        <v>0</v>
      </c>
      <c r="AQ98" s="47">
        <f t="shared" si="200"/>
        <v>0</v>
      </c>
      <c r="AR98" s="47">
        <f t="shared" si="200"/>
        <v>0</v>
      </c>
      <c r="AS98" s="47">
        <f t="shared" si="200"/>
        <v>0</v>
      </c>
      <c r="AT98" s="47">
        <f t="shared" si="200"/>
        <v>0</v>
      </c>
      <c r="AU98" s="47">
        <f t="shared" si="200"/>
        <v>0</v>
      </c>
      <c r="AV98" s="47">
        <f t="shared" si="200"/>
        <v>0</v>
      </c>
      <c r="AW98" s="47">
        <f t="shared" si="200"/>
        <v>0</v>
      </c>
      <c r="AX98" s="47">
        <f t="shared" si="200"/>
        <v>0</v>
      </c>
      <c r="AY98" s="47">
        <f t="shared" si="200"/>
        <v>0</v>
      </c>
      <c r="AZ98" s="47">
        <f t="shared" si="200"/>
        <v>0</v>
      </c>
      <c r="BA98" s="47">
        <f t="shared" si="200"/>
        <v>0</v>
      </c>
      <c r="BB98" s="47">
        <f t="shared" si="200"/>
        <v>0</v>
      </c>
      <c r="BC98" s="47">
        <f t="shared" si="200"/>
        <v>0</v>
      </c>
      <c r="BD98" s="47">
        <f t="shared" si="200"/>
        <v>0</v>
      </c>
      <c r="BE98" s="47">
        <f t="shared" si="200"/>
        <v>0</v>
      </c>
      <c r="BF98" s="47">
        <f t="shared" si="200"/>
        <v>0</v>
      </c>
      <c r="BG98" s="47">
        <f t="shared" si="200"/>
        <v>0</v>
      </c>
      <c r="BH98" s="47">
        <f t="shared" si="200"/>
        <v>0</v>
      </c>
      <c r="BI98" s="47">
        <f t="shared" si="200"/>
        <v>0</v>
      </c>
      <c r="BJ98" s="47">
        <f t="shared" si="200"/>
        <v>0</v>
      </c>
      <c r="BK98" s="47">
        <f t="shared" si="200"/>
        <v>0</v>
      </c>
      <c r="BL98" s="47">
        <f t="shared" si="200"/>
        <v>0</v>
      </c>
      <c r="BM98" s="47">
        <f t="shared" si="200"/>
        <v>0</v>
      </c>
      <c r="BN98" s="47">
        <f t="shared" si="200"/>
        <v>0</v>
      </c>
      <c r="BO98" s="47">
        <f t="shared" si="200"/>
        <v>0</v>
      </c>
      <c r="BP98" s="47">
        <f t="shared" si="200"/>
        <v>0</v>
      </c>
      <c r="BQ98" s="91">
        <f t="shared" si="191"/>
        <v>0</v>
      </c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</row>
    <row r="100">
      <c r="A100" s="8" t="s">
        <v>35</v>
      </c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</row>
    <row r="101">
      <c r="A101" s="9" t="str">
        <f>TEXT(C103,"MMMM YYYY")</f>
        <v>Agustus 2026</v>
      </c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11" t="s">
        <v>85</v>
      </c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</row>
    <row r="103" ht="42.75" customHeight="1">
      <c r="A103" s="14" t="s">
        <v>41</v>
      </c>
      <c r="B103" s="14" t="s">
        <v>42</v>
      </c>
      <c r="C103" s="15">
        <v>46235.0</v>
      </c>
      <c r="D103" s="15">
        <v>46236.0</v>
      </c>
      <c r="E103" s="15">
        <v>46237.0</v>
      </c>
      <c r="F103" s="15">
        <v>46238.0</v>
      </c>
      <c r="G103" s="15">
        <v>46239.0</v>
      </c>
      <c r="H103" s="15">
        <v>46240.0</v>
      </c>
      <c r="I103" s="15">
        <v>46241.0</v>
      </c>
      <c r="J103" s="15">
        <v>46242.0</v>
      </c>
      <c r="K103" s="15">
        <v>46243.0</v>
      </c>
      <c r="L103" s="15">
        <v>46244.0</v>
      </c>
      <c r="M103" s="15">
        <v>46245.0</v>
      </c>
      <c r="N103" s="15">
        <v>46246.0</v>
      </c>
      <c r="O103" s="15">
        <v>46247.0</v>
      </c>
      <c r="P103" s="15">
        <v>46248.0</v>
      </c>
      <c r="Q103" s="15">
        <v>46249.0</v>
      </c>
      <c r="R103" s="15">
        <v>46250.0</v>
      </c>
      <c r="S103" s="15">
        <v>46251.0</v>
      </c>
      <c r="T103" s="15">
        <v>46252.0</v>
      </c>
      <c r="U103" s="15">
        <v>46253.0</v>
      </c>
      <c r="V103" s="15">
        <v>46254.0</v>
      </c>
      <c r="W103" s="15">
        <v>46255.0</v>
      </c>
      <c r="X103" s="15">
        <v>46256.0</v>
      </c>
      <c r="Y103" s="15">
        <v>46257.0</v>
      </c>
      <c r="Z103" s="15">
        <v>46258.0</v>
      </c>
      <c r="AA103" s="15">
        <v>46259.0</v>
      </c>
      <c r="AB103" s="15">
        <v>46260.0</v>
      </c>
      <c r="AC103" s="15">
        <v>46261.0</v>
      </c>
      <c r="AD103" s="15">
        <v>46262.0</v>
      </c>
      <c r="AE103" s="15">
        <v>46263.0</v>
      </c>
      <c r="AF103" s="15">
        <v>46264.0</v>
      </c>
      <c r="AG103" s="15">
        <v>46265.0</v>
      </c>
      <c r="AH103" s="16" t="s">
        <v>43</v>
      </c>
      <c r="AI103" s="17"/>
      <c r="AJ103" s="18" t="s">
        <v>41</v>
      </c>
      <c r="AK103" s="18" t="s">
        <v>42</v>
      </c>
      <c r="AL103" s="66">
        <v>46235.0</v>
      </c>
      <c r="AM103" s="66">
        <v>46236.0</v>
      </c>
      <c r="AN103" s="66">
        <v>46237.0</v>
      </c>
      <c r="AO103" s="66">
        <v>46238.0</v>
      </c>
      <c r="AP103" s="66">
        <v>46239.0</v>
      </c>
      <c r="AQ103" s="66">
        <v>46240.0</v>
      </c>
      <c r="AR103" s="66">
        <v>46241.0</v>
      </c>
      <c r="AS103" s="66">
        <v>46242.0</v>
      </c>
      <c r="AT103" s="66">
        <v>46243.0</v>
      </c>
      <c r="AU103" s="66">
        <v>46244.0</v>
      </c>
      <c r="AV103" s="66">
        <v>46245.0</v>
      </c>
      <c r="AW103" s="66">
        <v>46246.0</v>
      </c>
      <c r="AX103" s="66">
        <v>46247.0</v>
      </c>
      <c r="AY103" s="66">
        <v>46248.0</v>
      </c>
      <c r="AZ103" s="66">
        <v>46249.0</v>
      </c>
      <c r="BA103" s="66">
        <v>46250.0</v>
      </c>
      <c r="BB103" s="66">
        <v>46251.0</v>
      </c>
      <c r="BC103" s="66">
        <v>46252.0</v>
      </c>
      <c r="BD103" s="66">
        <v>46253.0</v>
      </c>
      <c r="BE103" s="66">
        <v>46254.0</v>
      </c>
      <c r="BF103" s="66">
        <v>46255.0</v>
      </c>
      <c r="BG103" s="66">
        <v>46256.0</v>
      </c>
      <c r="BH103" s="66">
        <v>46257.0</v>
      </c>
      <c r="BI103" s="66">
        <v>46258.0</v>
      </c>
      <c r="BJ103" s="66">
        <v>46259.0</v>
      </c>
      <c r="BK103" s="66">
        <v>46260.0</v>
      </c>
      <c r="BL103" s="66">
        <v>46261.0</v>
      </c>
      <c r="BM103" s="66">
        <v>46262.0</v>
      </c>
      <c r="BN103" s="66">
        <v>46263.0</v>
      </c>
      <c r="BO103" s="66">
        <v>46264.0</v>
      </c>
      <c r="BP103" s="66">
        <v>46265.0</v>
      </c>
      <c r="BQ103" s="18" t="s">
        <v>43</v>
      </c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</row>
    <row r="104">
      <c r="A104" s="28">
        <v>1.0</v>
      </c>
      <c r="B104" s="29" t="s">
        <v>60</v>
      </c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31">
        <f t="shared" ref="AH104:AH112" si="202">SUBTOTAL(9,C104:AG104)</f>
        <v>0</v>
      </c>
      <c r="AI104" s="7"/>
      <c r="AJ104" s="30">
        <v>1.0</v>
      </c>
      <c r="AK104" s="32" t="s">
        <v>60</v>
      </c>
      <c r="AL104" s="41" t="str">
        <f t="shared" ref="AL104:AL112" si="203">C104</f>
        <v/>
      </c>
      <c r="AM104" s="30">
        <f t="shared" ref="AM104:BP104" si="201">SUM($C104:D104)</f>
        <v>0</v>
      </c>
      <c r="AN104" s="30">
        <f t="shared" si="201"/>
        <v>0</v>
      </c>
      <c r="AO104" s="30">
        <f t="shared" si="201"/>
        <v>0</v>
      </c>
      <c r="AP104" s="30">
        <f t="shared" si="201"/>
        <v>0</v>
      </c>
      <c r="AQ104" s="30">
        <f t="shared" si="201"/>
        <v>0</v>
      </c>
      <c r="AR104" s="30">
        <f t="shared" si="201"/>
        <v>0</v>
      </c>
      <c r="AS104" s="30">
        <f t="shared" si="201"/>
        <v>0</v>
      </c>
      <c r="AT104" s="30">
        <f t="shared" si="201"/>
        <v>0</v>
      </c>
      <c r="AU104" s="30">
        <f t="shared" si="201"/>
        <v>0</v>
      </c>
      <c r="AV104" s="30">
        <f t="shared" si="201"/>
        <v>0</v>
      </c>
      <c r="AW104" s="30">
        <f t="shared" si="201"/>
        <v>0</v>
      </c>
      <c r="AX104" s="30">
        <f t="shared" si="201"/>
        <v>0</v>
      </c>
      <c r="AY104" s="30">
        <f t="shared" si="201"/>
        <v>0</v>
      </c>
      <c r="AZ104" s="30">
        <f t="shared" si="201"/>
        <v>0</v>
      </c>
      <c r="BA104" s="30">
        <f t="shared" si="201"/>
        <v>0</v>
      </c>
      <c r="BB104" s="30">
        <f t="shared" si="201"/>
        <v>0</v>
      </c>
      <c r="BC104" s="30">
        <f t="shared" si="201"/>
        <v>0</v>
      </c>
      <c r="BD104" s="30">
        <f t="shared" si="201"/>
        <v>0</v>
      </c>
      <c r="BE104" s="30">
        <f t="shared" si="201"/>
        <v>0</v>
      </c>
      <c r="BF104" s="30">
        <f t="shared" si="201"/>
        <v>0</v>
      </c>
      <c r="BG104" s="30">
        <f t="shared" si="201"/>
        <v>0</v>
      </c>
      <c r="BH104" s="30">
        <f t="shared" si="201"/>
        <v>0</v>
      </c>
      <c r="BI104" s="30">
        <f t="shared" si="201"/>
        <v>0</v>
      </c>
      <c r="BJ104" s="30">
        <f t="shared" si="201"/>
        <v>0</v>
      </c>
      <c r="BK104" s="30">
        <f t="shared" si="201"/>
        <v>0</v>
      </c>
      <c r="BL104" s="30">
        <f t="shared" si="201"/>
        <v>0</v>
      </c>
      <c r="BM104" s="30">
        <f t="shared" si="201"/>
        <v>0</v>
      </c>
      <c r="BN104" s="30">
        <f t="shared" si="201"/>
        <v>0</v>
      </c>
      <c r="BO104" s="30">
        <f t="shared" si="201"/>
        <v>0</v>
      </c>
      <c r="BP104" s="30">
        <f t="shared" si="201"/>
        <v>0</v>
      </c>
      <c r="BQ104" s="31">
        <f t="shared" ref="BQ104:BQ112" si="205">BP104</f>
        <v>0</v>
      </c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</row>
    <row r="105">
      <c r="A105" s="28">
        <v>2.0</v>
      </c>
      <c r="B105" s="29" t="s">
        <v>61</v>
      </c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31">
        <f t="shared" si="202"/>
        <v>0</v>
      </c>
      <c r="AI105" s="7"/>
      <c r="AJ105" s="30">
        <v>2.0</v>
      </c>
      <c r="AK105" s="32" t="s">
        <v>61</v>
      </c>
      <c r="AL105" s="41" t="str">
        <f t="shared" si="203"/>
        <v/>
      </c>
      <c r="AM105" s="30">
        <f t="shared" ref="AM105:AM112" si="206">SUM(C105:D105)</f>
        <v>0</v>
      </c>
      <c r="AN105" s="30">
        <f t="shared" ref="AN105:BP105" si="204">SUM($C105:E105)</f>
        <v>0</v>
      </c>
      <c r="AO105" s="30">
        <f t="shared" si="204"/>
        <v>0</v>
      </c>
      <c r="AP105" s="30">
        <f t="shared" si="204"/>
        <v>0</v>
      </c>
      <c r="AQ105" s="30">
        <f t="shared" si="204"/>
        <v>0</v>
      </c>
      <c r="AR105" s="30">
        <f t="shared" si="204"/>
        <v>0</v>
      </c>
      <c r="AS105" s="30">
        <f t="shared" si="204"/>
        <v>0</v>
      </c>
      <c r="AT105" s="30">
        <f t="shared" si="204"/>
        <v>0</v>
      </c>
      <c r="AU105" s="30">
        <f t="shared" si="204"/>
        <v>0</v>
      </c>
      <c r="AV105" s="30">
        <f t="shared" si="204"/>
        <v>0</v>
      </c>
      <c r="AW105" s="30">
        <f t="shared" si="204"/>
        <v>0</v>
      </c>
      <c r="AX105" s="30">
        <f t="shared" si="204"/>
        <v>0</v>
      </c>
      <c r="AY105" s="30">
        <f t="shared" si="204"/>
        <v>0</v>
      </c>
      <c r="AZ105" s="30">
        <f t="shared" si="204"/>
        <v>0</v>
      </c>
      <c r="BA105" s="30">
        <f t="shared" si="204"/>
        <v>0</v>
      </c>
      <c r="BB105" s="30">
        <f t="shared" si="204"/>
        <v>0</v>
      </c>
      <c r="BC105" s="30">
        <f t="shared" si="204"/>
        <v>0</v>
      </c>
      <c r="BD105" s="30">
        <f t="shared" si="204"/>
        <v>0</v>
      </c>
      <c r="BE105" s="30">
        <f t="shared" si="204"/>
        <v>0</v>
      </c>
      <c r="BF105" s="30">
        <f t="shared" si="204"/>
        <v>0</v>
      </c>
      <c r="BG105" s="30">
        <f t="shared" si="204"/>
        <v>0</v>
      </c>
      <c r="BH105" s="30">
        <f t="shared" si="204"/>
        <v>0</v>
      </c>
      <c r="BI105" s="30">
        <f t="shared" si="204"/>
        <v>0</v>
      </c>
      <c r="BJ105" s="30">
        <f t="shared" si="204"/>
        <v>0</v>
      </c>
      <c r="BK105" s="30">
        <f t="shared" si="204"/>
        <v>0</v>
      </c>
      <c r="BL105" s="30">
        <f t="shared" si="204"/>
        <v>0</v>
      </c>
      <c r="BM105" s="30">
        <f t="shared" si="204"/>
        <v>0</v>
      </c>
      <c r="BN105" s="30">
        <f t="shared" si="204"/>
        <v>0</v>
      </c>
      <c r="BO105" s="30">
        <f t="shared" si="204"/>
        <v>0</v>
      </c>
      <c r="BP105" s="30">
        <f t="shared" si="204"/>
        <v>0</v>
      </c>
      <c r="BQ105" s="31">
        <f t="shared" si="205"/>
        <v>0</v>
      </c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</row>
    <row r="106">
      <c r="A106" s="28">
        <v>3.0</v>
      </c>
      <c r="B106" s="29" t="s">
        <v>62</v>
      </c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31">
        <f t="shared" si="202"/>
        <v>0</v>
      </c>
      <c r="AI106" s="7"/>
      <c r="AJ106" s="30">
        <v>3.0</v>
      </c>
      <c r="AK106" s="32" t="s">
        <v>62</v>
      </c>
      <c r="AL106" s="41" t="str">
        <f t="shared" si="203"/>
        <v/>
      </c>
      <c r="AM106" s="30">
        <f t="shared" si="206"/>
        <v>0</v>
      </c>
      <c r="AN106" s="30">
        <f t="shared" ref="AN106:BP106" si="207">SUM($C106:E106)</f>
        <v>0</v>
      </c>
      <c r="AO106" s="30">
        <f t="shared" si="207"/>
        <v>0</v>
      </c>
      <c r="AP106" s="30">
        <f t="shared" si="207"/>
        <v>0</v>
      </c>
      <c r="AQ106" s="30">
        <f t="shared" si="207"/>
        <v>0</v>
      </c>
      <c r="AR106" s="30">
        <f t="shared" si="207"/>
        <v>0</v>
      </c>
      <c r="AS106" s="30">
        <f t="shared" si="207"/>
        <v>0</v>
      </c>
      <c r="AT106" s="30">
        <f t="shared" si="207"/>
        <v>0</v>
      </c>
      <c r="AU106" s="30">
        <f t="shared" si="207"/>
        <v>0</v>
      </c>
      <c r="AV106" s="30">
        <f t="shared" si="207"/>
        <v>0</v>
      </c>
      <c r="AW106" s="30">
        <f t="shared" si="207"/>
        <v>0</v>
      </c>
      <c r="AX106" s="30">
        <f t="shared" si="207"/>
        <v>0</v>
      </c>
      <c r="AY106" s="30">
        <f t="shared" si="207"/>
        <v>0</v>
      </c>
      <c r="AZ106" s="30">
        <f t="shared" si="207"/>
        <v>0</v>
      </c>
      <c r="BA106" s="30">
        <f t="shared" si="207"/>
        <v>0</v>
      </c>
      <c r="BB106" s="30">
        <f t="shared" si="207"/>
        <v>0</v>
      </c>
      <c r="BC106" s="30">
        <f t="shared" si="207"/>
        <v>0</v>
      </c>
      <c r="BD106" s="30">
        <f t="shared" si="207"/>
        <v>0</v>
      </c>
      <c r="BE106" s="30">
        <f t="shared" si="207"/>
        <v>0</v>
      </c>
      <c r="BF106" s="30">
        <f t="shared" si="207"/>
        <v>0</v>
      </c>
      <c r="BG106" s="30">
        <f t="shared" si="207"/>
        <v>0</v>
      </c>
      <c r="BH106" s="30">
        <f t="shared" si="207"/>
        <v>0</v>
      </c>
      <c r="BI106" s="30">
        <f t="shared" si="207"/>
        <v>0</v>
      </c>
      <c r="BJ106" s="30">
        <f t="shared" si="207"/>
        <v>0</v>
      </c>
      <c r="BK106" s="30">
        <f t="shared" si="207"/>
        <v>0</v>
      </c>
      <c r="BL106" s="30">
        <f t="shared" si="207"/>
        <v>0</v>
      </c>
      <c r="BM106" s="30">
        <f t="shared" si="207"/>
        <v>0</v>
      </c>
      <c r="BN106" s="30">
        <f t="shared" si="207"/>
        <v>0</v>
      </c>
      <c r="BO106" s="30">
        <f t="shared" si="207"/>
        <v>0</v>
      </c>
      <c r="BP106" s="30">
        <f t="shared" si="207"/>
        <v>0</v>
      </c>
      <c r="BQ106" s="31">
        <f t="shared" si="205"/>
        <v>0</v>
      </c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</row>
    <row r="107">
      <c r="A107" s="28">
        <v>4.0</v>
      </c>
      <c r="B107" s="29" t="s">
        <v>63</v>
      </c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31">
        <f t="shared" si="202"/>
        <v>0</v>
      </c>
      <c r="AI107" s="7"/>
      <c r="AJ107" s="30">
        <v>4.0</v>
      </c>
      <c r="AK107" s="32" t="s">
        <v>63</v>
      </c>
      <c r="AL107" s="41" t="str">
        <f t="shared" si="203"/>
        <v/>
      </c>
      <c r="AM107" s="30">
        <f t="shared" si="206"/>
        <v>0</v>
      </c>
      <c r="AN107" s="30">
        <f t="shared" ref="AN107:BP107" si="208">SUM($C107:E107)</f>
        <v>0</v>
      </c>
      <c r="AO107" s="30">
        <f t="shared" si="208"/>
        <v>0</v>
      </c>
      <c r="AP107" s="30">
        <f t="shared" si="208"/>
        <v>0</v>
      </c>
      <c r="AQ107" s="30">
        <f t="shared" si="208"/>
        <v>0</v>
      </c>
      <c r="AR107" s="30">
        <f t="shared" si="208"/>
        <v>0</v>
      </c>
      <c r="AS107" s="30">
        <f t="shared" si="208"/>
        <v>0</v>
      </c>
      <c r="AT107" s="30">
        <f t="shared" si="208"/>
        <v>0</v>
      </c>
      <c r="AU107" s="30">
        <f t="shared" si="208"/>
        <v>0</v>
      </c>
      <c r="AV107" s="30">
        <f t="shared" si="208"/>
        <v>0</v>
      </c>
      <c r="AW107" s="30">
        <f t="shared" si="208"/>
        <v>0</v>
      </c>
      <c r="AX107" s="30">
        <f t="shared" si="208"/>
        <v>0</v>
      </c>
      <c r="AY107" s="30">
        <f t="shared" si="208"/>
        <v>0</v>
      </c>
      <c r="AZ107" s="30">
        <f t="shared" si="208"/>
        <v>0</v>
      </c>
      <c r="BA107" s="30">
        <f t="shared" si="208"/>
        <v>0</v>
      </c>
      <c r="BB107" s="30">
        <f t="shared" si="208"/>
        <v>0</v>
      </c>
      <c r="BC107" s="30">
        <f t="shared" si="208"/>
        <v>0</v>
      </c>
      <c r="BD107" s="30">
        <f t="shared" si="208"/>
        <v>0</v>
      </c>
      <c r="BE107" s="30">
        <f t="shared" si="208"/>
        <v>0</v>
      </c>
      <c r="BF107" s="30">
        <f t="shared" si="208"/>
        <v>0</v>
      </c>
      <c r="BG107" s="30">
        <f t="shared" si="208"/>
        <v>0</v>
      </c>
      <c r="BH107" s="30">
        <f t="shared" si="208"/>
        <v>0</v>
      </c>
      <c r="BI107" s="30">
        <f t="shared" si="208"/>
        <v>0</v>
      </c>
      <c r="BJ107" s="30">
        <f t="shared" si="208"/>
        <v>0</v>
      </c>
      <c r="BK107" s="30">
        <f t="shared" si="208"/>
        <v>0</v>
      </c>
      <c r="BL107" s="30">
        <f t="shared" si="208"/>
        <v>0</v>
      </c>
      <c r="BM107" s="30">
        <f t="shared" si="208"/>
        <v>0</v>
      </c>
      <c r="BN107" s="30">
        <f t="shared" si="208"/>
        <v>0</v>
      </c>
      <c r="BO107" s="30">
        <f t="shared" si="208"/>
        <v>0</v>
      </c>
      <c r="BP107" s="30">
        <f t="shared" si="208"/>
        <v>0</v>
      </c>
      <c r="BQ107" s="31">
        <f t="shared" si="205"/>
        <v>0</v>
      </c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</row>
    <row r="108">
      <c r="A108" s="28">
        <v>5.0</v>
      </c>
      <c r="B108" s="29" t="s">
        <v>64</v>
      </c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31">
        <f t="shared" si="202"/>
        <v>0</v>
      </c>
      <c r="AI108" s="7"/>
      <c r="AJ108" s="30">
        <v>5.0</v>
      </c>
      <c r="AK108" s="32" t="s">
        <v>64</v>
      </c>
      <c r="AL108" s="41" t="str">
        <f t="shared" si="203"/>
        <v/>
      </c>
      <c r="AM108" s="30">
        <f t="shared" si="206"/>
        <v>0</v>
      </c>
      <c r="AN108" s="30">
        <f t="shared" ref="AN108:BP108" si="209">SUM($C108:E108)</f>
        <v>0</v>
      </c>
      <c r="AO108" s="30">
        <f t="shared" si="209"/>
        <v>0</v>
      </c>
      <c r="AP108" s="30">
        <f t="shared" si="209"/>
        <v>0</v>
      </c>
      <c r="AQ108" s="30">
        <f t="shared" si="209"/>
        <v>0</v>
      </c>
      <c r="AR108" s="30">
        <f t="shared" si="209"/>
        <v>0</v>
      </c>
      <c r="AS108" s="30">
        <f t="shared" si="209"/>
        <v>0</v>
      </c>
      <c r="AT108" s="30">
        <f t="shared" si="209"/>
        <v>0</v>
      </c>
      <c r="AU108" s="30">
        <f t="shared" si="209"/>
        <v>0</v>
      </c>
      <c r="AV108" s="30">
        <f t="shared" si="209"/>
        <v>0</v>
      </c>
      <c r="AW108" s="30">
        <f t="shared" si="209"/>
        <v>0</v>
      </c>
      <c r="AX108" s="30">
        <f t="shared" si="209"/>
        <v>0</v>
      </c>
      <c r="AY108" s="30">
        <f t="shared" si="209"/>
        <v>0</v>
      </c>
      <c r="AZ108" s="30">
        <f t="shared" si="209"/>
        <v>0</v>
      </c>
      <c r="BA108" s="30">
        <f t="shared" si="209"/>
        <v>0</v>
      </c>
      <c r="BB108" s="30">
        <f t="shared" si="209"/>
        <v>0</v>
      </c>
      <c r="BC108" s="30">
        <f t="shared" si="209"/>
        <v>0</v>
      </c>
      <c r="BD108" s="30">
        <f t="shared" si="209"/>
        <v>0</v>
      </c>
      <c r="BE108" s="30">
        <f t="shared" si="209"/>
        <v>0</v>
      </c>
      <c r="BF108" s="30">
        <f t="shared" si="209"/>
        <v>0</v>
      </c>
      <c r="BG108" s="30">
        <f t="shared" si="209"/>
        <v>0</v>
      </c>
      <c r="BH108" s="30">
        <f t="shared" si="209"/>
        <v>0</v>
      </c>
      <c r="BI108" s="30">
        <f t="shared" si="209"/>
        <v>0</v>
      </c>
      <c r="BJ108" s="30">
        <f t="shared" si="209"/>
        <v>0</v>
      </c>
      <c r="BK108" s="30">
        <f t="shared" si="209"/>
        <v>0</v>
      </c>
      <c r="BL108" s="30">
        <f t="shared" si="209"/>
        <v>0</v>
      </c>
      <c r="BM108" s="30">
        <f t="shared" si="209"/>
        <v>0</v>
      </c>
      <c r="BN108" s="30">
        <f t="shared" si="209"/>
        <v>0</v>
      </c>
      <c r="BO108" s="30">
        <f t="shared" si="209"/>
        <v>0</v>
      </c>
      <c r="BP108" s="30">
        <f t="shared" si="209"/>
        <v>0</v>
      </c>
      <c r="BQ108" s="31">
        <f t="shared" si="205"/>
        <v>0</v>
      </c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</row>
    <row r="109">
      <c r="A109" s="28">
        <v>6.0</v>
      </c>
      <c r="B109" s="29" t="s">
        <v>66</v>
      </c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31">
        <f t="shared" si="202"/>
        <v>0</v>
      </c>
      <c r="AI109" s="7"/>
      <c r="AJ109" s="30">
        <v>6.0</v>
      </c>
      <c r="AK109" s="32" t="s">
        <v>66</v>
      </c>
      <c r="AL109" s="41" t="str">
        <f t="shared" si="203"/>
        <v/>
      </c>
      <c r="AM109" s="30">
        <f t="shared" si="206"/>
        <v>0</v>
      </c>
      <c r="AN109" s="30">
        <f t="shared" ref="AN109:BP109" si="210">SUM($C109:E109)</f>
        <v>0</v>
      </c>
      <c r="AO109" s="30">
        <f t="shared" si="210"/>
        <v>0</v>
      </c>
      <c r="AP109" s="30">
        <f t="shared" si="210"/>
        <v>0</v>
      </c>
      <c r="AQ109" s="30">
        <f t="shared" si="210"/>
        <v>0</v>
      </c>
      <c r="AR109" s="30">
        <f t="shared" si="210"/>
        <v>0</v>
      </c>
      <c r="AS109" s="30">
        <f t="shared" si="210"/>
        <v>0</v>
      </c>
      <c r="AT109" s="30">
        <f t="shared" si="210"/>
        <v>0</v>
      </c>
      <c r="AU109" s="30">
        <f t="shared" si="210"/>
        <v>0</v>
      </c>
      <c r="AV109" s="30">
        <f t="shared" si="210"/>
        <v>0</v>
      </c>
      <c r="AW109" s="30">
        <f t="shared" si="210"/>
        <v>0</v>
      </c>
      <c r="AX109" s="30">
        <f t="shared" si="210"/>
        <v>0</v>
      </c>
      <c r="AY109" s="30">
        <f t="shared" si="210"/>
        <v>0</v>
      </c>
      <c r="AZ109" s="30">
        <f t="shared" si="210"/>
        <v>0</v>
      </c>
      <c r="BA109" s="30">
        <f t="shared" si="210"/>
        <v>0</v>
      </c>
      <c r="BB109" s="30">
        <f t="shared" si="210"/>
        <v>0</v>
      </c>
      <c r="BC109" s="30">
        <f t="shared" si="210"/>
        <v>0</v>
      </c>
      <c r="BD109" s="30">
        <f t="shared" si="210"/>
        <v>0</v>
      </c>
      <c r="BE109" s="30">
        <f t="shared" si="210"/>
        <v>0</v>
      </c>
      <c r="BF109" s="30">
        <f t="shared" si="210"/>
        <v>0</v>
      </c>
      <c r="BG109" s="30">
        <f t="shared" si="210"/>
        <v>0</v>
      </c>
      <c r="BH109" s="30">
        <f t="shared" si="210"/>
        <v>0</v>
      </c>
      <c r="BI109" s="30">
        <f t="shared" si="210"/>
        <v>0</v>
      </c>
      <c r="BJ109" s="30">
        <f t="shared" si="210"/>
        <v>0</v>
      </c>
      <c r="BK109" s="30">
        <f t="shared" si="210"/>
        <v>0</v>
      </c>
      <c r="BL109" s="30">
        <f t="shared" si="210"/>
        <v>0</v>
      </c>
      <c r="BM109" s="30">
        <f t="shared" si="210"/>
        <v>0</v>
      </c>
      <c r="BN109" s="30">
        <f t="shared" si="210"/>
        <v>0</v>
      </c>
      <c r="BO109" s="30">
        <f t="shared" si="210"/>
        <v>0</v>
      </c>
      <c r="BP109" s="30">
        <f t="shared" si="210"/>
        <v>0</v>
      </c>
      <c r="BQ109" s="31">
        <f t="shared" si="205"/>
        <v>0</v>
      </c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</row>
    <row r="110">
      <c r="A110" s="28">
        <v>7.0</v>
      </c>
      <c r="B110" s="29" t="s">
        <v>67</v>
      </c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31">
        <f t="shared" si="202"/>
        <v>0</v>
      </c>
      <c r="AI110" s="7"/>
      <c r="AJ110" s="30">
        <v>7.0</v>
      </c>
      <c r="AK110" s="32" t="s">
        <v>67</v>
      </c>
      <c r="AL110" s="41" t="str">
        <f t="shared" si="203"/>
        <v/>
      </c>
      <c r="AM110" s="30">
        <f t="shared" si="206"/>
        <v>0</v>
      </c>
      <c r="AN110" s="30">
        <f t="shared" ref="AN110:BP110" si="211">SUM($C110:E110)</f>
        <v>0</v>
      </c>
      <c r="AO110" s="30">
        <f t="shared" si="211"/>
        <v>0</v>
      </c>
      <c r="AP110" s="30">
        <f t="shared" si="211"/>
        <v>0</v>
      </c>
      <c r="AQ110" s="30">
        <f t="shared" si="211"/>
        <v>0</v>
      </c>
      <c r="AR110" s="30">
        <f t="shared" si="211"/>
        <v>0</v>
      </c>
      <c r="AS110" s="30">
        <f t="shared" si="211"/>
        <v>0</v>
      </c>
      <c r="AT110" s="30">
        <f t="shared" si="211"/>
        <v>0</v>
      </c>
      <c r="AU110" s="30">
        <f t="shared" si="211"/>
        <v>0</v>
      </c>
      <c r="AV110" s="30">
        <f t="shared" si="211"/>
        <v>0</v>
      </c>
      <c r="AW110" s="30">
        <f t="shared" si="211"/>
        <v>0</v>
      </c>
      <c r="AX110" s="30">
        <f t="shared" si="211"/>
        <v>0</v>
      </c>
      <c r="AY110" s="30">
        <f t="shared" si="211"/>
        <v>0</v>
      </c>
      <c r="AZ110" s="30">
        <f t="shared" si="211"/>
        <v>0</v>
      </c>
      <c r="BA110" s="30">
        <f t="shared" si="211"/>
        <v>0</v>
      </c>
      <c r="BB110" s="30">
        <f t="shared" si="211"/>
        <v>0</v>
      </c>
      <c r="BC110" s="30">
        <f t="shared" si="211"/>
        <v>0</v>
      </c>
      <c r="BD110" s="30">
        <f t="shared" si="211"/>
        <v>0</v>
      </c>
      <c r="BE110" s="30">
        <f t="shared" si="211"/>
        <v>0</v>
      </c>
      <c r="BF110" s="30">
        <f t="shared" si="211"/>
        <v>0</v>
      </c>
      <c r="BG110" s="30">
        <f t="shared" si="211"/>
        <v>0</v>
      </c>
      <c r="BH110" s="30">
        <f t="shared" si="211"/>
        <v>0</v>
      </c>
      <c r="BI110" s="30">
        <f t="shared" si="211"/>
        <v>0</v>
      </c>
      <c r="BJ110" s="30">
        <f t="shared" si="211"/>
        <v>0</v>
      </c>
      <c r="BK110" s="30">
        <f t="shared" si="211"/>
        <v>0</v>
      </c>
      <c r="BL110" s="30">
        <f t="shared" si="211"/>
        <v>0</v>
      </c>
      <c r="BM110" s="30">
        <f t="shared" si="211"/>
        <v>0</v>
      </c>
      <c r="BN110" s="30">
        <f t="shared" si="211"/>
        <v>0</v>
      </c>
      <c r="BO110" s="30">
        <f t="shared" si="211"/>
        <v>0</v>
      </c>
      <c r="BP110" s="30">
        <f t="shared" si="211"/>
        <v>0</v>
      </c>
      <c r="BQ110" s="31">
        <f t="shared" si="205"/>
        <v>0</v>
      </c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</row>
    <row r="111">
      <c r="A111" s="28">
        <v>8.0</v>
      </c>
      <c r="B111" s="29" t="s">
        <v>68</v>
      </c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31">
        <f t="shared" si="202"/>
        <v>0</v>
      </c>
      <c r="AI111" s="7"/>
      <c r="AJ111" s="30">
        <v>8.0</v>
      </c>
      <c r="AK111" s="32" t="s">
        <v>68</v>
      </c>
      <c r="AL111" s="41" t="str">
        <f t="shared" si="203"/>
        <v/>
      </c>
      <c r="AM111" s="30">
        <f t="shared" si="206"/>
        <v>0</v>
      </c>
      <c r="AN111" s="30">
        <f t="shared" ref="AN111:BP111" si="212">SUM($C111:E111)</f>
        <v>0</v>
      </c>
      <c r="AO111" s="30">
        <f t="shared" si="212"/>
        <v>0</v>
      </c>
      <c r="AP111" s="30">
        <f t="shared" si="212"/>
        <v>0</v>
      </c>
      <c r="AQ111" s="30">
        <f t="shared" si="212"/>
        <v>0</v>
      </c>
      <c r="AR111" s="30">
        <f t="shared" si="212"/>
        <v>0</v>
      </c>
      <c r="AS111" s="30">
        <f t="shared" si="212"/>
        <v>0</v>
      </c>
      <c r="AT111" s="30">
        <f t="shared" si="212"/>
        <v>0</v>
      </c>
      <c r="AU111" s="30">
        <f t="shared" si="212"/>
        <v>0</v>
      </c>
      <c r="AV111" s="30">
        <f t="shared" si="212"/>
        <v>0</v>
      </c>
      <c r="AW111" s="30">
        <f t="shared" si="212"/>
        <v>0</v>
      </c>
      <c r="AX111" s="30">
        <f t="shared" si="212"/>
        <v>0</v>
      </c>
      <c r="AY111" s="30">
        <f t="shared" si="212"/>
        <v>0</v>
      </c>
      <c r="AZ111" s="30">
        <f t="shared" si="212"/>
        <v>0</v>
      </c>
      <c r="BA111" s="30">
        <f t="shared" si="212"/>
        <v>0</v>
      </c>
      <c r="BB111" s="30">
        <f t="shared" si="212"/>
        <v>0</v>
      </c>
      <c r="BC111" s="30">
        <f t="shared" si="212"/>
        <v>0</v>
      </c>
      <c r="BD111" s="30">
        <f t="shared" si="212"/>
        <v>0</v>
      </c>
      <c r="BE111" s="30">
        <f t="shared" si="212"/>
        <v>0</v>
      </c>
      <c r="BF111" s="30">
        <f t="shared" si="212"/>
        <v>0</v>
      </c>
      <c r="BG111" s="30">
        <f t="shared" si="212"/>
        <v>0</v>
      </c>
      <c r="BH111" s="30">
        <f t="shared" si="212"/>
        <v>0</v>
      </c>
      <c r="BI111" s="30">
        <f t="shared" si="212"/>
        <v>0</v>
      </c>
      <c r="BJ111" s="30">
        <f t="shared" si="212"/>
        <v>0</v>
      </c>
      <c r="BK111" s="30">
        <f t="shared" si="212"/>
        <v>0</v>
      </c>
      <c r="BL111" s="30">
        <f t="shared" si="212"/>
        <v>0</v>
      </c>
      <c r="BM111" s="30">
        <f t="shared" si="212"/>
        <v>0</v>
      </c>
      <c r="BN111" s="30">
        <f t="shared" si="212"/>
        <v>0</v>
      </c>
      <c r="BO111" s="30">
        <f t="shared" si="212"/>
        <v>0</v>
      </c>
      <c r="BP111" s="30">
        <f t="shared" si="212"/>
        <v>0</v>
      </c>
      <c r="BQ111" s="31">
        <f t="shared" si="205"/>
        <v>0</v>
      </c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</row>
    <row r="112">
      <c r="A112" s="50"/>
      <c r="B112" s="51" t="s">
        <v>69</v>
      </c>
      <c r="C112" s="49">
        <f t="shared" ref="C112:AG112" si="213">SUM(C104:C111)</f>
        <v>0</v>
      </c>
      <c r="D112" s="49">
        <f t="shared" si="213"/>
        <v>0</v>
      </c>
      <c r="E112" s="49">
        <f t="shared" si="213"/>
        <v>0</v>
      </c>
      <c r="F112" s="49">
        <f t="shared" si="213"/>
        <v>0</v>
      </c>
      <c r="G112" s="49">
        <f t="shared" si="213"/>
        <v>0</v>
      </c>
      <c r="H112" s="49">
        <f t="shared" si="213"/>
        <v>0</v>
      </c>
      <c r="I112" s="49">
        <f t="shared" si="213"/>
        <v>0</v>
      </c>
      <c r="J112" s="49">
        <f t="shared" si="213"/>
        <v>0</v>
      </c>
      <c r="K112" s="49">
        <f t="shared" si="213"/>
        <v>0</v>
      </c>
      <c r="L112" s="49">
        <f t="shared" si="213"/>
        <v>0</v>
      </c>
      <c r="M112" s="49">
        <f t="shared" si="213"/>
        <v>0</v>
      </c>
      <c r="N112" s="49">
        <f t="shared" si="213"/>
        <v>0</v>
      </c>
      <c r="O112" s="49">
        <f t="shared" si="213"/>
        <v>0</v>
      </c>
      <c r="P112" s="49">
        <f t="shared" si="213"/>
        <v>0</v>
      </c>
      <c r="Q112" s="49">
        <f t="shared" si="213"/>
        <v>0</v>
      </c>
      <c r="R112" s="49">
        <f t="shared" si="213"/>
        <v>0</v>
      </c>
      <c r="S112" s="49">
        <f t="shared" si="213"/>
        <v>0</v>
      </c>
      <c r="T112" s="49">
        <f t="shared" si="213"/>
        <v>0</v>
      </c>
      <c r="U112" s="49">
        <f t="shared" si="213"/>
        <v>0</v>
      </c>
      <c r="V112" s="49">
        <f t="shared" si="213"/>
        <v>0</v>
      </c>
      <c r="W112" s="49">
        <f t="shared" si="213"/>
        <v>0</v>
      </c>
      <c r="X112" s="49">
        <f t="shared" si="213"/>
        <v>0</v>
      </c>
      <c r="Y112" s="49">
        <f t="shared" si="213"/>
        <v>0</v>
      </c>
      <c r="Z112" s="49">
        <f t="shared" si="213"/>
        <v>0</v>
      </c>
      <c r="AA112" s="49">
        <f t="shared" si="213"/>
        <v>0</v>
      </c>
      <c r="AB112" s="49">
        <f t="shared" si="213"/>
        <v>0</v>
      </c>
      <c r="AC112" s="49">
        <f t="shared" si="213"/>
        <v>0</v>
      </c>
      <c r="AD112" s="49">
        <f t="shared" si="213"/>
        <v>0</v>
      </c>
      <c r="AE112" s="49">
        <f t="shared" si="213"/>
        <v>0</v>
      </c>
      <c r="AF112" s="49">
        <f t="shared" si="213"/>
        <v>0</v>
      </c>
      <c r="AG112" s="49">
        <f t="shared" si="213"/>
        <v>0</v>
      </c>
      <c r="AH112" s="49">
        <f t="shared" si="202"/>
        <v>0</v>
      </c>
      <c r="AI112" s="7"/>
      <c r="AJ112" s="45"/>
      <c r="AK112" s="46" t="s">
        <v>69</v>
      </c>
      <c r="AL112" s="47">
        <f t="shared" si="203"/>
        <v>0</v>
      </c>
      <c r="AM112" s="47">
        <f t="shared" si="206"/>
        <v>0</v>
      </c>
      <c r="AN112" s="47">
        <f t="shared" ref="AN112:BP112" si="214">SUM($C112:E112)</f>
        <v>0</v>
      </c>
      <c r="AO112" s="47">
        <f t="shared" si="214"/>
        <v>0</v>
      </c>
      <c r="AP112" s="47">
        <f t="shared" si="214"/>
        <v>0</v>
      </c>
      <c r="AQ112" s="47">
        <f t="shared" si="214"/>
        <v>0</v>
      </c>
      <c r="AR112" s="47">
        <f t="shared" si="214"/>
        <v>0</v>
      </c>
      <c r="AS112" s="47">
        <f t="shared" si="214"/>
        <v>0</v>
      </c>
      <c r="AT112" s="47">
        <f t="shared" si="214"/>
        <v>0</v>
      </c>
      <c r="AU112" s="47">
        <f t="shared" si="214"/>
        <v>0</v>
      </c>
      <c r="AV112" s="47">
        <f t="shared" si="214"/>
        <v>0</v>
      </c>
      <c r="AW112" s="47">
        <f t="shared" si="214"/>
        <v>0</v>
      </c>
      <c r="AX112" s="47">
        <f t="shared" si="214"/>
        <v>0</v>
      </c>
      <c r="AY112" s="47">
        <f t="shared" si="214"/>
        <v>0</v>
      </c>
      <c r="AZ112" s="47">
        <f t="shared" si="214"/>
        <v>0</v>
      </c>
      <c r="BA112" s="47">
        <f t="shared" si="214"/>
        <v>0</v>
      </c>
      <c r="BB112" s="47">
        <f t="shared" si="214"/>
        <v>0</v>
      </c>
      <c r="BC112" s="47">
        <f t="shared" si="214"/>
        <v>0</v>
      </c>
      <c r="BD112" s="47">
        <f t="shared" si="214"/>
        <v>0</v>
      </c>
      <c r="BE112" s="47">
        <f t="shared" si="214"/>
        <v>0</v>
      </c>
      <c r="BF112" s="47">
        <f t="shared" si="214"/>
        <v>0</v>
      </c>
      <c r="BG112" s="47">
        <f t="shared" si="214"/>
        <v>0</v>
      </c>
      <c r="BH112" s="47">
        <f t="shared" si="214"/>
        <v>0</v>
      </c>
      <c r="BI112" s="47">
        <f t="shared" si="214"/>
        <v>0</v>
      </c>
      <c r="BJ112" s="47">
        <f t="shared" si="214"/>
        <v>0</v>
      </c>
      <c r="BK112" s="47">
        <f t="shared" si="214"/>
        <v>0</v>
      </c>
      <c r="BL112" s="47">
        <f t="shared" si="214"/>
        <v>0</v>
      </c>
      <c r="BM112" s="47">
        <f t="shared" si="214"/>
        <v>0</v>
      </c>
      <c r="BN112" s="47">
        <f t="shared" si="214"/>
        <v>0</v>
      </c>
      <c r="BO112" s="47">
        <f t="shared" si="214"/>
        <v>0</v>
      </c>
      <c r="BP112" s="47">
        <f t="shared" si="214"/>
        <v>0</v>
      </c>
      <c r="BQ112" s="49">
        <f t="shared" si="205"/>
        <v>0</v>
      </c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</row>
    <row r="114">
      <c r="A114" s="8" t="s">
        <v>35</v>
      </c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</row>
    <row r="115">
      <c r="A115" s="9" t="str">
        <f>TEXT(C117,"MMMM YYYY")</f>
        <v>September 2026</v>
      </c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11" t="s">
        <v>86</v>
      </c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</row>
    <row r="117" ht="42.75" customHeight="1">
      <c r="A117" s="14" t="s">
        <v>41</v>
      </c>
      <c r="B117" s="14" t="s">
        <v>42</v>
      </c>
      <c r="C117" s="15">
        <v>46266.0</v>
      </c>
      <c r="D117" s="15">
        <v>46267.0</v>
      </c>
      <c r="E117" s="15">
        <v>46268.0</v>
      </c>
      <c r="F117" s="15">
        <v>46269.0</v>
      </c>
      <c r="G117" s="15">
        <v>46270.0</v>
      </c>
      <c r="H117" s="15">
        <v>46271.0</v>
      </c>
      <c r="I117" s="15">
        <v>46272.0</v>
      </c>
      <c r="J117" s="15">
        <v>46273.0</v>
      </c>
      <c r="K117" s="15">
        <v>46274.0</v>
      </c>
      <c r="L117" s="15">
        <v>46275.0</v>
      </c>
      <c r="M117" s="15">
        <v>46276.0</v>
      </c>
      <c r="N117" s="15">
        <v>46277.0</v>
      </c>
      <c r="O117" s="15">
        <v>46278.0</v>
      </c>
      <c r="P117" s="15">
        <v>46279.0</v>
      </c>
      <c r="Q117" s="15">
        <v>46280.0</v>
      </c>
      <c r="R117" s="15">
        <v>46281.0</v>
      </c>
      <c r="S117" s="15">
        <v>46282.0</v>
      </c>
      <c r="T117" s="15">
        <v>46283.0</v>
      </c>
      <c r="U117" s="15">
        <v>46284.0</v>
      </c>
      <c r="V117" s="15">
        <v>46285.0</v>
      </c>
      <c r="W117" s="15">
        <v>46286.0</v>
      </c>
      <c r="X117" s="15">
        <v>46287.0</v>
      </c>
      <c r="Y117" s="15">
        <v>46288.0</v>
      </c>
      <c r="Z117" s="15">
        <v>46289.0</v>
      </c>
      <c r="AA117" s="15">
        <v>46290.0</v>
      </c>
      <c r="AB117" s="15">
        <v>46291.0</v>
      </c>
      <c r="AC117" s="15">
        <v>46292.0</v>
      </c>
      <c r="AD117" s="15">
        <v>46293.0</v>
      </c>
      <c r="AE117" s="15">
        <v>46294.0</v>
      </c>
      <c r="AF117" s="15">
        <v>46295.0</v>
      </c>
      <c r="AG117" s="65"/>
      <c r="AH117" s="16" t="s">
        <v>43</v>
      </c>
      <c r="AI117" s="17"/>
      <c r="AJ117" s="18" t="s">
        <v>41</v>
      </c>
      <c r="AK117" s="18" t="s">
        <v>42</v>
      </c>
      <c r="AL117" s="66">
        <v>46266.0</v>
      </c>
      <c r="AM117" s="66">
        <v>46267.0</v>
      </c>
      <c r="AN117" s="66">
        <v>46268.0</v>
      </c>
      <c r="AO117" s="66">
        <v>46269.0</v>
      </c>
      <c r="AP117" s="66">
        <v>46270.0</v>
      </c>
      <c r="AQ117" s="66">
        <v>46271.0</v>
      </c>
      <c r="AR117" s="66">
        <v>46272.0</v>
      </c>
      <c r="AS117" s="66">
        <v>46273.0</v>
      </c>
      <c r="AT117" s="66">
        <v>46274.0</v>
      </c>
      <c r="AU117" s="66">
        <v>46275.0</v>
      </c>
      <c r="AV117" s="66">
        <v>46276.0</v>
      </c>
      <c r="AW117" s="66">
        <v>46277.0</v>
      </c>
      <c r="AX117" s="66">
        <v>46278.0</v>
      </c>
      <c r="AY117" s="66">
        <v>46279.0</v>
      </c>
      <c r="AZ117" s="66">
        <v>46280.0</v>
      </c>
      <c r="BA117" s="66">
        <v>46281.0</v>
      </c>
      <c r="BB117" s="66">
        <v>46282.0</v>
      </c>
      <c r="BC117" s="66">
        <v>46283.0</v>
      </c>
      <c r="BD117" s="66">
        <v>46284.0</v>
      </c>
      <c r="BE117" s="66">
        <v>46285.0</v>
      </c>
      <c r="BF117" s="66">
        <v>46286.0</v>
      </c>
      <c r="BG117" s="66">
        <v>46287.0</v>
      </c>
      <c r="BH117" s="66">
        <v>46288.0</v>
      </c>
      <c r="BI117" s="66">
        <v>46289.0</v>
      </c>
      <c r="BJ117" s="66">
        <v>46290.0</v>
      </c>
      <c r="BK117" s="66">
        <v>46291.0</v>
      </c>
      <c r="BL117" s="66">
        <v>46292.0</v>
      </c>
      <c r="BM117" s="66">
        <v>46293.0</v>
      </c>
      <c r="BN117" s="66">
        <v>46294.0</v>
      </c>
      <c r="BO117" s="66">
        <v>46295.0</v>
      </c>
      <c r="BP117" s="67"/>
      <c r="BQ117" s="18" t="s">
        <v>43</v>
      </c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</row>
    <row r="118">
      <c r="A118" s="28">
        <v>1.0</v>
      </c>
      <c r="B118" s="29" t="s">
        <v>60</v>
      </c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31">
        <f t="shared" ref="AH118:AH126" si="216">SUBTOTAL(9,C118:AG118)</f>
        <v>0</v>
      </c>
      <c r="AI118" s="7"/>
      <c r="AJ118" s="30">
        <v>1.0</v>
      </c>
      <c r="AK118" s="32" t="s">
        <v>60</v>
      </c>
      <c r="AL118" s="41" t="str">
        <f t="shared" ref="AL118:AL126" si="217">C118</f>
        <v/>
      </c>
      <c r="AM118" s="30">
        <f t="shared" ref="AM118:BO118" si="215">SUM($C118:D118)</f>
        <v>0</v>
      </c>
      <c r="AN118" s="30">
        <f t="shared" si="215"/>
        <v>0</v>
      </c>
      <c r="AO118" s="30">
        <f t="shared" si="215"/>
        <v>0</v>
      </c>
      <c r="AP118" s="30">
        <f t="shared" si="215"/>
        <v>0</v>
      </c>
      <c r="AQ118" s="30">
        <f t="shared" si="215"/>
        <v>0</v>
      </c>
      <c r="AR118" s="30">
        <f t="shared" si="215"/>
        <v>0</v>
      </c>
      <c r="AS118" s="30">
        <f t="shared" si="215"/>
        <v>0</v>
      </c>
      <c r="AT118" s="30">
        <f t="shared" si="215"/>
        <v>0</v>
      </c>
      <c r="AU118" s="30">
        <f t="shared" si="215"/>
        <v>0</v>
      </c>
      <c r="AV118" s="30">
        <f t="shared" si="215"/>
        <v>0</v>
      </c>
      <c r="AW118" s="30">
        <f t="shared" si="215"/>
        <v>0</v>
      </c>
      <c r="AX118" s="30">
        <f t="shared" si="215"/>
        <v>0</v>
      </c>
      <c r="AY118" s="30">
        <f t="shared" si="215"/>
        <v>0</v>
      </c>
      <c r="AZ118" s="30">
        <f t="shared" si="215"/>
        <v>0</v>
      </c>
      <c r="BA118" s="30">
        <f t="shared" si="215"/>
        <v>0</v>
      </c>
      <c r="BB118" s="30">
        <f t="shared" si="215"/>
        <v>0</v>
      </c>
      <c r="BC118" s="30">
        <f t="shared" si="215"/>
        <v>0</v>
      </c>
      <c r="BD118" s="30">
        <f t="shared" si="215"/>
        <v>0</v>
      </c>
      <c r="BE118" s="30">
        <f t="shared" si="215"/>
        <v>0</v>
      </c>
      <c r="BF118" s="30">
        <f t="shared" si="215"/>
        <v>0</v>
      </c>
      <c r="BG118" s="30">
        <f t="shared" si="215"/>
        <v>0</v>
      </c>
      <c r="BH118" s="30">
        <f t="shared" si="215"/>
        <v>0</v>
      </c>
      <c r="BI118" s="30">
        <f t="shared" si="215"/>
        <v>0</v>
      </c>
      <c r="BJ118" s="30">
        <f t="shared" si="215"/>
        <v>0</v>
      </c>
      <c r="BK118" s="30">
        <f t="shared" si="215"/>
        <v>0</v>
      </c>
      <c r="BL118" s="30">
        <f t="shared" si="215"/>
        <v>0</v>
      </c>
      <c r="BM118" s="30">
        <f t="shared" si="215"/>
        <v>0</v>
      </c>
      <c r="BN118" s="30">
        <f t="shared" si="215"/>
        <v>0</v>
      </c>
      <c r="BO118" s="30">
        <f t="shared" si="215"/>
        <v>0</v>
      </c>
      <c r="BP118" s="41"/>
      <c r="BQ118" s="85" t="str">
        <f t="shared" ref="BQ118:BQ126" si="219">BP118</f>
        <v/>
      </c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</row>
    <row r="119">
      <c r="A119" s="28">
        <v>2.0</v>
      </c>
      <c r="B119" s="29" t="s">
        <v>61</v>
      </c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31">
        <f t="shared" si="216"/>
        <v>0</v>
      </c>
      <c r="AI119" s="7"/>
      <c r="AJ119" s="30">
        <v>2.0</v>
      </c>
      <c r="AK119" s="32" t="s">
        <v>61</v>
      </c>
      <c r="AL119" s="41" t="str">
        <f t="shared" si="217"/>
        <v/>
      </c>
      <c r="AM119" s="30">
        <f t="shared" ref="AM119:AM126" si="220">SUM(C119:D119)</f>
        <v>0</v>
      </c>
      <c r="AN119" s="30">
        <f t="shared" ref="AN119:BO119" si="218">SUM($C119:E119)</f>
        <v>0</v>
      </c>
      <c r="AO119" s="30">
        <f t="shared" si="218"/>
        <v>0</v>
      </c>
      <c r="AP119" s="30">
        <f t="shared" si="218"/>
        <v>0</v>
      </c>
      <c r="AQ119" s="30">
        <f t="shared" si="218"/>
        <v>0</v>
      </c>
      <c r="AR119" s="30">
        <f t="shared" si="218"/>
        <v>0</v>
      </c>
      <c r="AS119" s="30">
        <f t="shared" si="218"/>
        <v>0</v>
      </c>
      <c r="AT119" s="30">
        <f t="shared" si="218"/>
        <v>0</v>
      </c>
      <c r="AU119" s="30">
        <f t="shared" si="218"/>
        <v>0</v>
      </c>
      <c r="AV119" s="30">
        <f t="shared" si="218"/>
        <v>0</v>
      </c>
      <c r="AW119" s="30">
        <f t="shared" si="218"/>
        <v>0</v>
      </c>
      <c r="AX119" s="30">
        <f t="shared" si="218"/>
        <v>0</v>
      </c>
      <c r="AY119" s="30">
        <f t="shared" si="218"/>
        <v>0</v>
      </c>
      <c r="AZ119" s="30">
        <f t="shared" si="218"/>
        <v>0</v>
      </c>
      <c r="BA119" s="30">
        <f t="shared" si="218"/>
        <v>0</v>
      </c>
      <c r="BB119" s="30">
        <f t="shared" si="218"/>
        <v>0</v>
      </c>
      <c r="BC119" s="30">
        <f t="shared" si="218"/>
        <v>0</v>
      </c>
      <c r="BD119" s="30">
        <f t="shared" si="218"/>
        <v>0</v>
      </c>
      <c r="BE119" s="30">
        <f t="shared" si="218"/>
        <v>0</v>
      </c>
      <c r="BF119" s="30">
        <f t="shared" si="218"/>
        <v>0</v>
      </c>
      <c r="BG119" s="30">
        <f t="shared" si="218"/>
        <v>0</v>
      </c>
      <c r="BH119" s="30">
        <f t="shared" si="218"/>
        <v>0</v>
      </c>
      <c r="BI119" s="30">
        <f t="shared" si="218"/>
        <v>0</v>
      </c>
      <c r="BJ119" s="30">
        <f t="shared" si="218"/>
        <v>0</v>
      </c>
      <c r="BK119" s="30">
        <f t="shared" si="218"/>
        <v>0</v>
      </c>
      <c r="BL119" s="30">
        <f t="shared" si="218"/>
        <v>0</v>
      </c>
      <c r="BM119" s="30">
        <f t="shared" si="218"/>
        <v>0</v>
      </c>
      <c r="BN119" s="30">
        <f t="shared" si="218"/>
        <v>0</v>
      </c>
      <c r="BO119" s="30">
        <f t="shared" si="218"/>
        <v>0</v>
      </c>
      <c r="BP119" s="41"/>
      <c r="BQ119" s="85" t="str">
        <f t="shared" si="219"/>
        <v/>
      </c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</row>
    <row r="120">
      <c r="A120" s="28">
        <v>3.0</v>
      </c>
      <c r="B120" s="29" t="s">
        <v>62</v>
      </c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31">
        <f t="shared" si="216"/>
        <v>0</v>
      </c>
      <c r="AI120" s="7"/>
      <c r="AJ120" s="30">
        <v>3.0</v>
      </c>
      <c r="AK120" s="32" t="s">
        <v>62</v>
      </c>
      <c r="AL120" s="41" t="str">
        <f t="shared" si="217"/>
        <v/>
      </c>
      <c r="AM120" s="30">
        <f t="shared" si="220"/>
        <v>0</v>
      </c>
      <c r="AN120" s="30">
        <f t="shared" ref="AN120:BO120" si="221">SUM($C120:E120)</f>
        <v>0</v>
      </c>
      <c r="AO120" s="30">
        <f t="shared" si="221"/>
        <v>0</v>
      </c>
      <c r="AP120" s="30">
        <f t="shared" si="221"/>
        <v>0</v>
      </c>
      <c r="AQ120" s="30">
        <f t="shared" si="221"/>
        <v>0</v>
      </c>
      <c r="AR120" s="30">
        <f t="shared" si="221"/>
        <v>0</v>
      </c>
      <c r="AS120" s="30">
        <f t="shared" si="221"/>
        <v>0</v>
      </c>
      <c r="AT120" s="30">
        <f t="shared" si="221"/>
        <v>0</v>
      </c>
      <c r="AU120" s="30">
        <f t="shared" si="221"/>
        <v>0</v>
      </c>
      <c r="AV120" s="30">
        <f t="shared" si="221"/>
        <v>0</v>
      </c>
      <c r="AW120" s="30">
        <f t="shared" si="221"/>
        <v>0</v>
      </c>
      <c r="AX120" s="30">
        <f t="shared" si="221"/>
        <v>0</v>
      </c>
      <c r="AY120" s="30">
        <f t="shared" si="221"/>
        <v>0</v>
      </c>
      <c r="AZ120" s="30">
        <f t="shared" si="221"/>
        <v>0</v>
      </c>
      <c r="BA120" s="30">
        <f t="shared" si="221"/>
        <v>0</v>
      </c>
      <c r="BB120" s="30">
        <f t="shared" si="221"/>
        <v>0</v>
      </c>
      <c r="BC120" s="30">
        <f t="shared" si="221"/>
        <v>0</v>
      </c>
      <c r="BD120" s="30">
        <f t="shared" si="221"/>
        <v>0</v>
      </c>
      <c r="BE120" s="30">
        <f t="shared" si="221"/>
        <v>0</v>
      </c>
      <c r="BF120" s="30">
        <f t="shared" si="221"/>
        <v>0</v>
      </c>
      <c r="BG120" s="30">
        <f t="shared" si="221"/>
        <v>0</v>
      </c>
      <c r="BH120" s="30">
        <f t="shared" si="221"/>
        <v>0</v>
      </c>
      <c r="BI120" s="30">
        <f t="shared" si="221"/>
        <v>0</v>
      </c>
      <c r="BJ120" s="30">
        <f t="shared" si="221"/>
        <v>0</v>
      </c>
      <c r="BK120" s="30">
        <f t="shared" si="221"/>
        <v>0</v>
      </c>
      <c r="BL120" s="30">
        <f t="shared" si="221"/>
        <v>0</v>
      </c>
      <c r="BM120" s="30">
        <f t="shared" si="221"/>
        <v>0</v>
      </c>
      <c r="BN120" s="30">
        <f t="shared" si="221"/>
        <v>0</v>
      </c>
      <c r="BO120" s="30">
        <f t="shared" si="221"/>
        <v>0</v>
      </c>
      <c r="BP120" s="41"/>
      <c r="BQ120" s="85" t="str">
        <f t="shared" si="219"/>
        <v/>
      </c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</row>
    <row r="121">
      <c r="A121" s="28">
        <v>4.0</v>
      </c>
      <c r="B121" s="29" t="s">
        <v>63</v>
      </c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31">
        <f t="shared" si="216"/>
        <v>0</v>
      </c>
      <c r="AI121" s="7"/>
      <c r="AJ121" s="30">
        <v>4.0</v>
      </c>
      <c r="AK121" s="32" t="s">
        <v>63</v>
      </c>
      <c r="AL121" s="41" t="str">
        <f t="shared" si="217"/>
        <v/>
      </c>
      <c r="AM121" s="30">
        <f t="shared" si="220"/>
        <v>0</v>
      </c>
      <c r="AN121" s="30">
        <f t="shared" ref="AN121:BO121" si="222">SUM($C121:E121)</f>
        <v>0</v>
      </c>
      <c r="AO121" s="30">
        <f t="shared" si="222"/>
        <v>0</v>
      </c>
      <c r="AP121" s="30">
        <f t="shared" si="222"/>
        <v>0</v>
      </c>
      <c r="AQ121" s="30">
        <f t="shared" si="222"/>
        <v>0</v>
      </c>
      <c r="AR121" s="30">
        <f t="shared" si="222"/>
        <v>0</v>
      </c>
      <c r="AS121" s="30">
        <f t="shared" si="222"/>
        <v>0</v>
      </c>
      <c r="AT121" s="30">
        <f t="shared" si="222"/>
        <v>0</v>
      </c>
      <c r="AU121" s="30">
        <f t="shared" si="222"/>
        <v>0</v>
      </c>
      <c r="AV121" s="30">
        <f t="shared" si="222"/>
        <v>0</v>
      </c>
      <c r="AW121" s="30">
        <f t="shared" si="222"/>
        <v>0</v>
      </c>
      <c r="AX121" s="30">
        <f t="shared" si="222"/>
        <v>0</v>
      </c>
      <c r="AY121" s="30">
        <f t="shared" si="222"/>
        <v>0</v>
      </c>
      <c r="AZ121" s="30">
        <f t="shared" si="222"/>
        <v>0</v>
      </c>
      <c r="BA121" s="30">
        <f t="shared" si="222"/>
        <v>0</v>
      </c>
      <c r="BB121" s="30">
        <f t="shared" si="222"/>
        <v>0</v>
      </c>
      <c r="BC121" s="30">
        <f t="shared" si="222"/>
        <v>0</v>
      </c>
      <c r="BD121" s="30">
        <f t="shared" si="222"/>
        <v>0</v>
      </c>
      <c r="BE121" s="30">
        <f t="shared" si="222"/>
        <v>0</v>
      </c>
      <c r="BF121" s="30">
        <f t="shared" si="222"/>
        <v>0</v>
      </c>
      <c r="BG121" s="30">
        <f t="shared" si="222"/>
        <v>0</v>
      </c>
      <c r="BH121" s="30">
        <f t="shared" si="222"/>
        <v>0</v>
      </c>
      <c r="BI121" s="30">
        <f t="shared" si="222"/>
        <v>0</v>
      </c>
      <c r="BJ121" s="30">
        <f t="shared" si="222"/>
        <v>0</v>
      </c>
      <c r="BK121" s="30">
        <f t="shared" si="222"/>
        <v>0</v>
      </c>
      <c r="BL121" s="30">
        <f t="shared" si="222"/>
        <v>0</v>
      </c>
      <c r="BM121" s="30">
        <f t="shared" si="222"/>
        <v>0</v>
      </c>
      <c r="BN121" s="30">
        <f t="shared" si="222"/>
        <v>0</v>
      </c>
      <c r="BO121" s="30">
        <f t="shared" si="222"/>
        <v>0</v>
      </c>
      <c r="BP121" s="41"/>
      <c r="BQ121" s="85" t="str">
        <f t="shared" si="219"/>
        <v/>
      </c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</row>
    <row r="122">
      <c r="A122" s="28">
        <v>5.0</v>
      </c>
      <c r="B122" s="29" t="s">
        <v>64</v>
      </c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31">
        <f t="shared" si="216"/>
        <v>0</v>
      </c>
      <c r="AI122" s="7"/>
      <c r="AJ122" s="30">
        <v>5.0</v>
      </c>
      <c r="AK122" s="32" t="s">
        <v>64</v>
      </c>
      <c r="AL122" s="41" t="str">
        <f t="shared" si="217"/>
        <v/>
      </c>
      <c r="AM122" s="30">
        <f t="shared" si="220"/>
        <v>0</v>
      </c>
      <c r="AN122" s="30">
        <f t="shared" ref="AN122:BO122" si="223">SUM($C122:E122)</f>
        <v>0</v>
      </c>
      <c r="AO122" s="30">
        <f t="shared" si="223"/>
        <v>0</v>
      </c>
      <c r="AP122" s="30">
        <f t="shared" si="223"/>
        <v>0</v>
      </c>
      <c r="AQ122" s="30">
        <f t="shared" si="223"/>
        <v>0</v>
      </c>
      <c r="AR122" s="30">
        <f t="shared" si="223"/>
        <v>0</v>
      </c>
      <c r="AS122" s="30">
        <f t="shared" si="223"/>
        <v>0</v>
      </c>
      <c r="AT122" s="30">
        <f t="shared" si="223"/>
        <v>0</v>
      </c>
      <c r="AU122" s="30">
        <f t="shared" si="223"/>
        <v>0</v>
      </c>
      <c r="AV122" s="30">
        <f t="shared" si="223"/>
        <v>0</v>
      </c>
      <c r="AW122" s="30">
        <f t="shared" si="223"/>
        <v>0</v>
      </c>
      <c r="AX122" s="30">
        <f t="shared" si="223"/>
        <v>0</v>
      </c>
      <c r="AY122" s="30">
        <f t="shared" si="223"/>
        <v>0</v>
      </c>
      <c r="AZ122" s="30">
        <f t="shared" si="223"/>
        <v>0</v>
      </c>
      <c r="BA122" s="30">
        <f t="shared" si="223"/>
        <v>0</v>
      </c>
      <c r="BB122" s="30">
        <f t="shared" si="223"/>
        <v>0</v>
      </c>
      <c r="BC122" s="30">
        <f t="shared" si="223"/>
        <v>0</v>
      </c>
      <c r="BD122" s="30">
        <f t="shared" si="223"/>
        <v>0</v>
      </c>
      <c r="BE122" s="30">
        <f t="shared" si="223"/>
        <v>0</v>
      </c>
      <c r="BF122" s="30">
        <f t="shared" si="223"/>
        <v>0</v>
      </c>
      <c r="BG122" s="30">
        <f t="shared" si="223"/>
        <v>0</v>
      </c>
      <c r="BH122" s="30">
        <f t="shared" si="223"/>
        <v>0</v>
      </c>
      <c r="BI122" s="30">
        <f t="shared" si="223"/>
        <v>0</v>
      </c>
      <c r="BJ122" s="30">
        <f t="shared" si="223"/>
        <v>0</v>
      </c>
      <c r="BK122" s="30">
        <f t="shared" si="223"/>
        <v>0</v>
      </c>
      <c r="BL122" s="30">
        <f t="shared" si="223"/>
        <v>0</v>
      </c>
      <c r="BM122" s="30">
        <f t="shared" si="223"/>
        <v>0</v>
      </c>
      <c r="BN122" s="30">
        <f t="shared" si="223"/>
        <v>0</v>
      </c>
      <c r="BO122" s="30">
        <f t="shared" si="223"/>
        <v>0</v>
      </c>
      <c r="BP122" s="41"/>
      <c r="BQ122" s="85" t="str">
        <f t="shared" si="219"/>
        <v/>
      </c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</row>
    <row r="123">
      <c r="A123" s="28">
        <v>6.0</v>
      </c>
      <c r="B123" s="29" t="s">
        <v>66</v>
      </c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31">
        <f t="shared" si="216"/>
        <v>0</v>
      </c>
      <c r="AI123" s="7"/>
      <c r="AJ123" s="30">
        <v>6.0</v>
      </c>
      <c r="AK123" s="32" t="s">
        <v>66</v>
      </c>
      <c r="AL123" s="41" t="str">
        <f t="shared" si="217"/>
        <v/>
      </c>
      <c r="AM123" s="30">
        <f t="shared" si="220"/>
        <v>0</v>
      </c>
      <c r="AN123" s="30">
        <f t="shared" ref="AN123:BO123" si="224">SUM($C123:E123)</f>
        <v>0</v>
      </c>
      <c r="AO123" s="30">
        <f t="shared" si="224"/>
        <v>0</v>
      </c>
      <c r="AP123" s="30">
        <f t="shared" si="224"/>
        <v>0</v>
      </c>
      <c r="AQ123" s="30">
        <f t="shared" si="224"/>
        <v>0</v>
      </c>
      <c r="AR123" s="30">
        <f t="shared" si="224"/>
        <v>0</v>
      </c>
      <c r="AS123" s="30">
        <f t="shared" si="224"/>
        <v>0</v>
      </c>
      <c r="AT123" s="30">
        <f t="shared" si="224"/>
        <v>0</v>
      </c>
      <c r="AU123" s="30">
        <f t="shared" si="224"/>
        <v>0</v>
      </c>
      <c r="AV123" s="30">
        <f t="shared" si="224"/>
        <v>0</v>
      </c>
      <c r="AW123" s="30">
        <f t="shared" si="224"/>
        <v>0</v>
      </c>
      <c r="AX123" s="30">
        <f t="shared" si="224"/>
        <v>0</v>
      </c>
      <c r="AY123" s="30">
        <f t="shared" si="224"/>
        <v>0</v>
      </c>
      <c r="AZ123" s="30">
        <f t="shared" si="224"/>
        <v>0</v>
      </c>
      <c r="BA123" s="30">
        <f t="shared" si="224"/>
        <v>0</v>
      </c>
      <c r="BB123" s="30">
        <f t="shared" si="224"/>
        <v>0</v>
      </c>
      <c r="BC123" s="30">
        <f t="shared" si="224"/>
        <v>0</v>
      </c>
      <c r="BD123" s="30">
        <f t="shared" si="224"/>
        <v>0</v>
      </c>
      <c r="BE123" s="30">
        <f t="shared" si="224"/>
        <v>0</v>
      </c>
      <c r="BF123" s="30">
        <f t="shared" si="224"/>
        <v>0</v>
      </c>
      <c r="BG123" s="30">
        <f t="shared" si="224"/>
        <v>0</v>
      </c>
      <c r="BH123" s="30">
        <f t="shared" si="224"/>
        <v>0</v>
      </c>
      <c r="BI123" s="30">
        <f t="shared" si="224"/>
        <v>0</v>
      </c>
      <c r="BJ123" s="30">
        <f t="shared" si="224"/>
        <v>0</v>
      </c>
      <c r="BK123" s="30">
        <f t="shared" si="224"/>
        <v>0</v>
      </c>
      <c r="BL123" s="30">
        <f t="shared" si="224"/>
        <v>0</v>
      </c>
      <c r="BM123" s="30">
        <f t="shared" si="224"/>
        <v>0</v>
      </c>
      <c r="BN123" s="30">
        <f t="shared" si="224"/>
        <v>0</v>
      </c>
      <c r="BO123" s="30">
        <f t="shared" si="224"/>
        <v>0</v>
      </c>
      <c r="BP123" s="41"/>
      <c r="BQ123" s="85" t="str">
        <f t="shared" si="219"/>
        <v/>
      </c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</row>
    <row r="124">
      <c r="A124" s="28">
        <v>7.0</v>
      </c>
      <c r="B124" s="29" t="s">
        <v>67</v>
      </c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31">
        <f t="shared" si="216"/>
        <v>0</v>
      </c>
      <c r="AI124" s="7"/>
      <c r="AJ124" s="30">
        <v>7.0</v>
      </c>
      <c r="AK124" s="32" t="s">
        <v>67</v>
      </c>
      <c r="AL124" s="41" t="str">
        <f t="shared" si="217"/>
        <v/>
      </c>
      <c r="AM124" s="30">
        <f t="shared" si="220"/>
        <v>0</v>
      </c>
      <c r="AN124" s="30">
        <f t="shared" ref="AN124:BO124" si="225">SUM($C124:E124)</f>
        <v>0</v>
      </c>
      <c r="AO124" s="30">
        <f t="shared" si="225"/>
        <v>0</v>
      </c>
      <c r="AP124" s="30">
        <f t="shared" si="225"/>
        <v>0</v>
      </c>
      <c r="AQ124" s="30">
        <f t="shared" si="225"/>
        <v>0</v>
      </c>
      <c r="AR124" s="30">
        <f t="shared" si="225"/>
        <v>0</v>
      </c>
      <c r="AS124" s="30">
        <f t="shared" si="225"/>
        <v>0</v>
      </c>
      <c r="AT124" s="30">
        <f t="shared" si="225"/>
        <v>0</v>
      </c>
      <c r="AU124" s="30">
        <f t="shared" si="225"/>
        <v>0</v>
      </c>
      <c r="AV124" s="30">
        <f t="shared" si="225"/>
        <v>0</v>
      </c>
      <c r="AW124" s="30">
        <f t="shared" si="225"/>
        <v>0</v>
      </c>
      <c r="AX124" s="30">
        <f t="shared" si="225"/>
        <v>0</v>
      </c>
      <c r="AY124" s="30">
        <f t="shared" si="225"/>
        <v>0</v>
      </c>
      <c r="AZ124" s="30">
        <f t="shared" si="225"/>
        <v>0</v>
      </c>
      <c r="BA124" s="30">
        <f t="shared" si="225"/>
        <v>0</v>
      </c>
      <c r="BB124" s="30">
        <f t="shared" si="225"/>
        <v>0</v>
      </c>
      <c r="BC124" s="30">
        <f t="shared" si="225"/>
        <v>0</v>
      </c>
      <c r="BD124" s="30">
        <f t="shared" si="225"/>
        <v>0</v>
      </c>
      <c r="BE124" s="30">
        <f t="shared" si="225"/>
        <v>0</v>
      </c>
      <c r="BF124" s="30">
        <f t="shared" si="225"/>
        <v>0</v>
      </c>
      <c r="BG124" s="30">
        <f t="shared" si="225"/>
        <v>0</v>
      </c>
      <c r="BH124" s="30">
        <f t="shared" si="225"/>
        <v>0</v>
      </c>
      <c r="BI124" s="30">
        <f t="shared" si="225"/>
        <v>0</v>
      </c>
      <c r="BJ124" s="30">
        <f t="shared" si="225"/>
        <v>0</v>
      </c>
      <c r="BK124" s="30">
        <f t="shared" si="225"/>
        <v>0</v>
      </c>
      <c r="BL124" s="30">
        <f t="shared" si="225"/>
        <v>0</v>
      </c>
      <c r="BM124" s="30">
        <f t="shared" si="225"/>
        <v>0</v>
      </c>
      <c r="BN124" s="30">
        <f t="shared" si="225"/>
        <v>0</v>
      </c>
      <c r="BO124" s="30">
        <f t="shared" si="225"/>
        <v>0</v>
      </c>
      <c r="BP124" s="41"/>
      <c r="BQ124" s="85" t="str">
        <f t="shared" si="219"/>
        <v/>
      </c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</row>
    <row r="125">
      <c r="A125" s="28">
        <v>8.0</v>
      </c>
      <c r="B125" s="29" t="s">
        <v>68</v>
      </c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31">
        <f t="shared" si="216"/>
        <v>0</v>
      </c>
      <c r="AI125" s="7"/>
      <c r="AJ125" s="30">
        <v>8.0</v>
      </c>
      <c r="AK125" s="32" t="s">
        <v>68</v>
      </c>
      <c r="AL125" s="41" t="str">
        <f t="shared" si="217"/>
        <v/>
      </c>
      <c r="AM125" s="30">
        <f t="shared" si="220"/>
        <v>0</v>
      </c>
      <c r="AN125" s="30">
        <f t="shared" ref="AN125:BO125" si="226">SUM($C125:E125)</f>
        <v>0</v>
      </c>
      <c r="AO125" s="30">
        <f t="shared" si="226"/>
        <v>0</v>
      </c>
      <c r="AP125" s="30">
        <f t="shared" si="226"/>
        <v>0</v>
      </c>
      <c r="AQ125" s="30">
        <f t="shared" si="226"/>
        <v>0</v>
      </c>
      <c r="AR125" s="30">
        <f t="shared" si="226"/>
        <v>0</v>
      </c>
      <c r="AS125" s="30">
        <f t="shared" si="226"/>
        <v>0</v>
      </c>
      <c r="AT125" s="30">
        <f t="shared" si="226"/>
        <v>0</v>
      </c>
      <c r="AU125" s="30">
        <f t="shared" si="226"/>
        <v>0</v>
      </c>
      <c r="AV125" s="30">
        <f t="shared" si="226"/>
        <v>0</v>
      </c>
      <c r="AW125" s="30">
        <f t="shared" si="226"/>
        <v>0</v>
      </c>
      <c r="AX125" s="30">
        <f t="shared" si="226"/>
        <v>0</v>
      </c>
      <c r="AY125" s="30">
        <f t="shared" si="226"/>
        <v>0</v>
      </c>
      <c r="AZ125" s="30">
        <f t="shared" si="226"/>
        <v>0</v>
      </c>
      <c r="BA125" s="30">
        <f t="shared" si="226"/>
        <v>0</v>
      </c>
      <c r="BB125" s="30">
        <f t="shared" si="226"/>
        <v>0</v>
      </c>
      <c r="BC125" s="30">
        <f t="shared" si="226"/>
        <v>0</v>
      </c>
      <c r="BD125" s="30">
        <f t="shared" si="226"/>
        <v>0</v>
      </c>
      <c r="BE125" s="30">
        <f t="shared" si="226"/>
        <v>0</v>
      </c>
      <c r="BF125" s="30">
        <f t="shared" si="226"/>
        <v>0</v>
      </c>
      <c r="BG125" s="30">
        <f t="shared" si="226"/>
        <v>0</v>
      </c>
      <c r="BH125" s="30">
        <f t="shared" si="226"/>
        <v>0</v>
      </c>
      <c r="BI125" s="30">
        <f t="shared" si="226"/>
        <v>0</v>
      </c>
      <c r="BJ125" s="30">
        <f t="shared" si="226"/>
        <v>0</v>
      </c>
      <c r="BK125" s="30">
        <f t="shared" si="226"/>
        <v>0</v>
      </c>
      <c r="BL125" s="30">
        <f t="shared" si="226"/>
        <v>0</v>
      </c>
      <c r="BM125" s="30">
        <f t="shared" si="226"/>
        <v>0</v>
      </c>
      <c r="BN125" s="30">
        <f t="shared" si="226"/>
        <v>0</v>
      </c>
      <c r="BO125" s="30">
        <f t="shared" si="226"/>
        <v>0</v>
      </c>
      <c r="BP125" s="41"/>
      <c r="BQ125" s="85" t="str">
        <f t="shared" si="219"/>
        <v/>
      </c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</row>
    <row r="126">
      <c r="A126" s="50"/>
      <c r="B126" s="51" t="s">
        <v>69</v>
      </c>
      <c r="C126" s="49">
        <f t="shared" ref="C126:AG126" si="227">SUM(C118:C125)</f>
        <v>0</v>
      </c>
      <c r="D126" s="49">
        <f t="shared" si="227"/>
        <v>0</v>
      </c>
      <c r="E126" s="49">
        <f t="shared" si="227"/>
        <v>0</v>
      </c>
      <c r="F126" s="49">
        <f t="shared" si="227"/>
        <v>0</v>
      </c>
      <c r="G126" s="49">
        <f t="shared" si="227"/>
        <v>0</v>
      </c>
      <c r="H126" s="49">
        <f t="shared" si="227"/>
        <v>0</v>
      </c>
      <c r="I126" s="49">
        <f t="shared" si="227"/>
        <v>0</v>
      </c>
      <c r="J126" s="49">
        <f t="shared" si="227"/>
        <v>0</v>
      </c>
      <c r="K126" s="49">
        <f t="shared" si="227"/>
        <v>0</v>
      </c>
      <c r="L126" s="49">
        <f t="shared" si="227"/>
        <v>0</v>
      </c>
      <c r="M126" s="49">
        <f t="shared" si="227"/>
        <v>0</v>
      </c>
      <c r="N126" s="49">
        <f t="shared" si="227"/>
        <v>0</v>
      </c>
      <c r="O126" s="49">
        <f t="shared" si="227"/>
        <v>0</v>
      </c>
      <c r="P126" s="49">
        <f t="shared" si="227"/>
        <v>0</v>
      </c>
      <c r="Q126" s="49">
        <f t="shared" si="227"/>
        <v>0</v>
      </c>
      <c r="R126" s="49">
        <f t="shared" si="227"/>
        <v>0</v>
      </c>
      <c r="S126" s="49">
        <f t="shared" si="227"/>
        <v>0</v>
      </c>
      <c r="T126" s="49">
        <f t="shared" si="227"/>
        <v>0</v>
      </c>
      <c r="U126" s="49">
        <f t="shared" si="227"/>
        <v>0</v>
      </c>
      <c r="V126" s="49">
        <f t="shared" si="227"/>
        <v>0</v>
      </c>
      <c r="W126" s="49">
        <f t="shared" si="227"/>
        <v>0</v>
      </c>
      <c r="X126" s="49">
        <f t="shared" si="227"/>
        <v>0</v>
      </c>
      <c r="Y126" s="49">
        <f t="shared" si="227"/>
        <v>0</v>
      </c>
      <c r="Z126" s="49">
        <f t="shared" si="227"/>
        <v>0</v>
      </c>
      <c r="AA126" s="49">
        <f t="shared" si="227"/>
        <v>0</v>
      </c>
      <c r="AB126" s="49">
        <f t="shared" si="227"/>
        <v>0</v>
      </c>
      <c r="AC126" s="49">
        <f t="shared" si="227"/>
        <v>0</v>
      </c>
      <c r="AD126" s="49">
        <f t="shared" si="227"/>
        <v>0</v>
      </c>
      <c r="AE126" s="49">
        <f t="shared" si="227"/>
        <v>0</v>
      </c>
      <c r="AF126" s="49">
        <f t="shared" si="227"/>
        <v>0</v>
      </c>
      <c r="AG126" s="49">
        <f t="shared" si="227"/>
        <v>0</v>
      </c>
      <c r="AH126" s="49">
        <f t="shared" si="216"/>
        <v>0</v>
      </c>
      <c r="AI126" s="7"/>
      <c r="AJ126" s="45"/>
      <c r="AK126" s="46" t="s">
        <v>69</v>
      </c>
      <c r="AL126" s="47">
        <f t="shared" si="217"/>
        <v>0</v>
      </c>
      <c r="AM126" s="47">
        <f t="shared" si="220"/>
        <v>0</v>
      </c>
      <c r="AN126" s="47">
        <f t="shared" ref="AN126:BP126" si="228">SUM($C126:E126)</f>
        <v>0</v>
      </c>
      <c r="AO126" s="47">
        <f t="shared" si="228"/>
        <v>0</v>
      </c>
      <c r="AP126" s="47">
        <f t="shared" si="228"/>
        <v>0</v>
      </c>
      <c r="AQ126" s="47">
        <f t="shared" si="228"/>
        <v>0</v>
      </c>
      <c r="AR126" s="47">
        <f t="shared" si="228"/>
        <v>0</v>
      </c>
      <c r="AS126" s="47">
        <f t="shared" si="228"/>
        <v>0</v>
      </c>
      <c r="AT126" s="47">
        <f t="shared" si="228"/>
        <v>0</v>
      </c>
      <c r="AU126" s="47">
        <f t="shared" si="228"/>
        <v>0</v>
      </c>
      <c r="AV126" s="47">
        <f t="shared" si="228"/>
        <v>0</v>
      </c>
      <c r="AW126" s="47">
        <f t="shared" si="228"/>
        <v>0</v>
      </c>
      <c r="AX126" s="47">
        <f t="shared" si="228"/>
        <v>0</v>
      </c>
      <c r="AY126" s="47">
        <f t="shared" si="228"/>
        <v>0</v>
      </c>
      <c r="AZ126" s="47">
        <f t="shared" si="228"/>
        <v>0</v>
      </c>
      <c r="BA126" s="47">
        <f t="shared" si="228"/>
        <v>0</v>
      </c>
      <c r="BB126" s="47">
        <f t="shared" si="228"/>
        <v>0</v>
      </c>
      <c r="BC126" s="47">
        <f t="shared" si="228"/>
        <v>0</v>
      </c>
      <c r="BD126" s="47">
        <f t="shared" si="228"/>
        <v>0</v>
      </c>
      <c r="BE126" s="47">
        <f t="shared" si="228"/>
        <v>0</v>
      </c>
      <c r="BF126" s="47">
        <f t="shared" si="228"/>
        <v>0</v>
      </c>
      <c r="BG126" s="47">
        <f t="shared" si="228"/>
        <v>0</v>
      </c>
      <c r="BH126" s="47">
        <f t="shared" si="228"/>
        <v>0</v>
      </c>
      <c r="BI126" s="47">
        <f t="shared" si="228"/>
        <v>0</v>
      </c>
      <c r="BJ126" s="47">
        <f t="shared" si="228"/>
        <v>0</v>
      </c>
      <c r="BK126" s="47">
        <f t="shared" si="228"/>
        <v>0</v>
      </c>
      <c r="BL126" s="47">
        <f t="shared" si="228"/>
        <v>0</v>
      </c>
      <c r="BM126" s="47">
        <f t="shared" si="228"/>
        <v>0</v>
      </c>
      <c r="BN126" s="47">
        <f t="shared" si="228"/>
        <v>0</v>
      </c>
      <c r="BO126" s="47">
        <f t="shared" si="228"/>
        <v>0</v>
      </c>
      <c r="BP126" s="47">
        <f t="shared" si="228"/>
        <v>0</v>
      </c>
      <c r="BQ126" s="49">
        <f t="shared" si="219"/>
        <v>0</v>
      </c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</row>
    <row r="128">
      <c r="A128" s="8" t="s">
        <v>35</v>
      </c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</row>
    <row r="129">
      <c r="A129" s="9" t="str">
        <f>TEXT(C131,"MMMM YYYY")</f>
        <v>Oktober 2026</v>
      </c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11" t="s">
        <v>87</v>
      </c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</row>
    <row r="131" ht="40.5" customHeight="1">
      <c r="A131" s="14" t="s">
        <v>41</v>
      </c>
      <c r="B131" s="14" t="s">
        <v>42</v>
      </c>
      <c r="C131" s="15">
        <v>46296.0</v>
      </c>
      <c r="D131" s="15">
        <v>46297.0</v>
      </c>
      <c r="E131" s="15">
        <v>46298.0</v>
      </c>
      <c r="F131" s="15">
        <v>46299.0</v>
      </c>
      <c r="G131" s="15">
        <v>46300.0</v>
      </c>
      <c r="H131" s="15">
        <v>46301.0</v>
      </c>
      <c r="I131" s="15">
        <v>46302.0</v>
      </c>
      <c r="J131" s="15">
        <v>46303.0</v>
      </c>
      <c r="K131" s="15">
        <v>46304.0</v>
      </c>
      <c r="L131" s="15">
        <v>46305.0</v>
      </c>
      <c r="M131" s="15">
        <v>46306.0</v>
      </c>
      <c r="N131" s="15">
        <v>46307.0</v>
      </c>
      <c r="O131" s="15">
        <v>46308.0</v>
      </c>
      <c r="P131" s="15">
        <v>46309.0</v>
      </c>
      <c r="Q131" s="15">
        <v>46310.0</v>
      </c>
      <c r="R131" s="15">
        <v>46311.0</v>
      </c>
      <c r="S131" s="15">
        <v>46312.0</v>
      </c>
      <c r="T131" s="15">
        <v>46313.0</v>
      </c>
      <c r="U131" s="15">
        <v>46314.0</v>
      </c>
      <c r="V131" s="15">
        <v>46315.0</v>
      </c>
      <c r="W131" s="15">
        <v>46316.0</v>
      </c>
      <c r="X131" s="15">
        <v>46317.0</v>
      </c>
      <c r="Y131" s="15">
        <v>46318.0</v>
      </c>
      <c r="Z131" s="15">
        <v>46319.0</v>
      </c>
      <c r="AA131" s="15">
        <v>46320.0</v>
      </c>
      <c r="AB131" s="15">
        <v>46321.0</v>
      </c>
      <c r="AC131" s="15">
        <v>46322.0</v>
      </c>
      <c r="AD131" s="15">
        <v>46323.0</v>
      </c>
      <c r="AE131" s="15">
        <v>46324.0</v>
      </c>
      <c r="AF131" s="15">
        <v>46325.0</v>
      </c>
      <c r="AG131" s="15">
        <v>46326.0</v>
      </c>
      <c r="AH131" s="16" t="s">
        <v>43</v>
      </c>
      <c r="AI131" s="17"/>
      <c r="AJ131" s="14" t="s">
        <v>41</v>
      </c>
      <c r="AK131" s="14" t="s">
        <v>42</v>
      </c>
      <c r="AL131" s="19">
        <v>46296.0</v>
      </c>
      <c r="AM131" s="19">
        <v>46297.0</v>
      </c>
      <c r="AN131" s="19">
        <v>46298.0</v>
      </c>
      <c r="AO131" s="19">
        <v>46299.0</v>
      </c>
      <c r="AP131" s="19">
        <v>46300.0</v>
      </c>
      <c r="AQ131" s="19">
        <v>46301.0</v>
      </c>
      <c r="AR131" s="19">
        <v>46302.0</v>
      </c>
      <c r="AS131" s="19">
        <v>46303.0</v>
      </c>
      <c r="AT131" s="19">
        <v>46304.0</v>
      </c>
      <c r="AU131" s="19">
        <v>46305.0</v>
      </c>
      <c r="AV131" s="19">
        <v>46306.0</v>
      </c>
      <c r="AW131" s="19">
        <v>46307.0</v>
      </c>
      <c r="AX131" s="19">
        <v>46308.0</v>
      </c>
      <c r="AY131" s="19">
        <v>46309.0</v>
      </c>
      <c r="AZ131" s="19">
        <v>46310.0</v>
      </c>
      <c r="BA131" s="19">
        <v>46311.0</v>
      </c>
      <c r="BB131" s="19">
        <v>46312.0</v>
      </c>
      <c r="BC131" s="19">
        <v>46313.0</v>
      </c>
      <c r="BD131" s="19">
        <v>46314.0</v>
      </c>
      <c r="BE131" s="19">
        <v>46315.0</v>
      </c>
      <c r="BF131" s="19">
        <v>46316.0</v>
      </c>
      <c r="BG131" s="19">
        <v>46317.0</v>
      </c>
      <c r="BH131" s="19">
        <v>46318.0</v>
      </c>
      <c r="BI131" s="19">
        <v>46319.0</v>
      </c>
      <c r="BJ131" s="19">
        <v>46320.0</v>
      </c>
      <c r="BK131" s="19">
        <v>46321.0</v>
      </c>
      <c r="BL131" s="19">
        <v>46322.0</v>
      </c>
      <c r="BM131" s="19">
        <v>46323.0</v>
      </c>
      <c r="BN131" s="19">
        <v>46324.0</v>
      </c>
      <c r="BO131" s="19">
        <v>46325.0</v>
      </c>
      <c r="BP131" s="19">
        <v>46326.0</v>
      </c>
      <c r="BQ131" s="18" t="s">
        <v>43</v>
      </c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</row>
    <row r="132">
      <c r="A132" s="28">
        <v>1.0</v>
      </c>
      <c r="B132" s="29" t="s">
        <v>60</v>
      </c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31">
        <f t="shared" ref="AH132:AH140" si="230">SUBTOTAL(9,C132:AG132)</f>
        <v>0</v>
      </c>
      <c r="AI132" s="7"/>
      <c r="AJ132" s="30">
        <v>1.0</v>
      </c>
      <c r="AK132" s="32" t="s">
        <v>60</v>
      </c>
      <c r="AL132" s="41" t="str">
        <f t="shared" ref="AL132:AL140" si="231">C132</f>
        <v/>
      </c>
      <c r="AM132" s="30">
        <f t="shared" ref="AM132:BP132" si="229">SUM($C132:D132)</f>
        <v>0</v>
      </c>
      <c r="AN132" s="30">
        <f t="shared" si="229"/>
        <v>0</v>
      </c>
      <c r="AO132" s="30">
        <f t="shared" si="229"/>
        <v>0</v>
      </c>
      <c r="AP132" s="30">
        <f t="shared" si="229"/>
        <v>0</v>
      </c>
      <c r="AQ132" s="30">
        <f t="shared" si="229"/>
        <v>0</v>
      </c>
      <c r="AR132" s="30">
        <f t="shared" si="229"/>
        <v>0</v>
      </c>
      <c r="AS132" s="30">
        <f t="shared" si="229"/>
        <v>0</v>
      </c>
      <c r="AT132" s="30">
        <f t="shared" si="229"/>
        <v>0</v>
      </c>
      <c r="AU132" s="30">
        <f t="shared" si="229"/>
        <v>0</v>
      </c>
      <c r="AV132" s="30">
        <f t="shared" si="229"/>
        <v>0</v>
      </c>
      <c r="AW132" s="30">
        <f t="shared" si="229"/>
        <v>0</v>
      </c>
      <c r="AX132" s="30">
        <f t="shared" si="229"/>
        <v>0</v>
      </c>
      <c r="AY132" s="30">
        <f t="shared" si="229"/>
        <v>0</v>
      </c>
      <c r="AZ132" s="30">
        <f t="shared" si="229"/>
        <v>0</v>
      </c>
      <c r="BA132" s="30">
        <f t="shared" si="229"/>
        <v>0</v>
      </c>
      <c r="BB132" s="30">
        <f t="shared" si="229"/>
        <v>0</v>
      </c>
      <c r="BC132" s="30">
        <f t="shared" si="229"/>
        <v>0</v>
      </c>
      <c r="BD132" s="30">
        <f t="shared" si="229"/>
        <v>0</v>
      </c>
      <c r="BE132" s="30">
        <f t="shared" si="229"/>
        <v>0</v>
      </c>
      <c r="BF132" s="30">
        <f t="shared" si="229"/>
        <v>0</v>
      </c>
      <c r="BG132" s="30">
        <f t="shared" si="229"/>
        <v>0</v>
      </c>
      <c r="BH132" s="30">
        <f t="shared" si="229"/>
        <v>0</v>
      </c>
      <c r="BI132" s="30">
        <f t="shared" si="229"/>
        <v>0</v>
      </c>
      <c r="BJ132" s="30">
        <f t="shared" si="229"/>
        <v>0</v>
      </c>
      <c r="BK132" s="30">
        <f t="shared" si="229"/>
        <v>0</v>
      </c>
      <c r="BL132" s="30">
        <f t="shared" si="229"/>
        <v>0</v>
      </c>
      <c r="BM132" s="30">
        <f t="shared" si="229"/>
        <v>0</v>
      </c>
      <c r="BN132" s="30">
        <f t="shared" si="229"/>
        <v>0</v>
      </c>
      <c r="BO132" s="30">
        <f t="shared" si="229"/>
        <v>0</v>
      </c>
      <c r="BP132" s="30">
        <f t="shared" si="229"/>
        <v>0</v>
      </c>
      <c r="BQ132" s="31">
        <f t="shared" ref="BQ132:BQ140" si="233">BP132</f>
        <v>0</v>
      </c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</row>
    <row r="133">
      <c r="A133" s="28">
        <v>2.0</v>
      </c>
      <c r="B133" s="29" t="s">
        <v>61</v>
      </c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31">
        <f t="shared" si="230"/>
        <v>0</v>
      </c>
      <c r="AI133" s="7"/>
      <c r="AJ133" s="30">
        <v>2.0</v>
      </c>
      <c r="AK133" s="32" t="s">
        <v>61</v>
      </c>
      <c r="AL133" s="41" t="str">
        <f t="shared" si="231"/>
        <v/>
      </c>
      <c r="AM133" s="30">
        <f t="shared" ref="AM133:AM140" si="234">SUM(C133:D133)</f>
        <v>0</v>
      </c>
      <c r="AN133" s="30">
        <f t="shared" ref="AN133:BP133" si="232">SUM($C133:E133)</f>
        <v>0</v>
      </c>
      <c r="AO133" s="30">
        <f t="shared" si="232"/>
        <v>0</v>
      </c>
      <c r="AP133" s="30">
        <f t="shared" si="232"/>
        <v>0</v>
      </c>
      <c r="AQ133" s="30">
        <f t="shared" si="232"/>
        <v>0</v>
      </c>
      <c r="AR133" s="30">
        <f t="shared" si="232"/>
        <v>0</v>
      </c>
      <c r="AS133" s="30">
        <f t="shared" si="232"/>
        <v>0</v>
      </c>
      <c r="AT133" s="30">
        <f t="shared" si="232"/>
        <v>0</v>
      </c>
      <c r="AU133" s="30">
        <f t="shared" si="232"/>
        <v>0</v>
      </c>
      <c r="AV133" s="30">
        <f t="shared" si="232"/>
        <v>0</v>
      </c>
      <c r="AW133" s="30">
        <f t="shared" si="232"/>
        <v>0</v>
      </c>
      <c r="AX133" s="30">
        <f t="shared" si="232"/>
        <v>0</v>
      </c>
      <c r="AY133" s="30">
        <f t="shared" si="232"/>
        <v>0</v>
      </c>
      <c r="AZ133" s="30">
        <f t="shared" si="232"/>
        <v>0</v>
      </c>
      <c r="BA133" s="30">
        <f t="shared" si="232"/>
        <v>0</v>
      </c>
      <c r="BB133" s="30">
        <f t="shared" si="232"/>
        <v>0</v>
      </c>
      <c r="BC133" s="30">
        <f t="shared" si="232"/>
        <v>0</v>
      </c>
      <c r="BD133" s="30">
        <f t="shared" si="232"/>
        <v>0</v>
      </c>
      <c r="BE133" s="30">
        <f t="shared" si="232"/>
        <v>0</v>
      </c>
      <c r="BF133" s="30">
        <f t="shared" si="232"/>
        <v>0</v>
      </c>
      <c r="BG133" s="30">
        <f t="shared" si="232"/>
        <v>0</v>
      </c>
      <c r="BH133" s="30">
        <f t="shared" si="232"/>
        <v>0</v>
      </c>
      <c r="BI133" s="30">
        <f t="shared" si="232"/>
        <v>0</v>
      </c>
      <c r="BJ133" s="30">
        <f t="shared" si="232"/>
        <v>0</v>
      </c>
      <c r="BK133" s="30">
        <f t="shared" si="232"/>
        <v>0</v>
      </c>
      <c r="BL133" s="30">
        <f t="shared" si="232"/>
        <v>0</v>
      </c>
      <c r="BM133" s="30">
        <f t="shared" si="232"/>
        <v>0</v>
      </c>
      <c r="BN133" s="30">
        <f t="shared" si="232"/>
        <v>0</v>
      </c>
      <c r="BO133" s="30">
        <f t="shared" si="232"/>
        <v>0</v>
      </c>
      <c r="BP133" s="30">
        <f t="shared" si="232"/>
        <v>0</v>
      </c>
      <c r="BQ133" s="31">
        <f t="shared" si="233"/>
        <v>0</v>
      </c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</row>
    <row r="134">
      <c r="A134" s="28">
        <v>3.0</v>
      </c>
      <c r="B134" s="29" t="s">
        <v>62</v>
      </c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31">
        <f t="shared" si="230"/>
        <v>0</v>
      </c>
      <c r="AI134" s="7"/>
      <c r="AJ134" s="30">
        <v>3.0</v>
      </c>
      <c r="AK134" s="32" t="s">
        <v>62</v>
      </c>
      <c r="AL134" s="41" t="str">
        <f t="shared" si="231"/>
        <v/>
      </c>
      <c r="AM134" s="30">
        <f t="shared" si="234"/>
        <v>0</v>
      </c>
      <c r="AN134" s="30">
        <f t="shared" ref="AN134:BP134" si="235">SUM($C134:E134)</f>
        <v>0</v>
      </c>
      <c r="AO134" s="30">
        <f t="shared" si="235"/>
        <v>0</v>
      </c>
      <c r="AP134" s="30">
        <f t="shared" si="235"/>
        <v>0</v>
      </c>
      <c r="AQ134" s="30">
        <f t="shared" si="235"/>
        <v>0</v>
      </c>
      <c r="AR134" s="30">
        <f t="shared" si="235"/>
        <v>0</v>
      </c>
      <c r="AS134" s="30">
        <f t="shared" si="235"/>
        <v>0</v>
      </c>
      <c r="AT134" s="30">
        <f t="shared" si="235"/>
        <v>0</v>
      </c>
      <c r="AU134" s="30">
        <f t="shared" si="235"/>
        <v>0</v>
      </c>
      <c r="AV134" s="30">
        <f t="shared" si="235"/>
        <v>0</v>
      </c>
      <c r="AW134" s="30">
        <f t="shared" si="235"/>
        <v>0</v>
      </c>
      <c r="AX134" s="30">
        <f t="shared" si="235"/>
        <v>0</v>
      </c>
      <c r="AY134" s="30">
        <f t="shared" si="235"/>
        <v>0</v>
      </c>
      <c r="AZ134" s="30">
        <f t="shared" si="235"/>
        <v>0</v>
      </c>
      <c r="BA134" s="30">
        <f t="shared" si="235"/>
        <v>0</v>
      </c>
      <c r="BB134" s="30">
        <f t="shared" si="235"/>
        <v>0</v>
      </c>
      <c r="BC134" s="30">
        <f t="shared" si="235"/>
        <v>0</v>
      </c>
      <c r="BD134" s="30">
        <f t="shared" si="235"/>
        <v>0</v>
      </c>
      <c r="BE134" s="30">
        <f t="shared" si="235"/>
        <v>0</v>
      </c>
      <c r="BF134" s="30">
        <f t="shared" si="235"/>
        <v>0</v>
      </c>
      <c r="BG134" s="30">
        <f t="shared" si="235"/>
        <v>0</v>
      </c>
      <c r="BH134" s="30">
        <f t="shared" si="235"/>
        <v>0</v>
      </c>
      <c r="BI134" s="30">
        <f t="shared" si="235"/>
        <v>0</v>
      </c>
      <c r="BJ134" s="30">
        <f t="shared" si="235"/>
        <v>0</v>
      </c>
      <c r="BK134" s="30">
        <f t="shared" si="235"/>
        <v>0</v>
      </c>
      <c r="BL134" s="30">
        <f t="shared" si="235"/>
        <v>0</v>
      </c>
      <c r="BM134" s="30">
        <f t="shared" si="235"/>
        <v>0</v>
      </c>
      <c r="BN134" s="30">
        <f t="shared" si="235"/>
        <v>0</v>
      </c>
      <c r="BO134" s="30">
        <f t="shared" si="235"/>
        <v>0</v>
      </c>
      <c r="BP134" s="30">
        <f t="shared" si="235"/>
        <v>0</v>
      </c>
      <c r="BQ134" s="31">
        <f t="shared" si="233"/>
        <v>0</v>
      </c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</row>
    <row r="135">
      <c r="A135" s="28">
        <v>4.0</v>
      </c>
      <c r="B135" s="29" t="s">
        <v>63</v>
      </c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31">
        <f t="shared" si="230"/>
        <v>0</v>
      </c>
      <c r="AI135" s="7"/>
      <c r="AJ135" s="30">
        <v>4.0</v>
      </c>
      <c r="AK135" s="32" t="s">
        <v>63</v>
      </c>
      <c r="AL135" s="41" t="str">
        <f t="shared" si="231"/>
        <v/>
      </c>
      <c r="AM135" s="30">
        <f t="shared" si="234"/>
        <v>0</v>
      </c>
      <c r="AN135" s="30">
        <f t="shared" ref="AN135:BP135" si="236">SUM($C135:E135)</f>
        <v>0</v>
      </c>
      <c r="AO135" s="30">
        <f t="shared" si="236"/>
        <v>0</v>
      </c>
      <c r="AP135" s="30">
        <f t="shared" si="236"/>
        <v>0</v>
      </c>
      <c r="AQ135" s="30">
        <f t="shared" si="236"/>
        <v>0</v>
      </c>
      <c r="AR135" s="30">
        <f t="shared" si="236"/>
        <v>0</v>
      </c>
      <c r="AS135" s="30">
        <f t="shared" si="236"/>
        <v>0</v>
      </c>
      <c r="AT135" s="30">
        <f t="shared" si="236"/>
        <v>0</v>
      </c>
      <c r="AU135" s="30">
        <f t="shared" si="236"/>
        <v>0</v>
      </c>
      <c r="AV135" s="30">
        <f t="shared" si="236"/>
        <v>0</v>
      </c>
      <c r="AW135" s="30">
        <f t="shared" si="236"/>
        <v>0</v>
      </c>
      <c r="AX135" s="30">
        <f t="shared" si="236"/>
        <v>0</v>
      </c>
      <c r="AY135" s="30">
        <f t="shared" si="236"/>
        <v>0</v>
      </c>
      <c r="AZ135" s="30">
        <f t="shared" si="236"/>
        <v>0</v>
      </c>
      <c r="BA135" s="30">
        <f t="shared" si="236"/>
        <v>0</v>
      </c>
      <c r="BB135" s="30">
        <f t="shared" si="236"/>
        <v>0</v>
      </c>
      <c r="BC135" s="30">
        <f t="shared" si="236"/>
        <v>0</v>
      </c>
      <c r="BD135" s="30">
        <f t="shared" si="236"/>
        <v>0</v>
      </c>
      <c r="BE135" s="30">
        <f t="shared" si="236"/>
        <v>0</v>
      </c>
      <c r="BF135" s="30">
        <f t="shared" si="236"/>
        <v>0</v>
      </c>
      <c r="BG135" s="30">
        <f t="shared" si="236"/>
        <v>0</v>
      </c>
      <c r="BH135" s="30">
        <f t="shared" si="236"/>
        <v>0</v>
      </c>
      <c r="BI135" s="30">
        <f t="shared" si="236"/>
        <v>0</v>
      </c>
      <c r="BJ135" s="30">
        <f t="shared" si="236"/>
        <v>0</v>
      </c>
      <c r="BK135" s="30">
        <f t="shared" si="236"/>
        <v>0</v>
      </c>
      <c r="BL135" s="30">
        <f t="shared" si="236"/>
        <v>0</v>
      </c>
      <c r="BM135" s="30">
        <f t="shared" si="236"/>
        <v>0</v>
      </c>
      <c r="BN135" s="30">
        <f t="shared" si="236"/>
        <v>0</v>
      </c>
      <c r="BO135" s="30">
        <f t="shared" si="236"/>
        <v>0</v>
      </c>
      <c r="BP135" s="30">
        <f t="shared" si="236"/>
        <v>0</v>
      </c>
      <c r="BQ135" s="31">
        <f t="shared" si="233"/>
        <v>0</v>
      </c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</row>
    <row r="136">
      <c r="A136" s="28">
        <v>5.0</v>
      </c>
      <c r="B136" s="29" t="s">
        <v>64</v>
      </c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31">
        <f t="shared" si="230"/>
        <v>0</v>
      </c>
      <c r="AI136" s="7"/>
      <c r="AJ136" s="30">
        <v>5.0</v>
      </c>
      <c r="AK136" s="32" t="s">
        <v>64</v>
      </c>
      <c r="AL136" s="41" t="str">
        <f t="shared" si="231"/>
        <v/>
      </c>
      <c r="AM136" s="30">
        <f t="shared" si="234"/>
        <v>0</v>
      </c>
      <c r="AN136" s="30">
        <f t="shared" ref="AN136:BP136" si="237">SUM($C136:E136)</f>
        <v>0</v>
      </c>
      <c r="AO136" s="30">
        <f t="shared" si="237"/>
        <v>0</v>
      </c>
      <c r="AP136" s="30">
        <f t="shared" si="237"/>
        <v>0</v>
      </c>
      <c r="AQ136" s="30">
        <f t="shared" si="237"/>
        <v>0</v>
      </c>
      <c r="AR136" s="30">
        <f t="shared" si="237"/>
        <v>0</v>
      </c>
      <c r="AS136" s="30">
        <f t="shared" si="237"/>
        <v>0</v>
      </c>
      <c r="AT136" s="30">
        <f t="shared" si="237"/>
        <v>0</v>
      </c>
      <c r="AU136" s="30">
        <f t="shared" si="237"/>
        <v>0</v>
      </c>
      <c r="AV136" s="30">
        <f t="shared" si="237"/>
        <v>0</v>
      </c>
      <c r="AW136" s="30">
        <f t="shared" si="237"/>
        <v>0</v>
      </c>
      <c r="AX136" s="30">
        <f t="shared" si="237"/>
        <v>0</v>
      </c>
      <c r="AY136" s="30">
        <f t="shared" si="237"/>
        <v>0</v>
      </c>
      <c r="AZ136" s="30">
        <f t="shared" si="237"/>
        <v>0</v>
      </c>
      <c r="BA136" s="30">
        <f t="shared" si="237"/>
        <v>0</v>
      </c>
      <c r="BB136" s="30">
        <f t="shared" si="237"/>
        <v>0</v>
      </c>
      <c r="BC136" s="30">
        <f t="shared" si="237"/>
        <v>0</v>
      </c>
      <c r="BD136" s="30">
        <f t="shared" si="237"/>
        <v>0</v>
      </c>
      <c r="BE136" s="30">
        <f t="shared" si="237"/>
        <v>0</v>
      </c>
      <c r="BF136" s="30">
        <f t="shared" si="237"/>
        <v>0</v>
      </c>
      <c r="BG136" s="30">
        <f t="shared" si="237"/>
        <v>0</v>
      </c>
      <c r="BH136" s="30">
        <f t="shared" si="237"/>
        <v>0</v>
      </c>
      <c r="BI136" s="30">
        <f t="shared" si="237"/>
        <v>0</v>
      </c>
      <c r="BJ136" s="30">
        <f t="shared" si="237"/>
        <v>0</v>
      </c>
      <c r="BK136" s="30">
        <f t="shared" si="237"/>
        <v>0</v>
      </c>
      <c r="BL136" s="30">
        <f t="shared" si="237"/>
        <v>0</v>
      </c>
      <c r="BM136" s="30">
        <f t="shared" si="237"/>
        <v>0</v>
      </c>
      <c r="BN136" s="30">
        <f t="shared" si="237"/>
        <v>0</v>
      </c>
      <c r="BO136" s="30">
        <f t="shared" si="237"/>
        <v>0</v>
      </c>
      <c r="BP136" s="30">
        <f t="shared" si="237"/>
        <v>0</v>
      </c>
      <c r="BQ136" s="31">
        <f t="shared" si="233"/>
        <v>0</v>
      </c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</row>
    <row r="137">
      <c r="A137" s="28">
        <v>6.0</v>
      </c>
      <c r="B137" s="29" t="s">
        <v>66</v>
      </c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31">
        <f t="shared" si="230"/>
        <v>0</v>
      </c>
      <c r="AI137" s="7"/>
      <c r="AJ137" s="30">
        <v>6.0</v>
      </c>
      <c r="AK137" s="32" t="s">
        <v>66</v>
      </c>
      <c r="AL137" s="41" t="str">
        <f t="shared" si="231"/>
        <v/>
      </c>
      <c r="AM137" s="30">
        <f t="shared" si="234"/>
        <v>0</v>
      </c>
      <c r="AN137" s="30">
        <f t="shared" ref="AN137:BP137" si="238">SUM($C137:E137)</f>
        <v>0</v>
      </c>
      <c r="AO137" s="30">
        <f t="shared" si="238"/>
        <v>0</v>
      </c>
      <c r="AP137" s="30">
        <f t="shared" si="238"/>
        <v>0</v>
      </c>
      <c r="AQ137" s="30">
        <f t="shared" si="238"/>
        <v>0</v>
      </c>
      <c r="AR137" s="30">
        <f t="shared" si="238"/>
        <v>0</v>
      </c>
      <c r="AS137" s="30">
        <f t="shared" si="238"/>
        <v>0</v>
      </c>
      <c r="AT137" s="30">
        <f t="shared" si="238"/>
        <v>0</v>
      </c>
      <c r="AU137" s="30">
        <f t="shared" si="238"/>
        <v>0</v>
      </c>
      <c r="AV137" s="30">
        <f t="shared" si="238"/>
        <v>0</v>
      </c>
      <c r="AW137" s="30">
        <f t="shared" si="238"/>
        <v>0</v>
      </c>
      <c r="AX137" s="30">
        <f t="shared" si="238"/>
        <v>0</v>
      </c>
      <c r="AY137" s="30">
        <f t="shared" si="238"/>
        <v>0</v>
      </c>
      <c r="AZ137" s="30">
        <f t="shared" si="238"/>
        <v>0</v>
      </c>
      <c r="BA137" s="30">
        <f t="shared" si="238"/>
        <v>0</v>
      </c>
      <c r="BB137" s="30">
        <f t="shared" si="238"/>
        <v>0</v>
      </c>
      <c r="BC137" s="30">
        <f t="shared" si="238"/>
        <v>0</v>
      </c>
      <c r="BD137" s="30">
        <f t="shared" si="238"/>
        <v>0</v>
      </c>
      <c r="BE137" s="30">
        <f t="shared" si="238"/>
        <v>0</v>
      </c>
      <c r="BF137" s="30">
        <f t="shared" si="238"/>
        <v>0</v>
      </c>
      <c r="BG137" s="30">
        <f t="shared" si="238"/>
        <v>0</v>
      </c>
      <c r="BH137" s="30">
        <f t="shared" si="238"/>
        <v>0</v>
      </c>
      <c r="BI137" s="30">
        <f t="shared" si="238"/>
        <v>0</v>
      </c>
      <c r="BJ137" s="30">
        <f t="shared" si="238"/>
        <v>0</v>
      </c>
      <c r="BK137" s="30">
        <f t="shared" si="238"/>
        <v>0</v>
      </c>
      <c r="BL137" s="30">
        <f t="shared" si="238"/>
        <v>0</v>
      </c>
      <c r="BM137" s="30">
        <f t="shared" si="238"/>
        <v>0</v>
      </c>
      <c r="BN137" s="30">
        <f t="shared" si="238"/>
        <v>0</v>
      </c>
      <c r="BO137" s="30">
        <f t="shared" si="238"/>
        <v>0</v>
      </c>
      <c r="BP137" s="30">
        <f t="shared" si="238"/>
        <v>0</v>
      </c>
      <c r="BQ137" s="31">
        <f t="shared" si="233"/>
        <v>0</v>
      </c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</row>
    <row r="138">
      <c r="A138" s="28">
        <v>7.0</v>
      </c>
      <c r="B138" s="29" t="s">
        <v>67</v>
      </c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31">
        <f t="shared" si="230"/>
        <v>0</v>
      </c>
      <c r="AI138" s="7"/>
      <c r="AJ138" s="30">
        <v>7.0</v>
      </c>
      <c r="AK138" s="32" t="s">
        <v>67</v>
      </c>
      <c r="AL138" s="41" t="str">
        <f t="shared" si="231"/>
        <v/>
      </c>
      <c r="AM138" s="30">
        <f t="shared" si="234"/>
        <v>0</v>
      </c>
      <c r="AN138" s="30">
        <f t="shared" ref="AN138:BP138" si="239">SUM($C138:E138)</f>
        <v>0</v>
      </c>
      <c r="AO138" s="30">
        <f t="shared" si="239"/>
        <v>0</v>
      </c>
      <c r="AP138" s="30">
        <f t="shared" si="239"/>
        <v>0</v>
      </c>
      <c r="AQ138" s="30">
        <f t="shared" si="239"/>
        <v>0</v>
      </c>
      <c r="AR138" s="30">
        <f t="shared" si="239"/>
        <v>0</v>
      </c>
      <c r="AS138" s="30">
        <f t="shared" si="239"/>
        <v>0</v>
      </c>
      <c r="AT138" s="30">
        <f t="shared" si="239"/>
        <v>0</v>
      </c>
      <c r="AU138" s="30">
        <f t="shared" si="239"/>
        <v>0</v>
      </c>
      <c r="AV138" s="30">
        <f t="shared" si="239"/>
        <v>0</v>
      </c>
      <c r="AW138" s="30">
        <f t="shared" si="239"/>
        <v>0</v>
      </c>
      <c r="AX138" s="30">
        <f t="shared" si="239"/>
        <v>0</v>
      </c>
      <c r="AY138" s="30">
        <f t="shared" si="239"/>
        <v>0</v>
      </c>
      <c r="AZ138" s="30">
        <f t="shared" si="239"/>
        <v>0</v>
      </c>
      <c r="BA138" s="30">
        <f t="shared" si="239"/>
        <v>0</v>
      </c>
      <c r="BB138" s="30">
        <f t="shared" si="239"/>
        <v>0</v>
      </c>
      <c r="BC138" s="30">
        <f t="shared" si="239"/>
        <v>0</v>
      </c>
      <c r="BD138" s="30">
        <f t="shared" si="239"/>
        <v>0</v>
      </c>
      <c r="BE138" s="30">
        <f t="shared" si="239"/>
        <v>0</v>
      </c>
      <c r="BF138" s="30">
        <f t="shared" si="239"/>
        <v>0</v>
      </c>
      <c r="BG138" s="30">
        <f t="shared" si="239"/>
        <v>0</v>
      </c>
      <c r="BH138" s="30">
        <f t="shared" si="239"/>
        <v>0</v>
      </c>
      <c r="BI138" s="30">
        <f t="shared" si="239"/>
        <v>0</v>
      </c>
      <c r="BJ138" s="30">
        <f t="shared" si="239"/>
        <v>0</v>
      </c>
      <c r="BK138" s="30">
        <f t="shared" si="239"/>
        <v>0</v>
      </c>
      <c r="BL138" s="30">
        <f t="shared" si="239"/>
        <v>0</v>
      </c>
      <c r="BM138" s="30">
        <f t="shared" si="239"/>
        <v>0</v>
      </c>
      <c r="BN138" s="30">
        <f t="shared" si="239"/>
        <v>0</v>
      </c>
      <c r="BO138" s="30">
        <f t="shared" si="239"/>
        <v>0</v>
      </c>
      <c r="BP138" s="30">
        <f t="shared" si="239"/>
        <v>0</v>
      </c>
      <c r="BQ138" s="31">
        <f t="shared" si="233"/>
        <v>0</v>
      </c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</row>
    <row r="139">
      <c r="A139" s="28">
        <v>8.0</v>
      </c>
      <c r="B139" s="29" t="s">
        <v>68</v>
      </c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31">
        <f t="shared" si="230"/>
        <v>0</v>
      </c>
      <c r="AI139" s="7"/>
      <c r="AJ139" s="30">
        <v>8.0</v>
      </c>
      <c r="AK139" s="32" t="s">
        <v>68</v>
      </c>
      <c r="AL139" s="41" t="str">
        <f t="shared" si="231"/>
        <v/>
      </c>
      <c r="AM139" s="30">
        <f t="shared" si="234"/>
        <v>0</v>
      </c>
      <c r="AN139" s="30">
        <f t="shared" ref="AN139:BP139" si="240">SUM($C139:E139)</f>
        <v>0</v>
      </c>
      <c r="AO139" s="30">
        <f t="shared" si="240"/>
        <v>0</v>
      </c>
      <c r="AP139" s="30">
        <f t="shared" si="240"/>
        <v>0</v>
      </c>
      <c r="AQ139" s="30">
        <f t="shared" si="240"/>
        <v>0</v>
      </c>
      <c r="AR139" s="30">
        <f t="shared" si="240"/>
        <v>0</v>
      </c>
      <c r="AS139" s="30">
        <f t="shared" si="240"/>
        <v>0</v>
      </c>
      <c r="AT139" s="30">
        <f t="shared" si="240"/>
        <v>0</v>
      </c>
      <c r="AU139" s="30">
        <f t="shared" si="240"/>
        <v>0</v>
      </c>
      <c r="AV139" s="30">
        <f t="shared" si="240"/>
        <v>0</v>
      </c>
      <c r="AW139" s="30">
        <f t="shared" si="240"/>
        <v>0</v>
      </c>
      <c r="AX139" s="30">
        <f t="shared" si="240"/>
        <v>0</v>
      </c>
      <c r="AY139" s="30">
        <f t="shared" si="240"/>
        <v>0</v>
      </c>
      <c r="AZ139" s="30">
        <f t="shared" si="240"/>
        <v>0</v>
      </c>
      <c r="BA139" s="30">
        <f t="shared" si="240"/>
        <v>0</v>
      </c>
      <c r="BB139" s="30">
        <f t="shared" si="240"/>
        <v>0</v>
      </c>
      <c r="BC139" s="30">
        <f t="shared" si="240"/>
        <v>0</v>
      </c>
      <c r="BD139" s="30">
        <f t="shared" si="240"/>
        <v>0</v>
      </c>
      <c r="BE139" s="30">
        <f t="shared" si="240"/>
        <v>0</v>
      </c>
      <c r="BF139" s="30">
        <f t="shared" si="240"/>
        <v>0</v>
      </c>
      <c r="BG139" s="30">
        <f t="shared" si="240"/>
        <v>0</v>
      </c>
      <c r="BH139" s="30">
        <f t="shared" si="240"/>
        <v>0</v>
      </c>
      <c r="BI139" s="30">
        <f t="shared" si="240"/>
        <v>0</v>
      </c>
      <c r="BJ139" s="30">
        <f t="shared" si="240"/>
        <v>0</v>
      </c>
      <c r="BK139" s="30">
        <f t="shared" si="240"/>
        <v>0</v>
      </c>
      <c r="BL139" s="30">
        <f t="shared" si="240"/>
        <v>0</v>
      </c>
      <c r="BM139" s="30">
        <f t="shared" si="240"/>
        <v>0</v>
      </c>
      <c r="BN139" s="30">
        <f t="shared" si="240"/>
        <v>0</v>
      </c>
      <c r="BO139" s="30">
        <f t="shared" si="240"/>
        <v>0</v>
      </c>
      <c r="BP139" s="30">
        <f t="shared" si="240"/>
        <v>0</v>
      </c>
      <c r="BQ139" s="31">
        <f t="shared" si="233"/>
        <v>0</v>
      </c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</row>
    <row r="140">
      <c r="A140" s="50"/>
      <c r="B140" s="51" t="s">
        <v>69</v>
      </c>
      <c r="C140" s="49">
        <f t="shared" ref="C140:AG140" si="241">SUM(C132:C139)</f>
        <v>0</v>
      </c>
      <c r="D140" s="49">
        <f t="shared" si="241"/>
        <v>0</v>
      </c>
      <c r="E140" s="49">
        <f t="shared" si="241"/>
        <v>0</v>
      </c>
      <c r="F140" s="49">
        <f t="shared" si="241"/>
        <v>0</v>
      </c>
      <c r="G140" s="49">
        <f t="shared" si="241"/>
        <v>0</v>
      </c>
      <c r="H140" s="49">
        <f t="shared" si="241"/>
        <v>0</v>
      </c>
      <c r="I140" s="49">
        <f t="shared" si="241"/>
        <v>0</v>
      </c>
      <c r="J140" s="49">
        <f t="shared" si="241"/>
        <v>0</v>
      </c>
      <c r="K140" s="49">
        <f t="shared" si="241"/>
        <v>0</v>
      </c>
      <c r="L140" s="49">
        <f t="shared" si="241"/>
        <v>0</v>
      </c>
      <c r="M140" s="49">
        <f t="shared" si="241"/>
        <v>0</v>
      </c>
      <c r="N140" s="49">
        <f t="shared" si="241"/>
        <v>0</v>
      </c>
      <c r="O140" s="49">
        <f t="shared" si="241"/>
        <v>0</v>
      </c>
      <c r="P140" s="49">
        <f t="shared" si="241"/>
        <v>0</v>
      </c>
      <c r="Q140" s="49">
        <f t="shared" si="241"/>
        <v>0</v>
      </c>
      <c r="R140" s="49">
        <f t="shared" si="241"/>
        <v>0</v>
      </c>
      <c r="S140" s="49">
        <f t="shared" si="241"/>
        <v>0</v>
      </c>
      <c r="T140" s="49">
        <f t="shared" si="241"/>
        <v>0</v>
      </c>
      <c r="U140" s="49">
        <f t="shared" si="241"/>
        <v>0</v>
      </c>
      <c r="V140" s="49">
        <f t="shared" si="241"/>
        <v>0</v>
      </c>
      <c r="W140" s="49">
        <f t="shared" si="241"/>
        <v>0</v>
      </c>
      <c r="X140" s="49">
        <f t="shared" si="241"/>
        <v>0</v>
      </c>
      <c r="Y140" s="49">
        <f t="shared" si="241"/>
        <v>0</v>
      </c>
      <c r="Z140" s="49">
        <f t="shared" si="241"/>
        <v>0</v>
      </c>
      <c r="AA140" s="49">
        <f t="shared" si="241"/>
        <v>0</v>
      </c>
      <c r="AB140" s="49">
        <f t="shared" si="241"/>
        <v>0</v>
      </c>
      <c r="AC140" s="49">
        <f t="shared" si="241"/>
        <v>0</v>
      </c>
      <c r="AD140" s="49">
        <f t="shared" si="241"/>
        <v>0</v>
      </c>
      <c r="AE140" s="49">
        <f t="shared" si="241"/>
        <v>0</v>
      </c>
      <c r="AF140" s="49">
        <f t="shared" si="241"/>
        <v>0</v>
      </c>
      <c r="AG140" s="49">
        <f t="shared" si="241"/>
        <v>0</v>
      </c>
      <c r="AH140" s="49">
        <f t="shared" si="230"/>
        <v>0</v>
      </c>
      <c r="AI140" s="7"/>
      <c r="AJ140" s="45"/>
      <c r="AK140" s="46" t="s">
        <v>69</v>
      </c>
      <c r="AL140" s="47">
        <f t="shared" si="231"/>
        <v>0</v>
      </c>
      <c r="AM140" s="47">
        <f t="shared" si="234"/>
        <v>0</v>
      </c>
      <c r="AN140" s="47">
        <f t="shared" ref="AN140:BP140" si="242">SUM($C140:E140)</f>
        <v>0</v>
      </c>
      <c r="AO140" s="47">
        <f t="shared" si="242"/>
        <v>0</v>
      </c>
      <c r="AP140" s="47">
        <f t="shared" si="242"/>
        <v>0</v>
      </c>
      <c r="AQ140" s="47">
        <f t="shared" si="242"/>
        <v>0</v>
      </c>
      <c r="AR140" s="47">
        <f t="shared" si="242"/>
        <v>0</v>
      </c>
      <c r="AS140" s="47">
        <f t="shared" si="242"/>
        <v>0</v>
      </c>
      <c r="AT140" s="47">
        <f t="shared" si="242"/>
        <v>0</v>
      </c>
      <c r="AU140" s="47">
        <f t="shared" si="242"/>
        <v>0</v>
      </c>
      <c r="AV140" s="47">
        <f t="shared" si="242"/>
        <v>0</v>
      </c>
      <c r="AW140" s="47">
        <f t="shared" si="242"/>
        <v>0</v>
      </c>
      <c r="AX140" s="47">
        <f t="shared" si="242"/>
        <v>0</v>
      </c>
      <c r="AY140" s="47">
        <f t="shared" si="242"/>
        <v>0</v>
      </c>
      <c r="AZ140" s="47">
        <f t="shared" si="242"/>
        <v>0</v>
      </c>
      <c r="BA140" s="47">
        <f t="shared" si="242"/>
        <v>0</v>
      </c>
      <c r="BB140" s="47">
        <f t="shared" si="242"/>
        <v>0</v>
      </c>
      <c r="BC140" s="47">
        <f t="shared" si="242"/>
        <v>0</v>
      </c>
      <c r="BD140" s="47">
        <f t="shared" si="242"/>
        <v>0</v>
      </c>
      <c r="BE140" s="47">
        <f t="shared" si="242"/>
        <v>0</v>
      </c>
      <c r="BF140" s="47">
        <f t="shared" si="242"/>
        <v>0</v>
      </c>
      <c r="BG140" s="47">
        <f t="shared" si="242"/>
        <v>0</v>
      </c>
      <c r="BH140" s="47">
        <f t="shared" si="242"/>
        <v>0</v>
      </c>
      <c r="BI140" s="47">
        <f t="shared" si="242"/>
        <v>0</v>
      </c>
      <c r="BJ140" s="47">
        <f t="shared" si="242"/>
        <v>0</v>
      </c>
      <c r="BK140" s="47">
        <f t="shared" si="242"/>
        <v>0</v>
      </c>
      <c r="BL140" s="47">
        <f t="shared" si="242"/>
        <v>0</v>
      </c>
      <c r="BM140" s="47">
        <f t="shared" si="242"/>
        <v>0</v>
      </c>
      <c r="BN140" s="47">
        <f t="shared" si="242"/>
        <v>0</v>
      </c>
      <c r="BO140" s="47">
        <f t="shared" si="242"/>
        <v>0</v>
      </c>
      <c r="BP140" s="47">
        <f t="shared" si="242"/>
        <v>0</v>
      </c>
      <c r="BQ140" s="49">
        <f t="shared" si="233"/>
        <v>0</v>
      </c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</row>
    <row r="142">
      <c r="A142" s="8" t="s">
        <v>35</v>
      </c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</row>
    <row r="143">
      <c r="A143" s="9" t="str">
        <f>TEXT(C145,"MMMM YYYY")</f>
        <v>November 2026</v>
      </c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11" t="s">
        <v>88</v>
      </c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</row>
    <row r="145" ht="42.75" customHeight="1">
      <c r="A145" s="14" t="s">
        <v>41</v>
      </c>
      <c r="B145" s="14" t="s">
        <v>42</v>
      </c>
      <c r="C145" s="15">
        <v>46327.0</v>
      </c>
      <c r="D145" s="15">
        <v>46328.0</v>
      </c>
      <c r="E145" s="15">
        <v>46329.0</v>
      </c>
      <c r="F145" s="15">
        <v>46330.0</v>
      </c>
      <c r="G145" s="15">
        <v>46331.0</v>
      </c>
      <c r="H145" s="15">
        <v>46332.0</v>
      </c>
      <c r="I145" s="15">
        <v>46333.0</v>
      </c>
      <c r="J145" s="15">
        <v>46334.0</v>
      </c>
      <c r="K145" s="15">
        <v>46335.0</v>
      </c>
      <c r="L145" s="15">
        <v>46336.0</v>
      </c>
      <c r="M145" s="15">
        <v>46337.0</v>
      </c>
      <c r="N145" s="15">
        <v>46338.0</v>
      </c>
      <c r="O145" s="15">
        <v>46339.0</v>
      </c>
      <c r="P145" s="15">
        <v>46340.0</v>
      </c>
      <c r="Q145" s="15">
        <v>46341.0</v>
      </c>
      <c r="R145" s="15">
        <v>46342.0</v>
      </c>
      <c r="S145" s="15">
        <v>46343.0</v>
      </c>
      <c r="T145" s="15">
        <v>46344.0</v>
      </c>
      <c r="U145" s="15">
        <v>46345.0</v>
      </c>
      <c r="V145" s="15">
        <v>46346.0</v>
      </c>
      <c r="W145" s="15">
        <v>46347.0</v>
      </c>
      <c r="X145" s="15">
        <v>46348.0</v>
      </c>
      <c r="Y145" s="15">
        <v>46349.0</v>
      </c>
      <c r="Z145" s="15">
        <v>46350.0</v>
      </c>
      <c r="AA145" s="15">
        <v>46351.0</v>
      </c>
      <c r="AB145" s="15">
        <v>46352.0</v>
      </c>
      <c r="AC145" s="15">
        <v>46353.0</v>
      </c>
      <c r="AD145" s="15">
        <v>46354.0</v>
      </c>
      <c r="AE145" s="15">
        <v>46355.0</v>
      </c>
      <c r="AF145" s="15">
        <v>46356.0</v>
      </c>
      <c r="AG145" s="92"/>
      <c r="AH145" s="16" t="s">
        <v>43</v>
      </c>
      <c r="AI145" s="17"/>
      <c r="AJ145" s="14" t="s">
        <v>41</v>
      </c>
      <c r="AK145" s="14" t="s">
        <v>42</v>
      </c>
      <c r="AL145" s="19">
        <v>46327.0</v>
      </c>
      <c r="AM145" s="19">
        <v>46328.0</v>
      </c>
      <c r="AN145" s="19">
        <v>46329.0</v>
      </c>
      <c r="AO145" s="19">
        <v>46330.0</v>
      </c>
      <c r="AP145" s="19">
        <v>46331.0</v>
      </c>
      <c r="AQ145" s="19">
        <v>46332.0</v>
      </c>
      <c r="AR145" s="19">
        <v>46333.0</v>
      </c>
      <c r="AS145" s="19">
        <v>46334.0</v>
      </c>
      <c r="AT145" s="19">
        <v>46335.0</v>
      </c>
      <c r="AU145" s="19">
        <v>46336.0</v>
      </c>
      <c r="AV145" s="19">
        <v>46337.0</v>
      </c>
      <c r="AW145" s="19">
        <v>46338.0</v>
      </c>
      <c r="AX145" s="19">
        <v>46339.0</v>
      </c>
      <c r="AY145" s="19">
        <v>46340.0</v>
      </c>
      <c r="AZ145" s="19">
        <v>46341.0</v>
      </c>
      <c r="BA145" s="19">
        <v>46342.0</v>
      </c>
      <c r="BB145" s="19">
        <v>46343.0</v>
      </c>
      <c r="BC145" s="19">
        <v>46344.0</v>
      </c>
      <c r="BD145" s="19">
        <v>46345.0</v>
      </c>
      <c r="BE145" s="19">
        <v>46346.0</v>
      </c>
      <c r="BF145" s="19">
        <v>46347.0</v>
      </c>
      <c r="BG145" s="19">
        <v>46348.0</v>
      </c>
      <c r="BH145" s="19">
        <v>46349.0</v>
      </c>
      <c r="BI145" s="19">
        <v>46350.0</v>
      </c>
      <c r="BJ145" s="19">
        <v>46351.0</v>
      </c>
      <c r="BK145" s="19">
        <v>46352.0</v>
      </c>
      <c r="BL145" s="19">
        <v>46353.0</v>
      </c>
      <c r="BM145" s="19">
        <v>46354.0</v>
      </c>
      <c r="BN145" s="19">
        <v>46355.0</v>
      </c>
      <c r="BO145" s="19">
        <v>46356.0</v>
      </c>
      <c r="BP145" s="65"/>
      <c r="BQ145" s="18" t="s">
        <v>43</v>
      </c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</row>
    <row r="146">
      <c r="A146" s="28">
        <v>1.0</v>
      </c>
      <c r="B146" s="29" t="s">
        <v>60</v>
      </c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31">
        <f t="shared" ref="AH146:AH154" si="244">SUBTOTAL(9,C146:AG146)</f>
        <v>0</v>
      </c>
      <c r="AI146" s="7"/>
      <c r="AJ146" s="30">
        <v>1.0</v>
      </c>
      <c r="AK146" s="32" t="s">
        <v>60</v>
      </c>
      <c r="AL146" s="41" t="str">
        <f t="shared" ref="AL146:AL154" si="245">C146</f>
        <v/>
      </c>
      <c r="AM146" s="30">
        <f t="shared" ref="AM146:BO146" si="243">SUM($C146:D146)</f>
        <v>0</v>
      </c>
      <c r="AN146" s="30">
        <f t="shared" si="243"/>
        <v>0</v>
      </c>
      <c r="AO146" s="30">
        <f t="shared" si="243"/>
        <v>0</v>
      </c>
      <c r="AP146" s="30">
        <f t="shared" si="243"/>
        <v>0</v>
      </c>
      <c r="AQ146" s="30">
        <f t="shared" si="243"/>
        <v>0</v>
      </c>
      <c r="AR146" s="30">
        <f t="shared" si="243"/>
        <v>0</v>
      </c>
      <c r="AS146" s="30">
        <f t="shared" si="243"/>
        <v>0</v>
      </c>
      <c r="AT146" s="30">
        <f t="shared" si="243"/>
        <v>0</v>
      </c>
      <c r="AU146" s="30">
        <f t="shared" si="243"/>
        <v>0</v>
      </c>
      <c r="AV146" s="30">
        <f t="shared" si="243"/>
        <v>0</v>
      </c>
      <c r="AW146" s="30">
        <f t="shared" si="243"/>
        <v>0</v>
      </c>
      <c r="AX146" s="30">
        <f t="shared" si="243"/>
        <v>0</v>
      </c>
      <c r="AY146" s="30">
        <f t="shared" si="243"/>
        <v>0</v>
      </c>
      <c r="AZ146" s="30">
        <f t="shared" si="243"/>
        <v>0</v>
      </c>
      <c r="BA146" s="30">
        <f t="shared" si="243"/>
        <v>0</v>
      </c>
      <c r="BB146" s="30">
        <f t="shared" si="243"/>
        <v>0</v>
      </c>
      <c r="BC146" s="30">
        <f t="shared" si="243"/>
        <v>0</v>
      </c>
      <c r="BD146" s="30">
        <f t="shared" si="243"/>
        <v>0</v>
      </c>
      <c r="BE146" s="30">
        <f t="shared" si="243"/>
        <v>0</v>
      </c>
      <c r="BF146" s="30">
        <f t="shared" si="243"/>
        <v>0</v>
      </c>
      <c r="BG146" s="30">
        <f t="shared" si="243"/>
        <v>0</v>
      </c>
      <c r="BH146" s="30">
        <f t="shared" si="243"/>
        <v>0</v>
      </c>
      <c r="BI146" s="30">
        <f t="shared" si="243"/>
        <v>0</v>
      </c>
      <c r="BJ146" s="30">
        <f t="shared" si="243"/>
        <v>0</v>
      </c>
      <c r="BK146" s="30">
        <f t="shared" si="243"/>
        <v>0</v>
      </c>
      <c r="BL146" s="30">
        <f t="shared" si="243"/>
        <v>0</v>
      </c>
      <c r="BM146" s="30">
        <f t="shared" si="243"/>
        <v>0</v>
      </c>
      <c r="BN146" s="30">
        <f t="shared" si="243"/>
        <v>0</v>
      </c>
      <c r="BO146" s="30">
        <f t="shared" si="243"/>
        <v>0</v>
      </c>
      <c r="BP146" s="41"/>
      <c r="BQ146" s="85" t="str">
        <f t="shared" ref="BQ146:BQ154" si="247">BP146</f>
        <v/>
      </c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</row>
    <row r="147">
      <c r="A147" s="28">
        <v>2.0</v>
      </c>
      <c r="B147" s="29" t="s">
        <v>61</v>
      </c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31">
        <f t="shared" si="244"/>
        <v>0</v>
      </c>
      <c r="AI147" s="7"/>
      <c r="AJ147" s="30">
        <v>2.0</v>
      </c>
      <c r="AK147" s="32" t="s">
        <v>61</v>
      </c>
      <c r="AL147" s="41" t="str">
        <f t="shared" si="245"/>
        <v/>
      </c>
      <c r="AM147" s="30">
        <f t="shared" ref="AM147:AM154" si="248">SUM(C147:D147)</f>
        <v>0</v>
      </c>
      <c r="AN147" s="30">
        <f t="shared" ref="AN147:BO147" si="246">SUM($C147:E147)</f>
        <v>0</v>
      </c>
      <c r="AO147" s="30">
        <f t="shared" si="246"/>
        <v>0</v>
      </c>
      <c r="AP147" s="30">
        <f t="shared" si="246"/>
        <v>0</v>
      </c>
      <c r="AQ147" s="30">
        <f t="shared" si="246"/>
        <v>0</v>
      </c>
      <c r="AR147" s="30">
        <f t="shared" si="246"/>
        <v>0</v>
      </c>
      <c r="AS147" s="30">
        <f t="shared" si="246"/>
        <v>0</v>
      </c>
      <c r="AT147" s="30">
        <f t="shared" si="246"/>
        <v>0</v>
      </c>
      <c r="AU147" s="30">
        <f t="shared" si="246"/>
        <v>0</v>
      </c>
      <c r="AV147" s="30">
        <f t="shared" si="246"/>
        <v>0</v>
      </c>
      <c r="AW147" s="30">
        <f t="shared" si="246"/>
        <v>0</v>
      </c>
      <c r="AX147" s="30">
        <f t="shared" si="246"/>
        <v>0</v>
      </c>
      <c r="AY147" s="30">
        <f t="shared" si="246"/>
        <v>0</v>
      </c>
      <c r="AZ147" s="30">
        <f t="shared" si="246"/>
        <v>0</v>
      </c>
      <c r="BA147" s="30">
        <f t="shared" si="246"/>
        <v>0</v>
      </c>
      <c r="BB147" s="30">
        <f t="shared" si="246"/>
        <v>0</v>
      </c>
      <c r="BC147" s="30">
        <f t="shared" si="246"/>
        <v>0</v>
      </c>
      <c r="BD147" s="30">
        <f t="shared" si="246"/>
        <v>0</v>
      </c>
      <c r="BE147" s="30">
        <f t="shared" si="246"/>
        <v>0</v>
      </c>
      <c r="BF147" s="30">
        <f t="shared" si="246"/>
        <v>0</v>
      </c>
      <c r="BG147" s="30">
        <f t="shared" si="246"/>
        <v>0</v>
      </c>
      <c r="BH147" s="30">
        <f t="shared" si="246"/>
        <v>0</v>
      </c>
      <c r="BI147" s="30">
        <f t="shared" si="246"/>
        <v>0</v>
      </c>
      <c r="BJ147" s="30">
        <f t="shared" si="246"/>
        <v>0</v>
      </c>
      <c r="BK147" s="30">
        <f t="shared" si="246"/>
        <v>0</v>
      </c>
      <c r="BL147" s="30">
        <f t="shared" si="246"/>
        <v>0</v>
      </c>
      <c r="BM147" s="30">
        <f t="shared" si="246"/>
        <v>0</v>
      </c>
      <c r="BN147" s="30">
        <f t="shared" si="246"/>
        <v>0</v>
      </c>
      <c r="BO147" s="30">
        <f t="shared" si="246"/>
        <v>0</v>
      </c>
      <c r="BP147" s="41"/>
      <c r="BQ147" s="85" t="str">
        <f t="shared" si="247"/>
        <v/>
      </c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</row>
    <row r="148">
      <c r="A148" s="28">
        <v>3.0</v>
      </c>
      <c r="B148" s="29" t="s">
        <v>62</v>
      </c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31">
        <f t="shared" si="244"/>
        <v>0</v>
      </c>
      <c r="AI148" s="7"/>
      <c r="AJ148" s="30">
        <v>3.0</v>
      </c>
      <c r="AK148" s="32" t="s">
        <v>62</v>
      </c>
      <c r="AL148" s="41" t="str">
        <f t="shared" si="245"/>
        <v/>
      </c>
      <c r="AM148" s="30">
        <f t="shared" si="248"/>
        <v>0</v>
      </c>
      <c r="AN148" s="30">
        <f t="shared" ref="AN148:BO148" si="249">SUM($C148:E148)</f>
        <v>0</v>
      </c>
      <c r="AO148" s="30">
        <f t="shared" si="249"/>
        <v>0</v>
      </c>
      <c r="AP148" s="30">
        <f t="shared" si="249"/>
        <v>0</v>
      </c>
      <c r="AQ148" s="30">
        <f t="shared" si="249"/>
        <v>0</v>
      </c>
      <c r="AR148" s="30">
        <f t="shared" si="249"/>
        <v>0</v>
      </c>
      <c r="AS148" s="30">
        <f t="shared" si="249"/>
        <v>0</v>
      </c>
      <c r="AT148" s="30">
        <f t="shared" si="249"/>
        <v>0</v>
      </c>
      <c r="AU148" s="30">
        <f t="shared" si="249"/>
        <v>0</v>
      </c>
      <c r="AV148" s="30">
        <f t="shared" si="249"/>
        <v>0</v>
      </c>
      <c r="AW148" s="30">
        <f t="shared" si="249"/>
        <v>0</v>
      </c>
      <c r="AX148" s="30">
        <f t="shared" si="249"/>
        <v>0</v>
      </c>
      <c r="AY148" s="30">
        <f t="shared" si="249"/>
        <v>0</v>
      </c>
      <c r="AZ148" s="30">
        <f t="shared" si="249"/>
        <v>0</v>
      </c>
      <c r="BA148" s="30">
        <f t="shared" si="249"/>
        <v>0</v>
      </c>
      <c r="BB148" s="30">
        <f t="shared" si="249"/>
        <v>0</v>
      </c>
      <c r="BC148" s="30">
        <f t="shared" si="249"/>
        <v>0</v>
      </c>
      <c r="BD148" s="30">
        <f t="shared" si="249"/>
        <v>0</v>
      </c>
      <c r="BE148" s="30">
        <f t="shared" si="249"/>
        <v>0</v>
      </c>
      <c r="BF148" s="30">
        <f t="shared" si="249"/>
        <v>0</v>
      </c>
      <c r="BG148" s="30">
        <f t="shared" si="249"/>
        <v>0</v>
      </c>
      <c r="BH148" s="30">
        <f t="shared" si="249"/>
        <v>0</v>
      </c>
      <c r="BI148" s="30">
        <f t="shared" si="249"/>
        <v>0</v>
      </c>
      <c r="BJ148" s="30">
        <f t="shared" si="249"/>
        <v>0</v>
      </c>
      <c r="BK148" s="30">
        <f t="shared" si="249"/>
        <v>0</v>
      </c>
      <c r="BL148" s="30">
        <f t="shared" si="249"/>
        <v>0</v>
      </c>
      <c r="BM148" s="30">
        <f t="shared" si="249"/>
        <v>0</v>
      </c>
      <c r="BN148" s="30">
        <f t="shared" si="249"/>
        <v>0</v>
      </c>
      <c r="BO148" s="30">
        <f t="shared" si="249"/>
        <v>0</v>
      </c>
      <c r="BP148" s="41"/>
      <c r="BQ148" s="85" t="str">
        <f t="shared" si="247"/>
        <v/>
      </c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</row>
    <row r="149">
      <c r="A149" s="28">
        <v>4.0</v>
      </c>
      <c r="B149" s="29" t="s">
        <v>63</v>
      </c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31">
        <f t="shared" si="244"/>
        <v>0</v>
      </c>
      <c r="AI149" s="7"/>
      <c r="AJ149" s="30">
        <v>4.0</v>
      </c>
      <c r="AK149" s="32" t="s">
        <v>63</v>
      </c>
      <c r="AL149" s="41" t="str">
        <f t="shared" si="245"/>
        <v/>
      </c>
      <c r="AM149" s="30">
        <f t="shared" si="248"/>
        <v>0</v>
      </c>
      <c r="AN149" s="30">
        <f t="shared" ref="AN149:BO149" si="250">SUM($C149:E149)</f>
        <v>0</v>
      </c>
      <c r="AO149" s="30">
        <f t="shared" si="250"/>
        <v>0</v>
      </c>
      <c r="AP149" s="30">
        <f t="shared" si="250"/>
        <v>0</v>
      </c>
      <c r="AQ149" s="30">
        <f t="shared" si="250"/>
        <v>0</v>
      </c>
      <c r="AR149" s="30">
        <f t="shared" si="250"/>
        <v>0</v>
      </c>
      <c r="AS149" s="30">
        <f t="shared" si="250"/>
        <v>0</v>
      </c>
      <c r="AT149" s="30">
        <f t="shared" si="250"/>
        <v>0</v>
      </c>
      <c r="AU149" s="30">
        <f t="shared" si="250"/>
        <v>0</v>
      </c>
      <c r="AV149" s="30">
        <f t="shared" si="250"/>
        <v>0</v>
      </c>
      <c r="AW149" s="30">
        <f t="shared" si="250"/>
        <v>0</v>
      </c>
      <c r="AX149" s="30">
        <f t="shared" si="250"/>
        <v>0</v>
      </c>
      <c r="AY149" s="30">
        <f t="shared" si="250"/>
        <v>0</v>
      </c>
      <c r="AZ149" s="30">
        <f t="shared" si="250"/>
        <v>0</v>
      </c>
      <c r="BA149" s="30">
        <f t="shared" si="250"/>
        <v>0</v>
      </c>
      <c r="BB149" s="30">
        <f t="shared" si="250"/>
        <v>0</v>
      </c>
      <c r="BC149" s="30">
        <f t="shared" si="250"/>
        <v>0</v>
      </c>
      <c r="BD149" s="30">
        <f t="shared" si="250"/>
        <v>0</v>
      </c>
      <c r="BE149" s="30">
        <f t="shared" si="250"/>
        <v>0</v>
      </c>
      <c r="BF149" s="30">
        <f t="shared" si="250"/>
        <v>0</v>
      </c>
      <c r="BG149" s="30">
        <f t="shared" si="250"/>
        <v>0</v>
      </c>
      <c r="BH149" s="30">
        <f t="shared" si="250"/>
        <v>0</v>
      </c>
      <c r="BI149" s="30">
        <f t="shared" si="250"/>
        <v>0</v>
      </c>
      <c r="BJ149" s="30">
        <f t="shared" si="250"/>
        <v>0</v>
      </c>
      <c r="BK149" s="30">
        <f t="shared" si="250"/>
        <v>0</v>
      </c>
      <c r="BL149" s="30">
        <f t="shared" si="250"/>
        <v>0</v>
      </c>
      <c r="BM149" s="30">
        <f t="shared" si="250"/>
        <v>0</v>
      </c>
      <c r="BN149" s="30">
        <f t="shared" si="250"/>
        <v>0</v>
      </c>
      <c r="BO149" s="30">
        <f t="shared" si="250"/>
        <v>0</v>
      </c>
      <c r="BP149" s="41"/>
      <c r="BQ149" s="85" t="str">
        <f t="shared" si="247"/>
        <v/>
      </c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</row>
    <row r="150">
      <c r="A150" s="28">
        <v>5.0</v>
      </c>
      <c r="B150" s="29" t="s">
        <v>64</v>
      </c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31">
        <f t="shared" si="244"/>
        <v>0</v>
      </c>
      <c r="AI150" s="7"/>
      <c r="AJ150" s="30">
        <v>5.0</v>
      </c>
      <c r="AK150" s="32" t="s">
        <v>64</v>
      </c>
      <c r="AL150" s="41" t="str">
        <f t="shared" si="245"/>
        <v/>
      </c>
      <c r="AM150" s="30">
        <f t="shared" si="248"/>
        <v>0</v>
      </c>
      <c r="AN150" s="30">
        <f t="shared" ref="AN150:BO150" si="251">SUM($C150:E150)</f>
        <v>0</v>
      </c>
      <c r="AO150" s="30">
        <f t="shared" si="251"/>
        <v>0</v>
      </c>
      <c r="AP150" s="30">
        <f t="shared" si="251"/>
        <v>0</v>
      </c>
      <c r="AQ150" s="30">
        <f t="shared" si="251"/>
        <v>0</v>
      </c>
      <c r="AR150" s="30">
        <f t="shared" si="251"/>
        <v>0</v>
      </c>
      <c r="AS150" s="30">
        <f t="shared" si="251"/>
        <v>0</v>
      </c>
      <c r="AT150" s="30">
        <f t="shared" si="251"/>
        <v>0</v>
      </c>
      <c r="AU150" s="30">
        <f t="shared" si="251"/>
        <v>0</v>
      </c>
      <c r="AV150" s="30">
        <f t="shared" si="251"/>
        <v>0</v>
      </c>
      <c r="AW150" s="30">
        <f t="shared" si="251"/>
        <v>0</v>
      </c>
      <c r="AX150" s="30">
        <f t="shared" si="251"/>
        <v>0</v>
      </c>
      <c r="AY150" s="30">
        <f t="shared" si="251"/>
        <v>0</v>
      </c>
      <c r="AZ150" s="30">
        <f t="shared" si="251"/>
        <v>0</v>
      </c>
      <c r="BA150" s="30">
        <f t="shared" si="251"/>
        <v>0</v>
      </c>
      <c r="BB150" s="30">
        <f t="shared" si="251"/>
        <v>0</v>
      </c>
      <c r="BC150" s="30">
        <f t="shared" si="251"/>
        <v>0</v>
      </c>
      <c r="BD150" s="30">
        <f t="shared" si="251"/>
        <v>0</v>
      </c>
      <c r="BE150" s="30">
        <f t="shared" si="251"/>
        <v>0</v>
      </c>
      <c r="BF150" s="30">
        <f t="shared" si="251"/>
        <v>0</v>
      </c>
      <c r="BG150" s="30">
        <f t="shared" si="251"/>
        <v>0</v>
      </c>
      <c r="BH150" s="30">
        <f t="shared" si="251"/>
        <v>0</v>
      </c>
      <c r="BI150" s="30">
        <f t="shared" si="251"/>
        <v>0</v>
      </c>
      <c r="BJ150" s="30">
        <f t="shared" si="251"/>
        <v>0</v>
      </c>
      <c r="BK150" s="30">
        <f t="shared" si="251"/>
        <v>0</v>
      </c>
      <c r="BL150" s="30">
        <f t="shared" si="251"/>
        <v>0</v>
      </c>
      <c r="BM150" s="30">
        <f t="shared" si="251"/>
        <v>0</v>
      </c>
      <c r="BN150" s="30">
        <f t="shared" si="251"/>
        <v>0</v>
      </c>
      <c r="BO150" s="30">
        <f t="shared" si="251"/>
        <v>0</v>
      </c>
      <c r="BP150" s="41"/>
      <c r="BQ150" s="85" t="str">
        <f t="shared" si="247"/>
        <v/>
      </c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</row>
    <row r="151">
      <c r="A151" s="28">
        <v>6.0</v>
      </c>
      <c r="B151" s="29" t="s">
        <v>66</v>
      </c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31">
        <f t="shared" si="244"/>
        <v>0</v>
      </c>
      <c r="AI151" s="7"/>
      <c r="AJ151" s="30">
        <v>6.0</v>
      </c>
      <c r="AK151" s="32" t="s">
        <v>66</v>
      </c>
      <c r="AL151" s="41" t="str">
        <f t="shared" si="245"/>
        <v/>
      </c>
      <c r="AM151" s="30">
        <f t="shared" si="248"/>
        <v>0</v>
      </c>
      <c r="AN151" s="30">
        <f t="shared" ref="AN151:BO151" si="252">SUM($C151:E151)</f>
        <v>0</v>
      </c>
      <c r="AO151" s="30">
        <f t="shared" si="252"/>
        <v>0</v>
      </c>
      <c r="AP151" s="30">
        <f t="shared" si="252"/>
        <v>0</v>
      </c>
      <c r="AQ151" s="30">
        <f t="shared" si="252"/>
        <v>0</v>
      </c>
      <c r="AR151" s="30">
        <f t="shared" si="252"/>
        <v>0</v>
      </c>
      <c r="AS151" s="30">
        <f t="shared" si="252"/>
        <v>0</v>
      </c>
      <c r="AT151" s="30">
        <f t="shared" si="252"/>
        <v>0</v>
      </c>
      <c r="AU151" s="30">
        <f t="shared" si="252"/>
        <v>0</v>
      </c>
      <c r="AV151" s="30">
        <f t="shared" si="252"/>
        <v>0</v>
      </c>
      <c r="AW151" s="30">
        <f t="shared" si="252"/>
        <v>0</v>
      </c>
      <c r="AX151" s="30">
        <f t="shared" si="252"/>
        <v>0</v>
      </c>
      <c r="AY151" s="30">
        <f t="shared" si="252"/>
        <v>0</v>
      </c>
      <c r="AZ151" s="30">
        <f t="shared" si="252"/>
        <v>0</v>
      </c>
      <c r="BA151" s="30">
        <f t="shared" si="252"/>
        <v>0</v>
      </c>
      <c r="BB151" s="30">
        <f t="shared" si="252"/>
        <v>0</v>
      </c>
      <c r="BC151" s="30">
        <f t="shared" si="252"/>
        <v>0</v>
      </c>
      <c r="BD151" s="30">
        <f t="shared" si="252"/>
        <v>0</v>
      </c>
      <c r="BE151" s="30">
        <f t="shared" si="252"/>
        <v>0</v>
      </c>
      <c r="BF151" s="30">
        <f t="shared" si="252"/>
        <v>0</v>
      </c>
      <c r="BG151" s="30">
        <f t="shared" si="252"/>
        <v>0</v>
      </c>
      <c r="BH151" s="30">
        <f t="shared" si="252"/>
        <v>0</v>
      </c>
      <c r="BI151" s="30">
        <f t="shared" si="252"/>
        <v>0</v>
      </c>
      <c r="BJ151" s="30">
        <f t="shared" si="252"/>
        <v>0</v>
      </c>
      <c r="BK151" s="30">
        <f t="shared" si="252"/>
        <v>0</v>
      </c>
      <c r="BL151" s="30">
        <f t="shared" si="252"/>
        <v>0</v>
      </c>
      <c r="BM151" s="30">
        <f t="shared" si="252"/>
        <v>0</v>
      </c>
      <c r="BN151" s="30">
        <f t="shared" si="252"/>
        <v>0</v>
      </c>
      <c r="BO151" s="30">
        <f t="shared" si="252"/>
        <v>0</v>
      </c>
      <c r="BP151" s="41"/>
      <c r="BQ151" s="85" t="str">
        <f t="shared" si="247"/>
        <v/>
      </c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</row>
    <row r="152">
      <c r="A152" s="28">
        <v>7.0</v>
      </c>
      <c r="B152" s="29" t="s">
        <v>67</v>
      </c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31">
        <f t="shared" si="244"/>
        <v>0</v>
      </c>
      <c r="AI152" s="7"/>
      <c r="AJ152" s="30">
        <v>7.0</v>
      </c>
      <c r="AK152" s="32" t="s">
        <v>67</v>
      </c>
      <c r="AL152" s="41" t="str">
        <f t="shared" si="245"/>
        <v/>
      </c>
      <c r="AM152" s="30">
        <f t="shared" si="248"/>
        <v>0</v>
      </c>
      <c r="AN152" s="30">
        <f t="shared" ref="AN152:BO152" si="253">SUM($C152:E152)</f>
        <v>0</v>
      </c>
      <c r="AO152" s="30">
        <f t="shared" si="253"/>
        <v>0</v>
      </c>
      <c r="AP152" s="30">
        <f t="shared" si="253"/>
        <v>0</v>
      </c>
      <c r="AQ152" s="30">
        <f t="shared" si="253"/>
        <v>0</v>
      </c>
      <c r="AR152" s="30">
        <f t="shared" si="253"/>
        <v>0</v>
      </c>
      <c r="AS152" s="30">
        <f t="shared" si="253"/>
        <v>0</v>
      </c>
      <c r="AT152" s="30">
        <f t="shared" si="253"/>
        <v>0</v>
      </c>
      <c r="AU152" s="30">
        <f t="shared" si="253"/>
        <v>0</v>
      </c>
      <c r="AV152" s="30">
        <f t="shared" si="253"/>
        <v>0</v>
      </c>
      <c r="AW152" s="30">
        <f t="shared" si="253"/>
        <v>0</v>
      </c>
      <c r="AX152" s="30">
        <f t="shared" si="253"/>
        <v>0</v>
      </c>
      <c r="AY152" s="30">
        <f t="shared" si="253"/>
        <v>0</v>
      </c>
      <c r="AZ152" s="30">
        <f t="shared" si="253"/>
        <v>0</v>
      </c>
      <c r="BA152" s="30">
        <f t="shared" si="253"/>
        <v>0</v>
      </c>
      <c r="BB152" s="30">
        <f t="shared" si="253"/>
        <v>0</v>
      </c>
      <c r="BC152" s="30">
        <f t="shared" si="253"/>
        <v>0</v>
      </c>
      <c r="BD152" s="30">
        <f t="shared" si="253"/>
        <v>0</v>
      </c>
      <c r="BE152" s="30">
        <f t="shared" si="253"/>
        <v>0</v>
      </c>
      <c r="BF152" s="30">
        <f t="shared" si="253"/>
        <v>0</v>
      </c>
      <c r="BG152" s="30">
        <f t="shared" si="253"/>
        <v>0</v>
      </c>
      <c r="BH152" s="30">
        <f t="shared" si="253"/>
        <v>0</v>
      </c>
      <c r="BI152" s="30">
        <f t="shared" si="253"/>
        <v>0</v>
      </c>
      <c r="BJ152" s="30">
        <f t="shared" si="253"/>
        <v>0</v>
      </c>
      <c r="BK152" s="30">
        <f t="shared" si="253"/>
        <v>0</v>
      </c>
      <c r="BL152" s="30">
        <f t="shared" si="253"/>
        <v>0</v>
      </c>
      <c r="BM152" s="30">
        <f t="shared" si="253"/>
        <v>0</v>
      </c>
      <c r="BN152" s="30">
        <f t="shared" si="253"/>
        <v>0</v>
      </c>
      <c r="BO152" s="30">
        <f t="shared" si="253"/>
        <v>0</v>
      </c>
      <c r="BP152" s="41"/>
      <c r="BQ152" s="85" t="str">
        <f t="shared" si="247"/>
        <v/>
      </c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</row>
    <row r="153">
      <c r="A153" s="28">
        <v>8.0</v>
      </c>
      <c r="B153" s="29" t="s">
        <v>68</v>
      </c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31">
        <f t="shared" si="244"/>
        <v>0</v>
      </c>
      <c r="AI153" s="7"/>
      <c r="AJ153" s="30">
        <v>8.0</v>
      </c>
      <c r="AK153" s="32" t="s">
        <v>68</v>
      </c>
      <c r="AL153" s="41" t="str">
        <f t="shared" si="245"/>
        <v/>
      </c>
      <c r="AM153" s="30">
        <f t="shared" si="248"/>
        <v>0</v>
      </c>
      <c r="AN153" s="30">
        <f t="shared" ref="AN153:BO153" si="254">SUM($C153:E153)</f>
        <v>0</v>
      </c>
      <c r="AO153" s="30">
        <f t="shared" si="254"/>
        <v>0</v>
      </c>
      <c r="AP153" s="30">
        <f t="shared" si="254"/>
        <v>0</v>
      </c>
      <c r="AQ153" s="30">
        <f t="shared" si="254"/>
        <v>0</v>
      </c>
      <c r="AR153" s="30">
        <f t="shared" si="254"/>
        <v>0</v>
      </c>
      <c r="AS153" s="30">
        <f t="shared" si="254"/>
        <v>0</v>
      </c>
      <c r="AT153" s="30">
        <f t="shared" si="254"/>
        <v>0</v>
      </c>
      <c r="AU153" s="30">
        <f t="shared" si="254"/>
        <v>0</v>
      </c>
      <c r="AV153" s="30">
        <f t="shared" si="254"/>
        <v>0</v>
      </c>
      <c r="AW153" s="30">
        <f t="shared" si="254"/>
        <v>0</v>
      </c>
      <c r="AX153" s="30">
        <f t="shared" si="254"/>
        <v>0</v>
      </c>
      <c r="AY153" s="30">
        <f t="shared" si="254"/>
        <v>0</v>
      </c>
      <c r="AZ153" s="30">
        <f t="shared" si="254"/>
        <v>0</v>
      </c>
      <c r="BA153" s="30">
        <f t="shared" si="254"/>
        <v>0</v>
      </c>
      <c r="BB153" s="30">
        <f t="shared" si="254"/>
        <v>0</v>
      </c>
      <c r="BC153" s="30">
        <f t="shared" si="254"/>
        <v>0</v>
      </c>
      <c r="BD153" s="30">
        <f t="shared" si="254"/>
        <v>0</v>
      </c>
      <c r="BE153" s="30">
        <f t="shared" si="254"/>
        <v>0</v>
      </c>
      <c r="BF153" s="30">
        <f t="shared" si="254"/>
        <v>0</v>
      </c>
      <c r="BG153" s="30">
        <f t="shared" si="254"/>
        <v>0</v>
      </c>
      <c r="BH153" s="30">
        <f t="shared" si="254"/>
        <v>0</v>
      </c>
      <c r="BI153" s="30">
        <f t="shared" si="254"/>
        <v>0</v>
      </c>
      <c r="BJ153" s="30">
        <f t="shared" si="254"/>
        <v>0</v>
      </c>
      <c r="BK153" s="30">
        <f t="shared" si="254"/>
        <v>0</v>
      </c>
      <c r="BL153" s="30">
        <f t="shared" si="254"/>
        <v>0</v>
      </c>
      <c r="BM153" s="30">
        <f t="shared" si="254"/>
        <v>0</v>
      </c>
      <c r="BN153" s="30">
        <f t="shared" si="254"/>
        <v>0</v>
      </c>
      <c r="BO153" s="30">
        <f t="shared" si="254"/>
        <v>0</v>
      </c>
      <c r="BP153" s="41"/>
      <c r="BQ153" s="85" t="str">
        <f t="shared" si="247"/>
        <v/>
      </c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</row>
    <row r="154">
      <c r="A154" s="50"/>
      <c r="B154" s="51" t="s">
        <v>69</v>
      </c>
      <c r="C154" s="49">
        <f t="shared" ref="C154:AG154" si="255">SUM(C146:C153)</f>
        <v>0</v>
      </c>
      <c r="D154" s="49">
        <f t="shared" si="255"/>
        <v>0</v>
      </c>
      <c r="E154" s="49">
        <f t="shared" si="255"/>
        <v>0</v>
      </c>
      <c r="F154" s="49">
        <f t="shared" si="255"/>
        <v>0</v>
      </c>
      <c r="G154" s="49">
        <f t="shared" si="255"/>
        <v>0</v>
      </c>
      <c r="H154" s="49">
        <f t="shared" si="255"/>
        <v>0</v>
      </c>
      <c r="I154" s="49">
        <f t="shared" si="255"/>
        <v>0</v>
      </c>
      <c r="J154" s="49">
        <f t="shared" si="255"/>
        <v>0</v>
      </c>
      <c r="K154" s="49">
        <f t="shared" si="255"/>
        <v>0</v>
      </c>
      <c r="L154" s="49">
        <f t="shared" si="255"/>
        <v>0</v>
      </c>
      <c r="M154" s="49">
        <f t="shared" si="255"/>
        <v>0</v>
      </c>
      <c r="N154" s="49">
        <f t="shared" si="255"/>
        <v>0</v>
      </c>
      <c r="O154" s="49">
        <f t="shared" si="255"/>
        <v>0</v>
      </c>
      <c r="P154" s="49">
        <f t="shared" si="255"/>
        <v>0</v>
      </c>
      <c r="Q154" s="49">
        <f t="shared" si="255"/>
        <v>0</v>
      </c>
      <c r="R154" s="49">
        <f t="shared" si="255"/>
        <v>0</v>
      </c>
      <c r="S154" s="49">
        <f t="shared" si="255"/>
        <v>0</v>
      </c>
      <c r="T154" s="49">
        <f t="shared" si="255"/>
        <v>0</v>
      </c>
      <c r="U154" s="49">
        <f t="shared" si="255"/>
        <v>0</v>
      </c>
      <c r="V154" s="49">
        <f t="shared" si="255"/>
        <v>0</v>
      </c>
      <c r="W154" s="49">
        <f t="shared" si="255"/>
        <v>0</v>
      </c>
      <c r="X154" s="49">
        <f t="shared" si="255"/>
        <v>0</v>
      </c>
      <c r="Y154" s="49">
        <f t="shared" si="255"/>
        <v>0</v>
      </c>
      <c r="Z154" s="49">
        <f t="shared" si="255"/>
        <v>0</v>
      </c>
      <c r="AA154" s="49">
        <f t="shared" si="255"/>
        <v>0</v>
      </c>
      <c r="AB154" s="49">
        <f t="shared" si="255"/>
        <v>0</v>
      </c>
      <c r="AC154" s="49">
        <f t="shared" si="255"/>
        <v>0</v>
      </c>
      <c r="AD154" s="49">
        <f t="shared" si="255"/>
        <v>0</v>
      </c>
      <c r="AE154" s="49">
        <f t="shared" si="255"/>
        <v>0</v>
      </c>
      <c r="AF154" s="49">
        <f t="shared" si="255"/>
        <v>0</v>
      </c>
      <c r="AG154" s="49">
        <f t="shared" si="255"/>
        <v>0</v>
      </c>
      <c r="AH154" s="49">
        <f t="shared" si="244"/>
        <v>0</v>
      </c>
      <c r="AI154" s="7"/>
      <c r="AJ154" s="45"/>
      <c r="AK154" s="46" t="s">
        <v>69</v>
      </c>
      <c r="AL154" s="47">
        <f t="shared" si="245"/>
        <v>0</v>
      </c>
      <c r="AM154" s="47">
        <f t="shared" si="248"/>
        <v>0</v>
      </c>
      <c r="AN154" s="47">
        <f t="shared" ref="AN154:BO154" si="256">SUM($C154:E154)</f>
        <v>0</v>
      </c>
      <c r="AO154" s="47">
        <f t="shared" si="256"/>
        <v>0</v>
      </c>
      <c r="AP154" s="47">
        <f t="shared" si="256"/>
        <v>0</v>
      </c>
      <c r="AQ154" s="47">
        <f t="shared" si="256"/>
        <v>0</v>
      </c>
      <c r="AR154" s="47">
        <f t="shared" si="256"/>
        <v>0</v>
      </c>
      <c r="AS154" s="47">
        <f t="shared" si="256"/>
        <v>0</v>
      </c>
      <c r="AT154" s="47">
        <f t="shared" si="256"/>
        <v>0</v>
      </c>
      <c r="AU154" s="47">
        <f t="shared" si="256"/>
        <v>0</v>
      </c>
      <c r="AV154" s="47">
        <f t="shared" si="256"/>
        <v>0</v>
      </c>
      <c r="AW154" s="47">
        <f t="shared" si="256"/>
        <v>0</v>
      </c>
      <c r="AX154" s="47">
        <f t="shared" si="256"/>
        <v>0</v>
      </c>
      <c r="AY154" s="47">
        <f t="shared" si="256"/>
        <v>0</v>
      </c>
      <c r="AZ154" s="47">
        <f t="shared" si="256"/>
        <v>0</v>
      </c>
      <c r="BA154" s="47">
        <f t="shared" si="256"/>
        <v>0</v>
      </c>
      <c r="BB154" s="47">
        <f t="shared" si="256"/>
        <v>0</v>
      </c>
      <c r="BC154" s="47">
        <f t="shared" si="256"/>
        <v>0</v>
      </c>
      <c r="BD154" s="47">
        <f t="shared" si="256"/>
        <v>0</v>
      </c>
      <c r="BE154" s="47">
        <f t="shared" si="256"/>
        <v>0</v>
      </c>
      <c r="BF154" s="47">
        <f t="shared" si="256"/>
        <v>0</v>
      </c>
      <c r="BG154" s="47">
        <f t="shared" si="256"/>
        <v>0</v>
      </c>
      <c r="BH154" s="47">
        <f t="shared" si="256"/>
        <v>0</v>
      </c>
      <c r="BI154" s="47">
        <f t="shared" si="256"/>
        <v>0</v>
      </c>
      <c r="BJ154" s="47">
        <f t="shared" si="256"/>
        <v>0</v>
      </c>
      <c r="BK154" s="47">
        <f t="shared" si="256"/>
        <v>0</v>
      </c>
      <c r="BL154" s="47">
        <f t="shared" si="256"/>
        <v>0</v>
      </c>
      <c r="BM154" s="47">
        <f t="shared" si="256"/>
        <v>0</v>
      </c>
      <c r="BN154" s="47">
        <f t="shared" si="256"/>
        <v>0</v>
      </c>
      <c r="BO154" s="47">
        <f t="shared" si="256"/>
        <v>0</v>
      </c>
      <c r="BP154" s="45"/>
      <c r="BQ154" s="50" t="str">
        <f t="shared" si="247"/>
        <v/>
      </c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</row>
    <row r="156">
      <c r="A156" s="8" t="s">
        <v>35</v>
      </c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</row>
    <row r="157">
      <c r="A157" s="9" t="str">
        <f>TEXT(C159,"MMMM YYYY")</f>
        <v>Desember 2026</v>
      </c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11" t="s">
        <v>89</v>
      </c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</row>
    <row r="159" ht="42.75" customHeight="1">
      <c r="A159" s="14" t="s">
        <v>41</v>
      </c>
      <c r="B159" s="14" t="s">
        <v>42</v>
      </c>
      <c r="C159" s="64">
        <v>46357.0</v>
      </c>
      <c r="D159" s="64">
        <v>46358.0</v>
      </c>
      <c r="E159" s="64">
        <v>46359.0</v>
      </c>
      <c r="F159" s="64">
        <v>46360.0</v>
      </c>
      <c r="G159" s="64">
        <v>46361.0</v>
      </c>
      <c r="H159" s="64">
        <v>46362.0</v>
      </c>
      <c r="I159" s="64">
        <v>46363.0</v>
      </c>
      <c r="J159" s="64">
        <v>46364.0</v>
      </c>
      <c r="K159" s="64">
        <v>46365.0</v>
      </c>
      <c r="L159" s="64">
        <v>46366.0</v>
      </c>
      <c r="M159" s="64">
        <v>46367.0</v>
      </c>
      <c r="N159" s="64">
        <v>46368.0</v>
      </c>
      <c r="O159" s="64">
        <v>46369.0</v>
      </c>
      <c r="P159" s="64">
        <v>46370.0</v>
      </c>
      <c r="Q159" s="64">
        <v>46371.0</v>
      </c>
      <c r="R159" s="64">
        <v>46372.0</v>
      </c>
      <c r="S159" s="64">
        <v>46373.0</v>
      </c>
      <c r="T159" s="64">
        <v>46374.0</v>
      </c>
      <c r="U159" s="64">
        <v>46375.0</v>
      </c>
      <c r="V159" s="64">
        <v>46376.0</v>
      </c>
      <c r="W159" s="64">
        <v>46377.0</v>
      </c>
      <c r="X159" s="64">
        <v>46378.0</v>
      </c>
      <c r="Y159" s="64">
        <v>46379.0</v>
      </c>
      <c r="Z159" s="64">
        <v>46380.0</v>
      </c>
      <c r="AA159" s="64">
        <v>46381.0</v>
      </c>
      <c r="AB159" s="64">
        <v>46382.0</v>
      </c>
      <c r="AC159" s="64">
        <v>46383.0</v>
      </c>
      <c r="AD159" s="64">
        <v>46384.0</v>
      </c>
      <c r="AE159" s="64">
        <v>46385.0</v>
      </c>
      <c r="AF159" s="64">
        <v>46386.0</v>
      </c>
      <c r="AG159" s="64">
        <v>46387.0</v>
      </c>
      <c r="AH159" s="16" t="s">
        <v>43</v>
      </c>
      <c r="AI159" s="17"/>
      <c r="AJ159" s="93" t="s">
        <v>41</v>
      </c>
      <c r="AK159" s="93" t="s">
        <v>42</v>
      </c>
      <c r="AL159" s="94">
        <v>46357.0</v>
      </c>
      <c r="AM159" s="94">
        <v>46358.0</v>
      </c>
      <c r="AN159" s="94">
        <v>46359.0</v>
      </c>
      <c r="AO159" s="94">
        <v>46360.0</v>
      </c>
      <c r="AP159" s="94">
        <v>46361.0</v>
      </c>
      <c r="AQ159" s="94">
        <v>46362.0</v>
      </c>
      <c r="AR159" s="94">
        <v>46363.0</v>
      </c>
      <c r="AS159" s="94">
        <v>46364.0</v>
      </c>
      <c r="AT159" s="94">
        <v>46365.0</v>
      </c>
      <c r="AU159" s="94">
        <v>46366.0</v>
      </c>
      <c r="AV159" s="94">
        <v>46367.0</v>
      </c>
      <c r="AW159" s="94">
        <v>46368.0</v>
      </c>
      <c r="AX159" s="94">
        <v>46369.0</v>
      </c>
      <c r="AY159" s="94">
        <v>46370.0</v>
      </c>
      <c r="AZ159" s="94">
        <v>46371.0</v>
      </c>
      <c r="BA159" s="94">
        <v>46372.0</v>
      </c>
      <c r="BB159" s="94">
        <v>46373.0</v>
      </c>
      <c r="BC159" s="94">
        <v>46374.0</v>
      </c>
      <c r="BD159" s="94">
        <v>46375.0</v>
      </c>
      <c r="BE159" s="94">
        <v>46376.0</v>
      </c>
      <c r="BF159" s="94">
        <v>46377.0</v>
      </c>
      <c r="BG159" s="94">
        <v>46378.0</v>
      </c>
      <c r="BH159" s="94">
        <v>46379.0</v>
      </c>
      <c r="BI159" s="94">
        <v>46380.0</v>
      </c>
      <c r="BJ159" s="94">
        <v>46381.0</v>
      </c>
      <c r="BK159" s="94">
        <v>46382.0</v>
      </c>
      <c r="BL159" s="94">
        <v>46383.0</v>
      </c>
      <c r="BM159" s="94">
        <v>46384.0</v>
      </c>
      <c r="BN159" s="94">
        <v>46385.0</v>
      </c>
      <c r="BO159" s="94">
        <v>46386.0</v>
      </c>
      <c r="BP159" s="94">
        <v>46387.0</v>
      </c>
      <c r="BQ159" s="93" t="s">
        <v>43</v>
      </c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</row>
    <row r="160">
      <c r="A160" s="28">
        <v>1.0</v>
      </c>
      <c r="B160" s="29" t="s">
        <v>60</v>
      </c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31">
        <f t="shared" ref="AH160:AH168" si="258">SUBTOTAL(9,C160:AG160)</f>
        <v>0</v>
      </c>
      <c r="AI160" s="7"/>
      <c r="AJ160" s="95">
        <v>1.0</v>
      </c>
      <c r="AK160" s="96" t="s">
        <v>60</v>
      </c>
      <c r="AL160" s="97" t="str">
        <f t="shared" ref="AL160:AL168" si="259">C160</f>
        <v/>
      </c>
      <c r="AM160" s="95">
        <f t="shared" ref="AM160:BP160" si="257">SUM($C160:D160)</f>
        <v>0</v>
      </c>
      <c r="AN160" s="95">
        <f t="shared" si="257"/>
        <v>0</v>
      </c>
      <c r="AO160" s="95">
        <f t="shared" si="257"/>
        <v>0</v>
      </c>
      <c r="AP160" s="95">
        <f t="shared" si="257"/>
        <v>0</v>
      </c>
      <c r="AQ160" s="95">
        <f t="shared" si="257"/>
        <v>0</v>
      </c>
      <c r="AR160" s="95">
        <f t="shared" si="257"/>
        <v>0</v>
      </c>
      <c r="AS160" s="95">
        <f t="shared" si="257"/>
        <v>0</v>
      </c>
      <c r="AT160" s="95">
        <f t="shared" si="257"/>
        <v>0</v>
      </c>
      <c r="AU160" s="95">
        <f t="shared" si="257"/>
        <v>0</v>
      </c>
      <c r="AV160" s="95">
        <f t="shared" si="257"/>
        <v>0</v>
      </c>
      <c r="AW160" s="95">
        <f t="shared" si="257"/>
        <v>0</v>
      </c>
      <c r="AX160" s="95">
        <f t="shared" si="257"/>
        <v>0</v>
      </c>
      <c r="AY160" s="95">
        <f t="shared" si="257"/>
        <v>0</v>
      </c>
      <c r="AZ160" s="95">
        <f t="shared" si="257"/>
        <v>0</v>
      </c>
      <c r="BA160" s="95">
        <f t="shared" si="257"/>
        <v>0</v>
      </c>
      <c r="BB160" s="95">
        <f t="shared" si="257"/>
        <v>0</v>
      </c>
      <c r="BC160" s="95">
        <f t="shared" si="257"/>
        <v>0</v>
      </c>
      <c r="BD160" s="95">
        <f t="shared" si="257"/>
        <v>0</v>
      </c>
      <c r="BE160" s="95">
        <f t="shared" si="257"/>
        <v>0</v>
      </c>
      <c r="BF160" s="95">
        <f t="shared" si="257"/>
        <v>0</v>
      </c>
      <c r="BG160" s="95">
        <f t="shared" si="257"/>
        <v>0</v>
      </c>
      <c r="BH160" s="95">
        <f t="shared" si="257"/>
        <v>0</v>
      </c>
      <c r="BI160" s="95">
        <f t="shared" si="257"/>
        <v>0</v>
      </c>
      <c r="BJ160" s="95">
        <f t="shared" si="257"/>
        <v>0</v>
      </c>
      <c r="BK160" s="95">
        <f t="shared" si="257"/>
        <v>0</v>
      </c>
      <c r="BL160" s="95">
        <f t="shared" si="257"/>
        <v>0</v>
      </c>
      <c r="BM160" s="95">
        <f t="shared" si="257"/>
        <v>0</v>
      </c>
      <c r="BN160" s="95">
        <f t="shared" si="257"/>
        <v>0</v>
      </c>
      <c r="BO160" s="95">
        <f t="shared" si="257"/>
        <v>0</v>
      </c>
      <c r="BP160" s="95">
        <f t="shared" si="257"/>
        <v>0</v>
      </c>
      <c r="BQ160" s="98">
        <f t="shared" ref="BQ160:BQ168" si="261">BP160</f>
        <v>0</v>
      </c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</row>
    <row r="161">
      <c r="A161" s="28">
        <v>2.0</v>
      </c>
      <c r="B161" s="29" t="s">
        <v>61</v>
      </c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31">
        <f t="shared" si="258"/>
        <v>0</v>
      </c>
      <c r="AI161" s="7"/>
      <c r="AJ161" s="95">
        <v>2.0</v>
      </c>
      <c r="AK161" s="96" t="s">
        <v>61</v>
      </c>
      <c r="AL161" s="97" t="str">
        <f t="shared" si="259"/>
        <v/>
      </c>
      <c r="AM161" s="95">
        <f t="shared" ref="AM161:AM168" si="262">SUM(C161:D161)</f>
        <v>0</v>
      </c>
      <c r="AN161" s="95">
        <f t="shared" ref="AN161:BP161" si="260">SUM($C161:E161)</f>
        <v>0</v>
      </c>
      <c r="AO161" s="95">
        <f t="shared" si="260"/>
        <v>0</v>
      </c>
      <c r="AP161" s="95">
        <f t="shared" si="260"/>
        <v>0</v>
      </c>
      <c r="AQ161" s="95">
        <f t="shared" si="260"/>
        <v>0</v>
      </c>
      <c r="AR161" s="95">
        <f t="shared" si="260"/>
        <v>0</v>
      </c>
      <c r="AS161" s="95">
        <f t="shared" si="260"/>
        <v>0</v>
      </c>
      <c r="AT161" s="95">
        <f t="shared" si="260"/>
        <v>0</v>
      </c>
      <c r="AU161" s="95">
        <f t="shared" si="260"/>
        <v>0</v>
      </c>
      <c r="AV161" s="95">
        <f t="shared" si="260"/>
        <v>0</v>
      </c>
      <c r="AW161" s="95">
        <f t="shared" si="260"/>
        <v>0</v>
      </c>
      <c r="AX161" s="95">
        <f t="shared" si="260"/>
        <v>0</v>
      </c>
      <c r="AY161" s="95">
        <f t="shared" si="260"/>
        <v>0</v>
      </c>
      <c r="AZ161" s="95">
        <f t="shared" si="260"/>
        <v>0</v>
      </c>
      <c r="BA161" s="95">
        <f t="shared" si="260"/>
        <v>0</v>
      </c>
      <c r="BB161" s="95">
        <f t="shared" si="260"/>
        <v>0</v>
      </c>
      <c r="BC161" s="95">
        <f t="shared" si="260"/>
        <v>0</v>
      </c>
      <c r="BD161" s="95">
        <f t="shared" si="260"/>
        <v>0</v>
      </c>
      <c r="BE161" s="95">
        <f t="shared" si="260"/>
        <v>0</v>
      </c>
      <c r="BF161" s="95">
        <f t="shared" si="260"/>
        <v>0</v>
      </c>
      <c r="BG161" s="95">
        <f t="shared" si="260"/>
        <v>0</v>
      </c>
      <c r="BH161" s="95">
        <f t="shared" si="260"/>
        <v>0</v>
      </c>
      <c r="BI161" s="95">
        <f t="shared" si="260"/>
        <v>0</v>
      </c>
      <c r="BJ161" s="95">
        <f t="shared" si="260"/>
        <v>0</v>
      </c>
      <c r="BK161" s="95">
        <f t="shared" si="260"/>
        <v>0</v>
      </c>
      <c r="BL161" s="95">
        <f t="shared" si="260"/>
        <v>0</v>
      </c>
      <c r="BM161" s="95">
        <f t="shared" si="260"/>
        <v>0</v>
      </c>
      <c r="BN161" s="95">
        <f t="shared" si="260"/>
        <v>0</v>
      </c>
      <c r="BO161" s="95">
        <f t="shared" si="260"/>
        <v>0</v>
      </c>
      <c r="BP161" s="95">
        <f t="shared" si="260"/>
        <v>0</v>
      </c>
      <c r="BQ161" s="98">
        <f t="shared" si="261"/>
        <v>0</v>
      </c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</row>
    <row r="162">
      <c r="A162" s="28">
        <v>3.0</v>
      </c>
      <c r="B162" s="29" t="s">
        <v>62</v>
      </c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31">
        <f t="shared" si="258"/>
        <v>0</v>
      </c>
      <c r="AI162" s="7"/>
      <c r="AJ162" s="95">
        <v>3.0</v>
      </c>
      <c r="AK162" s="96" t="s">
        <v>62</v>
      </c>
      <c r="AL162" s="97" t="str">
        <f t="shared" si="259"/>
        <v/>
      </c>
      <c r="AM162" s="95">
        <f t="shared" si="262"/>
        <v>0</v>
      </c>
      <c r="AN162" s="95">
        <f t="shared" ref="AN162:BP162" si="263">SUM($C162:E162)</f>
        <v>0</v>
      </c>
      <c r="AO162" s="95">
        <f t="shared" si="263"/>
        <v>0</v>
      </c>
      <c r="AP162" s="95">
        <f t="shared" si="263"/>
        <v>0</v>
      </c>
      <c r="AQ162" s="95">
        <f t="shared" si="263"/>
        <v>0</v>
      </c>
      <c r="AR162" s="95">
        <f t="shared" si="263"/>
        <v>0</v>
      </c>
      <c r="AS162" s="95">
        <f t="shared" si="263"/>
        <v>0</v>
      </c>
      <c r="AT162" s="95">
        <f t="shared" si="263"/>
        <v>0</v>
      </c>
      <c r="AU162" s="95">
        <f t="shared" si="263"/>
        <v>0</v>
      </c>
      <c r="AV162" s="95">
        <f t="shared" si="263"/>
        <v>0</v>
      </c>
      <c r="AW162" s="95">
        <f t="shared" si="263"/>
        <v>0</v>
      </c>
      <c r="AX162" s="95">
        <f t="shared" si="263"/>
        <v>0</v>
      </c>
      <c r="AY162" s="95">
        <f t="shared" si="263"/>
        <v>0</v>
      </c>
      <c r="AZ162" s="95">
        <f t="shared" si="263"/>
        <v>0</v>
      </c>
      <c r="BA162" s="95">
        <f t="shared" si="263"/>
        <v>0</v>
      </c>
      <c r="BB162" s="95">
        <f t="shared" si="263"/>
        <v>0</v>
      </c>
      <c r="BC162" s="95">
        <f t="shared" si="263"/>
        <v>0</v>
      </c>
      <c r="BD162" s="95">
        <f t="shared" si="263"/>
        <v>0</v>
      </c>
      <c r="BE162" s="95">
        <f t="shared" si="263"/>
        <v>0</v>
      </c>
      <c r="BF162" s="95">
        <f t="shared" si="263"/>
        <v>0</v>
      </c>
      <c r="BG162" s="95">
        <f t="shared" si="263"/>
        <v>0</v>
      </c>
      <c r="BH162" s="95">
        <f t="shared" si="263"/>
        <v>0</v>
      </c>
      <c r="BI162" s="95">
        <f t="shared" si="263"/>
        <v>0</v>
      </c>
      <c r="BJ162" s="95">
        <f t="shared" si="263"/>
        <v>0</v>
      </c>
      <c r="BK162" s="95">
        <f t="shared" si="263"/>
        <v>0</v>
      </c>
      <c r="BL162" s="95">
        <f t="shared" si="263"/>
        <v>0</v>
      </c>
      <c r="BM162" s="95">
        <f t="shared" si="263"/>
        <v>0</v>
      </c>
      <c r="BN162" s="95">
        <f t="shared" si="263"/>
        <v>0</v>
      </c>
      <c r="BO162" s="95">
        <f t="shared" si="263"/>
        <v>0</v>
      </c>
      <c r="BP162" s="95">
        <f t="shared" si="263"/>
        <v>0</v>
      </c>
      <c r="BQ162" s="98">
        <f t="shared" si="261"/>
        <v>0</v>
      </c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</row>
    <row r="163">
      <c r="A163" s="28">
        <v>4.0</v>
      </c>
      <c r="B163" s="29" t="s">
        <v>63</v>
      </c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31">
        <f t="shared" si="258"/>
        <v>0</v>
      </c>
      <c r="AI163" s="7"/>
      <c r="AJ163" s="95">
        <v>4.0</v>
      </c>
      <c r="AK163" s="96" t="s">
        <v>63</v>
      </c>
      <c r="AL163" s="97" t="str">
        <f t="shared" si="259"/>
        <v/>
      </c>
      <c r="AM163" s="95">
        <f t="shared" si="262"/>
        <v>0</v>
      </c>
      <c r="AN163" s="95">
        <f t="shared" ref="AN163:BP163" si="264">SUM($C163:E163)</f>
        <v>0</v>
      </c>
      <c r="AO163" s="95">
        <f t="shared" si="264"/>
        <v>0</v>
      </c>
      <c r="AP163" s="95">
        <f t="shared" si="264"/>
        <v>0</v>
      </c>
      <c r="AQ163" s="95">
        <f t="shared" si="264"/>
        <v>0</v>
      </c>
      <c r="AR163" s="95">
        <f t="shared" si="264"/>
        <v>0</v>
      </c>
      <c r="AS163" s="95">
        <f t="shared" si="264"/>
        <v>0</v>
      </c>
      <c r="AT163" s="95">
        <f t="shared" si="264"/>
        <v>0</v>
      </c>
      <c r="AU163" s="95">
        <f t="shared" si="264"/>
        <v>0</v>
      </c>
      <c r="AV163" s="95">
        <f t="shared" si="264"/>
        <v>0</v>
      </c>
      <c r="AW163" s="95">
        <f t="shared" si="264"/>
        <v>0</v>
      </c>
      <c r="AX163" s="95">
        <f t="shared" si="264"/>
        <v>0</v>
      </c>
      <c r="AY163" s="95">
        <f t="shared" si="264"/>
        <v>0</v>
      </c>
      <c r="AZ163" s="95">
        <f t="shared" si="264"/>
        <v>0</v>
      </c>
      <c r="BA163" s="95">
        <f t="shared" si="264"/>
        <v>0</v>
      </c>
      <c r="BB163" s="95">
        <f t="shared" si="264"/>
        <v>0</v>
      </c>
      <c r="BC163" s="95">
        <f t="shared" si="264"/>
        <v>0</v>
      </c>
      <c r="BD163" s="95">
        <f t="shared" si="264"/>
        <v>0</v>
      </c>
      <c r="BE163" s="95">
        <f t="shared" si="264"/>
        <v>0</v>
      </c>
      <c r="BF163" s="95">
        <f t="shared" si="264"/>
        <v>0</v>
      </c>
      <c r="BG163" s="95">
        <f t="shared" si="264"/>
        <v>0</v>
      </c>
      <c r="BH163" s="95">
        <f t="shared" si="264"/>
        <v>0</v>
      </c>
      <c r="BI163" s="95">
        <f t="shared" si="264"/>
        <v>0</v>
      </c>
      <c r="BJ163" s="95">
        <f t="shared" si="264"/>
        <v>0</v>
      </c>
      <c r="BK163" s="95">
        <f t="shared" si="264"/>
        <v>0</v>
      </c>
      <c r="BL163" s="95">
        <f t="shared" si="264"/>
        <v>0</v>
      </c>
      <c r="BM163" s="95">
        <f t="shared" si="264"/>
        <v>0</v>
      </c>
      <c r="BN163" s="95">
        <f t="shared" si="264"/>
        <v>0</v>
      </c>
      <c r="BO163" s="95">
        <f t="shared" si="264"/>
        <v>0</v>
      </c>
      <c r="BP163" s="95">
        <f t="shared" si="264"/>
        <v>0</v>
      </c>
      <c r="BQ163" s="98">
        <f t="shared" si="261"/>
        <v>0</v>
      </c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</row>
    <row r="164">
      <c r="A164" s="28">
        <v>5.0</v>
      </c>
      <c r="B164" s="29" t="s">
        <v>64</v>
      </c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31">
        <f t="shared" si="258"/>
        <v>0</v>
      </c>
      <c r="AI164" s="7"/>
      <c r="AJ164" s="95">
        <v>5.0</v>
      </c>
      <c r="AK164" s="96" t="s">
        <v>64</v>
      </c>
      <c r="AL164" s="97" t="str">
        <f t="shared" si="259"/>
        <v/>
      </c>
      <c r="AM164" s="95">
        <f t="shared" si="262"/>
        <v>0</v>
      </c>
      <c r="AN164" s="95">
        <f t="shared" ref="AN164:BP164" si="265">SUM($C164:E164)</f>
        <v>0</v>
      </c>
      <c r="AO164" s="95">
        <f t="shared" si="265"/>
        <v>0</v>
      </c>
      <c r="AP164" s="95">
        <f t="shared" si="265"/>
        <v>0</v>
      </c>
      <c r="AQ164" s="95">
        <f t="shared" si="265"/>
        <v>0</v>
      </c>
      <c r="AR164" s="95">
        <f t="shared" si="265"/>
        <v>0</v>
      </c>
      <c r="AS164" s="95">
        <f t="shared" si="265"/>
        <v>0</v>
      </c>
      <c r="AT164" s="95">
        <f t="shared" si="265"/>
        <v>0</v>
      </c>
      <c r="AU164" s="95">
        <f t="shared" si="265"/>
        <v>0</v>
      </c>
      <c r="AV164" s="95">
        <f t="shared" si="265"/>
        <v>0</v>
      </c>
      <c r="AW164" s="95">
        <f t="shared" si="265"/>
        <v>0</v>
      </c>
      <c r="AX164" s="95">
        <f t="shared" si="265"/>
        <v>0</v>
      </c>
      <c r="AY164" s="95">
        <f t="shared" si="265"/>
        <v>0</v>
      </c>
      <c r="AZ164" s="95">
        <f t="shared" si="265"/>
        <v>0</v>
      </c>
      <c r="BA164" s="95">
        <f t="shared" si="265"/>
        <v>0</v>
      </c>
      <c r="BB164" s="95">
        <f t="shared" si="265"/>
        <v>0</v>
      </c>
      <c r="BC164" s="95">
        <f t="shared" si="265"/>
        <v>0</v>
      </c>
      <c r="BD164" s="95">
        <f t="shared" si="265"/>
        <v>0</v>
      </c>
      <c r="BE164" s="95">
        <f t="shared" si="265"/>
        <v>0</v>
      </c>
      <c r="BF164" s="95">
        <f t="shared" si="265"/>
        <v>0</v>
      </c>
      <c r="BG164" s="95">
        <f t="shared" si="265"/>
        <v>0</v>
      </c>
      <c r="BH164" s="95">
        <f t="shared" si="265"/>
        <v>0</v>
      </c>
      <c r="BI164" s="95">
        <f t="shared" si="265"/>
        <v>0</v>
      </c>
      <c r="BJ164" s="95">
        <f t="shared" si="265"/>
        <v>0</v>
      </c>
      <c r="BK164" s="95">
        <f t="shared" si="265"/>
        <v>0</v>
      </c>
      <c r="BL164" s="95">
        <f t="shared" si="265"/>
        <v>0</v>
      </c>
      <c r="BM164" s="95">
        <f t="shared" si="265"/>
        <v>0</v>
      </c>
      <c r="BN164" s="95">
        <f t="shared" si="265"/>
        <v>0</v>
      </c>
      <c r="BO164" s="95">
        <f t="shared" si="265"/>
        <v>0</v>
      </c>
      <c r="BP164" s="95">
        <f t="shared" si="265"/>
        <v>0</v>
      </c>
      <c r="BQ164" s="98">
        <f t="shared" si="261"/>
        <v>0</v>
      </c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</row>
    <row r="165">
      <c r="A165" s="28">
        <v>6.0</v>
      </c>
      <c r="B165" s="29" t="s">
        <v>66</v>
      </c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31">
        <f t="shared" si="258"/>
        <v>0</v>
      </c>
      <c r="AI165" s="7"/>
      <c r="AJ165" s="95">
        <v>6.0</v>
      </c>
      <c r="AK165" s="96" t="s">
        <v>66</v>
      </c>
      <c r="AL165" s="97" t="str">
        <f t="shared" si="259"/>
        <v/>
      </c>
      <c r="AM165" s="95">
        <f t="shared" si="262"/>
        <v>0</v>
      </c>
      <c r="AN165" s="95">
        <f t="shared" ref="AN165:BP165" si="266">SUM($C165:E165)</f>
        <v>0</v>
      </c>
      <c r="AO165" s="95">
        <f t="shared" si="266"/>
        <v>0</v>
      </c>
      <c r="AP165" s="95">
        <f t="shared" si="266"/>
        <v>0</v>
      </c>
      <c r="AQ165" s="95">
        <f t="shared" si="266"/>
        <v>0</v>
      </c>
      <c r="AR165" s="95">
        <f t="shared" si="266"/>
        <v>0</v>
      </c>
      <c r="AS165" s="95">
        <f t="shared" si="266"/>
        <v>0</v>
      </c>
      <c r="AT165" s="95">
        <f t="shared" si="266"/>
        <v>0</v>
      </c>
      <c r="AU165" s="95">
        <f t="shared" si="266"/>
        <v>0</v>
      </c>
      <c r="AV165" s="95">
        <f t="shared" si="266"/>
        <v>0</v>
      </c>
      <c r="AW165" s="95">
        <f t="shared" si="266"/>
        <v>0</v>
      </c>
      <c r="AX165" s="95">
        <f t="shared" si="266"/>
        <v>0</v>
      </c>
      <c r="AY165" s="95">
        <f t="shared" si="266"/>
        <v>0</v>
      </c>
      <c r="AZ165" s="95">
        <f t="shared" si="266"/>
        <v>0</v>
      </c>
      <c r="BA165" s="95">
        <f t="shared" si="266"/>
        <v>0</v>
      </c>
      <c r="BB165" s="95">
        <f t="shared" si="266"/>
        <v>0</v>
      </c>
      <c r="BC165" s="95">
        <f t="shared" si="266"/>
        <v>0</v>
      </c>
      <c r="BD165" s="95">
        <f t="shared" si="266"/>
        <v>0</v>
      </c>
      <c r="BE165" s="95">
        <f t="shared" si="266"/>
        <v>0</v>
      </c>
      <c r="BF165" s="95">
        <f t="shared" si="266"/>
        <v>0</v>
      </c>
      <c r="BG165" s="95">
        <f t="shared" si="266"/>
        <v>0</v>
      </c>
      <c r="BH165" s="95">
        <f t="shared" si="266"/>
        <v>0</v>
      </c>
      <c r="BI165" s="95">
        <f t="shared" si="266"/>
        <v>0</v>
      </c>
      <c r="BJ165" s="95">
        <f t="shared" si="266"/>
        <v>0</v>
      </c>
      <c r="BK165" s="95">
        <f t="shared" si="266"/>
        <v>0</v>
      </c>
      <c r="BL165" s="95">
        <f t="shared" si="266"/>
        <v>0</v>
      </c>
      <c r="BM165" s="95">
        <f t="shared" si="266"/>
        <v>0</v>
      </c>
      <c r="BN165" s="95">
        <f t="shared" si="266"/>
        <v>0</v>
      </c>
      <c r="BO165" s="95">
        <f t="shared" si="266"/>
        <v>0</v>
      </c>
      <c r="BP165" s="95">
        <f t="shared" si="266"/>
        <v>0</v>
      </c>
      <c r="BQ165" s="98">
        <f t="shared" si="261"/>
        <v>0</v>
      </c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</row>
    <row r="166">
      <c r="A166" s="28">
        <v>7.0</v>
      </c>
      <c r="B166" s="29" t="s">
        <v>67</v>
      </c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31">
        <f t="shared" si="258"/>
        <v>0</v>
      </c>
      <c r="AI166" s="7"/>
      <c r="AJ166" s="95">
        <v>7.0</v>
      </c>
      <c r="AK166" s="96" t="s">
        <v>67</v>
      </c>
      <c r="AL166" s="97" t="str">
        <f t="shared" si="259"/>
        <v/>
      </c>
      <c r="AM166" s="95">
        <f t="shared" si="262"/>
        <v>0</v>
      </c>
      <c r="AN166" s="95">
        <f t="shared" ref="AN166:BP166" si="267">SUM($C166:E166)</f>
        <v>0</v>
      </c>
      <c r="AO166" s="95">
        <f t="shared" si="267"/>
        <v>0</v>
      </c>
      <c r="AP166" s="95">
        <f t="shared" si="267"/>
        <v>0</v>
      </c>
      <c r="AQ166" s="95">
        <f t="shared" si="267"/>
        <v>0</v>
      </c>
      <c r="AR166" s="95">
        <f t="shared" si="267"/>
        <v>0</v>
      </c>
      <c r="AS166" s="95">
        <f t="shared" si="267"/>
        <v>0</v>
      </c>
      <c r="AT166" s="95">
        <f t="shared" si="267"/>
        <v>0</v>
      </c>
      <c r="AU166" s="95">
        <f t="shared" si="267"/>
        <v>0</v>
      </c>
      <c r="AV166" s="95">
        <f t="shared" si="267"/>
        <v>0</v>
      </c>
      <c r="AW166" s="95">
        <f t="shared" si="267"/>
        <v>0</v>
      </c>
      <c r="AX166" s="95">
        <f t="shared" si="267"/>
        <v>0</v>
      </c>
      <c r="AY166" s="95">
        <f t="shared" si="267"/>
        <v>0</v>
      </c>
      <c r="AZ166" s="95">
        <f t="shared" si="267"/>
        <v>0</v>
      </c>
      <c r="BA166" s="95">
        <f t="shared" si="267"/>
        <v>0</v>
      </c>
      <c r="BB166" s="95">
        <f t="shared" si="267"/>
        <v>0</v>
      </c>
      <c r="BC166" s="95">
        <f t="shared" si="267"/>
        <v>0</v>
      </c>
      <c r="BD166" s="95">
        <f t="shared" si="267"/>
        <v>0</v>
      </c>
      <c r="BE166" s="95">
        <f t="shared" si="267"/>
        <v>0</v>
      </c>
      <c r="BF166" s="95">
        <f t="shared" si="267"/>
        <v>0</v>
      </c>
      <c r="BG166" s="95">
        <f t="shared" si="267"/>
        <v>0</v>
      </c>
      <c r="BH166" s="95">
        <f t="shared" si="267"/>
        <v>0</v>
      </c>
      <c r="BI166" s="95">
        <f t="shared" si="267"/>
        <v>0</v>
      </c>
      <c r="BJ166" s="95">
        <f t="shared" si="267"/>
        <v>0</v>
      </c>
      <c r="BK166" s="95">
        <f t="shared" si="267"/>
        <v>0</v>
      </c>
      <c r="BL166" s="95">
        <f t="shared" si="267"/>
        <v>0</v>
      </c>
      <c r="BM166" s="95">
        <f t="shared" si="267"/>
        <v>0</v>
      </c>
      <c r="BN166" s="95">
        <f t="shared" si="267"/>
        <v>0</v>
      </c>
      <c r="BO166" s="95">
        <f t="shared" si="267"/>
        <v>0</v>
      </c>
      <c r="BP166" s="95">
        <f t="shared" si="267"/>
        <v>0</v>
      </c>
      <c r="BQ166" s="98">
        <f t="shared" si="261"/>
        <v>0</v>
      </c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</row>
    <row r="167">
      <c r="A167" s="28">
        <v>8.0</v>
      </c>
      <c r="B167" s="29" t="s">
        <v>68</v>
      </c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31">
        <f t="shared" si="258"/>
        <v>0</v>
      </c>
      <c r="AI167" s="7"/>
      <c r="AJ167" s="95">
        <v>8.0</v>
      </c>
      <c r="AK167" s="96" t="s">
        <v>68</v>
      </c>
      <c r="AL167" s="97" t="str">
        <f t="shared" si="259"/>
        <v/>
      </c>
      <c r="AM167" s="95">
        <f t="shared" si="262"/>
        <v>0</v>
      </c>
      <c r="AN167" s="95">
        <f t="shared" ref="AN167:BP167" si="268">SUM($C167:E167)</f>
        <v>0</v>
      </c>
      <c r="AO167" s="95">
        <f t="shared" si="268"/>
        <v>0</v>
      </c>
      <c r="AP167" s="95">
        <f t="shared" si="268"/>
        <v>0</v>
      </c>
      <c r="AQ167" s="95">
        <f t="shared" si="268"/>
        <v>0</v>
      </c>
      <c r="AR167" s="95">
        <f t="shared" si="268"/>
        <v>0</v>
      </c>
      <c r="AS167" s="95">
        <f t="shared" si="268"/>
        <v>0</v>
      </c>
      <c r="AT167" s="95">
        <f t="shared" si="268"/>
        <v>0</v>
      </c>
      <c r="AU167" s="95">
        <f t="shared" si="268"/>
        <v>0</v>
      </c>
      <c r="AV167" s="95">
        <f t="shared" si="268"/>
        <v>0</v>
      </c>
      <c r="AW167" s="95">
        <f t="shared" si="268"/>
        <v>0</v>
      </c>
      <c r="AX167" s="95">
        <f t="shared" si="268"/>
        <v>0</v>
      </c>
      <c r="AY167" s="95">
        <f t="shared" si="268"/>
        <v>0</v>
      </c>
      <c r="AZ167" s="95">
        <f t="shared" si="268"/>
        <v>0</v>
      </c>
      <c r="BA167" s="95">
        <f t="shared" si="268"/>
        <v>0</v>
      </c>
      <c r="BB167" s="95">
        <f t="shared" si="268"/>
        <v>0</v>
      </c>
      <c r="BC167" s="95">
        <f t="shared" si="268"/>
        <v>0</v>
      </c>
      <c r="BD167" s="95">
        <f t="shared" si="268"/>
        <v>0</v>
      </c>
      <c r="BE167" s="95">
        <f t="shared" si="268"/>
        <v>0</v>
      </c>
      <c r="BF167" s="95">
        <f t="shared" si="268"/>
        <v>0</v>
      </c>
      <c r="BG167" s="95">
        <f t="shared" si="268"/>
        <v>0</v>
      </c>
      <c r="BH167" s="95">
        <f t="shared" si="268"/>
        <v>0</v>
      </c>
      <c r="BI167" s="95">
        <f t="shared" si="268"/>
        <v>0</v>
      </c>
      <c r="BJ167" s="95">
        <f t="shared" si="268"/>
        <v>0</v>
      </c>
      <c r="BK167" s="95">
        <f t="shared" si="268"/>
        <v>0</v>
      </c>
      <c r="BL167" s="95">
        <f t="shared" si="268"/>
        <v>0</v>
      </c>
      <c r="BM167" s="95">
        <f t="shared" si="268"/>
        <v>0</v>
      </c>
      <c r="BN167" s="95">
        <f t="shared" si="268"/>
        <v>0</v>
      </c>
      <c r="BO167" s="95">
        <f t="shared" si="268"/>
        <v>0</v>
      </c>
      <c r="BP167" s="95">
        <f t="shared" si="268"/>
        <v>0</v>
      </c>
      <c r="BQ167" s="98">
        <f t="shared" si="261"/>
        <v>0</v>
      </c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</row>
    <row r="168">
      <c r="A168" s="50"/>
      <c r="B168" s="51" t="s">
        <v>69</v>
      </c>
      <c r="C168" s="49">
        <f t="shared" ref="C168:AG168" si="269">SUM(C160:C167)</f>
        <v>0</v>
      </c>
      <c r="D168" s="49">
        <f t="shared" si="269"/>
        <v>0</v>
      </c>
      <c r="E168" s="49">
        <f t="shared" si="269"/>
        <v>0</v>
      </c>
      <c r="F168" s="49">
        <f t="shared" si="269"/>
        <v>0</v>
      </c>
      <c r="G168" s="49">
        <f t="shared" si="269"/>
        <v>0</v>
      </c>
      <c r="H168" s="49">
        <f t="shared" si="269"/>
        <v>0</v>
      </c>
      <c r="I168" s="49">
        <f t="shared" si="269"/>
        <v>0</v>
      </c>
      <c r="J168" s="49">
        <f t="shared" si="269"/>
        <v>0</v>
      </c>
      <c r="K168" s="49">
        <f t="shared" si="269"/>
        <v>0</v>
      </c>
      <c r="L168" s="49">
        <f t="shared" si="269"/>
        <v>0</v>
      </c>
      <c r="M168" s="49">
        <f t="shared" si="269"/>
        <v>0</v>
      </c>
      <c r="N168" s="49">
        <f t="shared" si="269"/>
        <v>0</v>
      </c>
      <c r="O168" s="49">
        <f t="shared" si="269"/>
        <v>0</v>
      </c>
      <c r="P168" s="49">
        <f t="shared" si="269"/>
        <v>0</v>
      </c>
      <c r="Q168" s="49">
        <f t="shared" si="269"/>
        <v>0</v>
      </c>
      <c r="R168" s="49">
        <f t="shared" si="269"/>
        <v>0</v>
      </c>
      <c r="S168" s="49">
        <f t="shared" si="269"/>
        <v>0</v>
      </c>
      <c r="T168" s="49">
        <f t="shared" si="269"/>
        <v>0</v>
      </c>
      <c r="U168" s="49">
        <f t="shared" si="269"/>
        <v>0</v>
      </c>
      <c r="V168" s="49">
        <f t="shared" si="269"/>
        <v>0</v>
      </c>
      <c r="W168" s="49">
        <f t="shared" si="269"/>
        <v>0</v>
      </c>
      <c r="X168" s="49">
        <f t="shared" si="269"/>
        <v>0</v>
      </c>
      <c r="Y168" s="49">
        <f t="shared" si="269"/>
        <v>0</v>
      </c>
      <c r="Z168" s="49">
        <f t="shared" si="269"/>
        <v>0</v>
      </c>
      <c r="AA168" s="49">
        <f t="shared" si="269"/>
        <v>0</v>
      </c>
      <c r="AB168" s="49">
        <f t="shared" si="269"/>
        <v>0</v>
      </c>
      <c r="AC168" s="49">
        <f t="shared" si="269"/>
        <v>0</v>
      </c>
      <c r="AD168" s="49">
        <f t="shared" si="269"/>
        <v>0</v>
      </c>
      <c r="AE168" s="49">
        <f t="shared" si="269"/>
        <v>0</v>
      </c>
      <c r="AF168" s="49">
        <f t="shared" si="269"/>
        <v>0</v>
      </c>
      <c r="AG168" s="49">
        <f t="shared" si="269"/>
        <v>0</v>
      </c>
      <c r="AH168" s="49">
        <f t="shared" si="258"/>
        <v>0</v>
      </c>
      <c r="AI168" s="7"/>
      <c r="AJ168" s="99"/>
      <c r="AK168" s="100" t="s">
        <v>69</v>
      </c>
      <c r="AL168" s="101">
        <f t="shared" si="259"/>
        <v>0</v>
      </c>
      <c r="AM168" s="101">
        <f t="shared" si="262"/>
        <v>0</v>
      </c>
      <c r="AN168" s="101">
        <f t="shared" ref="AN168:BP168" si="270">SUM($C168:E168)</f>
        <v>0</v>
      </c>
      <c r="AO168" s="101">
        <f t="shared" si="270"/>
        <v>0</v>
      </c>
      <c r="AP168" s="101">
        <f t="shared" si="270"/>
        <v>0</v>
      </c>
      <c r="AQ168" s="101">
        <f t="shared" si="270"/>
        <v>0</v>
      </c>
      <c r="AR168" s="101">
        <f t="shared" si="270"/>
        <v>0</v>
      </c>
      <c r="AS168" s="101">
        <f t="shared" si="270"/>
        <v>0</v>
      </c>
      <c r="AT168" s="101">
        <f t="shared" si="270"/>
        <v>0</v>
      </c>
      <c r="AU168" s="101">
        <f t="shared" si="270"/>
        <v>0</v>
      </c>
      <c r="AV168" s="101">
        <f t="shared" si="270"/>
        <v>0</v>
      </c>
      <c r="AW168" s="101">
        <f t="shared" si="270"/>
        <v>0</v>
      </c>
      <c r="AX168" s="101">
        <f t="shared" si="270"/>
        <v>0</v>
      </c>
      <c r="AY168" s="101">
        <f t="shared" si="270"/>
        <v>0</v>
      </c>
      <c r="AZ168" s="101">
        <f t="shared" si="270"/>
        <v>0</v>
      </c>
      <c r="BA168" s="101">
        <f t="shared" si="270"/>
        <v>0</v>
      </c>
      <c r="BB168" s="101">
        <f t="shared" si="270"/>
        <v>0</v>
      </c>
      <c r="BC168" s="101">
        <f t="shared" si="270"/>
        <v>0</v>
      </c>
      <c r="BD168" s="101">
        <f t="shared" si="270"/>
        <v>0</v>
      </c>
      <c r="BE168" s="101">
        <f t="shared" si="270"/>
        <v>0</v>
      </c>
      <c r="BF168" s="101">
        <f t="shared" si="270"/>
        <v>0</v>
      </c>
      <c r="BG168" s="101">
        <f t="shared" si="270"/>
        <v>0</v>
      </c>
      <c r="BH168" s="101">
        <f t="shared" si="270"/>
        <v>0</v>
      </c>
      <c r="BI168" s="101">
        <f t="shared" si="270"/>
        <v>0</v>
      </c>
      <c r="BJ168" s="101">
        <f t="shared" si="270"/>
        <v>0</v>
      </c>
      <c r="BK168" s="101">
        <f t="shared" si="270"/>
        <v>0</v>
      </c>
      <c r="BL168" s="101">
        <f t="shared" si="270"/>
        <v>0</v>
      </c>
      <c r="BM168" s="101">
        <f t="shared" si="270"/>
        <v>0</v>
      </c>
      <c r="BN168" s="101">
        <f t="shared" si="270"/>
        <v>0</v>
      </c>
      <c r="BO168" s="101">
        <f t="shared" si="270"/>
        <v>0</v>
      </c>
      <c r="BP168" s="101">
        <f t="shared" si="270"/>
        <v>0</v>
      </c>
      <c r="BQ168" s="101">
        <f t="shared" si="261"/>
        <v>0</v>
      </c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</row>
  </sheetData>
  <mergeCells count="24">
    <mergeCell ref="A2:AH2"/>
    <mergeCell ref="A3:AH3"/>
    <mergeCell ref="A16:AH16"/>
    <mergeCell ref="A17:AH17"/>
    <mergeCell ref="A30:AH30"/>
    <mergeCell ref="A31:AH31"/>
    <mergeCell ref="A44:AH44"/>
    <mergeCell ref="A45:AH45"/>
    <mergeCell ref="A58:AH58"/>
    <mergeCell ref="A59:AH59"/>
    <mergeCell ref="A72:AH72"/>
    <mergeCell ref="A73:AH73"/>
    <mergeCell ref="A86:AH86"/>
    <mergeCell ref="A87:AH87"/>
    <mergeCell ref="A143:AH143"/>
    <mergeCell ref="A156:AH156"/>
    <mergeCell ref="A157:AH157"/>
    <mergeCell ref="A100:AH100"/>
    <mergeCell ref="A101:AH101"/>
    <mergeCell ref="A114:AH114"/>
    <mergeCell ref="A115:AH115"/>
    <mergeCell ref="A128:AH128"/>
    <mergeCell ref="A129:AH129"/>
    <mergeCell ref="A142:AH1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8.0"/>
    <col customWidth="1" min="3" max="3" width="4.43"/>
    <col customWidth="1" min="4" max="33" width="4.29"/>
    <col customWidth="1" min="34" max="34" width="11.43"/>
  </cols>
  <sheetData>
    <row r="1">
      <c r="A1" s="102" t="s">
        <v>41</v>
      </c>
      <c r="B1" s="102" t="s">
        <v>5</v>
      </c>
      <c r="C1" s="103" t="s">
        <v>90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5"/>
      <c r="AH1" s="102" t="s">
        <v>91</v>
      </c>
    </row>
    <row r="2">
      <c r="A2" s="106"/>
      <c r="B2" s="106"/>
      <c r="C2" s="107">
        <v>1.0</v>
      </c>
      <c r="D2" s="107">
        <v>2.0</v>
      </c>
      <c r="E2" s="107">
        <v>3.0</v>
      </c>
      <c r="F2" s="107">
        <v>4.0</v>
      </c>
      <c r="G2" s="107">
        <v>5.0</v>
      </c>
      <c r="H2" s="107">
        <v>6.0</v>
      </c>
      <c r="I2" s="107">
        <v>7.0</v>
      </c>
      <c r="J2" s="107">
        <v>8.0</v>
      </c>
      <c r="K2" s="107">
        <v>9.0</v>
      </c>
      <c r="L2" s="107">
        <v>10.0</v>
      </c>
      <c r="M2" s="107">
        <v>11.0</v>
      </c>
      <c r="N2" s="107">
        <v>12.0</v>
      </c>
      <c r="O2" s="107">
        <v>13.0</v>
      </c>
      <c r="P2" s="107">
        <v>14.0</v>
      </c>
      <c r="Q2" s="107">
        <v>15.0</v>
      </c>
      <c r="R2" s="107">
        <v>16.0</v>
      </c>
      <c r="S2" s="107">
        <v>17.0</v>
      </c>
      <c r="T2" s="107">
        <v>18.0</v>
      </c>
      <c r="U2" s="107">
        <v>19.0</v>
      </c>
      <c r="V2" s="107">
        <v>20.0</v>
      </c>
      <c r="W2" s="107">
        <v>21.0</v>
      </c>
      <c r="X2" s="107">
        <v>22.0</v>
      </c>
      <c r="Y2" s="107">
        <v>23.0</v>
      </c>
      <c r="Z2" s="107">
        <v>24.0</v>
      </c>
      <c r="AA2" s="107">
        <v>25.0</v>
      </c>
      <c r="AB2" s="107">
        <v>26.0</v>
      </c>
      <c r="AC2" s="107">
        <v>27.0</v>
      </c>
      <c r="AD2" s="107">
        <v>28.0</v>
      </c>
      <c r="AE2" s="107">
        <v>29.0</v>
      </c>
      <c r="AF2" s="107">
        <v>30.0</v>
      </c>
      <c r="AG2" s="107">
        <v>31.0</v>
      </c>
      <c r="AH2" s="106"/>
    </row>
    <row r="3">
      <c r="A3" s="108">
        <v>1.0</v>
      </c>
      <c r="B3" s="109" t="s">
        <v>68</v>
      </c>
      <c r="C3" s="110">
        <f>COUNTIFS(
DATA!$F:$F,$B3,
DATA!$B:$B,"&gt;="&amp;DATE(2026,1,C$2),
DATA!$B:$B,"&lt;"&amp;DATE(2026,1,C$2)+1
)</f>
        <v>0</v>
      </c>
      <c r="D3" s="110">
        <f>COUNTIFS(
DATA!$F:$F,$B3,
DATA!$B:$B,"&gt;="&amp;DATE(2026,1,D$2),
DATA!$B:$B,"&lt;"&amp;DATE(2026,1,D$2)+1
)</f>
        <v>0</v>
      </c>
      <c r="E3" s="110">
        <f>COUNTIFS(
DATA!$F:$F,$B3,
DATA!$B:$B,"&gt;="&amp;DATE(2026,1,E$2),
DATA!$B:$B,"&lt;"&amp;DATE(2026,1,E$2)+1
)</f>
        <v>0</v>
      </c>
      <c r="F3" s="110">
        <f>COUNTIFS(
DATA!$F:$F,$B3,
DATA!$B:$B,"&gt;="&amp;DATE(2026,1,F$2),
DATA!$B:$B,"&lt;"&amp;DATE(2026,1,F$2)+1
)</f>
        <v>0</v>
      </c>
      <c r="G3" s="110">
        <f>COUNTIFS(
DATA!$F:$F,$B3,
DATA!$B:$B,"&gt;="&amp;DATE(2026,1,G$2),
DATA!$B:$B,"&lt;"&amp;DATE(2026,1,G$2)+1
)</f>
        <v>0</v>
      </c>
      <c r="H3" s="110">
        <f>COUNTIFS(
DATA!$F:$F,$B3,
DATA!$B:$B,"&gt;="&amp;DATE(2026,1,H$2),
DATA!$B:$B,"&lt;"&amp;DATE(2026,1,H$2)+1
)</f>
        <v>0</v>
      </c>
      <c r="I3" s="110">
        <f>COUNTIFS(
DATA!$F:$F,$B3,
DATA!$B:$B,"&gt;="&amp;DATE(2026,1,I$2),
DATA!$B:$B,"&lt;"&amp;DATE(2026,1,I$2)+1
)</f>
        <v>0</v>
      </c>
      <c r="J3" s="110">
        <f>COUNTIFS(
DATA!$F:$F,$B3,
DATA!$B:$B,"&gt;="&amp;DATE(2026,1,J$2),
DATA!$B:$B,"&lt;"&amp;DATE(2026,1,J$2)+1
)</f>
        <v>0</v>
      </c>
      <c r="K3" s="110">
        <f>COUNTIFS(
DATA!$F:$F,$B3,
DATA!$B:$B,"&gt;="&amp;DATE(2026,1,K$2),
DATA!$B:$B,"&lt;"&amp;DATE(2026,1,K$2)+1
)</f>
        <v>0</v>
      </c>
      <c r="L3" s="110">
        <f>COUNTIFS(
DATA!$F:$F,$B3,
DATA!$B:$B,"&gt;="&amp;DATE(2026,1,L$2),
DATA!$B:$B,"&lt;"&amp;DATE(2026,1,L$2)+1
)</f>
        <v>0</v>
      </c>
      <c r="M3" s="110">
        <f>COUNTIFS(
DATA!$F:$F,$B3,
DATA!$B:$B,"&gt;="&amp;DATE(2026,1,M$2),
DATA!$B:$B,"&lt;"&amp;DATE(2026,1,M$2)+1
)</f>
        <v>0</v>
      </c>
      <c r="N3" s="110">
        <f>COUNTIFS(
DATA!$F:$F,$B3,
DATA!$B:$B,"&gt;="&amp;DATE(2026,1,N$2),
DATA!$B:$B,"&lt;"&amp;DATE(2026,1,N$2)+1
)</f>
        <v>0</v>
      </c>
      <c r="O3" s="110">
        <f>COUNTIFS(
DATA!$F:$F,$B3,
DATA!$B:$B,"&gt;="&amp;DATE(2026,1,O$2),
DATA!$B:$B,"&lt;"&amp;DATE(2026,1,O$2)+1
)</f>
        <v>0</v>
      </c>
      <c r="P3" s="110">
        <f>COUNTIFS(
DATA!$F:$F,$B3,
DATA!$B:$B,"&gt;="&amp;DATE(2026,1,P$2),
DATA!$B:$B,"&lt;"&amp;DATE(2026,1,P$2)+1
)</f>
        <v>0</v>
      </c>
      <c r="Q3" s="110">
        <f>COUNTIFS(
DATA!$F:$F,$B3,
DATA!$B:$B,"&gt;="&amp;DATE(2026,1,Q$2),
DATA!$B:$B,"&lt;"&amp;DATE(2026,1,Q$2)+1
)</f>
        <v>0</v>
      </c>
      <c r="R3" s="110">
        <f>COUNTIFS(
DATA!$F:$F,$B3,
DATA!$B:$B,"&gt;="&amp;DATE(2026,1,R$2),
DATA!$B:$B,"&lt;"&amp;DATE(2026,1,R$2)+1
)</f>
        <v>0</v>
      </c>
      <c r="S3" s="110">
        <f>COUNTIFS(
DATA!$F:$F,$B3,
DATA!$B:$B,"&gt;="&amp;DATE(2026,1,S$2),
DATA!$B:$B,"&lt;"&amp;DATE(2026,1,S$2)+1
)</f>
        <v>0</v>
      </c>
      <c r="T3" s="110">
        <f>COUNTIFS(
DATA!$F:$F,$B3,
DATA!$B:$B,"&gt;="&amp;DATE(2026,1,T$2),
DATA!$B:$B,"&lt;"&amp;DATE(2026,1,T$2)+1
)</f>
        <v>0</v>
      </c>
      <c r="U3" s="110">
        <f>COUNTIFS(
DATA!$F:$F,$B3,
DATA!$B:$B,"&gt;="&amp;DATE(2026,1,U$2),
DATA!$B:$B,"&lt;"&amp;DATE(2026,1,U$2)+1
)</f>
        <v>0</v>
      </c>
      <c r="V3" s="110">
        <f>COUNTIFS(
DATA!$F:$F,$B3,
DATA!$B:$B,"&gt;="&amp;DATE(2026,1,V$2),
DATA!$B:$B,"&lt;"&amp;DATE(2026,1,V$2)+1
)</f>
        <v>0</v>
      </c>
      <c r="W3" s="110">
        <f>COUNTIFS(
DATA!$F:$F,$B3,
DATA!$B:$B,"&gt;="&amp;DATE(2026,1,W$2),
DATA!$B:$B,"&lt;"&amp;DATE(2026,1,W$2)+1
)</f>
        <v>0</v>
      </c>
      <c r="X3" s="110">
        <f>COUNTIFS(
DATA!$F:$F,$B3,
DATA!$B:$B,"&gt;="&amp;DATE(2026,1,X$2),
DATA!$B:$B,"&lt;"&amp;DATE(2026,1,X$2)+1
)</f>
        <v>0</v>
      </c>
      <c r="Y3" s="110">
        <f>COUNTIFS(
DATA!$F:$F,$B3,
DATA!$B:$B,"&gt;="&amp;DATE(2026,1,Y$2),
DATA!$B:$B,"&lt;"&amp;DATE(2026,1,Y$2)+1
)</f>
        <v>0</v>
      </c>
      <c r="Z3" s="110">
        <f>COUNTIFS(
DATA!$F:$F,$B3,
DATA!$B:$B,"&gt;="&amp;DATE(2026,1,Z$2),
DATA!$B:$B,"&lt;"&amp;DATE(2026,1,Z$2)+1
)</f>
        <v>0</v>
      </c>
      <c r="AA3" s="110">
        <f>COUNTIFS(
DATA!$F:$F,$B3,
DATA!$B:$B,"&gt;="&amp;DATE(2026,1,AA$2),
DATA!$B:$B,"&lt;"&amp;DATE(2026,1,AA$2)+1
)</f>
        <v>0</v>
      </c>
      <c r="AB3" s="110">
        <f>COUNTIFS(
DATA!$F:$F,$B3,
DATA!$B:$B,"&gt;="&amp;DATE(2026,1,AB$2),
DATA!$B:$B,"&lt;"&amp;DATE(2026,1,AB$2)+1
)</f>
        <v>0</v>
      </c>
      <c r="AC3" s="110">
        <f>COUNTIFS(
DATA!$F:$F,$B3,
DATA!$B:$B,"&gt;="&amp;DATE(2026,1,AC$2),
DATA!$B:$B,"&lt;"&amp;DATE(2026,1,AC$2)+1
)</f>
        <v>0</v>
      </c>
      <c r="AD3" s="110">
        <f>COUNTIFS(
DATA!$F:$F,$B3,
DATA!$B:$B,"&gt;="&amp;DATE(2026,1,AD$2),
DATA!$B:$B,"&lt;"&amp;DATE(2026,1,AD$2)+1
)</f>
        <v>0</v>
      </c>
      <c r="AE3" s="110">
        <f>COUNTIFS(
DATA!$F:$F,$B3,
DATA!$B:$B,"&gt;="&amp;DATE(2026,1,AE$2),
DATA!$B:$B,"&lt;"&amp;DATE(2026,1,AE$2)+1
)</f>
        <v>0</v>
      </c>
      <c r="AF3" s="110">
        <f>COUNTIFS(
DATA!$F:$F,$B3,
DATA!$B:$B,"&gt;="&amp;DATE(2026,1,AF$2),
DATA!$B:$B,"&lt;"&amp;DATE(2026,1,AF$2)+1
)</f>
        <v>0</v>
      </c>
      <c r="AG3" s="110">
        <f>COUNTIFS(
DATA!$F:$F,$B3,
DATA!$B:$B,"&gt;="&amp;DATE(2026,1,AG$2),
DATA!$B:$B,"&lt;"&amp;DATE(2026,1,AG$2)+1
)</f>
        <v>0</v>
      </c>
      <c r="AH3" s="111">
        <f t="shared" ref="AH3:AH11" si="1">sum(C3:AG3)</f>
        <v>0</v>
      </c>
    </row>
    <row r="4">
      <c r="A4" s="108">
        <v>2.0</v>
      </c>
      <c r="B4" s="97" t="s">
        <v>62</v>
      </c>
      <c r="C4" s="110">
        <f>COUNTIFS(
DATA!$F:$F,$B4,
DATA!$B:$B,"&gt;="&amp;DATE(2026,1,C$2),
DATA!$B:$B,"&lt;"&amp;DATE(2026,1,C$2)+1
)</f>
        <v>0</v>
      </c>
      <c r="D4" s="110">
        <f>COUNTIFS(
DATA!$F:$F,$B4,
DATA!$B:$B,"&gt;="&amp;DATE(2026,1,D$2),
DATA!$B:$B,"&lt;"&amp;DATE(2026,1,D$2)+1
)</f>
        <v>0</v>
      </c>
      <c r="E4" s="110">
        <f>COUNTIFS(
DATA!$F:$F,$B4,
DATA!$B:$B,"&gt;="&amp;DATE(2026,1,E$2),
DATA!$B:$B,"&lt;"&amp;DATE(2026,1,E$2)+1
)</f>
        <v>0</v>
      </c>
      <c r="F4" s="110">
        <f>COUNTIFS(
DATA!$F:$F,$B4,
DATA!$B:$B,"&gt;="&amp;DATE(2026,1,F$2),
DATA!$B:$B,"&lt;"&amp;DATE(2026,1,F$2)+1
)</f>
        <v>0</v>
      </c>
      <c r="G4" s="110">
        <f>COUNTIFS(
DATA!$F:$F,$B4,
DATA!$B:$B,"&gt;="&amp;DATE(2026,1,G$2),
DATA!$B:$B,"&lt;"&amp;DATE(2026,1,G$2)+1
)</f>
        <v>0</v>
      </c>
      <c r="H4" s="110">
        <f>COUNTIFS(
DATA!$F:$F,$B4,
DATA!$B:$B,"&gt;="&amp;DATE(2026,1,H$2),
DATA!$B:$B,"&lt;"&amp;DATE(2026,1,H$2)+1
)</f>
        <v>0</v>
      </c>
      <c r="I4" s="110">
        <f>COUNTIFS(
DATA!$F:$F,$B4,
DATA!$B:$B,"&gt;="&amp;DATE(2026,1,I$2),
DATA!$B:$B,"&lt;"&amp;DATE(2026,1,I$2)+1
)</f>
        <v>0</v>
      </c>
      <c r="J4" s="110">
        <f>COUNTIFS(
DATA!$F:$F,$B4,
DATA!$B:$B,"&gt;="&amp;DATE(2026,1,J$2),
DATA!$B:$B,"&lt;"&amp;DATE(2026,1,J$2)+1
)</f>
        <v>0</v>
      </c>
      <c r="K4" s="110">
        <f>COUNTIFS(
DATA!$F:$F,$B4,
DATA!$B:$B,"&gt;="&amp;DATE(2026,1,K$2),
DATA!$B:$B,"&lt;"&amp;DATE(2026,1,K$2)+1
)</f>
        <v>0</v>
      </c>
      <c r="L4" s="110">
        <f>COUNTIFS(
DATA!$F:$F,$B4,
DATA!$B:$B,"&gt;="&amp;DATE(2026,1,L$2),
DATA!$B:$B,"&lt;"&amp;DATE(2026,1,L$2)+1
)</f>
        <v>20</v>
      </c>
      <c r="M4" s="110">
        <f>COUNTIFS(
DATA!$F:$F,$B4,
DATA!$B:$B,"&gt;="&amp;DATE(2026,1,M$2),
DATA!$B:$B,"&lt;"&amp;DATE(2026,1,M$2)+1
)</f>
        <v>0</v>
      </c>
      <c r="N4" s="110">
        <f>COUNTIFS(
DATA!$F:$F,$B4,
DATA!$B:$B,"&gt;="&amp;DATE(2026,1,N$2),
DATA!$B:$B,"&lt;"&amp;DATE(2026,1,N$2)+1
)</f>
        <v>0</v>
      </c>
      <c r="O4" s="110">
        <f>COUNTIFS(
DATA!$F:$F,$B4,
DATA!$B:$B,"&gt;="&amp;DATE(2026,1,O$2),
DATA!$B:$B,"&lt;"&amp;DATE(2026,1,O$2)+1
)</f>
        <v>0</v>
      </c>
      <c r="P4" s="110">
        <f>COUNTIFS(
DATA!$F:$F,$B4,
DATA!$B:$B,"&gt;="&amp;DATE(2026,1,P$2),
DATA!$B:$B,"&lt;"&amp;DATE(2026,1,P$2)+1
)</f>
        <v>0</v>
      </c>
      <c r="Q4" s="110">
        <f>COUNTIFS(
DATA!$F:$F,$B4,
DATA!$B:$B,"&gt;="&amp;DATE(2026,1,Q$2),
DATA!$B:$B,"&lt;"&amp;DATE(2026,1,Q$2)+1
)</f>
        <v>0</v>
      </c>
      <c r="R4" s="110">
        <f>COUNTIFS(
DATA!$F:$F,$B4,
DATA!$B:$B,"&gt;="&amp;DATE(2026,1,R$2),
DATA!$B:$B,"&lt;"&amp;DATE(2026,1,R$2)+1
)</f>
        <v>0</v>
      </c>
      <c r="S4" s="110">
        <f>COUNTIFS(
DATA!$F:$F,$B4,
DATA!$B:$B,"&gt;="&amp;DATE(2026,1,S$2),
DATA!$B:$B,"&lt;"&amp;DATE(2026,1,S$2)+1
)</f>
        <v>0</v>
      </c>
      <c r="T4" s="110">
        <f>COUNTIFS(
DATA!$F:$F,$B4,
DATA!$B:$B,"&gt;="&amp;DATE(2026,1,T$2),
DATA!$B:$B,"&lt;"&amp;DATE(2026,1,T$2)+1
)</f>
        <v>0</v>
      </c>
      <c r="U4" s="110">
        <f>COUNTIFS(
DATA!$F:$F,$B4,
DATA!$B:$B,"&gt;="&amp;DATE(2026,1,U$2),
DATA!$B:$B,"&lt;"&amp;DATE(2026,1,U$2)+1
)</f>
        <v>0</v>
      </c>
      <c r="V4" s="110">
        <f>COUNTIFS(
DATA!$F:$F,$B4,
DATA!$B:$B,"&gt;="&amp;DATE(2026,1,V$2),
DATA!$B:$B,"&lt;"&amp;DATE(2026,1,V$2)+1
)</f>
        <v>0</v>
      </c>
      <c r="W4" s="110">
        <f>COUNTIFS(
DATA!$F:$F,$B4,
DATA!$B:$B,"&gt;="&amp;DATE(2026,1,W$2),
DATA!$B:$B,"&lt;"&amp;DATE(2026,1,W$2)+1
)</f>
        <v>0</v>
      </c>
      <c r="X4" s="110">
        <f>COUNTIFS(
DATA!$F:$F,$B4,
DATA!$B:$B,"&gt;="&amp;DATE(2026,1,X$2),
DATA!$B:$B,"&lt;"&amp;DATE(2026,1,X$2)+1
)</f>
        <v>0</v>
      </c>
      <c r="Y4" s="110">
        <f>COUNTIFS(
DATA!$F:$F,$B4,
DATA!$B:$B,"&gt;="&amp;DATE(2026,1,Y$2),
DATA!$B:$B,"&lt;"&amp;DATE(2026,1,Y$2)+1
)</f>
        <v>15</v>
      </c>
      <c r="Z4" s="110">
        <f>COUNTIFS(
DATA!$F:$F,$B4,
DATA!$B:$B,"&gt;="&amp;DATE(2026,1,Z$2),
DATA!$B:$B,"&lt;"&amp;DATE(2026,1,Z$2)+1
)</f>
        <v>0</v>
      </c>
      <c r="AA4" s="110">
        <f>COUNTIFS(
DATA!$F:$F,$B4,
DATA!$B:$B,"&gt;="&amp;DATE(2026,1,AA$2),
DATA!$B:$B,"&lt;"&amp;DATE(2026,1,AA$2)+1
)</f>
        <v>0</v>
      </c>
      <c r="AB4" s="110">
        <f>COUNTIFS(
DATA!$F:$F,$B4,
DATA!$B:$B,"&gt;="&amp;DATE(2026,1,AB$2),
DATA!$B:$B,"&lt;"&amp;DATE(2026,1,AB$2)+1
)</f>
        <v>0</v>
      </c>
      <c r="AC4" s="110">
        <f>COUNTIFS(
DATA!$F:$F,$B4,
DATA!$B:$B,"&gt;="&amp;DATE(2026,1,AC$2),
DATA!$B:$B,"&lt;"&amp;DATE(2026,1,AC$2)+1
)</f>
        <v>0</v>
      </c>
      <c r="AD4" s="110">
        <f>COUNTIFS(
DATA!$F:$F,$B4,
DATA!$B:$B,"&gt;="&amp;DATE(2026,1,AD$2),
DATA!$B:$B,"&lt;"&amp;DATE(2026,1,AD$2)+1
)</f>
        <v>0</v>
      </c>
      <c r="AE4" s="110">
        <f>COUNTIFS(
DATA!$F:$F,$B4,
DATA!$B:$B,"&gt;="&amp;DATE(2026,1,AE$2),
DATA!$B:$B,"&lt;"&amp;DATE(2026,1,AE$2)+1
)</f>
        <v>0</v>
      </c>
      <c r="AF4" s="110">
        <f>COUNTIFS(
DATA!$F:$F,$B4,
DATA!$B:$B,"&gt;="&amp;DATE(2026,1,AF$2),
DATA!$B:$B,"&lt;"&amp;DATE(2026,1,AF$2)+1
)</f>
        <v>0</v>
      </c>
      <c r="AG4" s="110">
        <f>COUNTIFS(
DATA!$F:$F,$B4,
DATA!$B:$B,"&gt;="&amp;DATE(2026,1,AG$2),
DATA!$B:$B,"&lt;"&amp;DATE(2026,1,AG$2)+1
)</f>
        <v>0</v>
      </c>
      <c r="AH4" s="111">
        <f t="shared" si="1"/>
        <v>35</v>
      </c>
    </row>
    <row r="5">
      <c r="A5" s="108">
        <v>3.0</v>
      </c>
      <c r="B5" s="97" t="s">
        <v>60</v>
      </c>
      <c r="C5" s="110">
        <f>COUNTIFS(
DATA!$F:$F,$B5,
DATA!$B:$B,"&gt;="&amp;DATE(2026,1,C$2),
DATA!$B:$B,"&lt;"&amp;DATE(2026,1,C$2)+1
)</f>
        <v>0</v>
      </c>
      <c r="D5" s="110">
        <f>COUNTIFS(
DATA!$F:$F,$B5,
DATA!$B:$B,"&gt;="&amp;DATE(2026,1,D$2),
DATA!$B:$B,"&lt;"&amp;DATE(2026,1,D$2)+1
)</f>
        <v>9</v>
      </c>
      <c r="E5" s="110">
        <f>COUNTIFS(
DATA!$F:$F,$B5,
DATA!$B:$B,"&gt;="&amp;DATE(2026,1,E$2),
DATA!$B:$B,"&lt;"&amp;DATE(2026,1,E$2)+1
)</f>
        <v>0</v>
      </c>
      <c r="F5" s="110">
        <f>COUNTIFS(
DATA!$F:$F,$B5,
DATA!$B:$B,"&gt;="&amp;DATE(2026,1,F$2),
DATA!$B:$B,"&lt;"&amp;DATE(2026,1,F$2)+1
)</f>
        <v>0</v>
      </c>
      <c r="G5" s="110">
        <f>COUNTIFS(
DATA!$F:$F,$B5,
DATA!$B:$B,"&gt;="&amp;DATE(2026,1,G$2),
DATA!$B:$B,"&lt;"&amp;DATE(2026,1,G$2)+1
)</f>
        <v>0</v>
      </c>
      <c r="H5" s="110">
        <f>COUNTIFS(
DATA!$F:$F,$B5,
DATA!$B:$B,"&gt;="&amp;DATE(2026,1,H$2),
DATA!$B:$B,"&lt;"&amp;DATE(2026,1,H$2)+1
)</f>
        <v>0</v>
      </c>
      <c r="I5" s="110">
        <f>COUNTIFS(
DATA!$F:$F,$B5,
DATA!$B:$B,"&gt;="&amp;DATE(2026,1,I$2),
DATA!$B:$B,"&lt;"&amp;DATE(2026,1,I$2)+1
)</f>
        <v>0</v>
      </c>
      <c r="J5" s="110">
        <f>COUNTIFS(
DATA!$F:$F,$B5,
DATA!$B:$B,"&gt;="&amp;DATE(2026,1,J$2),
DATA!$B:$B,"&lt;"&amp;DATE(2026,1,J$2)+1
)</f>
        <v>0</v>
      </c>
      <c r="K5" s="110">
        <f>COUNTIFS(
DATA!$F:$F,$B5,
DATA!$B:$B,"&gt;="&amp;DATE(2026,1,K$2),
DATA!$B:$B,"&lt;"&amp;DATE(2026,1,K$2)+1
)</f>
        <v>0</v>
      </c>
      <c r="L5" s="110">
        <f>COUNTIFS(
DATA!$F:$F,$B5,
DATA!$B:$B,"&gt;="&amp;DATE(2026,1,L$2),
DATA!$B:$B,"&lt;"&amp;DATE(2026,1,L$2)+1
)</f>
        <v>0</v>
      </c>
      <c r="M5" s="110">
        <f>COUNTIFS(
DATA!$F:$F,$B5,
DATA!$B:$B,"&gt;="&amp;DATE(2026,1,M$2),
DATA!$B:$B,"&lt;"&amp;DATE(2026,1,M$2)+1
)</f>
        <v>0</v>
      </c>
      <c r="N5" s="110">
        <f>COUNTIFS(
DATA!$F:$F,$B5,
DATA!$B:$B,"&gt;="&amp;DATE(2026,1,N$2),
DATA!$B:$B,"&lt;"&amp;DATE(2026,1,N$2)+1
)</f>
        <v>28</v>
      </c>
      <c r="O5" s="110">
        <f>COUNTIFS(
DATA!$F:$F,$B5,
DATA!$B:$B,"&gt;="&amp;DATE(2026,1,O$2),
DATA!$B:$B,"&lt;"&amp;DATE(2026,1,O$2)+1
)</f>
        <v>0</v>
      </c>
      <c r="P5" s="110">
        <f>COUNTIFS(
DATA!$F:$F,$B5,
DATA!$B:$B,"&gt;="&amp;DATE(2026,1,P$2),
DATA!$B:$B,"&lt;"&amp;DATE(2026,1,P$2)+1
)</f>
        <v>0</v>
      </c>
      <c r="Q5" s="110">
        <f>COUNTIFS(
DATA!$F:$F,$B5,
DATA!$B:$B,"&gt;="&amp;DATE(2026,1,Q$2),
DATA!$B:$B,"&lt;"&amp;DATE(2026,1,Q$2)+1
)</f>
        <v>0</v>
      </c>
      <c r="R5" s="110">
        <f>COUNTIFS(
DATA!$F:$F,$B5,
DATA!$B:$B,"&gt;="&amp;DATE(2026,1,R$2),
DATA!$B:$B,"&lt;"&amp;DATE(2026,1,R$2)+1
)</f>
        <v>0</v>
      </c>
      <c r="S5" s="110">
        <f>COUNTIFS(
DATA!$F:$F,$B5,
DATA!$B:$B,"&gt;="&amp;DATE(2026,1,S$2),
DATA!$B:$B,"&lt;"&amp;DATE(2026,1,S$2)+1
)</f>
        <v>0</v>
      </c>
      <c r="T5" s="110">
        <f>COUNTIFS(
DATA!$F:$F,$B5,
DATA!$B:$B,"&gt;="&amp;DATE(2026,1,T$2),
DATA!$B:$B,"&lt;"&amp;DATE(2026,1,T$2)+1
)</f>
        <v>0</v>
      </c>
      <c r="U5" s="110">
        <f>COUNTIFS(
DATA!$F:$F,$B5,
DATA!$B:$B,"&gt;="&amp;DATE(2026,1,U$2),
DATA!$B:$B,"&lt;"&amp;DATE(2026,1,U$2)+1
)</f>
        <v>0</v>
      </c>
      <c r="V5" s="110">
        <f>COUNTIFS(
DATA!$F:$F,$B5,
DATA!$B:$B,"&gt;="&amp;DATE(2026,1,V$2),
DATA!$B:$B,"&lt;"&amp;DATE(2026,1,V$2)+1
)</f>
        <v>0</v>
      </c>
      <c r="W5" s="110">
        <f>COUNTIFS(
DATA!$F:$F,$B5,
DATA!$B:$B,"&gt;="&amp;DATE(2026,1,W$2),
DATA!$B:$B,"&lt;"&amp;DATE(2026,1,W$2)+1
)</f>
        <v>0</v>
      </c>
      <c r="X5" s="110">
        <f>COUNTIFS(
DATA!$F:$F,$B5,
DATA!$B:$B,"&gt;="&amp;DATE(2026,1,X$2),
DATA!$B:$B,"&lt;"&amp;DATE(2026,1,X$2)+1
)</f>
        <v>0</v>
      </c>
      <c r="Y5" s="110">
        <f>COUNTIFS(
DATA!$F:$F,$B5,
DATA!$B:$B,"&gt;="&amp;DATE(2026,1,Y$2),
DATA!$B:$B,"&lt;"&amp;DATE(2026,1,Y$2)+1
)</f>
        <v>0</v>
      </c>
      <c r="Z5" s="110">
        <f>COUNTIFS(
DATA!$F:$F,$B5,
DATA!$B:$B,"&gt;="&amp;DATE(2026,1,Z$2),
DATA!$B:$B,"&lt;"&amp;DATE(2026,1,Z$2)+1
)</f>
        <v>0</v>
      </c>
      <c r="AA5" s="110">
        <f>COUNTIFS(
DATA!$F:$F,$B5,
DATA!$B:$B,"&gt;="&amp;DATE(2026,1,AA$2),
DATA!$B:$B,"&lt;"&amp;DATE(2026,1,AA$2)+1
)</f>
        <v>0</v>
      </c>
      <c r="AB5" s="110">
        <f>COUNTIFS(
DATA!$F:$F,$B5,
DATA!$B:$B,"&gt;="&amp;DATE(2026,1,AB$2),
DATA!$B:$B,"&lt;"&amp;DATE(2026,1,AB$2)+1
)</f>
        <v>0</v>
      </c>
      <c r="AC5" s="110">
        <f>COUNTIFS(
DATA!$F:$F,$B5,
DATA!$B:$B,"&gt;="&amp;DATE(2026,1,AC$2),
DATA!$B:$B,"&lt;"&amp;DATE(2026,1,AC$2)+1
)</f>
        <v>0</v>
      </c>
      <c r="AD5" s="110">
        <f>COUNTIFS(
DATA!$F:$F,$B5,
DATA!$B:$B,"&gt;="&amp;DATE(2026,1,AD$2),
DATA!$B:$B,"&lt;"&amp;DATE(2026,1,AD$2)+1
)</f>
        <v>0</v>
      </c>
      <c r="AE5" s="110">
        <f>COUNTIFS(
DATA!$F:$F,$B5,
DATA!$B:$B,"&gt;="&amp;DATE(2026,1,AE$2),
DATA!$B:$B,"&lt;"&amp;DATE(2026,1,AE$2)+1
)</f>
        <v>0</v>
      </c>
      <c r="AF5" s="110">
        <f>COUNTIFS(
DATA!$F:$F,$B5,
DATA!$B:$B,"&gt;="&amp;DATE(2026,1,AF$2),
DATA!$B:$B,"&lt;"&amp;DATE(2026,1,AF$2)+1
)</f>
        <v>0</v>
      </c>
      <c r="AG5" s="110">
        <f>COUNTIFS(
DATA!$F:$F,$B5,
DATA!$B:$B,"&gt;="&amp;DATE(2026,1,AG$2),
DATA!$B:$B,"&lt;"&amp;DATE(2026,1,AG$2)+1
)</f>
        <v>0</v>
      </c>
      <c r="AH5" s="111">
        <f t="shared" si="1"/>
        <v>37</v>
      </c>
    </row>
    <row r="6">
      <c r="A6" s="108">
        <v>4.0</v>
      </c>
      <c r="B6" s="97" t="s">
        <v>61</v>
      </c>
      <c r="C6" s="110">
        <f>COUNTIFS(
DATA!$F:$F,$B6,
DATA!$B:$B,"&gt;="&amp;DATE(2026,1,C$2),
DATA!$B:$B,"&lt;"&amp;DATE(2026,1,C$2)+1
)</f>
        <v>0</v>
      </c>
      <c r="D6" s="110">
        <f>COUNTIFS(
DATA!$F:$F,$B6,
DATA!$B:$B,"&gt;="&amp;DATE(2026,1,D$2),
DATA!$B:$B,"&lt;"&amp;DATE(2026,1,D$2)+1
)</f>
        <v>0</v>
      </c>
      <c r="E6" s="110">
        <f>COUNTIFS(
DATA!$F:$F,$B6,
DATA!$B:$B,"&gt;="&amp;DATE(2026,1,E$2),
DATA!$B:$B,"&lt;"&amp;DATE(2026,1,E$2)+1
)</f>
        <v>0</v>
      </c>
      <c r="F6" s="110">
        <f>COUNTIFS(
DATA!$F:$F,$B6,
DATA!$B:$B,"&gt;="&amp;DATE(2026,1,F$2),
DATA!$B:$B,"&lt;"&amp;DATE(2026,1,F$2)+1
)</f>
        <v>0</v>
      </c>
      <c r="G6" s="110">
        <f>COUNTIFS(
DATA!$F:$F,$B6,
DATA!$B:$B,"&gt;="&amp;DATE(2026,1,G$2),
DATA!$B:$B,"&lt;"&amp;DATE(2026,1,G$2)+1
)</f>
        <v>0</v>
      </c>
      <c r="H6" s="110">
        <f>COUNTIFS(
DATA!$F:$F,$B6,
DATA!$B:$B,"&gt;="&amp;DATE(2026,1,H$2),
DATA!$B:$B,"&lt;"&amp;DATE(2026,1,H$2)+1
)</f>
        <v>0</v>
      </c>
      <c r="I6" s="110">
        <f>COUNTIFS(
DATA!$F:$F,$B6,
DATA!$B:$B,"&gt;="&amp;DATE(2026,1,I$2),
DATA!$B:$B,"&lt;"&amp;DATE(2026,1,I$2)+1
)</f>
        <v>0</v>
      </c>
      <c r="J6" s="110">
        <f>COUNTIFS(
DATA!$F:$F,$B6,
DATA!$B:$B,"&gt;="&amp;DATE(2026,1,J$2),
DATA!$B:$B,"&lt;"&amp;DATE(2026,1,J$2)+1
)</f>
        <v>0</v>
      </c>
      <c r="K6" s="110">
        <f>COUNTIFS(
DATA!$F:$F,$B6,
DATA!$B:$B,"&gt;="&amp;DATE(2026,1,K$2),
DATA!$B:$B,"&lt;"&amp;DATE(2026,1,K$2)+1
)</f>
        <v>0</v>
      </c>
      <c r="L6" s="110">
        <f>COUNTIFS(
DATA!$F:$F,$B6,
DATA!$B:$B,"&gt;="&amp;DATE(2026,1,L$2),
DATA!$B:$B,"&lt;"&amp;DATE(2026,1,L$2)+1
)</f>
        <v>0</v>
      </c>
      <c r="M6" s="110">
        <f>COUNTIFS(
DATA!$F:$F,$B6,
DATA!$B:$B,"&gt;="&amp;DATE(2026,1,M$2),
DATA!$B:$B,"&lt;"&amp;DATE(2026,1,M$2)+1
)</f>
        <v>0</v>
      </c>
      <c r="N6" s="110">
        <f>COUNTIFS(
DATA!$F:$F,$B6,
DATA!$B:$B,"&gt;="&amp;DATE(2026,1,N$2),
DATA!$B:$B,"&lt;"&amp;DATE(2026,1,N$2)+1
)</f>
        <v>0</v>
      </c>
      <c r="O6" s="110">
        <f>COUNTIFS(
DATA!$F:$F,$B6,
DATA!$B:$B,"&gt;="&amp;DATE(2026,1,O$2),
DATA!$B:$B,"&lt;"&amp;DATE(2026,1,O$2)+1
)</f>
        <v>0</v>
      </c>
      <c r="P6" s="110">
        <f>COUNTIFS(
DATA!$F:$F,$B6,
DATA!$B:$B,"&gt;="&amp;DATE(2026,1,P$2),
DATA!$B:$B,"&lt;"&amp;DATE(2026,1,P$2)+1
)</f>
        <v>0</v>
      </c>
      <c r="Q6" s="110">
        <f>COUNTIFS(
DATA!$F:$F,$B6,
DATA!$B:$B,"&gt;="&amp;DATE(2026,1,Q$2),
DATA!$B:$B,"&lt;"&amp;DATE(2026,1,Q$2)+1
)</f>
        <v>0</v>
      </c>
      <c r="R6" s="110">
        <f>COUNTIFS(
DATA!$F:$F,$B6,
DATA!$B:$B,"&gt;="&amp;DATE(2026,1,R$2),
DATA!$B:$B,"&lt;"&amp;DATE(2026,1,R$2)+1
)</f>
        <v>0</v>
      </c>
      <c r="S6" s="110">
        <f>COUNTIFS(
DATA!$F:$F,$B6,
DATA!$B:$B,"&gt;="&amp;DATE(2026,1,S$2),
DATA!$B:$B,"&lt;"&amp;DATE(2026,1,S$2)+1
)</f>
        <v>0</v>
      </c>
      <c r="T6" s="110">
        <f>COUNTIFS(
DATA!$F:$F,$B6,
DATA!$B:$B,"&gt;="&amp;DATE(2026,1,T$2),
DATA!$B:$B,"&lt;"&amp;DATE(2026,1,T$2)+1
)</f>
        <v>0</v>
      </c>
      <c r="U6" s="110">
        <f>COUNTIFS(
DATA!$F:$F,$B6,
DATA!$B:$B,"&gt;="&amp;DATE(2026,1,U$2),
DATA!$B:$B,"&lt;"&amp;DATE(2026,1,U$2)+1
)</f>
        <v>0</v>
      </c>
      <c r="V6" s="110">
        <f>COUNTIFS(
DATA!$F:$F,$B6,
DATA!$B:$B,"&gt;="&amp;DATE(2026,1,V$2),
DATA!$B:$B,"&lt;"&amp;DATE(2026,1,V$2)+1
)</f>
        <v>0</v>
      </c>
      <c r="W6" s="110">
        <f>COUNTIFS(
DATA!$F:$F,$B6,
DATA!$B:$B,"&gt;="&amp;DATE(2026,1,W$2),
DATA!$B:$B,"&lt;"&amp;DATE(2026,1,W$2)+1
)</f>
        <v>0</v>
      </c>
      <c r="X6" s="110">
        <f>COUNTIFS(
DATA!$F:$F,$B6,
DATA!$B:$B,"&gt;="&amp;DATE(2026,1,X$2),
DATA!$B:$B,"&lt;"&amp;DATE(2026,1,X$2)+1
)</f>
        <v>0</v>
      </c>
      <c r="Y6" s="110">
        <f>COUNTIFS(
DATA!$F:$F,$B6,
DATA!$B:$B,"&gt;="&amp;DATE(2026,1,Y$2),
DATA!$B:$B,"&lt;"&amp;DATE(2026,1,Y$2)+1
)</f>
        <v>0</v>
      </c>
      <c r="Z6" s="110">
        <f>COUNTIFS(
DATA!$F:$F,$B6,
DATA!$B:$B,"&gt;="&amp;DATE(2026,1,Z$2),
DATA!$B:$B,"&lt;"&amp;DATE(2026,1,Z$2)+1
)</f>
        <v>0</v>
      </c>
      <c r="AA6" s="110">
        <f>COUNTIFS(
DATA!$F:$F,$B6,
DATA!$B:$B,"&gt;="&amp;DATE(2026,1,AA$2),
DATA!$B:$B,"&lt;"&amp;DATE(2026,1,AA$2)+1
)</f>
        <v>0</v>
      </c>
      <c r="AB6" s="110">
        <f>COUNTIFS(
DATA!$F:$F,$B6,
DATA!$B:$B,"&gt;="&amp;DATE(2026,1,AB$2),
DATA!$B:$B,"&lt;"&amp;DATE(2026,1,AB$2)+1
)</f>
        <v>0</v>
      </c>
      <c r="AC6" s="110">
        <f>COUNTIFS(
DATA!$F:$F,$B6,
DATA!$B:$B,"&gt;="&amp;DATE(2026,1,AC$2),
DATA!$B:$B,"&lt;"&amp;DATE(2026,1,AC$2)+1
)</f>
        <v>0</v>
      </c>
      <c r="AD6" s="110">
        <f>COUNTIFS(
DATA!$F:$F,$B6,
DATA!$B:$B,"&gt;="&amp;DATE(2026,1,AD$2),
DATA!$B:$B,"&lt;"&amp;DATE(2026,1,AD$2)+1
)</f>
        <v>0</v>
      </c>
      <c r="AE6" s="110">
        <f>COUNTIFS(
DATA!$F:$F,$B6,
DATA!$B:$B,"&gt;="&amp;DATE(2026,1,AE$2),
DATA!$B:$B,"&lt;"&amp;DATE(2026,1,AE$2)+1
)</f>
        <v>0</v>
      </c>
      <c r="AF6" s="110">
        <f>COUNTIFS(
DATA!$F:$F,$B6,
DATA!$B:$B,"&gt;="&amp;DATE(2026,1,AF$2),
DATA!$B:$B,"&lt;"&amp;DATE(2026,1,AF$2)+1
)</f>
        <v>0</v>
      </c>
      <c r="AG6" s="110">
        <f>COUNTIFS(
DATA!$F:$F,$B6,
DATA!$B:$B,"&gt;="&amp;DATE(2026,1,AG$2),
DATA!$B:$B,"&lt;"&amp;DATE(2026,1,AG$2)+1
)</f>
        <v>0</v>
      </c>
      <c r="AH6" s="111">
        <f t="shared" si="1"/>
        <v>0</v>
      </c>
    </row>
    <row r="7">
      <c r="A7" s="108">
        <v>5.0</v>
      </c>
      <c r="B7" s="97" t="s">
        <v>63</v>
      </c>
      <c r="C7" s="110">
        <f>COUNTIFS(
DATA!$F:$F,$B7,
DATA!$B:$B,"&gt;="&amp;DATE(2026,1,C$2),
DATA!$B:$B,"&lt;"&amp;DATE(2026,1,C$2)+1
)</f>
        <v>0</v>
      </c>
      <c r="D7" s="110">
        <f>COUNTIFS(
DATA!$F:$F,$B7,
DATA!$B:$B,"&gt;="&amp;DATE(2026,1,D$2),
DATA!$B:$B,"&lt;"&amp;DATE(2026,1,D$2)+1
)</f>
        <v>0</v>
      </c>
      <c r="E7" s="110">
        <f>COUNTIFS(
DATA!$F:$F,$B7,
DATA!$B:$B,"&gt;="&amp;DATE(2026,1,E$2),
DATA!$B:$B,"&lt;"&amp;DATE(2026,1,E$2)+1
)</f>
        <v>0</v>
      </c>
      <c r="F7" s="110">
        <f>COUNTIFS(
DATA!$F:$F,$B7,
DATA!$B:$B,"&gt;="&amp;DATE(2026,1,F$2),
DATA!$B:$B,"&lt;"&amp;DATE(2026,1,F$2)+1
)</f>
        <v>0</v>
      </c>
      <c r="G7" s="110">
        <f>COUNTIFS(
DATA!$F:$F,$B7,
DATA!$B:$B,"&gt;="&amp;DATE(2026,1,G$2),
DATA!$B:$B,"&lt;"&amp;DATE(2026,1,G$2)+1
)</f>
        <v>0</v>
      </c>
      <c r="H7" s="110">
        <f>COUNTIFS(
DATA!$F:$F,$B7,
DATA!$B:$B,"&gt;="&amp;DATE(2026,1,H$2),
DATA!$B:$B,"&lt;"&amp;DATE(2026,1,H$2)+1
)</f>
        <v>0</v>
      </c>
      <c r="I7" s="110">
        <f>COUNTIFS(
DATA!$F:$F,$B7,
DATA!$B:$B,"&gt;="&amp;DATE(2026,1,I$2),
DATA!$B:$B,"&lt;"&amp;DATE(2026,1,I$2)+1
)</f>
        <v>0</v>
      </c>
      <c r="J7" s="110">
        <f>COUNTIFS(
DATA!$F:$F,$B7,
DATA!$B:$B,"&gt;="&amp;DATE(2026,1,J$2),
DATA!$B:$B,"&lt;"&amp;DATE(2026,1,J$2)+1
)</f>
        <v>12</v>
      </c>
      <c r="K7" s="110">
        <f>COUNTIFS(
DATA!$F:$F,$B7,
DATA!$B:$B,"&gt;="&amp;DATE(2026,1,K$2),
DATA!$B:$B,"&lt;"&amp;DATE(2026,1,K$2)+1
)</f>
        <v>16</v>
      </c>
      <c r="L7" s="110">
        <f>COUNTIFS(
DATA!$F:$F,$B7,
DATA!$B:$B,"&gt;="&amp;DATE(2026,1,L$2),
DATA!$B:$B,"&lt;"&amp;DATE(2026,1,L$2)+1
)</f>
        <v>0</v>
      </c>
      <c r="M7" s="110">
        <f>COUNTIFS(
DATA!$F:$F,$B7,
DATA!$B:$B,"&gt;="&amp;DATE(2026,1,M$2),
DATA!$B:$B,"&lt;"&amp;DATE(2026,1,M$2)+1
)</f>
        <v>0</v>
      </c>
      <c r="N7" s="110">
        <f>COUNTIFS(
DATA!$F:$F,$B7,
DATA!$B:$B,"&gt;="&amp;DATE(2026,1,N$2),
DATA!$B:$B,"&lt;"&amp;DATE(2026,1,N$2)+1
)</f>
        <v>0</v>
      </c>
      <c r="O7" s="110">
        <f>COUNTIFS(
DATA!$F:$F,$B7,
DATA!$B:$B,"&gt;="&amp;DATE(2026,1,O$2),
DATA!$B:$B,"&lt;"&amp;DATE(2026,1,O$2)+1
)</f>
        <v>0</v>
      </c>
      <c r="P7" s="110">
        <f>COUNTIFS(
DATA!$F:$F,$B7,
DATA!$B:$B,"&gt;="&amp;DATE(2026,1,P$2),
DATA!$B:$B,"&lt;"&amp;DATE(2026,1,P$2)+1
)</f>
        <v>0</v>
      </c>
      <c r="Q7" s="110">
        <f>COUNTIFS(
DATA!$F:$F,$B7,
DATA!$B:$B,"&gt;="&amp;DATE(2026,1,Q$2),
DATA!$B:$B,"&lt;"&amp;DATE(2026,1,Q$2)+1
)</f>
        <v>21</v>
      </c>
      <c r="R7" s="110">
        <f>COUNTIFS(
DATA!$F:$F,$B7,
DATA!$B:$B,"&gt;="&amp;DATE(2026,1,R$2),
DATA!$B:$B,"&lt;"&amp;DATE(2026,1,R$2)+1
)</f>
        <v>0</v>
      </c>
      <c r="S7" s="110">
        <f>COUNTIFS(
DATA!$F:$F,$B7,
DATA!$B:$B,"&gt;="&amp;DATE(2026,1,S$2),
DATA!$B:$B,"&lt;"&amp;DATE(2026,1,S$2)+1
)</f>
        <v>0</v>
      </c>
      <c r="T7" s="110">
        <f>COUNTIFS(
DATA!$F:$F,$B7,
DATA!$B:$B,"&gt;="&amp;DATE(2026,1,T$2),
DATA!$B:$B,"&lt;"&amp;DATE(2026,1,T$2)+1
)</f>
        <v>0</v>
      </c>
      <c r="U7" s="110">
        <f>COUNTIFS(
DATA!$F:$F,$B7,
DATA!$B:$B,"&gt;="&amp;DATE(2026,1,U$2),
DATA!$B:$B,"&lt;"&amp;DATE(2026,1,U$2)+1
)</f>
        <v>0</v>
      </c>
      <c r="V7" s="110">
        <f>COUNTIFS(
DATA!$F:$F,$B7,
DATA!$B:$B,"&gt;="&amp;DATE(2026,1,V$2),
DATA!$B:$B,"&lt;"&amp;DATE(2026,1,V$2)+1
)</f>
        <v>0</v>
      </c>
      <c r="W7" s="110">
        <f>COUNTIFS(
DATA!$F:$F,$B7,
DATA!$B:$B,"&gt;="&amp;DATE(2026,1,W$2),
DATA!$B:$B,"&lt;"&amp;DATE(2026,1,W$2)+1
)</f>
        <v>0</v>
      </c>
      <c r="X7" s="110">
        <f>COUNTIFS(
DATA!$F:$F,$B7,
DATA!$B:$B,"&gt;="&amp;DATE(2026,1,X$2),
DATA!$B:$B,"&lt;"&amp;DATE(2026,1,X$2)+1
)</f>
        <v>0</v>
      </c>
      <c r="Y7" s="110">
        <f>COUNTIFS(
DATA!$F:$F,$B7,
DATA!$B:$B,"&gt;="&amp;DATE(2026,1,Y$2),
DATA!$B:$B,"&lt;"&amp;DATE(2026,1,Y$2)+1
)</f>
        <v>0</v>
      </c>
      <c r="Z7" s="110">
        <f>COUNTIFS(
DATA!$F:$F,$B7,
DATA!$B:$B,"&gt;="&amp;DATE(2026,1,Z$2),
DATA!$B:$B,"&lt;"&amp;DATE(2026,1,Z$2)+1
)</f>
        <v>0</v>
      </c>
      <c r="AA7" s="110">
        <f>COUNTIFS(
DATA!$F:$F,$B7,
DATA!$B:$B,"&gt;="&amp;DATE(2026,1,AA$2),
DATA!$B:$B,"&lt;"&amp;DATE(2026,1,AA$2)+1
)</f>
        <v>0</v>
      </c>
      <c r="AB7" s="110">
        <f>COUNTIFS(
DATA!$F:$F,$B7,
DATA!$B:$B,"&gt;="&amp;DATE(2026,1,AB$2),
DATA!$B:$B,"&lt;"&amp;DATE(2026,1,AB$2)+1
)</f>
        <v>0</v>
      </c>
      <c r="AC7" s="110">
        <f>COUNTIFS(
DATA!$F:$F,$B7,
DATA!$B:$B,"&gt;="&amp;DATE(2026,1,AC$2),
DATA!$B:$B,"&lt;"&amp;DATE(2026,1,AC$2)+1
)</f>
        <v>0</v>
      </c>
      <c r="AD7" s="110">
        <f>COUNTIFS(
DATA!$F:$F,$B7,
DATA!$B:$B,"&gt;="&amp;DATE(2026,1,AD$2),
DATA!$B:$B,"&lt;"&amp;DATE(2026,1,AD$2)+1
)</f>
        <v>0</v>
      </c>
      <c r="AE7" s="110">
        <f>COUNTIFS(
DATA!$F:$F,$B7,
DATA!$B:$B,"&gt;="&amp;DATE(2026,1,AE$2),
DATA!$B:$B,"&lt;"&amp;DATE(2026,1,AE$2)+1
)</f>
        <v>0</v>
      </c>
      <c r="AF7" s="110">
        <f>COUNTIFS(
DATA!$F:$F,$B7,
DATA!$B:$B,"&gt;="&amp;DATE(2026,1,AF$2),
DATA!$B:$B,"&lt;"&amp;DATE(2026,1,AF$2)+1
)</f>
        <v>0</v>
      </c>
      <c r="AG7" s="110">
        <f>COUNTIFS(
DATA!$F:$F,$B7,
DATA!$B:$B,"&gt;="&amp;DATE(2026,1,AG$2),
DATA!$B:$B,"&lt;"&amp;DATE(2026,1,AG$2)+1
)</f>
        <v>0</v>
      </c>
      <c r="AH7" s="111">
        <f t="shared" si="1"/>
        <v>49</v>
      </c>
    </row>
    <row r="8">
      <c r="A8" s="108">
        <v>6.0</v>
      </c>
      <c r="B8" s="97" t="s">
        <v>67</v>
      </c>
      <c r="C8" s="110">
        <f>COUNTIFS(
DATA!$F:$F,$B8,
DATA!$B:$B,"&gt;="&amp;DATE(2026,1,C$2),
DATA!$B:$B,"&lt;"&amp;DATE(2026,1,C$2)+1
)</f>
        <v>0</v>
      </c>
      <c r="D8" s="110">
        <f>COUNTIFS(
DATA!$F:$F,$B8,
DATA!$B:$B,"&gt;="&amp;DATE(2026,1,D$2),
DATA!$B:$B,"&lt;"&amp;DATE(2026,1,D$2)+1
)</f>
        <v>0</v>
      </c>
      <c r="E8" s="110">
        <f>COUNTIFS(
DATA!$F:$F,$B8,
DATA!$B:$B,"&gt;="&amp;DATE(2026,1,E$2),
DATA!$B:$B,"&lt;"&amp;DATE(2026,1,E$2)+1
)</f>
        <v>0</v>
      </c>
      <c r="F8" s="110">
        <f>COUNTIFS(
DATA!$F:$F,$B8,
DATA!$B:$B,"&gt;="&amp;DATE(2026,1,F$2),
DATA!$B:$B,"&lt;"&amp;DATE(2026,1,F$2)+1
)</f>
        <v>0</v>
      </c>
      <c r="G8" s="110">
        <f>COUNTIFS(
DATA!$F:$F,$B8,
DATA!$B:$B,"&gt;="&amp;DATE(2026,1,G$2),
DATA!$B:$B,"&lt;"&amp;DATE(2026,1,G$2)+1
)</f>
        <v>0</v>
      </c>
      <c r="H8" s="110">
        <f>COUNTIFS(
DATA!$F:$F,$B8,
DATA!$B:$B,"&gt;="&amp;DATE(2026,1,H$2),
DATA!$B:$B,"&lt;"&amp;DATE(2026,1,H$2)+1
)</f>
        <v>0</v>
      </c>
      <c r="I8" s="110">
        <f>COUNTIFS(
DATA!$F:$F,$B8,
DATA!$B:$B,"&gt;="&amp;DATE(2026,1,I$2),
DATA!$B:$B,"&lt;"&amp;DATE(2026,1,I$2)+1
)</f>
        <v>0</v>
      </c>
      <c r="J8" s="110">
        <f>COUNTIFS(
DATA!$F:$F,$B8,
DATA!$B:$B,"&gt;="&amp;DATE(2026,1,J$2),
DATA!$B:$B,"&lt;"&amp;DATE(2026,1,J$2)+1
)</f>
        <v>0</v>
      </c>
      <c r="K8" s="110">
        <f>COUNTIFS(
DATA!$F:$F,$B8,
DATA!$B:$B,"&gt;="&amp;DATE(2026,1,K$2),
DATA!$B:$B,"&lt;"&amp;DATE(2026,1,K$2)+1
)</f>
        <v>0</v>
      </c>
      <c r="L8" s="110">
        <f>COUNTIFS(
DATA!$F:$F,$B8,
DATA!$B:$B,"&gt;="&amp;DATE(2026,1,L$2),
DATA!$B:$B,"&lt;"&amp;DATE(2026,1,L$2)+1
)</f>
        <v>0</v>
      </c>
      <c r="M8" s="110">
        <f>COUNTIFS(
DATA!$F:$F,$B8,
DATA!$B:$B,"&gt;="&amp;DATE(2026,1,M$2),
DATA!$B:$B,"&lt;"&amp;DATE(2026,1,M$2)+1
)</f>
        <v>0</v>
      </c>
      <c r="N8" s="110">
        <f>COUNTIFS(
DATA!$F:$F,$B8,
DATA!$B:$B,"&gt;="&amp;DATE(2026,1,N$2),
DATA!$B:$B,"&lt;"&amp;DATE(2026,1,N$2)+1
)</f>
        <v>0</v>
      </c>
      <c r="O8" s="110">
        <f>COUNTIFS(
DATA!$F:$F,$B8,
DATA!$B:$B,"&gt;="&amp;DATE(2026,1,O$2),
DATA!$B:$B,"&lt;"&amp;DATE(2026,1,O$2)+1
)</f>
        <v>0</v>
      </c>
      <c r="P8" s="110">
        <f>COUNTIFS(
DATA!$F:$F,$B8,
DATA!$B:$B,"&gt;="&amp;DATE(2026,1,P$2),
DATA!$B:$B,"&lt;"&amp;DATE(2026,1,P$2)+1
)</f>
        <v>0</v>
      </c>
      <c r="Q8" s="110">
        <f>COUNTIFS(
DATA!$F:$F,$B8,
DATA!$B:$B,"&gt;="&amp;DATE(2026,1,Q$2),
DATA!$B:$B,"&lt;"&amp;DATE(2026,1,Q$2)+1
)</f>
        <v>0</v>
      </c>
      <c r="R8" s="110">
        <f>COUNTIFS(
DATA!$F:$F,$B8,
DATA!$B:$B,"&gt;="&amp;DATE(2026,1,R$2),
DATA!$B:$B,"&lt;"&amp;DATE(2026,1,R$2)+1
)</f>
        <v>0</v>
      </c>
      <c r="S8" s="110">
        <f>COUNTIFS(
DATA!$F:$F,$B8,
DATA!$B:$B,"&gt;="&amp;DATE(2026,1,S$2),
DATA!$B:$B,"&lt;"&amp;DATE(2026,1,S$2)+1
)</f>
        <v>0</v>
      </c>
      <c r="T8" s="110">
        <f>COUNTIFS(
DATA!$F:$F,$B8,
DATA!$B:$B,"&gt;="&amp;DATE(2026,1,T$2),
DATA!$B:$B,"&lt;"&amp;DATE(2026,1,T$2)+1
)</f>
        <v>0</v>
      </c>
      <c r="U8" s="110">
        <f>COUNTIFS(
DATA!$F:$F,$B8,
DATA!$B:$B,"&gt;="&amp;DATE(2026,1,U$2),
DATA!$B:$B,"&lt;"&amp;DATE(2026,1,U$2)+1
)</f>
        <v>0</v>
      </c>
      <c r="V8" s="110">
        <f>COUNTIFS(
DATA!$F:$F,$B8,
DATA!$B:$B,"&gt;="&amp;DATE(2026,1,V$2),
DATA!$B:$B,"&lt;"&amp;DATE(2026,1,V$2)+1
)</f>
        <v>52</v>
      </c>
      <c r="W8" s="110">
        <f>COUNTIFS(
DATA!$F:$F,$B8,
DATA!$B:$B,"&gt;="&amp;DATE(2026,1,W$2),
DATA!$B:$B,"&lt;"&amp;DATE(2026,1,W$2)+1
)</f>
        <v>0</v>
      </c>
      <c r="X8" s="110">
        <f>COUNTIFS(
DATA!$F:$F,$B8,
DATA!$B:$B,"&gt;="&amp;DATE(2026,1,X$2),
DATA!$B:$B,"&lt;"&amp;DATE(2026,1,X$2)+1
)</f>
        <v>0</v>
      </c>
      <c r="Y8" s="110">
        <f>COUNTIFS(
DATA!$F:$F,$B8,
DATA!$B:$B,"&gt;="&amp;DATE(2026,1,Y$2),
DATA!$B:$B,"&lt;"&amp;DATE(2026,1,Y$2)+1
)</f>
        <v>0</v>
      </c>
      <c r="Z8" s="110">
        <f>COUNTIFS(
DATA!$F:$F,$B8,
DATA!$B:$B,"&gt;="&amp;DATE(2026,1,Z$2),
DATA!$B:$B,"&lt;"&amp;DATE(2026,1,Z$2)+1
)</f>
        <v>0</v>
      </c>
      <c r="AA8" s="110">
        <f>COUNTIFS(
DATA!$F:$F,$B8,
DATA!$B:$B,"&gt;="&amp;DATE(2026,1,AA$2),
DATA!$B:$B,"&lt;"&amp;DATE(2026,1,AA$2)+1
)</f>
        <v>0</v>
      </c>
      <c r="AB8" s="110">
        <f>COUNTIFS(
DATA!$F:$F,$B8,
DATA!$B:$B,"&gt;="&amp;DATE(2026,1,AB$2),
DATA!$B:$B,"&lt;"&amp;DATE(2026,1,AB$2)+1
)</f>
        <v>0</v>
      </c>
      <c r="AC8" s="110">
        <f>COUNTIFS(
DATA!$F:$F,$B8,
DATA!$B:$B,"&gt;="&amp;DATE(2026,1,AC$2),
DATA!$B:$B,"&lt;"&amp;DATE(2026,1,AC$2)+1
)</f>
        <v>0</v>
      </c>
      <c r="AD8" s="110">
        <f>COUNTIFS(
DATA!$F:$F,$B8,
DATA!$B:$B,"&gt;="&amp;DATE(2026,1,AD$2),
DATA!$B:$B,"&lt;"&amp;DATE(2026,1,AD$2)+1
)</f>
        <v>0</v>
      </c>
      <c r="AE8" s="110">
        <f>COUNTIFS(
DATA!$F:$F,$B8,
DATA!$B:$B,"&gt;="&amp;DATE(2026,1,AE$2),
DATA!$B:$B,"&lt;"&amp;DATE(2026,1,AE$2)+1
)</f>
        <v>0</v>
      </c>
      <c r="AF8" s="110">
        <f>COUNTIFS(
DATA!$F:$F,$B8,
DATA!$B:$B,"&gt;="&amp;DATE(2026,1,AF$2),
DATA!$B:$B,"&lt;"&amp;DATE(2026,1,AF$2)+1
)</f>
        <v>0</v>
      </c>
      <c r="AG8" s="110">
        <f>COUNTIFS(
DATA!$F:$F,$B8,
DATA!$B:$B,"&gt;="&amp;DATE(2026,1,AG$2),
DATA!$B:$B,"&lt;"&amp;DATE(2026,1,AG$2)+1
)</f>
        <v>0</v>
      </c>
      <c r="AH8" s="111">
        <f t="shared" si="1"/>
        <v>52</v>
      </c>
    </row>
    <row r="9">
      <c r="A9" s="108">
        <v>7.0</v>
      </c>
      <c r="B9" s="97" t="s">
        <v>64</v>
      </c>
      <c r="C9" s="110">
        <f>COUNTIFS(
DATA!$F:$F,$B9,
DATA!$B:$B,"&gt;="&amp;DATE(2026,1,C$2),
DATA!$B:$B,"&lt;"&amp;DATE(2026,1,C$2)+1
)</f>
        <v>0</v>
      </c>
      <c r="D9" s="110">
        <f>COUNTIFS(
DATA!$F:$F,$B9,
DATA!$B:$B,"&gt;="&amp;DATE(2026,1,D$2),
DATA!$B:$B,"&lt;"&amp;DATE(2026,1,D$2)+1
)</f>
        <v>0</v>
      </c>
      <c r="E9" s="110">
        <f>COUNTIFS(
DATA!$F:$F,$B9,
DATA!$B:$B,"&gt;="&amp;DATE(2026,1,E$2),
DATA!$B:$B,"&lt;"&amp;DATE(2026,1,E$2)+1
)</f>
        <v>0</v>
      </c>
      <c r="F9" s="110">
        <f>COUNTIFS(
DATA!$F:$F,$B9,
DATA!$B:$B,"&gt;="&amp;DATE(2026,1,F$2),
DATA!$B:$B,"&lt;"&amp;DATE(2026,1,F$2)+1
)</f>
        <v>0</v>
      </c>
      <c r="G9" s="110">
        <f>COUNTIFS(
DATA!$F:$F,$B9,
DATA!$B:$B,"&gt;="&amp;DATE(2026,1,G$2),
DATA!$B:$B,"&lt;"&amp;DATE(2026,1,G$2)+1
)</f>
        <v>0</v>
      </c>
      <c r="H9" s="110">
        <f>COUNTIFS(
DATA!$F:$F,$B9,
DATA!$B:$B,"&gt;="&amp;DATE(2026,1,H$2),
DATA!$B:$B,"&lt;"&amp;DATE(2026,1,H$2)+1
)</f>
        <v>0</v>
      </c>
      <c r="I9" s="110">
        <f>COUNTIFS(
DATA!$F:$F,$B9,
DATA!$B:$B,"&gt;="&amp;DATE(2026,1,I$2),
DATA!$B:$B,"&lt;"&amp;DATE(2026,1,I$2)+1
)</f>
        <v>0</v>
      </c>
      <c r="J9" s="110">
        <f>COUNTIFS(
DATA!$F:$F,$B9,
DATA!$B:$B,"&gt;="&amp;DATE(2026,1,J$2),
DATA!$B:$B,"&lt;"&amp;DATE(2026,1,J$2)+1
)</f>
        <v>0</v>
      </c>
      <c r="K9" s="110">
        <f>COUNTIFS(
DATA!$F:$F,$B9,
DATA!$B:$B,"&gt;="&amp;DATE(2026,1,K$2),
DATA!$B:$B,"&lt;"&amp;DATE(2026,1,K$2)+1
)</f>
        <v>0</v>
      </c>
      <c r="L9" s="110">
        <f>COUNTIFS(
DATA!$F:$F,$B9,
DATA!$B:$B,"&gt;="&amp;DATE(2026,1,L$2),
DATA!$B:$B,"&lt;"&amp;DATE(2026,1,L$2)+1
)</f>
        <v>0</v>
      </c>
      <c r="M9" s="110">
        <f>COUNTIFS(
DATA!$F:$F,$B9,
DATA!$B:$B,"&gt;="&amp;DATE(2026,1,M$2),
DATA!$B:$B,"&lt;"&amp;DATE(2026,1,M$2)+1
)</f>
        <v>0</v>
      </c>
      <c r="N9" s="110">
        <f>COUNTIFS(
DATA!$F:$F,$B9,
DATA!$B:$B,"&gt;="&amp;DATE(2026,1,N$2),
DATA!$B:$B,"&lt;"&amp;DATE(2026,1,N$2)+1
)</f>
        <v>0</v>
      </c>
      <c r="O9" s="110">
        <f>COUNTIFS(
DATA!$F:$F,$B9,
DATA!$B:$B,"&gt;="&amp;DATE(2026,1,O$2),
DATA!$B:$B,"&lt;"&amp;DATE(2026,1,O$2)+1
)</f>
        <v>0</v>
      </c>
      <c r="P9" s="110">
        <f>COUNTIFS(
DATA!$F:$F,$B9,
DATA!$B:$B,"&gt;="&amp;DATE(2026,1,P$2),
DATA!$B:$B,"&lt;"&amp;DATE(2026,1,P$2)+1
)</f>
        <v>0</v>
      </c>
      <c r="Q9" s="110">
        <f>COUNTIFS(
DATA!$F:$F,$B9,
DATA!$B:$B,"&gt;="&amp;DATE(2026,1,Q$2),
DATA!$B:$B,"&lt;"&amp;DATE(2026,1,Q$2)+1
)</f>
        <v>0</v>
      </c>
      <c r="R9" s="110">
        <f>COUNTIFS(
DATA!$F:$F,$B9,
DATA!$B:$B,"&gt;="&amp;DATE(2026,1,R$2),
DATA!$B:$B,"&lt;"&amp;DATE(2026,1,R$2)+1
)</f>
        <v>0</v>
      </c>
      <c r="S9" s="110">
        <f>COUNTIFS(
DATA!$F:$F,$B9,
DATA!$B:$B,"&gt;="&amp;DATE(2026,1,S$2),
DATA!$B:$B,"&lt;"&amp;DATE(2026,1,S$2)+1
)</f>
        <v>0</v>
      </c>
      <c r="T9" s="110">
        <f>COUNTIFS(
DATA!$F:$F,$B9,
DATA!$B:$B,"&gt;="&amp;DATE(2026,1,T$2),
DATA!$B:$B,"&lt;"&amp;DATE(2026,1,T$2)+1
)</f>
        <v>0</v>
      </c>
      <c r="U9" s="110">
        <f>COUNTIFS(
DATA!$F:$F,$B9,
DATA!$B:$B,"&gt;="&amp;DATE(2026,1,U$2),
DATA!$B:$B,"&lt;"&amp;DATE(2026,1,U$2)+1
)</f>
        <v>0</v>
      </c>
      <c r="V9" s="110">
        <f>COUNTIFS(
DATA!$F:$F,$B9,
DATA!$B:$B,"&gt;="&amp;DATE(2026,1,V$2),
DATA!$B:$B,"&lt;"&amp;DATE(2026,1,V$2)+1
)</f>
        <v>0</v>
      </c>
      <c r="W9" s="110">
        <f>COUNTIFS(
DATA!$F:$F,$B9,
DATA!$B:$B,"&gt;="&amp;DATE(2026,1,W$2),
DATA!$B:$B,"&lt;"&amp;DATE(2026,1,W$2)+1
)</f>
        <v>0</v>
      </c>
      <c r="X9" s="110">
        <f>COUNTIFS(
DATA!$F:$F,$B9,
DATA!$B:$B,"&gt;="&amp;DATE(2026,1,X$2),
DATA!$B:$B,"&lt;"&amp;DATE(2026,1,X$2)+1
)</f>
        <v>0</v>
      </c>
      <c r="Y9" s="110">
        <f>COUNTIFS(
DATA!$F:$F,$B9,
DATA!$B:$B,"&gt;="&amp;DATE(2026,1,Y$2),
DATA!$B:$B,"&lt;"&amp;DATE(2026,1,Y$2)+1
)</f>
        <v>0</v>
      </c>
      <c r="Z9" s="110">
        <f>COUNTIFS(
DATA!$F:$F,$B9,
DATA!$B:$B,"&gt;="&amp;DATE(2026,1,Z$2),
DATA!$B:$B,"&lt;"&amp;DATE(2026,1,Z$2)+1
)</f>
        <v>0</v>
      </c>
      <c r="AA9" s="110">
        <f>COUNTIFS(
DATA!$F:$F,$B9,
DATA!$B:$B,"&gt;="&amp;DATE(2026,1,AA$2),
DATA!$B:$B,"&lt;"&amp;DATE(2026,1,AA$2)+1
)</f>
        <v>0</v>
      </c>
      <c r="AB9" s="110">
        <f>COUNTIFS(
DATA!$F:$F,$B9,
DATA!$B:$B,"&gt;="&amp;DATE(2026,1,AB$2),
DATA!$B:$B,"&lt;"&amp;DATE(2026,1,AB$2)+1
)</f>
        <v>0</v>
      </c>
      <c r="AC9" s="110">
        <f>COUNTIFS(
DATA!$F:$F,$B9,
DATA!$B:$B,"&gt;="&amp;DATE(2026,1,AC$2),
DATA!$B:$B,"&lt;"&amp;DATE(2026,1,AC$2)+1
)</f>
        <v>0</v>
      </c>
      <c r="AD9" s="110">
        <f>COUNTIFS(
DATA!$F:$F,$B9,
DATA!$B:$B,"&gt;="&amp;DATE(2026,1,AD$2),
DATA!$B:$B,"&lt;"&amp;DATE(2026,1,AD$2)+1
)</f>
        <v>0</v>
      </c>
      <c r="AE9" s="110">
        <f>COUNTIFS(
DATA!$F:$F,$B9,
DATA!$B:$B,"&gt;="&amp;DATE(2026,1,AE$2),
DATA!$B:$B,"&lt;"&amp;DATE(2026,1,AE$2)+1
)</f>
        <v>0</v>
      </c>
      <c r="AF9" s="110">
        <f>COUNTIFS(
DATA!$F:$F,$B9,
DATA!$B:$B,"&gt;="&amp;DATE(2026,1,AF$2),
DATA!$B:$B,"&lt;"&amp;DATE(2026,1,AF$2)+1
)</f>
        <v>53</v>
      </c>
      <c r="AG9" s="110">
        <f>COUNTIFS(
DATA!$F:$F,$B9,
DATA!$B:$B,"&gt;="&amp;DATE(2026,1,AG$2),
DATA!$B:$B,"&lt;"&amp;DATE(2026,1,AG$2)+1
)</f>
        <v>0</v>
      </c>
      <c r="AH9" s="111">
        <f t="shared" si="1"/>
        <v>53</v>
      </c>
    </row>
    <row r="10">
      <c r="A10" s="112">
        <v>8.0</v>
      </c>
      <c r="B10" s="113" t="s">
        <v>65</v>
      </c>
      <c r="C10" s="110">
        <f>COUNTIFS(
DATA!$F:$F,$B10,
DATA!$B:$B,"&gt;="&amp;DATE(2026,1,C$2),
DATA!$B:$B,"&lt;"&amp;DATE(2026,1,C$2)+1
)</f>
        <v>0</v>
      </c>
      <c r="D10" s="110">
        <f>COUNTIFS(
DATA!$F:$F,$B10,
DATA!$B:$B,"&gt;="&amp;DATE(2026,1,D$2),
DATA!$B:$B,"&lt;"&amp;DATE(2026,1,D$2)+1
)</f>
        <v>0</v>
      </c>
      <c r="E10" s="110">
        <f>COUNTIFS(
DATA!$F:$F,$B10,
DATA!$B:$B,"&gt;="&amp;DATE(2026,1,E$2),
DATA!$B:$B,"&lt;"&amp;DATE(2026,1,E$2)+1
)</f>
        <v>0</v>
      </c>
      <c r="F10" s="110">
        <f>COUNTIFS(
DATA!$F:$F,$B10,
DATA!$B:$B,"&gt;="&amp;DATE(2026,1,F$2),
DATA!$B:$B,"&lt;"&amp;DATE(2026,1,F$2)+1
)</f>
        <v>0</v>
      </c>
      <c r="G10" s="110">
        <f>COUNTIFS(
DATA!$F:$F,$B10,
DATA!$B:$B,"&gt;="&amp;DATE(2026,1,G$2),
DATA!$B:$B,"&lt;"&amp;DATE(2026,1,G$2)+1
)</f>
        <v>0</v>
      </c>
      <c r="H10" s="110">
        <f>COUNTIFS(
DATA!$F:$F,$B10,
DATA!$B:$B,"&gt;="&amp;DATE(2026,1,H$2),
DATA!$B:$B,"&lt;"&amp;DATE(2026,1,H$2)+1
)</f>
        <v>0</v>
      </c>
      <c r="I10" s="110">
        <f>COUNTIFS(
DATA!$F:$F,$B10,
DATA!$B:$B,"&gt;="&amp;DATE(2026,1,I$2),
DATA!$B:$B,"&lt;"&amp;DATE(2026,1,I$2)+1
)</f>
        <v>0</v>
      </c>
      <c r="J10" s="110">
        <f>COUNTIFS(
DATA!$F:$F,$B10,
DATA!$B:$B,"&gt;="&amp;DATE(2026,1,J$2),
DATA!$B:$B,"&lt;"&amp;DATE(2026,1,J$2)+1
)</f>
        <v>0</v>
      </c>
      <c r="K10" s="110">
        <f>COUNTIFS(
DATA!$F:$F,$B10,
DATA!$B:$B,"&gt;="&amp;DATE(2026,1,K$2),
DATA!$B:$B,"&lt;"&amp;DATE(2026,1,K$2)+1
)</f>
        <v>0</v>
      </c>
      <c r="L10" s="110">
        <f>COUNTIFS(
DATA!$F:$F,$B10,
DATA!$B:$B,"&gt;="&amp;DATE(2026,1,L$2),
DATA!$B:$B,"&lt;"&amp;DATE(2026,1,L$2)+1
)</f>
        <v>0</v>
      </c>
      <c r="M10" s="110">
        <f>COUNTIFS(
DATA!$F:$F,$B10,
DATA!$B:$B,"&gt;="&amp;DATE(2026,1,M$2),
DATA!$B:$B,"&lt;"&amp;DATE(2026,1,M$2)+1
)</f>
        <v>0</v>
      </c>
      <c r="N10" s="110">
        <f>COUNTIFS(
DATA!$F:$F,$B10,
DATA!$B:$B,"&gt;="&amp;DATE(2026,1,N$2),
DATA!$B:$B,"&lt;"&amp;DATE(2026,1,N$2)+1
)</f>
        <v>0</v>
      </c>
      <c r="O10" s="110">
        <f>COUNTIFS(
DATA!$F:$F,$B10,
DATA!$B:$B,"&gt;="&amp;DATE(2026,1,O$2),
DATA!$B:$B,"&lt;"&amp;DATE(2026,1,O$2)+1
)</f>
        <v>0</v>
      </c>
      <c r="P10" s="110">
        <f>COUNTIFS(
DATA!$F:$F,$B10,
DATA!$B:$B,"&gt;="&amp;DATE(2026,1,P$2),
DATA!$B:$B,"&lt;"&amp;DATE(2026,1,P$2)+1
)</f>
        <v>0</v>
      </c>
      <c r="Q10" s="110">
        <f>COUNTIFS(
DATA!$F:$F,$B10,
DATA!$B:$B,"&gt;="&amp;DATE(2026,1,Q$2),
DATA!$B:$B,"&lt;"&amp;DATE(2026,1,Q$2)+1
)</f>
        <v>4</v>
      </c>
      <c r="R10" s="110">
        <f>COUNTIFS(
DATA!$F:$F,$B10,
DATA!$B:$B,"&gt;="&amp;DATE(2026,1,R$2),
DATA!$B:$B,"&lt;"&amp;DATE(2026,1,R$2)+1
)</f>
        <v>0</v>
      </c>
      <c r="S10" s="110">
        <f>COUNTIFS(
DATA!$F:$F,$B10,
DATA!$B:$B,"&gt;="&amp;DATE(2026,1,S$2),
DATA!$B:$B,"&lt;"&amp;DATE(2026,1,S$2)+1
)</f>
        <v>0</v>
      </c>
      <c r="T10" s="110">
        <f>COUNTIFS(
DATA!$F:$F,$B10,
DATA!$B:$B,"&gt;="&amp;DATE(2026,1,T$2),
DATA!$B:$B,"&lt;"&amp;DATE(2026,1,T$2)+1
)</f>
        <v>0</v>
      </c>
      <c r="U10" s="110">
        <f>COUNTIFS(
DATA!$F:$F,$B10,
DATA!$B:$B,"&gt;="&amp;DATE(2026,1,U$2),
DATA!$B:$B,"&lt;"&amp;DATE(2026,1,U$2)+1
)</f>
        <v>0</v>
      </c>
      <c r="V10" s="110">
        <f>COUNTIFS(
DATA!$F:$F,$B10,
DATA!$B:$B,"&gt;="&amp;DATE(2026,1,V$2),
DATA!$B:$B,"&lt;"&amp;DATE(2026,1,V$2)+1
)</f>
        <v>0</v>
      </c>
      <c r="W10" s="110">
        <f>COUNTIFS(
DATA!$F:$F,$B10,
DATA!$B:$B,"&gt;="&amp;DATE(2026,1,W$2),
DATA!$B:$B,"&lt;"&amp;DATE(2026,1,W$2)+1
)</f>
        <v>0</v>
      </c>
      <c r="X10" s="110">
        <f>COUNTIFS(
DATA!$F:$F,$B10,
DATA!$B:$B,"&gt;="&amp;DATE(2026,1,X$2),
DATA!$B:$B,"&lt;"&amp;DATE(2026,1,X$2)+1
)</f>
        <v>0</v>
      </c>
      <c r="Y10" s="110">
        <f>COUNTIFS(
DATA!$F:$F,$B10,
DATA!$B:$B,"&gt;="&amp;DATE(2026,1,Y$2),
DATA!$B:$B,"&lt;"&amp;DATE(2026,1,Y$2)+1
)</f>
        <v>0</v>
      </c>
      <c r="Z10" s="110">
        <f>COUNTIFS(
DATA!$F:$F,$B10,
DATA!$B:$B,"&gt;="&amp;DATE(2026,1,Z$2),
DATA!$B:$B,"&lt;"&amp;DATE(2026,1,Z$2)+1
)</f>
        <v>0</v>
      </c>
      <c r="AA10" s="110">
        <f>COUNTIFS(
DATA!$F:$F,$B10,
DATA!$B:$B,"&gt;="&amp;DATE(2026,1,AA$2),
DATA!$B:$B,"&lt;"&amp;DATE(2026,1,AA$2)+1
)</f>
        <v>0</v>
      </c>
      <c r="AB10" s="110">
        <f>COUNTIFS(
DATA!$F:$F,$B10,
DATA!$B:$B,"&gt;="&amp;DATE(2026,1,AB$2),
DATA!$B:$B,"&lt;"&amp;DATE(2026,1,AB$2)+1
)</f>
        <v>0</v>
      </c>
      <c r="AC10" s="110">
        <f>COUNTIFS(
DATA!$F:$F,$B10,
DATA!$B:$B,"&gt;="&amp;DATE(2026,1,AC$2),
DATA!$B:$B,"&lt;"&amp;DATE(2026,1,AC$2)+1
)</f>
        <v>3</v>
      </c>
      <c r="AD10" s="110">
        <f>COUNTIFS(
DATA!$F:$F,$B10,
DATA!$B:$B,"&gt;="&amp;DATE(2026,1,AD$2),
DATA!$B:$B,"&lt;"&amp;DATE(2026,1,AD$2)+1
)</f>
        <v>0</v>
      </c>
      <c r="AE10" s="110">
        <f>COUNTIFS(
DATA!$F:$F,$B10,
DATA!$B:$B,"&gt;="&amp;DATE(2026,1,AE$2),
DATA!$B:$B,"&lt;"&amp;DATE(2026,1,AE$2)+1
)</f>
        <v>0</v>
      </c>
      <c r="AF10" s="110">
        <f>COUNTIFS(
DATA!$F:$F,$B10,
DATA!$B:$B,"&gt;="&amp;DATE(2026,1,AF$2),
DATA!$B:$B,"&lt;"&amp;DATE(2026,1,AF$2)+1
)</f>
        <v>0</v>
      </c>
      <c r="AG10" s="110">
        <f>COUNTIFS(
DATA!$F:$F,$B10,
DATA!$B:$B,"&gt;="&amp;DATE(2026,1,AG$2),
DATA!$B:$B,"&lt;"&amp;DATE(2026,1,AG$2)+1
)</f>
        <v>0</v>
      </c>
      <c r="AH10" s="111">
        <f t="shared" si="1"/>
        <v>7</v>
      </c>
    </row>
    <row r="11">
      <c r="A11" s="114" t="s">
        <v>69</v>
      </c>
      <c r="B11" s="105"/>
      <c r="C11" s="115">
        <f t="shared" ref="C11:AG11" si="2">sum(C3:C10)</f>
        <v>0</v>
      </c>
      <c r="D11" s="115">
        <f t="shared" si="2"/>
        <v>9</v>
      </c>
      <c r="E11" s="115">
        <f t="shared" si="2"/>
        <v>0</v>
      </c>
      <c r="F11" s="115">
        <f t="shared" si="2"/>
        <v>0</v>
      </c>
      <c r="G11" s="115">
        <f t="shared" si="2"/>
        <v>0</v>
      </c>
      <c r="H11" s="115">
        <f t="shared" si="2"/>
        <v>0</v>
      </c>
      <c r="I11" s="115">
        <f t="shared" si="2"/>
        <v>0</v>
      </c>
      <c r="J11" s="115">
        <f t="shared" si="2"/>
        <v>12</v>
      </c>
      <c r="K11" s="115">
        <f t="shared" si="2"/>
        <v>16</v>
      </c>
      <c r="L11" s="115">
        <f t="shared" si="2"/>
        <v>20</v>
      </c>
      <c r="M11" s="115">
        <f t="shared" si="2"/>
        <v>0</v>
      </c>
      <c r="N11" s="115">
        <f t="shared" si="2"/>
        <v>28</v>
      </c>
      <c r="O11" s="115">
        <f t="shared" si="2"/>
        <v>0</v>
      </c>
      <c r="P11" s="115">
        <f t="shared" si="2"/>
        <v>0</v>
      </c>
      <c r="Q11" s="115">
        <f t="shared" si="2"/>
        <v>25</v>
      </c>
      <c r="R11" s="115">
        <f t="shared" si="2"/>
        <v>0</v>
      </c>
      <c r="S11" s="115">
        <f t="shared" si="2"/>
        <v>0</v>
      </c>
      <c r="T11" s="115">
        <f t="shared" si="2"/>
        <v>0</v>
      </c>
      <c r="U11" s="115">
        <f t="shared" si="2"/>
        <v>0</v>
      </c>
      <c r="V11" s="115">
        <f t="shared" si="2"/>
        <v>52</v>
      </c>
      <c r="W11" s="115">
        <f t="shared" si="2"/>
        <v>0</v>
      </c>
      <c r="X11" s="115">
        <f t="shared" si="2"/>
        <v>0</v>
      </c>
      <c r="Y11" s="115">
        <f t="shared" si="2"/>
        <v>15</v>
      </c>
      <c r="Z11" s="115">
        <f t="shared" si="2"/>
        <v>0</v>
      </c>
      <c r="AA11" s="115">
        <f t="shared" si="2"/>
        <v>0</v>
      </c>
      <c r="AB11" s="115">
        <f t="shared" si="2"/>
        <v>0</v>
      </c>
      <c r="AC11" s="115">
        <f t="shared" si="2"/>
        <v>3</v>
      </c>
      <c r="AD11" s="115">
        <f t="shared" si="2"/>
        <v>0</v>
      </c>
      <c r="AE11" s="115">
        <f t="shared" si="2"/>
        <v>0</v>
      </c>
      <c r="AF11" s="115">
        <f t="shared" si="2"/>
        <v>53</v>
      </c>
      <c r="AG11" s="115">
        <f t="shared" si="2"/>
        <v>0</v>
      </c>
      <c r="AH11" s="111">
        <f t="shared" si="1"/>
        <v>233</v>
      </c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102" t="s">
        <v>41</v>
      </c>
      <c r="B13" s="102" t="s">
        <v>5</v>
      </c>
      <c r="C13" s="103" t="s">
        <v>92</v>
      </c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5"/>
      <c r="AH13" s="102" t="s">
        <v>91</v>
      </c>
    </row>
    <row r="14">
      <c r="A14" s="106"/>
      <c r="B14" s="106"/>
      <c r="C14" s="107">
        <v>1.0</v>
      </c>
      <c r="D14" s="107">
        <v>2.0</v>
      </c>
      <c r="E14" s="107">
        <v>3.0</v>
      </c>
      <c r="F14" s="107">
        <v>4.0</v>
      </c>
      <c r="G14" s="107">
        <v>5.0</v>
      </c>
      <c r="H14" s="107">
        <v>6.0</v>
      </c>
      <c r="I14" s="107">
        <v>7.0</v>
      </c>
      <c r="J14" s="107">
        <v>8.0</v>
      </c>
      <c r="K14" s="107">
        <v>9.0</v>
      </c>
      <c r="L14" s="107">
        <v>10.0</v>
      </c>
      <c r="M14" s="107">
        <v>11.0</v>
      </c>
      <c r="N14" s="107">
        <v>12.0</v>
      </c>
      <c r="O14" s="107">
        <v>13.0</v>
      </c>
      <c r="P14" s="107">
        <v>14.0</v>
      </c>
      <c r="Q14" s="107">
        <v>15.0</v>
      </c>
      <c r="R14" s="107">
        <v>16.0</v>
      </c>
      <c r="S14" s="107">
        <v>17.0</v>
      </c>
      <c r="T14" s="107">
        <v>18.0</v>
      </c>
      <c r="U14" s="107">
        <v>19.0</v>
      </c>
      <c r="V14" s="107">
        <v>20.0</v>
      </c>
      <c r="W14" s="107">
        <v>21.0</v>
      </c>
      <c r="X14" s="107">
        <v>22.0</v>
      </c>
      <c r="Y14" s="107">
        <v>23.0</v>
      </c>
      <c r="Z14" s="107">
        <v>24.0</v>
      </c>
      <c r="AA14" s="107">
        <v>25.0</v>
      </c>
      <c r="AB14" s="107">
        <v>26.0</v>
      </c>
      <c r="AC14" s="107">
        <v>27.0</v>
      </c>
      <c r="AD14" s="107">
        <v>28.0</v>
      </c>
      <c r="AE14" s="107">
        <v>29.0</v>
      </c>
      <c r="AF14" s="107">
        <v>30.0</v>
      </c>
      <c r="AG14" s="107">
        <v>31.0</v>
      </c>
      <c r="AH14" s="106"/>
    </row>
    <row r="15">
      <c r="A15" s="108">
        <v>1.0</v>
      </c>
      <c r="B15" s="109" t="s">
        <v>68</v>
      </c>
      <c r="C15" s="110">
        <f>COUNTIFS(
DATA!$F:$F,$B15,
DATA!$B:$B,"&gt;="&amp;DATE(2026,2,C$2),
DATA!$B:$B,"&lt;"&amp;DATE(2026,2,C$2)+1
)</f>
        <v>0</v>
      </c>
      <c r="D15" s="110">
        <f>COUNTIFS(
DATA!$F:$F,$B15,
DATA!$B:$B,"&gt;="&amp;DATE(2026,2,D$2),
DATA!$B:$B,"&lt;"&amp;DATE(2026,2,D$2)+1
)</f>
        <v>0</v>
      </c>
      <c r="E15" s="110">
        <f>COUNTIFS(
DATA!$F:$F,$B15,
DATA!$B:$B,"&gt;="&amp;DATE(2026,2,E$2),
DATA!$B:$B,"&lt;"&amp;DATE(2026,2,E$2)+1
)</f>
        <v>0</v>
      </c>
      <c r="F15" s="110">
        <f>COUNTIFS(
DATA!$F:$F,$B15,
DATA!$B:$B,"&gt;="&amp;DATE(2026,2,F$2),
DATA!$B:$B,"&lt;"&amp;DATE(2026,2,F$2)+1
)</f>
        <v>0</v>
      </c>
      <c r="G15" s="110">
        <f>COUNTIFS(
DATA!$F:$F,$B15,
DATA!$B:$B,"&gt;="&amp;DATE(2026,2,G$2),
DATA!$B:$B,"&lt;"&amp;DATE(2026,2,G$2)+1
)</f>
        <v>0</v>
      </c>
      <c r="H15" s="110">
        <f>COUNTIFS(
DATA!$F:$F,$B15,
DATA!$B:$B,"&gt;="&amp;DATE(2026,2,H$2),
DATA!$B:$B,"&lt;"&amp;DATE(2026,2,H$2)+1
)</f>
        <v>0</v>
      </c>
      <c r="I15" s="110">
        <f>COUNTIFS(
DATA!$F:$F,$B15,
DATA!$B:$B,"&gt;="&amp;DATE(2026,2,I$2),
DATA!$B:$B,"&lt;"&amp;DATE(2026,2,I$2)+1
)</f>
        <v>0</v>
      </c>
      <c r="J15" s="110">
        <f>COUNTIFS(
DATA!$F:$F,$B15,
DATA!$B:$B,"&gt;="&amp;DATE(2026,2,J$2),
DATA!$B:$B,"&lt;"&amp;DATE(2026,2,J$2)+1
)</f>
        <v>0</v>
      </c>
      <c r="K15" s="110">
        <f>COUNTIFS(
DATA!$F:$F,$B15,
DATA!$B:$B,"&gt;="&amp;DATE(2026,2,K$2),
DATA!$B:$B,"&lt;"&amp;DATE(2026,2,K$2)+1
)</f>
        <v>0</v>
      </c>
      <c r="L15" s="110">
        <f>COUNTIFS(
DATA!$F:$F,$B15,
DATA!$B:$B,"&gt;="&amp;DATE(2026,2,L$2),
DATA!$B:$B,"&lt;"&amp;DATE(2026,2,L$2)+1
)</f>
        <v>0</v>
      </c>
      <c r="M15" s="110">
        <f>COUNTIFS(
DATA!$F:$F,$B15,
DATA!$B:$B,"&gt;="&amp;DATE(2026,2,M$2),
DATA!$B:$B,"&lt;"&amp;DATE(2026,2,M$2)+1
)</f>
        <v>0</v>
      </c>
      <c r="N15" s="110">
        <f>COUNTIFS(
DATA!$F:$F,$B15,
DATA!$B:$B,"&gt;="&amp;DATE(2026,2,N$2),
DATA!$B:$B,"&lt;"&amp;DATE(2026,2,N$2)+1
)</f>
        <v>0</v>
      </c>
      <c r="O15" s="110">
        <f>COUNTIFS(
DATA!$F:$F,$B15,
DATA!$B:$B,"&gt;="&amp;DATE(2026,2,O$2),
DATA!$B:$B,"&lt;"&amp;DATE(2026,2,O$2)+1
)</f>
        <v>0</v>
      </c>
      <c r="P15" s="110">
        <f>COUNTIFS(
DATA!$F:$F,$B15,
DATA!$B:$B,"&gt;="&amp;DATE(2026,2,P$2),
DATA!$B:$B,"&lt;"&amp;DATE(2026,2,P$2)+1
)</f>
        <v>0</v>
      </c>
      <c r="Q15" s="110">
        <f>COUNTIFS(
DATA!$F:$F,$B15,
DATA!$B:$B,"&gt;="&amp;DATE(2026,2,Q$2),
DATA!$B:$B,"&lt;"&amp;DATE(2026,2,Q$2)+1
)</f>
        <v>0</v>
      </c>
      <c r="R15" s="110">
        <f>COUNTIFS(
DATA!$F:$F,$B15,
DATA!$B:$B,"&gt;="&amp;DATE(2026,2,R$2),
DATA!$B:$B,"&lt;"&amp;DATE(2026,2,R$2)+1
)</f>
        <v>0</v>
      </c>
      <c r="S15" s="110">
        <f>COUNTIFS(
DATA!$F:$F,$B15,
DATA!$B:$B,"&gt;="&amp;DATE(2026,2,S$2),
DATA!$B:$B,"&lt;"&amp;DATE(2026,2,S$2)+1
)</f>
        <v>0</v>
      </c>
      <c r="T15" s="110">
        <f>COUNTIFS(
DATA!$F:$F,$B15,
DATA!$B:$B,"&gt;="&amp;DATE(2026,2,T$2),
DATA!$B:$B,"&lt;"&amp;DATE(2026,2,T$2)+1
)</f>
        <v>0</v>
      </c>
      <c r="U15" s="110">
        <f>COUNTIFS(
DATA!$F:$F,$B15,
DATA!$B:$B,"&gt;="&amp;DATE(2026,2,U$2),
DATA!$B:$B,"&lt;"&amp;DATE(2026,2,U$2)+1
)</f>
        <v>0</v>
      </c>
      <c r="V15" s="110">
        <f>COUNTIFS(
DATA!$F:$F,$B15,
DATA!$B:$B,"&gt;="&amp;DATE(2026,2,V$2),
DATA!$B:$B,"&lt;"&amp;DATE(2026,2,V$2)+1
)</f>
        <v>0</v>
      </c>
      <c r="W15" s="110">
        <f>COUNTIFS(
DATA!$F:$F,$B15,
DATA!$B:$B,"&gt;="&amp;DATE(2026,2,W$2),
DATA!$B:$B,"&lt;"&amp;DATE(2026,2,W$2)+1
)</f>
        <v>0</v>
      </c>
      <c r="X15" s="110">
        <f>COUNTIFS(
DATA!$F:$F,$B15,
DATA!$B:$B,"&gt;="&amp;DATE(2026,2,X$2),
DATA!$B:$B,"&lt;"&amp;DATE(2026,2,X$2)+1
)</f>
        <v>0</v>
      </c>
      <c r="Y15" s="110">
        <f>COUNTIFS(
DATA!$F:$F,$B15,
DATA!$B:$B,"&gt;="&amp;DATE(2026,2,Y$2),
DATA!$B:$B,"&lt;"&amp;DATE(2026,2,Y$2)+1
)</f>
        <v>0</v>
      </c>
      <c r="Z15" s="110">
        <f>COUNTIFS(
DATA!$F:$F,$B15,
DATA!$B:$B,"&gt;="&amp;DATE(2026,2,Z$2),
DATA!$B:$B,"&lt;"&amp;DATE(2026,2,Z$2)+1
)</f>
        <v>0</v>
      </c>
      <c r="AA15" s="110">
        <f>COUNTIFS(
DATA!$F:$F,$B15,
DATA!$B:$B,"&gt;="&amp;DATE(2026,2,AA$2),
DATA!$B:$B,"&lt;"&amp;DATE(2026,2,AA$2)+1
)</f>
        <v>0</v>
      </c>
      <c r="AB15" s="110">
        <f>COUNTIFS(
DATA!$F:$F,$B15,
DATA!$B:$B,"&gt;="&amp;DATE(2026,2,AB$2),
DATA!$B:$B,"&lt;"&amp;DATE(2026,2,AB$2)+1
)</f>
        <v>0</v>
      </c>
      <c r="AC15" s="110">
        <f>COUNTIFS(
DATA!$F:$F,$B15,
DATA!$B:$B,"&gt;="&amp;DATE(2026,2,AC$2),
DATA!$B:$B,"&lt;"&amp;DATE(2026,2,AC$2)+1
)</f>
        <v>0</v>
      </c>
      <c r="AD15" s="110">
        <f>COUNTIFS(
DATA!$F:$F,$B15,
DATA!$B:$B,"&gt;="&amp;DATE(2026,2,AD$2),
DATA!$B:$B,"&lt;"&amp;DATE(2026,2,AD$2)+1
)</f>
        <v>0</v>
      </c>
      <c r="AE15" s="110">
        <f>COUNTIFS(
DATA!$F:$F,$B15,
DATA!$B:$B,"&gt;="&amp;DATE(2026,2,AE$2),
DATA!$B:$B,"&lt;"&amp;DATE(2026,2,AE$2)+1
)</f>
        <v>0</v>
      </c>
      <c r="AF15" s="110">
        <f>COUNTIFS(
DATA!$F:$F,$B15,
DATA!$B:$B,"&gt;="&amp;DATE(2026,2,AF$2),
DATA!$B:$B,"&lt;"&amp;DATE(2026,2,AF$2)+1
)</f>
        <v>0</v>
      </c>
      <c r="AG15" s="110">
        <f>COUNTIFS(
DATA!$F:$F,$B15,
DATA!$B:$B,"&gt;="&amp;DATE(2026,2,AG$2),
DATA!$B:$B,"&lt;"&amp;DATE(2026,2,AG$2)+1
)</f>
        <v>0</v>
      </c>
      <c r="AH15" s="111">
        <f t="shared" ref="AH15:AH23" si="3">sum(C15:AG15)</f>
        <v>0</v>
      </c>
    </row>
    <row r="16">
      <c r="A16" s="108">
        <v>2.0</v>
      </c>
      <c r="B16" s="97" t="s">
        <v>62</v>
      </c>
      <c r="C16" s="110">
        <f>COUNTIFS(
DATA!$F:$F,$B16,
DATA!$B:$B,"&gt;="&amp;DATE(2026,2,C$2),
DATA!$B:$B,"&lt;"&amp;DATE(2026,2,C$2)+1
)</f>
        <v>0</v>
      </c>
      <c r="D16" s="110">
        <f>COUNTIFS(
DATA!$F:$F,$B16,
DATA!$B:$B,"&gt;="&amp;DATE(2026,2,D$2),
DATA!$B:$B,"&lt;"&amp;DATE(2026,2,D$2)+1
)</f>
        <v>0</v>
      </c>
      <c r="E16" s="110">
        <f>COUNTIFS(
DATA!$F:$F,$B16,
DATA!$B:$B,"&gt;="&amp;DATE(2026,2,E$2),
DATA!$B:$B,"&lt;"&amp;DATE(2026,2,E$2)+1
)</f>
        <v>0</v>
      </c>
      <c r="F16" s="110">
        <f>COUNTIFS(
DATA!$F:$F,$B16,
DATA!$B:$B,"&gt;="&amp;DATE(2026,2,F$2),
DATA!$B:$B,"&lt;"&amp;DATE(2026,2,F$2)+1
)</f>
        <v>0</v>
      </c>
      <c r="G16" s="110">
        <f>COUNTIFS(
DATA!$F:$F,$B16,
DATA!$B:$B,"&gt;="&amp;DATE(2026,2,G$2),
DATA!$B:$B,"&lt;"&amp;DATE(2026,2,G$2)+1
)</f>
        <v>0</v>
      </c>
      <c r="H16" s="110">
        <f>COUNTIFS(
DATA!$F:$F,$B16,
DATA!$B:$B,"&gt;="&amp;DATE(2026,2,H$2),
DATA!$B:$B,"&lt;"&amp;DATE(2026,2,H$2)+1
)</f>
        <v>0</v>
      </c>
      <c r="I16" s="110">
        <f>COUNTIFS(
DATA!$F:$F,$B16,
DATA!$B:$B,"&gt;="&amp;DATE(2026,2,I$2),
DATA!$B:$B,"&lt;"&amp;DATE(2026,2,I$2)+1
)</f>
        <v>0</v>
      </c>
      <c r="J16" s="110">
        <f>COUNTIFS(
DATA!$F:$F,$B16,
DATA!$B:$B,"&gt;="&amp;DATE(2026,2,J$2),
DATA!$B:$B,"&lt;"&amp;DATE(2026,2,J$2)+1
)</f>
        <v>0</v>
      </c>
      <c r="K16" s="110">
        <f>COUNTIFS(
DATA!$F:$F,$B16,
DATA!$B:$B,"&gt;="&amp;DATE(2026,2,K$2),
DATA!$B:$B,"&lt;"&amp;DATE(2026,2,K$2)+1
)</f>
        <v>0</v>
      </c>
      <c r="L16" s="110">
        <f>COUNTIFS(
DATA!$F:$F,$B16,
DATA!$B:$B,"&gt;="&amp;DATE(2026,2,L$2),
DATA!$B:$B,"&lt;"&amp;DATE(2026,2,L$2)+1
)</f>
        <v>0</v>
      </c>
      <c r="M16" s="110">
        <f>COUNTIFS(
DATA!$F:$F,$B16,
DATA!$B:$B,"&gt;="&amp;DATE(2026,2,M$2),
DATA!$B:$B,"&lt;"&amp;DATE(2026,2,M$2)+1
)</f>
        <v>0</v>
      </c>
      <c r="N16" s="110">
        <f>COUNTIFS(
DATA!$F:$F,$B16,
DATA!$B:$B,"&gt;="&amp;DATE(2026,2,N$2),
DATA!$B:$B,"&lt;"&amp;DATE(2026,2,N$2)+1
)</f>
        <v>0</v>
      </c>
      <c r="O16" s="110">
        <f>COUNTIFS(
DATA!$F:$F,$B16,
DATA!$B:$B,"&gt;="&amp;DATE(2026,2,O$2),
DATA!$B:$B,"&lt;"&amp;DATE(2026,2,O$2)+1
)</f>
        <v>0</v>
      </c>
      <c r="P16" s="110">
        <f>COUNTIFS(
DATA!$F:$F,$B16,
DATA!$B:$B,"&gt;="&amp;DATE(2026,2,P$2),
DATA!$B:$B,"&lt;"&amp;DATE(2026,2,P$2)+1
)</f>
        <v>0</v>
      </c>
      <c r="Q16" s="110">
        <f>COUNTIFS(
DATA!$F:$F,$B16,
DATA!$B:$B,"&gt;="&amp;DATE(2026,2,Q$2),
DATA!$B:$B,"&lt;"&amp;DATE(2026,2,Q$2)+1
)</f>
        <v>0</v>
      </c>
      <c r="R16" s="110">
        <f>COUNTIFS(
DATA!$F:$F,$B16,
DATA!$B:$B,"&gt;="&amp;DATE(2026,2,R$2),
DATA!$B:$B,"&lt;"&amp;DATE(2026,2,R$2)+1
)</f>
        <v>0</v>
      </c>
      <c r="S16" s="110">
        <f>COUNTIFS(
DATA!$F:$F,$B16,
DATA!$B:$B,"&gt;="&amp;DATE(2026,2,S$2),
DATA!$B:$B,"&lt;"&amp;DATE(2026,2,S$2)+1
)</f>
        <v>0</v>
      </c>
      <c r="T16" s="110">
        <f>COUNTIFS(
DATA!$F:$F,$B16,
DATA!$B:$B,"&gt;="&amp;DATE(2026,2,T$2),
DATA!$B:$B,"&lt;"&amp;DATE(2026,2,T$2)+1
)</f>
        <v>0</v>
      </c>
      <c r="U16" s="110">
        <f>COUNTIFS(
DATA!$F:$F,$B16,
DATA!$B:$B,"&gt;="&amp;DATE(2026,2,U$2),
DATA!$B:$B,"&lt;"&amp;DATE(2026,2,U$2)+1
)</f>
        <v>0</v>
      </c>
      <c r="V16" s="110">
        <f>COUNTIFS(
DATA!$F:$F,$B16,
DATA!$B:$B,"&gt;="&amp;DATE(2026,2,V$2),
DATA!$B:$B,"&lt;"&amp;DATE(2026,2,V$2)+1
)</f>
        <v>16</v>
      </c>
      <c r="W16" s="110">
        <f>COUNTIFS(
DATA!$F:$F,$B16,
DATA!$B:$B,"&gt;="&amp;DATE(2026,2,W$2),
DATA!$B:$B,"&lt;"&amp;DATE(2026,2,W$2)+1
)</f>
        <v>0</v>
      </c>
      <c r="X16" s="110">
        <f>COUNTIFS(
DATA!$F:$F,$B16,
DATA!$B:$B,"&gt;="&amp;DATE(2026,2,X$2),
DATA!$B:$B,"&lt;"&amp;DATE(2026,2,X$2)+1
)</f>
        <v>0</v>
      </c>
      <c r="Y16" s="110">
        <f>COUNTIFS(
DATA!$F:$F,$B16,
DATA!$B:$B,"&gt;="&amp;DATE(2026,2,Y$2),
DATA!$B:$B,"&lt;"&amp;DATE(2026,2,Y$2)+1
)</f>
        <v>0</v>
      </c>
      <c r="Z16" s="110">
        <f>COUNTIFS(
DATA!$F:$F,$B16,
DATA!$B:$B,"&gt;="&amp;DATE(2026,2,Z$2),
DATA!$B:$B,"&lt;"&amp;DATE(2026,2,Z$2)+1
)</f>
        <v>0</v>
      </c>
      <c r="AA16" s="110">
        <f>COUNTIFS(
DATA!$F:$F,$B16,
DATA!$B:$B,"&gt;="&amp;DATE(2026,2,AA$2),
DATA!$B:$B,"&lt;"&amp;DATE(2026,2,AA$2)+1
)</f>
        <v>0</v>
      </c>
      <c r="AB16" s="110">
        <f>COUNTIFS(
DATA!$F:$F,$B16,
DATA!$B:$B,"&gt;="&amp;DATE(2026,2,AB$2),
DATA!$B:$B,"&lt;"&amp;DATE(2026,2,AB$2)+1
)</f>
        <v>0</v>
      </c>
      <c r="AC16" s="110">
        <f>COUNTIFS(
DATA!$F:$F,$B16,
DATA!$B:$B,"&gt;="&amp;DATE(2026,2,AC$2),
DATA!$B:$B,"&lt;"&amp;DATE(2026,2,AC$2)+1
)</f>
        <v>0</v>
      </c>
      <c r="AD16" s="110">
        <f>COUNTIFS(
DATA!$F:$F,$B16,
DATA!$B:$B,"&gt;="&amp;DATE(2026,2,AD$2),
DATA!$B:$B,"&lt;"&amp;DATE(2026,2,AD$2)+1
)</f>
        <v>0</v>
      </c>
      <c r="AE16" s="110">
        <f>COUNTIFS(
DATA!$F:$F,$B16,
DATA!$B:$B,"&gt;="&amp;DATE(2026,2,AE$2),
DATA!$B:$B,"&lt;"&amp;DATE(2026,2,AE$2)+1
)</f>
        <v>0</v>
      </c>
      <c r="AF16" s="110">
        <f>COUNTIFS(
DATA!$F:$F,$B16,
DATA!$B:$B,"&gt;="&amp;DATE(2026,2,AF$2),
DATA!$B:$B,"&lt;"&amp;DATE(2026,2,AF$2)+1
)</f>
        <v>0</v>
      </c>
      <c r="AG16" s="110">
        <f>COUNTIFS(
DATA!$F:$F,$B16,
DATA!$B:$B,"&gt;="&amp;DATE(2026,2,AG$2),
DATA!$B:$B,"&lt;"&amp;DATE(2026,2,AG$2)+1
)</f>
        <v>0</v>
      </c>
      <c r="AH16" s="111">
        <f t="shared" si="3"/>
        <v>16</v>
      </c>
    </row>
    <row r="17">
      <c r="A17" s="108">
        <v>3.0</v>
      </c>
      <c r="B17" s="97" t="s">
        <v>60</v>
      </c>
      <c r="C17" s="110">
        <f>COUNTIFS(
DATA!$F:$F,$B17,
DATA!$B:$B,"&gt;="&amp;DATE(2026,2,C$2),
DATA!$B:$B,"&lt;"&amp;DATE(2026,2,C$2)+1
)</f>
        <v>0</v>
      </c>
      <c r="D17" s="110">
        <f>COUNTIFS(
DATA!$F:$F,$B17,
DATA!$B:$B,"&gt;="&amp;DATE(2026,2,D$2),
DATA!$B:$B,"&lt;"&amp;DATE(2026,2,D$2)+1
)</f>
        <v>0</v>
      </c>
      <c r="E17" s="110">
        <f>COUNTIFS(
DATA!$F:$F,$B17,
DATA!$B:$B,"&gt;="&amp;DATE(2026,2,E$2),
DATA!$B:$B,"&lt;"&amp;DATE(2026,2,E$2)+1
)</f>
        <v>0</v>
      </c>
      <c r="F17" s="110">
        <f>COUNTIFS(
DATA!$F:$F,$B17,
DATA!$B:$B,"&gt;="&amp;DATE(2026,2,F$2),
DATA!$B:$B,"&lt;"&amp;DATE(2026,2,F$2)+1
)</f>
        <v>0</v>
      </c>
      <c r="G17" s="110">
        <f>COUNTIFS(
DATA!$F:$F,$B17,
DATA!$B:$B,"&gt;="&amp;DATE(2026,2,G$2),
DATA!$B:$B,"&lt;"&amp;DATE(2026,2,G$2)+1
)</f>
        <v>0</v>
      </c>
      <c r="H17" s="110">
        <f>COUNTIFS(
DATA!$F:$F,$B17,
DATA!$B:$B,"&gt;="&amp;DATE(2026,2,H$2),
DATA!$B:$B,"&lt;"&amp;DATE(2026,2,H$2)+1
)</f>
        <v>0</v>
      </c>
      <c r="I17" s="110">
        <f>COUNTIFS(
DATA!$F:$F,$B17,
DATA!$B:$B,"&gt;="&amp;DATE(2026,2,I$2),
DATA!$B:$B,"&lt;"&amp;DATE(2026,2,I$2)+1
)</f>
        <v>0</v>
      </c>
      <c r="J17" s="110">
        <f>COUNTIFS(
DATA!$F:$F,$B17,
DATA!$B:$B,"&gt;="&amp;DATE(2026,2,J$2),
DATA!$B:$B,"&lt;"&amp;DATE(2026,2,J$2)+1
)</f>
        <v>0</v>
      </c>
      <c r="K17" s="110">
        <f>COUNTIFS(
DATA!$F:$F,$B17,
DATA!$B:$B,"&gt;="&amp;DATE(2026,2,K$2),
DATA!$B:$B,"&lt;"&amp;DATE(2026,2,K$2)+1
)</f>
        <v>0</v>
      </c>
      <c r="L17" s="110">
        <f>COUNTIFS(
DATA!$F:$F,$B17,
DATA!$B:$B,"&gt;="&amp;DATE(2026,2,L$2),
DATA!$B:$B,"&lt;"&amp;DATE(2026,2,L$2)+1
)</f>
        <v>0</v>
      </c>
      <c r="M17" s="110">
        <f>COUNTIFS(
DATA!$F:$F,$B17,
DATA!$B:$B,"&gt;="&amp;DATE(2026,2,M$2),
DATA!$B:$B,"&lt;"&amp;DATE(2026,2,M$2)+1
)</f>
        <v>0</v>
      </c>
      <c r="N17" s="110">
        <f>COUNTIFS(
DATA!$F:$F,$B17,
DATA!$B:$B,"&gt;="&amp;DATE(2026,2,N$2),
DATA!$B:$B,"&lt;"&amp;DATE(2026,2,N$2)+1
)</f>
        <v>0</v>
      </c>
      <c r="O17" s="110">
        <f>COUNTIFS(
DATA!$F:$F,$B17,
DATA!$B:$B,"&gt;="&amp;DATE(2026,2,O$2),
DATA!$B:$B,"&lt;"&amp;DATE(2026,2,O$2)+1
)</f>
        <v>0</v>
      </c>
      <c r="P17" s="110">
        <f>COUNTIFS(
DATA!$F:$F,$B17,
DATA!$B:$B,"&gt;="&amp;DATE(2026,2,P$2),
DATA!$B:$B,"&lt;"&amp;DATE(2026,2,P$2)+1
)</f>
        <v>0</v>
      </c>
      <c r="Q17" s="110">
        <f>COUNTIFS(
DATA!$F:$F,$B17,
DATA!$B:$B,"&gt;="&amp;DATE(2026,2,Q$2),
DATA!$B:$B,"&lt;"&amp;DATE(2026,2,Q$2)+1
)</f>
        <v>0</v>
      </c>
      <c r="R17" s="110">
        <f>COUNTIFS(
DATA!$F:$F,$B17,
DATA!$B:$B,"&gt;="&amp;DATE(2026,2,R$2),
DATA!$B:$B,"&lt;"&amp;DATE(2026,2,R$2)+1
)</f>
        <v>0</v>
      </c>
      <c r="S17" s="110">
        <f>COUNTIFS(
DATA!$F:$F,$B17,
DATA!$B:$B,"&gt;="&amp;DATE(2026,2,S$2),
DATA!$B:$B,"&lt;"&amp;DATE(2026,2,S$2)+1
)</f>
        <v>0</v>
      </c>
      <c r="T17" s="110">
        <f>COUNTIFS(
DATA!$F:$F,$B17,
DATA!$B:$B,"&gt;="&amp;DATE(2026,2,T$2),
DATA!$B:$B,"&lt;"&amp;DATE(2026,2,T$2)+1
)</f>
        <v>0</v>
      </c>
      <c r="U17" s="110">
        <f>COUNTIFS(
DATA!$F:$F,$B17,
DATA!$B:$B,"&gt;="&amp;DATE(2026,2,U$2),
DATA!$B:$B,"&lt;"&amp;DATE(2026,2,U$2)+1
)</f>
        <v>0</v>
      </c>
      <c r="V17" s="110">
        <f>COUNTIFS(
DATA!$F:$F,$B17,
DATA!$B:$B,"&gt;="&amp;DATE(2026,2,V$2),
DATA!$B:$B,"&lt;"&amp;DATE(2026,2,V$2)+1
)</f>
        <v>14</v>
      </c>
      <c r="W17" s="110">
        <f>COUNTIFS(
DATA!$F:$F,$B17,
DATA!$B:$B,"&gt;="&amp;DATE(2026,2,W$2),
DATA!$B:$B,"&lt;"&amp;DATE(2026,2,W$2)+1
)</f>
        <v>0</v>
      </c>
      <c r="X17" s="110">
        <f>COUNTIFS(
DATA!$F:$F,$B17,
DATA!$B:$B,"&gt;="&amp;DATE(2026,2,X$2),
DATA!$B:$B,"&lt;"&amp;DATE(2026,2,X$2)+1
)</f>
        <v>0</v>
      </c>
      <c r="Y17" s="110">
        <f>COUNTIFS(
DATA!$F:$F,$B17,
DATA!$B:$B,"&gt;="&amp;DATE(2026,2,Y$2),
DATA!$B:$B,"&lt;"&amp;DATE(2026,2,Y$2)+1
)</f>
        <v>18</v>
      </c>
      <c r="Z17" s="110">
        <f>COUNTIFS(
DATA!$F:$F,$B17,
DATA!$B:$B,"&gt;="&amp;DATE(2026,2,Z$2),
DATA!$B:$B,"&lt;"&amp;DATE(2026,2,Z$2)+1
)</f>
        <v>0</v>
      </c>
      <c r="AA17" s="110">
        <f>COUNTIFS(
DATA!$F:$F,$B17,
DATA!$B:$B,"&gt;="&amp;DATE(2026,2,AA$2),
DATA!$B:$B,"&lt;"&amp;DATE(2026,2,AA$2)+1
)</f>
        <v>0</v>
      </c>
      <c r="AB17" s="110">
        <f>COUNTIFS(
DATA!$F:$F,$B17,
DATA!$B:$B,"&gt;="&amp;DATE(2026,2,AB$2),
DATA!$B:$B,"&lt;"&amp;DATE(2026,2,AB$2)+1
)</f>
        <v>0</v>
      </c>
      <c r="AC17" s="110">
        <f>COUNTIFS(
DATA!$F:$F,$B17,
DATA!$B:$B,"&gt;="&amp;DATE(2026,2,AC$2),
DATA!$B:$B,"&lt;"&amp;DATE(2026,2,AC$2)+1
)</f>
        <v>0</v>
      </c>
      <c r="AD17" s="110">
        <f>COUNTIFS(
DATA!$F:$F,$B17,
DATA!$B:$B,"&gt;="&amp;DATE(2026,2,AD$2),
DATA!$B:$B,"&lt;"&amp;DATE(2026,2,AD$2)+1
)</f>
        <v>0</v>
      </c>
      <c r="AE17" s="110">
        <f>COUNTIFS(
DATA!$F:$F,$B17,
DATA!$B:$B,"&gt;="&amp;DATE(2026,2,AE$2),
DATA!$B:$B,"&lt;"&amp;DATE(2026,2,AE$2)+1
)</f>
        <v>0</v>
      </c>
      <c r="AF17" s="110">
        <f>COUNTIFS(
DATA!$F:$F,$B17,
DATA!$B:$B,"&gt;="&amp;DATE(2026,2,AF$2),
DATA!$B:$B,"&lt;"&amp;DATE(2026,2,AF$2)+1
)</f>
        <v>0</v>
      </c>
      <c r="AG17" s="110">
        <f>COUNTIFS(
DATA!$F:$F,$B17,
DATA!$B:$B,"&gt;="&amp;DATE(2026,2,AG$2),
DATA!$B:$B,"&lt;"&amp;DATE(2026,2,AG$2)+1
)</f>
        <v>0</v>
      </c>
      <c r="AH17" s="111">
        <f t="shared" si="3"/>
        <v>32</v>
      </c>
    </row>
    <row r="18">
      <c r="A18" s="108">
        <v>4.0</v>
      </c>
      <c r="B18" s="97" t="s">
        <v>61</v>
      </c>
      <c r="C18" s="110">
        <f>COUNTIFS(
DATA!$F:$F,$B18,
DATA!$B:$B,"&gt;="&amp;DATE(2026,2,C$2),
DATA!$B:$B,"&lt;"&amp;DATE(2026,2,C$2)+1
)</f>
        <v>0</v>
      </c>
      <c r="D18" s="110">
        <f>COUNTIFS(
DATA!$F:$F,$B18,
DATA!$B:$B,"&gt;="&amp;DATE(2026,2,D$2),
DATA!$B:$B,"&lt;"&amp;DATE(2026,2,D$2)+1
)</f>
        <v>0</v>
      </c>
      <c r="E18" s="110">
        <f>COUNTIFS(
DATA!$F:$F,$B18,
DATA!$B:$B,"&gt;="&amp;DATE(2026,2,E$2),
DATA!$B:$B,"&lt;"&amp;DATE(2026,2,E$2)+1
)</f>
        <v>0</v>
      </c>
      <c r="F18" s="110">
        <f>COUNTIFS(
DATA!$F:$F,$B18,
DATA!$B:$B,"&gt;="&amp;DATE(2026,2,F$2),
DATA!$B:$B,"&lt;"&amp;DATE(2026,2,F$2)+1
)</f>
        <v>0</v>
      </c>
      <c r="G18" s="110">
        <f>COUNTIFS(
DATA!$F:$F,$B18,
DATA!$B:$B,"&gt;="&amp;DATE(2026,2,G$2),
DATA!$B:$B,"&lt;"&amp;DATE(2026,2,G$2)+1
)</f>
        <v>0</v>
      </c>
      <c r="H18" s="110">
        <f>COUNTIFS(
DATA!$F:$F,$B18,
DATA!$B:$B,"&gt;="&amp;DATE(2026,2,H$2),
DATA!$B:$B,"&lt;"&amp;DATE(2026,2,H$2)+1
)</f>
        <v>0</v>
      </c>
      <c r="I18" s="110">
        <f>COUNTIFS(
DATA!$F:$F,$B18,
DATA!$B:$B,"&gt;="&amp;DATE(2026,2,I$2),
DATA!$B:$B,"&lt;"&amp;DATE(2026,2,I$2)+1
)</f>
        <v>0</v>
      </c>
      <c r="J18" s="110">
        <f>COUNTIFS(
DATA!$F:$F,$B18,
DATA!$B:$B,"&gt;="&amp;DATE(2026,2,J$2),
DATA!$B:$B,"&lt;"&amp;DATE(2026,2,J$2)+1
)</f>
        <v>0</v>
      </c>
      <c r="K18" s="110">
        <f>COUNTIFS(
DATA!$F:$F,$B18,
DATA!$B:$B,"&gt;="&amp;DATE(2026,2,K$2),
DATA!$B:$B,"&lt;"&amp;DATE(2026,2,K$2)+1
)</f>
        <v>0</v>
      </c>
      <c r="L18" s="110">
        <f>COUNTIFS(
DATA!$F:$F,$B18,
DATA!$B:$B,"&gt;="&amp;DATE(2026,2,L$2),
DATA!$B:$B,"&lt;"&amp;DATE(2026,2,L$2)+1
)</f>
        <v>0</v>
      </c>
      <c r="M18" s="110">
        <f>COUNTIFS(
DATA!$F:$F,$B18,
DATA!$B:$B,"&gt;="&amp;DATE(2026,2,M$2),
DATA!$B:$B,"&lt;"&amp;DATE(2026,2,M$2)+1
)</f>
        <v>0</v>
      </c>
      <c r="N18" s="110">
        <f>COUNTIFS(
DATA!$F:$F,$B18,
DATA!$B:$B,"&gt;="&amp;DATE(2026,2,N$2),
DATA!$B:$B,"&lt;"&amp;DATE(2026,2,N$2)+1
)</f>
        <v>0</v>
      </c>
      <c r="O18" s="110">
        <f>COUNTIFS(
DATA!$F:$F,$B18,
DATA!$B:$B,"&gt;="&amp;DATE(2026,2,O$2),
DATA!$B:$B,"&lt;"&amp;DATE(2026,2,O$2)+1
)</f>
        <v>0</v>
      </c>
      <c r="P18" s="110">
        <f>COUNTIFS(
DATA!$F:$F,$B18,
DATA!$B:$B,"&gt;="&amp;DATE(2026,2,P$2),
DATA!$B:$B,"&lt;"&amp;DATE(2026,2,P$2)+1
)</f>
        <v>0</v>
      </c>
      <c r="Q18" s="110">
        <f>COUNTIFS(
DATA!$F:$F,$B18,
DATA!$B:$B,"&gt;="&amp;DATE(2026,2,Q$2),
DATA!$B:$B,"&lt;"&amp;DATE(2026,2,Q$2)+1
)</f>
        <v>0</v>
      </c>
      <c r="R18" s="110">
        <f>COUNTIFS(
DATA!$F:$F,$B18,
DATA!$B:$B,"&gt;="&amp;DATE(2026,2,R$2),
DATA!$B:$B,"&lt;"&amp;DATE(2026,2,R$2)+1
)</f>
        <v>0</v>
      </c>
      <c r="S18" s="110">
        <f>COUNTIFS(
DATA!$F:$F,$B18,
DATA!$B:$B,"&gt;="&amp;DATE(2026,2,S$2),
DATA!$B:$B,"&lt;"&amp;DATE(2026,2,S$2)+1
)</f>
        <v>0</v>
      </c>
      <c r="T18" s="110">
        <f>COUNTIFS(
DATA!$F:$F,$B18,
DATA!$B:$B,"&gt;="&amp;DATE(2026,2,T$2),
DATA!$B:$B,"&lt;"&amp;DATE(2026,2,T$2)+1
)</f>
        <v>0</v>
      </c>
      <c r="U18" s="110">
        <f>COUNTIFS(
DATA!$F:$F,$B18,
DATA!$B:$B,"&gt;="&amp;DATE(2026,2,U$2),
DATA!$B:$B,"&lt;"&amp;DATE(2026,2,U$2)+1
)</f>
        <v>0</v>
      </c>
      <c r="V18" s="110">
        <f>COUNTIFS(
DATA!$F:$F,$B18,
DATA!$B:$B,"&gt;="&amp;DATE(2026,2,V$2),
DATA!$B:$B,"&lt;"&amp;DATE(2026,2,V$2)+1
)</f>
        <v>0</v>
      </c>
      <c r="W18" s="110">
        <f>COUNTIFS(
DATA!$F:$F,$B18,
DATA!$B:$B,"&gt;="&amp;DATE(2026,2,W$2),
DATA!$B:$B,"&lt;"&amp;DATE(2026,2,W$2)+1
)</f>
        <v>0</v>
      </c>
      <c r="X18" s="110">
        <f>COUNTIFS(
DATA!$F:$F,$B18,
DATA!$B:$B,"&gt;="&amp;DATE(2026,2,X$2),
DATA!$B:$B,"&lt;"&amp;DATE(2026,2,X$2)+1
)</f>
        <v>0</v>
      </c>
      <c r="Y18" s="110">
        <f>COUNTIFS(
DATA!$F:$F,$B18,
DATA!$B:$B,"&gt;="&amp;DATE(2026,2,Y$2),
DATA!$B:$B,"&lt;"&amp;DATE(2026,2,Y$2)+1
)</f>
        <v>0</v>
      </c>
      <c r="Z18" s="110">
        <f>COUNTIFS(
DATA!$F:$F,$B18,
DATA!$B:$B,"&gt;="&amp;DATE(2026,2,Z$2),
DATA!$B:$B,"&lt;"&amp;DATE(2026,2,Z$2)+1
)</f>
        <v>0</v>
      </c>
      <c r="AA18" s="110">
        <f>COUNTIFS(
DATA!$F:$F,$B18,
DATA!$B:$B,"&gt;="&amp;DATE(2026,2,AA$2),
DATA!$B:$B,"&lt;"&amp;DATE(2026,2,AA$2)+1
)</f>
        <v>0</v>
      </c>
      <c r="AB18" s="110">
        <f>COUNTIFS(
DATA!$F:$F,$B18,
DATA!$B:$B,"&gt;="&amp;DATE(2026,2,AB$2),
DATA!$B:$B,"&lt;"&amp;DATE(2026,2,AB$2)+1
)</f>
        <v>0</v>
      </c>
      <c r="AC18" s="110">
        <f>COUNTIFS(
DATA!$F:$F,$B18,
DATA!$B:$B,"&gt;="&amp;DATE(2026,2,AC$2),
DATA!$B:$B,"&lt;"&amp;DATE(2026,2,AC$2)+1
)</f>
        <v>0</v>
      </c>
      <c r="AD18" s="110">
        <f>COUNTIFS(
DATA!$F:$F,$B18,
DATA!$B:$B,"&gt;="&amp;DATE(2026,2,AD$2),
DATA!$B:$B,"&lt;"&amp;DATE(2026,2,AD$2)+1
)</f>
        <v>13</v>
      </c>
      <c r="AE18" s="110">
        <f>COUNTIFS(
DATA!$F:$F,$B18,
DATA!$B:$B,"&gt;="&amp;DATE(2026,2,AE$2),
DATA!$B:$B,"&lt;"&amp;DATE(2026,2,AE$2)+1
)</f>
        <v>0</v>
      </c>
      <c r="AF18" s="110">
        <f>COUNTIFS(
DATA!$F:$F,$B18,
DATA!$B:$B,"&gt;="&amp;DATE(2026,2,AF$2),
DATA!$B:$B,"&lt;"&amp;DATE(2026,2,AF$2)+1
)</f>
        <v>0</v>
      </c>
      <c r="AG18" s="110">
        <f>COUNTIFS(
DATA!$F:$F,$B18,
DATA!$B:$B,"&gt;="&amp;DATE(2026,2,AG$2),
DATA!$B:$B,"&lt;"&amp;DATE(2026,2,AG$2)+1
)</f>
        <v>0</v>
      </c>
      <c r="AH18" s="111">
        <f t="shared" si="3"/>
        <v>13</v>
      </c>
    </row>
    <row r="19">
      <c r="A19" s="108">
        <v>5.0</v>
      </c>
      <c r="B19" s="97" t="s">
        <v>63</v>
      </c>
      <c r="C19" s="110">
        <f>COUNTIFS(
DATA!$F:$F,$B19,
DATA!$B:$B,"&gt;="&amp;DATE(2026,2,C$2),
DATA!$B:$B,"&lt;"&amp;DATE(2026,2,C$2)+1
)</f>
        <v>0</v>
      </c>
      <c r="D19" s="110">
        <f>COUNTIFS(
DATA!$F:$F,$B19,
DATA!$B:$B,"&gt;="&amp;DATE(2026,2,D$2),
DATA!$B:$B,"&lt;"&amp;DATE(2026,2,D$2)+1
)</f>
        <v>0</v>
      </c>
      <c r="E19" s="110">
        <f>COUNTIFS(
DATA!$F:$F,$B19,
DATA!$B:$B,"&gt;="&amp;DATE(2026,2,E$2),
DATA!$B:$B,"&lt;"&amp;DATE(2026,2,E$2)+1
)</f>
        <v>0</v>
      </c>
      <c r="F19" s="110">
        <f>COUNTIFS(
DATA!$F:$F,$B19,
DATA!$B:$B,"&gt;="&amp;DATE(2026,2,F$2),
DATA!$B:$B,"&lt;"&amp;DATE(2026,2,F$2)+1
)</f>
        <v>0</v>
      </c>
      <c r="G19" s="110">
        <f>COUNTIFS(
DATA!$F:$F,$B19,
DATA!$B:$B,"&gt;="&amp;DATE(2026,2,G$2),
DATA!$B:$B,"&lt;"&amp;DATE(2026,2,G$2)+1
)</f>
        <v>0</v>
      </c>
      <c r="H19" s="110">
        <f>COUNTIFS(
DATA!$F:$F,$B19,
DATA!$B:$B,"&gt;="&amp;DATE(2026,2,H$2),
DATA!$B:$B,"&lt;"&amp;DATE(2026,2,H$2)+1
)</f>
        <v>0</v>
      </c>
      <c r="I19" s="110">
        <f>COUNTIFS(
DATA!$F:$F,$B19,
DATA!$B:$B,"&gt;="&amp;DATE(2026,2,I$2),
DATA!$B:$B,"&lt;"&amp;DATE(2026,2,I$2)+1
)</f>
        <v>0</v>
      </c>
      <c r="J19" s="110">
        <f>COUNTIFS(
DATA!$F:$F,$B19,
DATA!$B:$B,"&gt;="&amp;DATE(2026,2,J$2),
DATA!$B:$B,"&lt;"&amp;DATE(2026,2,J$2)+1
)</f>
        <v>0</v>
      </c>
      <c r="K19" s="110">
        <f>COUNTIFS(
DATA!$F:$F,$B19,
DATA!$B:$B,"&gt;="&amp;DATE(2026,2,K$2),
DATA!$B:$B,"&lt;"&amp;DATE(2026,2,K$2)+1
)</f>
        <v>0</v>
      </c>
      <c r="L19" s="110">
        <f>COUNTIFS(
DATA!$F:$F,$B19,
DATA!$B:$B,"&gt;="&amp;DATE(2026,2,L$2),
DATA!$B:$B,"&lt;"&amp;DATE(2026,2,L$2)+1
)</f>
        <v>0</v>
      </c>
      <c r="M19" s="110">
        <f>COUNTIFS(
DATA!$F:$F,$B19,
DATA!$B:$B,"&gt;="&amp;DATE(2026,2,M$2),
DATA!$B:$B,"&lt;"&amp;DATE(2026,2,M$2)+1
)</f>
        <v>0</v>
      </c>
      <c r="N19" s="110">
        <f>COUNTIFS(
DATA!$F:$F,$B19,
DATA!$B:$B,"&gt;="&amp;DATE(2026,2,N$2),
DATA!$B:$B,"&lt;"&amp;DATE(2026,2,N$2)+1
)</f>
        <v>0</v>
      </c>
      <c r="O19" s="110">
        <f>COUNTIFS(
DATA!$F:$F,$B19,
DATA!$B:$B,"&gt;="&amp;DATE(2026,2,O$2),
DATA!$B:$B,"&lt;"&amp;DATE(2026,2,O$2)+1
)</f>
        <v>18</v>
      </c>
      <c r="P19" s="110">
        <f>COUNTIFS(
DATA!$F:$F,$B19,
DATA!$B:$B,"&gt;="&amp;DATE(2026,2,P$2),
DATA!$B:$B,"&lt;"&amp;DATE(2026,2,P$2)+1
)</f>
        <v>0</v>
      </c>
      <c r="Q19" s="110">
        <f>COUNTIFS(
DATA!$F:$F,$B19,
DATA!$B:$B,"&gt;="&amp;DATE(2026,2,Q$2),
DATA!$B:$B,"&lt;"&amp;DATE(2026,2,Q$2)+1
)</f>
        <v>0</v>
      </c>
      <c r="R19" s="110">
        <f>COUNTIFS(
DATA!$F:$F,$B19,
DATA!$B:$B,"&gt;="&amp;DATE(2026,2,R$2),
DATA!$B:$B,"&lt;"&amp;DATE(2026,2,R$2)+1
)</f>
        <v>0</v>
      </c>
      <c r="S19" s="110">
        <f>COUNTIFS(
DATA!$F:$F,$B19,
DATA!$B:$B,"&gt;="&amp;DATE(2026,2,S$2),
DATA!$B:$B,"&lt;"&amp;DATE(2026,2,S$2)+1
)</f>
        <v>0</v>
      </c>
      <c r="T19" s="110">
        <f>COUNTIFS(
DATA!$F:$F,$B19,
DATA!$B:$B,"&gt;="&amp;DATE(2026,2,T$2),
DATA!$B:$B,"&lt;"&amp;DATE(2026,2,T$2)+1
)</f>
        <v>0</v>
      </c>
      <c r="U19" s="110">
        <f>COUNTIFS(
DATA!$F:$F,$B19,
DATA!$B:$B,"&gt;="&amp;DATE(2026,2,U$2),
DATA!$B:$B,"&lt;"&amp;DATE(2026,2,U$2)+1
)</f>
        <v>0</v>
      </c>
      <c r="V19" s="110">
        <f>COUNTIFS(
DATA!$F:$F,$B19,
DATA!$B:$B,"&gt;="&amp;DATE(2026,2,V$2),
DATA!$B:$B,"&lt;"&amp;DATE(2026,2,V$2)+1
)</f>
        <v>26</v>
      </c>
      <c r="W19" s="110">
        <f>COUNTIFS(
DATA!$F:$F,$B19,
DATA!$B:$B,"&gt;="&amp;DATE(2026,2,W$2),
DATA!$B:$B,"&lt;"&amp;DATE(2026,2,W$2)+1
)</f>
        <v>0</v>
      </c>
      <c r="X19" s="110">
        <f>COUNTIFS(
DATA!$F:$F,$B19,
DATA!$B:$B,"&gt;="&amp;DATE(2026,2,X$2),
DATA!$B:$B,"&lt;"&amp;DATE(2026,2,X$2)+1
)</f>
        <v>0</v>
      </c>
      <c r="Y19" s="110">
        <f>COUNTIFS(
DATA!$F:$F,$B19,
DATA!$B:$B,"&gt;="&amp;DATE(2026,2,Y$2),
DATA!$B:$B,"&lt;"&amp;DATE(2026,2,Y$2)+1
)</f>
        <v>0</v>
      </c>
      <c r="Z19" s="110">
        <f>COUNTIFS(
DATA!$F:$F,$B19,
DATA!$B:$B,"&gt;="&amp;DATE(2026,2,Z$2),
DATA!$B:$B,"&lt;"&amp;DATE(2026,2,Z$2)+1
)</f>
        <v>0</v>
      </c>
      <c r="AA19" s="110">
        <f>COUNTIFS(
DATA!$F:$F,$B19,
DATA!$B:$B,"&gt;="&amp;DATE(2026,2,AA$2),
DATA!$B:$B,"&lt;"&amp;DATE(2026,2,AA$2)+1
)</f>
        <v>0</v>
      </c>
      <c r="AB19" s="110">
        <f>COUNTIFS(
DATA!$F:$F,$B19,
DATA!$B:$B,"&gt;="&amp;DATE(2026,2,AB$2),
DATA!$B:$B,"&lt;"&amp;DATE(2026,2,AB$2)+1
)</f>
        <v>0</v>
      </c>
      <c r="AC19" s="110">
        <f>COUNTIFS(
DATA!$F:$F,$B19,
DATA!$B:$B,"&gt;="&amp;DATE(2026,2,AC$2),
DATA!$B:$B,"&lt;"&amp;DATE(2026,2,AC$2)+1
)</f>
        <v>0</v>
      </c>
      <c r="AD19" s="110">
        <f>COUNTIFS(
DATA!$F:$F,$B19,
DATA!$B:$B,"&gt;="&amp;DATE(2026,2,AD$2),
DATA!$B:$B,"&lt;"&amp;DATE(2026,2,AD$2)+1
)</f>
        <v>0</v>
      </c>
      <c r="AE19" s="110">
        <f>COUNTIFS(
DATA!$F:$F,$B19,
DATA!$B:$B,"&gt;="&amp;DATE(2026,2,AE$2),
DATA!$B:$B,"&lt;"&amp;DATE(2026,2,AE$2)+1
)</f>
        <v>0</v>
      </c>
      <c r="AF19" s="110">
        <f>COUNTIFS(
DATA!$F:$F,$B19,
DATA!$B:$B,"&gt;="&amp;DATE(2026,2,AF$2),
DATA!$B:$B,"&lt;"&amp;DATE(2026,2,AF$2)+1
)</f>
        <v>0</v>
      </c>
      <c r="AG19" s="110">
        <f>COUNTIFS(
DATA!$F:$F,$B19,
DATA!$B:$B,"&gt;="&amp;DATE(2026,2,AG$2),
DATA!$B:$B,"&lt;"&amp;DATE(2026,2,AG$2)+1
)</f>
        <v>0</v>
      </c>
      <c r="AH19" s="111">
        <f t="shared" si="3"/>
        <v>44</v>
      </c>
    </row>
    <row r="20">
      <c r="A20" s="108">
        <v>6.0</v>
      </c>
      <c r="B20" s="97" t="s">
        <v>67</v>
      </c>
      <c r="C20" s="110">
        <f>COUNTIFS(
DATA!$F:$F,$B20,
DATA!$B:$B,"&gt;="&amp;DATE(2026,2,C$2),
DATA!$B:$B,"&lt;"&amp;DATE(2026,2,C$2)+1
)</f>
        <v>0</v>
      </c>
      <c r="D20" s="110">
        <f>COUNTIFS(
DATA!$F:$F,$B20,
DATA!$B:$B,"&gt;="&amp;DATE(2026,2,D$2),
DATA!$B:$B,"&lt;"&amp;DATE(2026,2,D$2)+1
)</f>
        <v>0</v>
      </c>
      <c r="E20" s="110">
        <f>COUNTIFS(
DATA!$F:$F,$B20,
DATA!$B:$B,"&gt;="&amp;DATE(2026,2,E$2),
DATA!$B:$B,"&lt;"&amp;DATE(2026,2,E$2)+1
)</f>
        <v>0</v>
      </c>
      <c r="F20" s="110">
        <f>COUNTIFS(
DATA!$F:$F,$B20,
DATA!$B:$B,"&gt;="&amp;DATE(2026,2,F$2),
DATA!$B:$B,"&lt;"&amp;DATE(2026,2,F$2)+1
)</f>
        <v>0</v>
      </c>
      <c r="G20" s="110">
        <f>COUNTIFS(
DATA!$F:$F,$B20,
DATA!$B:$B,"&gt;="&amp;DATE(2026,2,G$2),
DATA!$B:$B,"&lt;"&amp;DATE(2026,2,G$2)+1
)</f>
        <v>0</v>
      </c>
      <c r="H20" s="110">
        <f>COUNTIFS(
DATA!$F:$F,$B20,
DATA!$B:$B,"&gt;="&amp;DATE(2026,2,H$2),
DATA!$B:$B,"&lt;"&amp;DATE(2026,2,H$2)+1
)</f>
        <v>0</v>
      </c>
      <c r="I20" s="110">
        <f>COUNTIFS(
DATA!$F:$F,$B20,
DATA!$B:$B,"&gt;="&amp;DATE(2026,2,I$2),
DATA!$B:$B,"&lt;"&amp;DATE(2026,2,I$2)+1
)</f>
        <v>0</v>
      </c>
      <c r="J20" s="110">
        <f>COUNTIFS(
DATA!$F:$F,$B20,
DATA!$B:$B,"&gt;="&amp;DATE(2026,2,J$2),
DATA!$B:$B,"&lt;"&amp;DATE(2026,2,J$2)+1
)</f>
        <v>0</v>
      </c>
      <c r="K20" s="110">
        <f>COUNTIFS(
DATA!$F:$F,$B20,
DATA!$B:$B,"&gt;="&amp;DATE(2026,2,K$2),
DATA!$B:$B,"&lt;"&amp;DATE(2026,2,K$2)+1
)</f>
        <v>0</v>
      </c>
      <c r="L20" s="110">
        <f>COUNTIFS(
DATA!$F:$F,$B20,
DATA!$B:$B,"&gt;="&amp;DATE(2026,2,L$2),
DATA!$B:$B,"&lt;"&amp;DATE(2026,2,L$2)+1
)</f>
        <v>0</v>
      </c>
      <c r="M20" s="110">
        <f>COUNTIFS(
DATA!$F:$F,$B20,
DATA!$B:$B,"&gt;="&amp;DATE(2026,2,M$2),
DATA!$B:$B,"&lt;"&amp;DATE(2026,2,M$2)+1
)</f>
        <v>0</v>
      </c>
      <c r="N20" s="110">
        <f>COUNTIFS(
DATA!$F:$F,$B20,
DATA!$B:$B,"&gt;="&amp;DATE(2026,2,N$2),
DATA!$B:$B,"&lt;"&amp;DATE(2026,2,N$2)+1
)</f>
        <v>0</v>
      </c>
      <c r="O20" s="110">
        <f>COUNTIFS(
DATA!$F:$F,$B20,
DATA!$B:$B,"&gt;="&amp;DATE(2026,2,O$2),
DATA!$B:$B,"&lt;"&amp;DATE(2026,2,O$2)+1
)</f>
        <v>0</v>
      </c>
      <c r="P20" s="110">
        <f>COUNTIFS(
DATA!$F:$F,$B20,
DATA!$B:$B,"&gt;="&amp;DATE(2026,2,P$2),
DATA!$B:$B,"&lt;"&amp;DATE(2026,2,P$2)+1
)</f>
        <v>0</v>
      </c>
      <c r="Q20" s="110">
        <f>COUNTIFS(
DATA!$F:$F,$B20,
DATA!$B:$B,"&gt;="&amp;DATE(2026,2,Q$2),
DATA!$B:$B,"&lt;"&amp;DATE(2026,2,Q$2)+1
)</f>
        <v>0</v>
      </c>
      <c r="R20" s="110">
        <f>COUNTIFS(
DATA!$F:$F,$B20,
DATA!$B:$B,"&gt;="&amp;DATE(2026,2,R$2),
DATA!$B:$B,"&lt;"&amp;DATE(2026,2,R$2)+1
)</f>
        <v>42</v>
      </c>
      <c r="S20" s="110">
        <f>COUNTIFS(
DATA!$F:$F,$B20,
DATA!$B:$B,"&gt;="&amp;DATE(2026,2,S$2),
DATA!$B:$B,"&lt;"&amp;DATE(2026,2,S$2)+1
)</f>
        <v>0</v>
      </c>
      <c r="T20" s="110">
        <f>COUNTIFS(
DATA!$F:$F,$B20,
DATA!$B:$B,"&gt;="&amp;DATE(2026,2,T$2),
DATA!$B:$B,"&lt;"&amp;DATE(2026,2,T$2)+1
)</f>
        <v>0</v>
      </c>
      <c r="U20" s="110">
        <f>COUNTIFS(
DATA!$F:$F,$B20,
DATA!$B:$B,"&gt;="&amp;DATE(2026,2,U$2),
DATA!$B:$B,"&lt;"&amp;DATE(2026,2,U$2)+1
)</f>
        <v>0</v>
      </c>
      <c r="V20" s="110">
        <f>COUNTIFS(
DATA!$F:$F,$B20,
DATA!$B:$B,"&gt;="&amp;DATE(2026,2,V$2),
DATA!$B:$B,"&lt;"&amp;DATE(2026,2,V$2)+1
)</f>
        <v>0</v>
      </c>
      <c r="W20" s="110">
        <f>COUNTIFS(
DATA!$F:$F,$B20,
DATA!$B:$B,"&gt;="&amp;DATE(2026,2,W$2),
DATA!$B:$B,"&lt;"&amp;DATE(2026,2,W$2)+1
)</f>
        <v>0</v>
      </c>
      <c r="X20" s="110">
        <f>COUNTIFS(
DATA!$F:$F,$B20,
DATA!$B:$B,"&gt;="&amp;DATE(2026,2,X$2),
DATA!$B:$B,"&lt;"&amp;DATE(2026,2,X$2)+1
)</f>
        <v>0</v>
      </c>
      <c r="Y20" s="110">
        <f>COUNTIFS(
DATA!$F:$F,$B20,
DATA!$B:$B,"&gt;="&amp;DATE(2026,2,Y$2),
DATA!$B:$B,"&lt;"&amp;DATE(2026,2,Y$2)+1
)</f>
        <v>0</v>
      </c>
      <c r="Z20" s="110">
        <f>COUNTIFS(
DATA!$F:$F,$B20,
DATA!$B:$B,"&gt;="&amp;DATE(2026,2,Z$2),
DATA!$B:$B,"&lt;"&amp;DATE(2026,2,Z$2)+1
)</f>
        <v>0</v>
      </c>
      <c r="AA20" s="110">
        <f>COUNTIFS(
DATA!$F:$F,$B20,
DATA!$B:$B,"&gt;="&amp;DATE(2026,2,AA$2),
DATA!$B:$B,"&lt;"&amp;DATE(2026,2,AA$2)+1
)</f>
        <v>0</v>
      </c>
      <c r="AB20" s="110">
        <f>COUNTIFS(
DATA!$F:$F,$B20,
DATA!$B:$B,"&gt;="&amp;DATE(2026,2,AB$2),
DATA!$B:$B,"&lt;"&amp;DATE(2026,2,AB$2)+1
)</f>
        <v>0</v>
      </c>
      <c r="AC20" s="110">
        <f>COUNTIFS(
DATA!$F:$F,$B20,
DATA!$B:$B,"&gt;="&amp;DATE(2026,2,AC$2),
DATA!$B:$B,"&lt;"&amp;DATE(2026,2,AC$2)+1
)</f>
        <v>0</v>
      </c>
      <c r="AD20" s="110">
        <f>COUNTIFS(
DATA!$F:$F,$B20,
DATA!$B:$B,"&gt;="&amp;DATE(2026,2,AD$2),
DATA!$B:$B,"&lt;"&amp;DATE(2026,2,AD$2)+1
)</f>
        <v>0</v>
      </c>
      <c r="AE20" s="110">
        <f>COUNTIFS(
DATA!$F:$F,$B20,
DATA!$B:$B,"&gt;="&amp;DATE(2026,2,AE$2),
DATA!$B:$B,"&lt;"&amp;DATE(2026,2,AE$2)+1
)</f>
        <v>0</v>
      </c>
      <c r="AF20" s="110">
        <f>COUNTIFS(
DATA!$F:$F,$B20,
DATA!$B:$B,"&gt;="&amp;DATE(2026,2,AF$2),
DATA!$B:$B,"&lt;"&amp;DATE(2026,2,AF$2)+1
)</f>
        <v>0</v>
      </c>
      <c r="AG20" s="110">
        <f>COUNTIFS(
DATA!$F:$F,$B20,
DATA!$B:$B,"&gt;="&amp;DATE(2026,2,AG$2),
DATA!$B:$B,"&lt;"&amp;DATE(2026,2,AG$2)+1
)</f>
        <v>17</v>
      </c>
      <c r="AH20" s="111">
        <f t="shared" si="3"/>
        <v>59</v>
      </c>
    </row>
    <row r="21">
      <c r="A21" s="108">
        <v>7.0</v>
      </c>
      <c r="B21" s="97" t="s">
        <v>64</v>
      </c>
      <c r="C21" s="110">
        <f>COUNTIFS(
DATA!$F:$F,$B21,
DATA!$B:$B,"&gt;="&amp;DATE(2026,2,C$2),
DATA!$B:$B,"&lt;"&amp;DATE(2026,2,C$2)+1
)</f>
        <v>0</v>
      </c>
      <c r="D21" s="110">
        <f>COUNTIFS(
DATA!$F:$F,$B21,
DATA!$B:$B,"&gt;="&amp;DATE(2026,2,D$2),
DATA!$B:$B,"&lt;"&amp;DATE(2026,2,D$2)+1
)</f>
        <v>0</v>
      </c>
      <c r="E21" s="110">
        <f>COUNTIFS(
DATA!$F:$F,$B21,
DATA!$B:$B,"&gt;="&amp;DATE(2026,2,E$2),
DATA!$B:$B,"&lt;"&amp;DATE(2026,2,E$2)+1
)</f>
        <v>0</v>
      </c>
      <c r="F21" s="110">
        <f>COUNTIFS(
DATA!$F:$F,$B21,
DATA!$B:$B,"&gt;="&amp;DATE(2026,2,F$2),
DATA!$B:$B,"&lt;"&amp;DATE(2026,2,F$2)+1
)</f>
        <v>0</v>
      </c>
      <c r="G21" s="110">
        <f>COUNTIFS(
DATA!$F:$F,$B21,
DATA!$B:$B,"&gt;="&amp;DATE(2026,2,G$2),
DATA!$B:$B,"&lt;"&amp;DATE(2026,2,G$2)+1
)</f>
        <v>0</v>
      </c>
      <c r="H21" s="110">
        <f>COUNTIFS(
DATA!$F:$F,$B21,
DATA!$B:$B,"&gt;="&amp;DATE(2026,2,H$2),
DATA!$B:$B,"&lt;"&amp;DATE(2026,2,H$2)+1
)</f>
        <v>0</v>
      </c>
      <c r="I21" s="110">
        <f>COUNTIFS(
DATA!$F:$F,$B21,
DATA!$B:$B,"&gt;="&amp;DATE(2026,2,I$2),
DATA!$B:$B,"&lt;"&amp;DATE(2026,2,I$2)+1
)</f>
        <v>0</v>
      </c>
      <c r="J21" s="110">
        <f>COUNTIFS(
DATA!$F:$F,$B21,
DATA!$B:$B,"&gt;="&amp;DATE(2026,2,J$2),
DATA!$B:$B,"&lt;"&amp;DATE(2026,2,J$2)+1
)</f>
        <v>0</v>
      </c>
      <c r="K21" s="110">
        <f>COUNTIFS(
DATA!$F:$F,$B21,
DATA!$B:$B,"&gt;="&amp;DATE(2026,2,K$2),
DATA!$B:$B,"&lt;"&amp;DATE(2026,2,K$2)+1
)</f>
        <v>0</v>
      </c>
      <c r="L21" s="110">
        <f>COUNTIFS(
DATA!$F:$F,$B21,
DATA!$B:$B,"&gt;="&amp;DATE(2026,2,L$2),
DATA!$B:$B,"&lt;"&amp;DATE(2026,2,L$2)+1
)</f>
        <v>26</v>
      </c>
      <c r="M21" s="110">
        <f>COUNTIFS(
DATA!$F:$F,$B21,
DATA!$B:$B,"&gt;="&amp;DATE(2026,2,M$2),
DATA!$B:$B,"&lt;"&amp;DATE(2026,2,M$2)+1
)</f>
        <v>0</v>
      </c>
      <c r="N21" s="110">
        <f>COUNTIFS(
DATA!$F:$F,$B21,
DATA!$B:$B,"&gt;="&amp;DATE(2026,2,N$2),
DATA!$B:$B,"&lt;"&amp;DATE(2026,2,N$2)+1
)</f>
        <v>0</v>
      </c>
      <c r="O21" s="110">
        <f>COUNTIFS(
DATA!$F:$F,$B21,
DATA!$B:$B,"&gt;="&amp;DATE(2026,2,O$2),
DATA!$B:$B,"&lt;"&amp;DATE(2026,2,O$2)+1
)</f>
        <v>0</v>
      </c>
      <c r="P21" s="110">
        <f>COUNTIFS(
DATA!$F:$F,$B21,
DATA!$B:$B,"&gt;="&amp;DATE(2026,2,P$2),
DATA!$B:$B,"&lt;"&amp;DATE(2026,2,P$2)+1
)</f>
        <v>0</v>
      </c>
      <c r="Q21" s="110">
        <f>COUNTIFS(
DATA!$F:$F,$B21,
DATA!$B:$B,"&gt;="&amp;DATE(2026,2,Q$2),
DATA!$B:$B,"&lt;"&amp;DATE(2026,2,Q$2)+1
)</f>
        <v>0</v>
      </c>
      <c r="R21" s="110">
        <f>COUNTIFS(
DATA!$F:$F,$B21,
DATA!$B:$B,"&gt;="&amp;DATE(2026,2,R$2),
DATA!$B:$B,"&lt;"&amp;DATE(2026,2,R$2)+1
)</f>
        <v>0</v>
      </c>
      <c r="S21" s="110">
        <f>COUNTIFS(
DATA!$F:$F,$B21,
DATA!$B:$B,"&gt;="&amp;DATE(2026,2,S$2),
DATA!$B:$B,"&lt;"&amp;DATE(2026,2,S$2)+1
)</f>
        <v>0</v>
      </c>
      <c r="T21" s="110">
        <f>COUNTIFS(
DATA!$F:$F,$B21,
DATA!$B:$B,"&gt;="&amp;DATE(2026,2,T$2),
DATA!$B:$B,"&lt;"&amp;DATE(2026,2,T$2)+1
)</f>
        <v>0</v>
      </c>
      <c r="U21" s="110">
        <f>COUNTIFS(
DATA!$F:$F,$B21,
DATA!$B:$B,"&gt;="&amp;DATE(2026,2,U$2),
DATA!$B:$B,"&lt;"&amp;DATE(2026,2,U$2)+1
)</f>
        <v>0</v>
      </c>
      <c r="V21" s="110">
        <f>COUNTIFS(
DATA!$F:$F,$B21,
DATA!$B:$B,"&gt;="&amp;DATE(2026,2,V$2),
DATA!$B:$B,"&lt;"&amp;DATE(2026,2,V$2)+1
)</f>
        <v>0</v>
      </c>
      <c r="W21" s="110">
        <f>COUNTIFS(
DATA!$F:$F,$B21,
DATA!$B:$B,"&gt;="&amp;DATE(2026,2,W$2),
DATA!$B:$B,"&lt;"&amp;DATE(2026,2,W$2)+1
)</f>
        <v>0</v>
      </c>
      <c r="X21" s="110">
        <f>COUNTIFS(
DATA!$F:$F,$B21,
DATA!$B:$B,"&gt;="&amp;DATE(2026,2,X$2),
DATA!$B:$B,"&lt;"&amp;DATE(2026,2,X$2)+1
)</f>
        <v>0</v>
      </c>
      <c r="Y21" s="110">
        <f>COUNTIFS(
DATA!$F:$F,$B21,
DATA!$B:$B,"&gt;="&amp;DATE(2026,2,Y$2),
DATA!$B:$B,"&lt;"&amp;DATE(2026,2,Y$2)+1
)</f>
        <v>0</v>
      </c>
      <c r="Z21" s="110">
        <f>COUNTIFS(
DATA!$F:$F,$B21,
DATA!$B:$B,"&gt;="&amp;DATE(2026,2,Z$2),
DATA!$B:$B,"&lt;"&amp;DATE(2026,2,Z$2)+1
)</f>
        <v>0</v>
      </c>
      <c r="AA21" s="110">
        <f>COUNTIFS(
DATA!$F:$F,$B21,
DATA!$B:$B,"&gt;="&amp;DATE(2026,2,AA$2),
DATA!$B:$B,"&lt;"&amp;DATE(2026,2,AA$2)+1
)</f>
        <v>0</v>
      </c>
      <c r="AB21" s="110">
        <f>COUNTIFS(
DATA!$F:$F,$B21,
DATA!$B:$B,"&gt;="&amp;DATE(2026,2,AB$2),
DATA!$B:$B,"&lt;"&amp;DATE(2026,2,AB$2)+1
)</f>
        <v>0</v>
      </c>
      <c r="AC21" s="110">
        <f>COUNTIFS(
DATA!$F:$F,$B21,
DATA!$B:$B,"&gt;="&amp;DATE(2026,2,AC$2),
DATA!$B:$B,"&lt;"&amp;DATE(2026,2,AC$2)+1
)</f>
        <v>28</v>
      </c>
      <c r="AD21" s="110">
        <f>COUNTIFS(
DATA!$F:$F,$B21,
DATA!$B:$B,"&gt;="&amp;DATE(2026,2,AD$2),
DATA!$B:$B,"&lt;"&amp;DATE(2026,2,AD$2)+1
)</f>
        <v>0</v>
      </c>
      <c r="AE21" s="110">
        <f>COUNTIFS(
DATA!$F:$F,$B21,
DATA!$B:$B,"&gt;="&amp;DATE(2026,2,AE$2),
DATA!$B:$B,"&lt;"&amp;DATE(2026,2,AE$2)+1
)</f>
        <v>0</v>
      </c>
      <c r="AF21" s="110">
        <f>COUNTIFS(
DATA!$F:$F,$B21,
DATA!$B:$B,"&gt;="&amp;DATE(2026,2,AF$2),
DATA!$B:$B,"&lt;"&amp;DATE(2026,2,AF$2)+1
)</f>
        <v>0</v>
      </c>
      <c r="AG21" s="110">
        <f>COUNTIFS(
DATA!$F:$F,$B21,
DATA!$B:$B,"&gt;="&amp;DATE(2026,2,AG$2),
DATA!$B:$B,"&lt;"&amp;DATE(2026,2,AG$2)+1
)</f>
        <v>0</v>
      </c>
      <c r="AH21" s="111">
        <f t="shared" si="3"/>
        <v>54</v>
      </c>
    </row>
    <row r="22">
      <c r="A22" s="112">
        <v>8.0</v>
      </c>
      <c r="B22" s="113" t="s">
        <v>65</v>
      </c>
      <c r="C22" s="110">
        <f>COUNTIFS(
DATA!$F:$F,$B22,
DATA!$B:$B,"&gt;="&amp;DATE(2026,2,C$2),
DATA!$B:$B,"&lt;"&amp;DATE(2026,2,C$2)+1
)</f>
        <v>0</v>
      </c>
      <c r="D22" s="110">
        <f>COUNTIFS(
DATA!$F:$F,$B22,
DATA!$B:$B,"&gt;="&amp;DATE(2026,2,D$2),
DATA!$B:$B,"&lt;"&amp;DATE(2026,2,D$2)+1
)</f>
        <v>0</v>
      </c>
      <c r="E22" s="110">
        <f>COUNTIFS(
DATA!$F:$F,$B22,
DATA!$B:$B,"&gt;="&amp;DATE(2026,2,E$2),
DATA!$B:$B,"&lt;"&amp;DATE(2026,2,E$2)+1
)</f>
        <v>0</v>
      </c>
      <c r="F22" s="110">
        <f>COUNTIFS(
DATA!$F:$F,$B22,
DATA!$B:$B,"&gt;="&amp;DATE(2026,2,F$2),
DATA!$B:$B,"&lt;"&amp;DATE(2026,2,F$2)+1
)</f>
        <v>0</v>
      </c>
      <c r="G22" s="110">
        <f>COUNTIFS(
DATA!$F:$F,$B22,
DATA!$B:$B,"&gt;="&amp;DATE(2026,2,G$2),
DATA!$B:$B,"&lt;"&amp;DATE(2026,2,G$2)+1
)</f>
        <v>18</v>
      </c>
      <c r="H22" s="110">
        <f>COUNTIFS(
DATA!$F:$F,$B22,
DATA!$B:$B,"&gt;="&amp;DATE(2026,2,H$2),
DATA!$B:$B,"&lt;"&amp;DATE(2026,2,H$2)+1
)</f>
        <v>25</v>
      </c>
      <c r="I22" s="110">
        <f>COUNTIFS(
DATA!$F:$F,$B22,
DATA!$B:$B,"&gt;="&amp;DATE(2026,2,I$2),
DATA!$B:$B,"&lt;"&amp;DATE(2026,2,I$2)+1
)</f>
        <v>0</v>
      </c>
      <c r="J22" s="110">
        <f>COUNTIFS(
DATA!$F:$F,$B22,
DATA!$B:$B,"&gt;="&amp;DATE(2026,2,J$2),
DATA!$B:$B,"&lt;"&amp;DATE(2026,2,J$2)+1
)</f>
        <v>0</v>
      </c>
      <c r="K22" s="110">
        <f>COUNTIFS(
DATA!$F:$F,$B22,
DATA!$B:$B,"&gt;="&amp;DATE(2026,2,K$2),
DATA!$B:$B,"&lt;"&amp;DATE(2026,2,K$2)+1
)</f>
        <v>17</v>
      </c>
      <c r="L22" s="110">
        <f>COUNTIFS(
DATA!$F:$F,$B22,
DATA!$B:$B,"&gt;="&amp;DATE(2026,2,L$2),
DATA!$B:$B,"&lt;"&amp;DATE(2026,2,L$2)+1
)</f>
        <v>0</v>
      </c>
      <c r="M22" s="110">
        <f>COUNTIFS(
DATA!$F:$F,$B22,
DATA!$B:$B,"&gt;="&amp;DATE(2026,2,M$2),
DATA!$B:$B,"&lt;"&amp;DATE(2026,2,M$2)+1
)</f>
        <v>0</v>
      </c>
      <c r="N22" s="110">
        <f>COUNTIFS(
DATA!$F:$F,$B22,
DATA!$B:$B,"&gt;="&amp;DATE(2026,2,N$2),
DATA!$B:$B,"&lt;"&amp;DATE(2026,2,N$2)+1
)</f>
        <v>19</v>
      </c>
      <c r="O22" s="110">
        <f>COUNTIFS(
DATA!$F:$F,$B22,
DATA!$B:$B,"&gt;="&amp;DATE(2026,2,O$2),
DATA!$B:$B,"&lt;"&amp;DATE(2026,2,O$2)+1
)</f>
        <v>0</v>
      </c>
      <c r="P22" s="110">
        <f>COUNTIFS(
DATA!$F:$F,$B22,
DATA!$B:$B,"&gt;="&amp;DATE(2026,2,P$2),
DATA!$B:$B,"&lt;"&amp;DATE(2026,2,P$2)+1
)</f>
        <v>0</v>
      </c>
      <c r="Q22" s="110">
        <f>COUNTIFS(
DATA!$F:$F,$B22,
DATA!$B:$B,"&gt;="&amp;DATE(2026,2,Q$2),
DATA!$B:$B,"&lt;"&amp;DATE(2026,2,Q$2)+1
)</f>
        <v>0</v>
      </c>
      <c r="R22" s="110">
        <f>COUNTIFS(
DATA!$F:$F,$B22,
DATA!$B:$B,"&gt;="&amp;DATE(2026,2,R$2),
DATA!$B:$B,"&lt;"&amp;DATE(2026,2,R$2)+1
)</f>
        <v>0</v>
      </c>
      <c r="S22" s="110">
        <f>COUNTIFS(
DATA!$F:$F,$B22,
DATA!$B:$B,"&gt;="&amp;DATE(2026,2,S$2),
DATA!$B:$B,"&lt;"&amp;DATE(2026,2,S$2)+1
)</f>
        <v>0</v>
      </c>
      <c r="T22" s="110">
        <f>COUNTIFS(
DATA!$F:$F,$B22,
DATA!$B:$B,"&gt;="&amp;DATE(2026,2,T$2),
DATA!$B:$B,"&lt;"&amp;DATE(2026,2,T$2)+1
)</f>
        <v>0</v>
      </c>
      <c r="U22" s="110">
        <f>COUNTIFS(
DATA!$F:$F,$B22,
DATA!$B:$B,"&gt;="&amp;DATE(2026,2,U$2),
DATA!$B:$B,"&lt;"&amp;DATE(2026,2,U$2)+1
)</f>
        <v>0</v>
      </c>
      <c r="V22" s="110">
        <f>COUNTIFS(
DATA!$F:$F,$B22,
DATA!$B:$B,"&gt;="&amp;DATE(2026,2,V$2),
DATA!$B:$B,"&lt;"&amp;DATE(2026,2,V$2)+1
)</f>
        <v>15</v>
      </c>
      <c r="W22" s="110">
        <f>COUNTIFS(
DATA!$F:$F,$B22,
DATA!$B:$B,"&gt;="&amp;DATE(2026,2,W$2),
DATA!$B:$B,"&lt;"&amp;DATE(2026,2,W$2)+1
)</f>
        <v>16</v>
      </c>
      <c r="X22" s="110">
        <f>COUNTIFS(
DATA!$F:$F,$B22,
DATA!$B:$B,"&gt;="&amp;DATE(2026,2,X$2),
DATA!$B:$B,"&lt;"&amp;DATE(2026,2,X$2)+1
)</f>
        <v>0</v>
      </c>
      <c r="Y22" s="110">
        <f>COUNTIFS(
DATA!$F:$F,$B22,
DATA!$B:$B,"&gt;="&amp;DATE(2026,2,Y$2),
DATA!$B:$B,"&lt;"&amp;DATE(2026,2,Y$2)+1
)</f>
        <v>0</v>
      </c>
      <c r="Z22" s="110">
        <f>COUNTIFS(
DATA!$F:$F,$B22,
DATA!$B:$B,"&gt;="&amp;DATE(2026,2,Z$2),
DATA!$B:$B,"&lt;"&amp;DATE(2026,2,Z$2)+1
)</f>
        <v>0</v>
      </c>
      <c r="AA22" s="110">
        <f>COUNTIFS(
DATA!$F:$F,$B22,
DATA!$B:$B,"&gt;="&amp;DATE(2026,2,AA$2),
DATA!$B:$B,"&lt;"&amp;DATE(2026,2,AA$2)+1
)</f>
        <v>0</v>
      </c>
      <c r="AB22" s="110">
        <f>COUNTIFS(
DATA!$F:$F,$B22,
DATA!$B:$B,"&gt;="&amp;DATE(2026,2,AB$2),
DATA!$B:$B,"&lt;"&amp;DATE(2026,2,AB$2)+1
)</f>
        <v>0</v>
      </c>
      <c r="AC22" s="110">
        <f>COUNTIFS(
DATA!$F:$F,$B22,
DATA!$B:$B,"&gt;="&amp;DATE(2026,2,AC$2),
DATA!$B:$B,"&lt;"&amp;DATE(2026,2,AC$2)+1
)</f>
        <v>9</v>
      </c>
      <c r="AD22" s="110">
        <f>COUNTIFS(
DATA!$F:$F,$B22,
DATA!$B:$B,"&gt;="&amp;DATE(2026,2,AD$2),
DATA!$B:$B,"&lt;"&amp;DATE(2026,2,AD$2)+1
)</f>
        <v>59</v>
      </c>
      <c r="AE22" s="110">
        <f>COUNTIFS(
DATA!$F:$F,$B22,
DATA!$B:$B,"&gt;="&amp;DATE(2026,2,AE$2),
DATA!$B:$B,"&lt;"&amp;DATE(2026,2,AE$2)+1
)</f>
        <v>0</v>
      </c>
      <c r="AF22" s="110">
        <f>COUNTIFS(
DATA!$F:$F,$B22,
DATA!$B:$B,"&gt;="&amp;DATE(2026,2,AF$2),
DATA!$B:$B,"&lt;"&amp;DATE(2026,2,AF$2)+1
)</f>
        <v>0</v>
      </c>
      <c r="AG22" s="110">
        <f>COUNTIFS(
DATA!$F:$F,$B22,
DATA!$B:$B,"&gt;="&amp;DATE(2026,2,AG$2),
DATA!$B:$B,"&lt;"&amp;DATE(2026,2,AG$2)+1
)</f>
        <v>0</v>
      </c>
      <c r="AH22" s="111">
        <f t="shared" si="3"/>
        <v>178</v>
      </c>
    </row>
    <row r="23">
      <c r="A23" s="114" t="s">
        <v>69</v>
      </c>
      <c r="B23" s="105"/>
      <c r="C23" s="115">
        <f t="shared" ref="C23:AG23" si="4">sum(C15:C22)</f>
        <v>0</v>
      </c>
      <c r="D23" s="115">
        <f t="shared" si="4"/>
        <v>0</v>
      </c>
      <c r="E23" s="115">
        <f t="shared" si="4"/>
        <v>0</v>
      </c>
      <c r="F23" s="115">
        <f t="shared" si="4"/>
        <v>0</v>
      </c>
      <c r="G23" s="115">
        <f t="shared" si="4"/>
        <v>18</v>
      </c>
      <c r="H23" s="115">
        <f t="shared" si="4"/>
        <v>25</v>
      </c>
      <c r="I23" s="115">
        <f t="shared" si="4"/>
        <v>0</v>
      </c>
      <c r="J23" s="115">
        <f t="shared" si="4"/>
        <v>0</v>
      </c>
      <c r="K23" s="115">
        <f t="shared" si="4"/>
        <v>17</v>
      </c>
      <c r="L23" s="115">
        <f t="shared" si="4"/>
        <v>26</v>
      </c>
      <c r="M23" s="115">
        <f t="shared" si="4"/>
        <v>0</v>
      </c>
      <c r="N23" s="115">
        <f t="shared" si="4"/>
        <v>19</v>
      </c>
      <c r="O23" s="115">
        <f t="shared" si="4"/>
        <v>18</v>
      </c>
      <c r="P23" s="115">
        <f t="shared" si="4"/>
        <v>0</v>
      </c>
      <c r="Q23" s="115">
        <f t="shared" si="4"/>
        <v>0</v>
      </c>
      <c r="R23" s="115">
        <f t="shared" si="4"/>
        <v>42</v>
      </c>
      <c r="S23" s="115">
        <f t="shared" si="4"/>
        <v>0</v>
      </c>
      <c r="T23" s="115">
        <f t="shared" si="4"/>
        <v>0</v>
      </c>
      <c r="U23" s="115">
        <f t="shared" si="4"/>
        <v>0</v>
      </c>
      <c r="V23" s="115">
        <f t="shared" si="4"/>
        <v>71</v>
      </c>
      <c r="W23" s="115">
        <f t="shared" si="4"/>
        <v>16</v>
      </c>
      <c r="X23" s="115">
        <f t="shared" si="4"/>
        <v>0</v>
      </c>
      <c r="Y23" s="115">
        <f t="shared" si="4"/>
        <v>18</v>
      </c>
      <c r="Z23" s="115">
        <f t="shared" si="4"/>
        <v>0</v>
      </c>
      <c r="AA23" s="115">
        <f t="shared" si="4"/>
        <v>0</v>
      </c>
      <c r="AB23" s="115">
        <f t="shared" si="4"/>
        <v>0</v>
      </c>
      <c r="AC23" s="115">
        <f t="shared" si="4"/>
        <v>37</v>
      </c>
      <c r="AD23" s="115">
        <f t="shared" si="4"/>
        <v>72</v>
      </c>
      <c r="AE23" s="115">
        <f t="shared" si="4"/>
        <v>0</v>
      </c>
      <c r="AF23" s="115">
        <f t="shared" si="4"/>
        <v>0</v>
      </c>
      <c r="AG23" s="115">
        <f t="shared" si="4"/>
        <v>17</v>
      </c>
      <c r="AH23" s="111">
        <f t="shared" si="3"/>
        <v>396</v>
      </c>
    </row>
  </sheetData>
  <mergeCells count="10">
    <mergeCell ref="AH1:AH2"/>
    <mergeCell ref="AH13:AH14"/>
    <mergeCell ref="A1:A2"/>
    <mergeCell ref="B1:B2"/>
    <mergeCell ref="C1:AG1"/>
    <mergeCell ref="A11:B11"/>
    <mergeCell ref="A13:A14"/>
    <mergeCell ref="B13:B14"/>
    <mergeCell ref="C13:AG13"/>
    <mergeCell ref="A23:B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8.0"/>
  </cols>
  <sheetData>
    <row r="3">
      <c r="A3" s="116" t="s">
        <v>41</v>
      </c>
      <c r="B3" s="116" t="s">
        <v>5</v>
      </c>
      <c r="C3" s="103">
        <v>2026.0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5"/>
      <c r="O3" s="116" t="s">
        <v>91</v>
      </c>
    </row>
    <row r="4">
      <c r="A4" s="117"/>
      <c r="B4" s="117"/>
      <c r="C4" s="107">
        <v>1.0</v>
      </c>
      <c r="D4" s="107">
        <v>2.0</v>
      </c>
      <c r="E4" s="107">
        <v>3.0</v>
      </c>
      <c r="F4" s="107">
        <v>4.0</v>
      </c>
      <c r="G4" s="107">
        <v>5.0</v>
      </c>
      <c r="H4" s="107">
        <v>6.0</v>
      </c>
      <c r="I4" s="107">
        <v>7.0</v>
      </c>
      <c r="J4" s="107">
        <v>8.0</v>
      </c>
      <c r="K4" s="107">
        <v>9.0</v>
      </c>
      <c r="L4" s="107">
        <v>10.0</v>
      </c>
      <c r="M4" s="107">
        <v>11.0</v>
      </c>
      <c r="N4" s="107">
        <v>12.0</v>
      </c>
      <c r="O4" s="117"/>
    </row>
    <row r="5">
      <c r="A5" s="106"/>
      <c r="B5" s="106"/>
      <c r="C5" s="107" t="s">
        <v>93</v>
      </c>
      <c r="D5" s="107" t="s">
        <v>94</v>
      </c>
      <c r="E5" s="107" t="s">
        <v>95</v>
      </c>
      <c r="F5" s="107" t="s">
        <v>96</v>
      </c>
      <c r="G5" s="107" t="s">
        <v>97</v>
      </c>
      <c r="H5" s="107" t="s">
        <v>98</v>
      </c>
      <c r="I5" s="107" t="s">
        <v>99</v>
      </c>
      <c r="J5" s="107" t="s">
        <v>100</v>
      </c>
      <c r="K5" s="107" t="s">
        <v>101</v>
      </c>
      <c r="L5" s="107" t="s">
        <v>102</v>
      </c>
      <c r="M5" s="107" t="s">
        <v>103</v>
      </c>
      <c r="N5" s="107" t="s">
        <v>104</v>
      </c>
      <c r="O5" s="106"/>
    </row>
    <row r="6">
      <c r="A6" s="108">
        <v>1.0</v>
      </c>
      <c r="B6" s="109" t="s">
        <v>68</v>
      </c>
      <c r="C6" s="110">
        <f>COUNTIFS(
DATA!$F:$F,$B6,
DATA!$B:$B,"&gt;="&amp;DATE(2026,C$4,1),
DATA!$B:$B,"&lt;"&amp;EDATE(DATE(2026,C$4,1),1)
)</f>
        <v>0</v>
      </c>
      <c r="D6" s="110">
        <f>COUNTIFS(
DATA!$F:$F,$B6,
DATA!$B:$B,"&gt;="&amp;DATE(2026,D$4,1),
DATA!$B:$B,"&lt;"&amp;EDATE(DATE(2026,D$4,1),1)
)</f>
        <v>0</v>
      </c>
      <c r="E6" s="110">
        <f>COUNTIFS(
DATA!$F:$F,$B6,
DATA!$B:$B,"&gt;="&amp;DATE(2026,1,E$2),
DATA!$B:$B,"&lt;"&amp;DATE(2026,1,E$2)+1
)</f>
        <v>0</v>
      </c>
      <c r="F6" s="110">
        <f>COUNTIFS(
DATA!$F:$F,$B6,
DATA!$B:$B,"&gt;="&amp;DATE(2026,1,F$2),
DATA!$B:$B,"&lt;"&amp;DATE(2026,1,F$2)+1
)</f>
        <v>0</v>
      </c>
      <c r="G6" s="110">
        <f>COUNTIFS(
DATA!$F:$F,$B6,
DATA!$B:$B,"&gt;="&amp;DATE(2026,1,G$2),
DATA!$B:$B,"&lt;"&amp;DATE(2026,1,G$2)+1
)</f>
        <v>0</v>
      </c>
      <c r="H6" s="110">
        <f>COUNTIFS(
DATA!$F:$F,$B6,
DATA!$B:$B,"&gt;="&amp;DATE(2026,1,H$2),
DATA!$B:$B,"&lt;"&amp;DATE(2026,1,H$2)+1
)</f>
        <v>0</v>
      </c>
      <c r="I6" s="110">
        <f>COUNTIFS(
DATA!$F:$F,$B6,
DATA!$B:$B,"&gt;="&amp;DATE(2026,1,I$2),
DATA!$B:$B,"&lt;"&amp;DATE(2026,1,I$2)+1
)</f>
        <v>0</v>
      </c>
      <c r="J6" s="110">
        <f>COUNTIFS(
DATA!$F:$F,$B6,
DATA!$B:$B,"&gt;="&amp;DATE(2026,1,J$2),
DATA!$B:$B,"&lt;"&amp;DATE(2026,1,J$2)+1
)</f>
        <v>0</v>
      </c>
      <c r="K6" s="110">
        <f>COUNTIFS(
DATA!$F:$F,$B6,
DATA!$B:$B,"&gt;="&amp;DATE(2026,1,K$2),
DATA!$B:$B,"&lt;"&amp;DATE(2026,1,K$2)+1
)</f>
        <v>0</v>
      </c>
      <c r="L6" s="110">
        <f>COUNTIFS(
DATA!$F:$F,$B6,
DATA!$B:$B,"&gt;="&amp;DATE(2026,1,L$2),
DATA!$B:$B,"&lt;"&amp;DATE(2026,1,L$2)+1
)</f>
        <v>0</v>
      </c>
      <c r="M6" s="110">
        <f>COUNTIFS(
DATA!$F:$F,$B6,
DATA!$B:$B,"&gt;="&amp;DATE(2026,1,M$2),
DATA!$B:$B,"&lt;"&amp;DATE(2026,1,M$2)+1
)</f>
        <v>0</v>
      </c>
      <c r="N6" s="110">
        <f>COUNTIFS(
DATA!$F:$F,$B6,
DATA!$B:$B,"&gt;="&amp;DATE(2026,1,N$2),
DATA!$B:$B,"&lt;"&amp;DATE(2026,1,N$2)+1
)</f>
        <v>0</v>
      </c>
      <c r="O6" s="111">
        <f t="shared" ref="O6:O14" si="1">sum(C6:N6)</f>
        <v>0</v>
      </c>
    </row>
    <row r="7">
      <c r="A7" s="108">
        <v>2.0</v>
      </c>
      <c r="B7" s="97" t="s">
        <v>62</v>
      </c>
      <c r="C7" s="110">
        <f>COUNTIFS(
DATA!$F:$F,$B7,
DATA!$B:$B,"&gt;="&amp;DATE(2026,C$4,1),
DATA!$B:$B,"&lt;"&amp;EDATE(DATE(2026,C$4,1),1)
)</f>
        <v>35</v>
      </c>
      <c r="D7" s="110">
        <f>COUNTIFS(
DATA!$F:$F,$B7,
DATA!$B:$B,"&gt;="&amp;DATE(2026,D$4,1),
DATA!$B:$B,"&lt;"&amp;EDATE(DATE(2026,D$4,1),1)
)</f>
        <v>16</v>
      </c>
      <c r="E7" s="110">
        <f>COUNTIFS(
DATA!$F:$F,$B7,
DATA!$B:$B,"&gt;="&amp;DATE(2026,1,E$2),
DATA!$B:$B,"&lt;"&amp;DATE(2026,1,E$2)+1
)</f>
        <v>0</v>
      </c>
      <c r="F7" s="110">
        <f>COUNTIFS(
DATA!$F:$F,$B7,
DATA!$B:$B,"&gt;="&amp;DATE(2026,1,F$2),
DATA!$B:$B,"&lt;"&amp;DATE(2026,1,F$2)+1
)</f>
        <v>0</v>
      </c>
      <c r="G7" s="110">
        <f>COUNTIFS(
DATA!$F:$F,$B7,
DATA!$B:$B,"&gt;="&amp;DATE(2026,1,G$2),
DATA!$B:$B,"&lt;"&amp;DATE(2026,1,G$2)+1
)</f>
        <v>0</v>
      </c>
      <c r="H7" s="110">
        <f>COUNTIFS(
DATA!$F:$F,$B7,
DATA!$B:$B,"&gt;="&amp;DATE(2026,1,H$2),
DATA!$B:$B,"&lt;"&amp;DATE(2026,1,H$2)+1
)</f>
        <v>0</v>
      </c>
      <c r="I7" s="110">
        <f>COUNTIFS(
DATA!$F:$F,$B7,
DATA!$B:$B,"&gt;="&amp;DATE(2026,1,I$2),
DATA!$B:$B,"&lt;"&amp;DATE(2026,1,I$2)+1
)</f>
        <v>0</v>
      </c>
      <c r="J7" s="110">
        <f>COUNTIFS(
DATA!$F:$F,$B7,
DATA!$B:$B,"&gt;="&amp;DATE(2026,1,J$2),
DATA!$B:$B,"&lt;"&amp;DATE(2026,1,J$2)+1
)</f>
        <v>0</v>
      </c>
      <c r="K7" s="110">
        <f>COUNTIFS(
DATA!$F:$F,$B7,
DATA!$B:$B,"&gt;="&amp;DATE(2026,1,K$2),
DATA!$B:$B,"&lt;"&amp;DATE(2026,1,K$2)+1
)</f>
        <v>0</v>
      </c>
      <c r="L7" s="110">
        <f>COUNTIFS(
DATA!$F:$F,$B7,
DATA!$B:$B,"&gt;="&amp;DATE(2026,1,L$2),
DATA!$B:$B,"&lt;"&amp;DATE(2026,1,L$2)+1
)</f>
        <v>0</v>
      </c>
      <c r="M7" s="110">
        <f>COUNTIFS(
DATA!$F:$F,$B7,
DATA!$B:$B,"&gt;="&amp;DATE(2026,1,M$2),
DATA!$B:$B,"&lt;"&amp;DATE(2026,1,M$2)+1
)</f>
        <v>0</v>
      </c>
      <c r="N7" s="110">
        <f>COUNTIFS(
DATA!$F:$F,$B7,
DATA!$B:$B,"&gt;="&amp;DATE(2026,1,N$2),
DATA!$B:$B,"&lt;"&amp;DATE(2026,1,N$2)+1
)</f>
        <v>0</v>
      </c>
      <c r="O7" s="111">
        <f t="shared" si="1"/>
        <v>51</v>
      </c>
    </row>
    <row r="8">
      <c r="A8" s="108">
        <v>3.0</v>
      </c>
      <c r="B8" s="97" t="s">
        <v>60</v>
      </c>
      <c r="C8" s="110">
        <f>COUNTIFS(
DATA!$F:$F,$B8,
DATA!$B:$B,"&gt;="&amp;DATE(2026,C$4,1),
DATA!$B:$B,"&lt;"&amp;EDATE(DATE(2026,C$4,1),1)
)</f>
        <v>37</v>
      </c>
      <c r="D8" s="110">
        <f>COUNTIFS(
DATA!$F:$F,$B8,
DATA!$B:$B,"&gt;="&amp;DATE(2026,D$4,1),
DATA!$B:$B,"&lt;"&amp;EDATE(DATE(2026,D$4,1),1)
)</f>
        <v>32</v>
      </c>
      <c r="E8" s="110">
        <f>COUNTIFS(
DATA!$F:$F,$B8,
DATA!$B:$B,"&gt;="&amp;DATE(2026,1,E$2),
DATA!$B:$B,"&lt;"&amp;DATE(2026,1,E$2)+1
)</f>
        <v>0</v>
      </c>
      <c r="F8" s="110">
        <f>COUNTIFS(
DATA!$F:$F,$B8,
DATA!$B:$B,"&gt;="&amp;DATE(2026,1,F$2),
DATA!$B:$B,"&lt;"&amp;DATE(2026,1,F$2)+1
)</f>
        <v>0</v>
      </c>
      <c r="G8" s="110">
        <f>COUNTIFS(
DATA!$F:$F,$B8,
DATA!$B:$B,"&gt;="&amp;DATE(2026,1,G$2),
DATA!$B:$B,"&lt;"&amp;DATE(2026,1,G$2)+1
)</f>
        <v>0</v>
      </c>
      <c r="H8" s="110">
        <f>COUNTIFS(
DATA!$F:$F,$B8,
DATA!$B:$B,"&gt;="&amp;DATE(2026,1,H$2),
DATA!$B:$B,"&lt;"&amp;DATE(2026,1,H$2)+1
)</f>
        <v>0</v>
      </c>
      <c r="I8" s="110">
        <f>COUNTIFS(
DATA!$F:$F,$B8,
DATA!$B:$B,"&gt;="&amp;DATE(2026,1,I$2),
DATA!$B:$B,"&lt;"&amp;DATE(2026,1,I$2)+1
)</f>
        <v>0</v>
      </c>
      <c r="J8" s="110">
        <f>COUNTIFS(
DATA!$F:$F,$B8,
DATA!$B:$B,"&gt;="&amp;DATE(2026,1,J$2),
DATA!$B:$B,"&lt;"&amp;DATE(2026,1,J$2)+1
)</f>
        <v>0</v>
      </c>
      <c r="K8" s="110">
        <f>COUNTIFS(
DATA!$F:$F,$B8,
DATA!$B:$B,"&gt;="&amp;DATE(2026,1,K$2),
DATA!$B:$B,"&lt;"&amp;DATE(2026,1,K$2)+1
)</f>
        <v>0</v>
      </c>
      <c r="L8" s="110">
        <f>COUNTIFS(
DATA!$F:$F,$B8,
DATA!$B:$B,"&gt;="&amp;DATE(2026,1,L$2),
DATA!$B:$B,"&lt;"&amp;DATE(2026,1,L$2)+1
)</f>
        <v>0</v>
      </c>
      <c r="M8" s="110">
        <f>COUNTIFS(
DATA!$F:$F,$B8,
DATA!$B:$B,"&gt;="&amp;DATE(2026,1,M$2),
DATA!$B:$B,"&lt;"&amp;DATE(2026,1,M$2)+1
)</f>
        <v>0</v>
      </c>
      <c r="N8" s="110">
        <f>COUNTIFS(
DATA!$F:$F,$B8,
DATA!$B:$B,"&gt;="&amp;DATE(2026,1,N$2),
DATA!$B:$B,"&lt;"&amp;DATE(2026,1,N$2)+1
)</f>
        <v>0</v>
      </c>
      <c r="O8" s="111">
        <f t="shared" si="1"/>
        <v>69</v>
      </c>
    </row>
    <row r="9">
      <c r="A9" s="108">
        <v>4.0</v>
      </c>
      <c r="B9" s="97" t="s">
        <v>61</v>
      </c>
      <c r="C9" s="110">
        <f>COUNTIFS(
DATA!$F:$F,$B9,
DATA!$B:$B,"&gt;="&amp;DATE(2026,C$4,1),
DATA!$B:$B,"&lt;"&amp;EDATE(DATE(2026,C$4,1),1)
)</f>
        <v>0</v>
      </c>
      <c r="D9" s="110">
        <f>COUNTIFS(
DATA!$F:$F,$B9,
DATA!$B:$B,"&gt;="&amp;DATE(2026,D$4,1),
DATA!$B:$B,"&lt;"&amp;EDATE(DATE(2026,D$4,1),1)
)</f>
        <v>13</v>
      </c>
      <c r="E9" s="110">
        <f>COUNTIFS(
DATA!$F:$F,$B9,
DATA!$B:$B,"&gt;="&amp;DATE(2026,1,E$2),
DATA!$B:$B,"&lt;"&amp;DATE(2026,1,E$2)+1
)</f>
        <v>0</v>
      </c>
      <c r="F9" s="110">
        <f>COUNTIFS(
DATA!$F:$F,$B9,
DATA!$B:$B,"&gt;="&amp;DATE(2026,1,F$2),
DATA!$B:$B,"&lt;"&amp;DATE(2026,1,F$2)+1
)</f>
        <v>0</v>
      </c>
      <c r="G9" s="110">
        <f>COUNTIFS(
DATA!$F:$F,$B9,
DATA!$B:$B,"&gt;="&amp;DATE(2026,1,G$2),
DATA!$B:$B,"&lt;"&amp;DATE(2026,1,G$2)+1
)</f>
        <v>0</v>
      </c>
      <c r="H9" s="110">
        <f>COUNTIFS(
DATA!$F:$F,$B9,
DATA!$B:$B,"&gt;="&amp;DATE(2026,1,H$2),
DATA!$B:$B,"&lt;"&amp;DATE(2026,1,H$2)+1
)</f>
        <v>0</v>
      </c>
      <c r="I9" s="110">
        <f>COUNTIFS(
DATA!$F:$F,$B9,
DATA!$B:$B,"&gt;="&amp;DATE(2026,1,I$2),
DATA!$B:$B,"&lt;"&amp;DATE(2026,1,I$2)+1
)</f>
        <v>0</v>
      </c>
      <c r="J9" s="110">
        <f>COUNTIFS(
DATA!$F:$F,$B9,
DATA!$B:$B,"&gt;="&amp;DATE(2026,1,J$2),
DATA!$B:$B,"&lt;"&amp;DATE(2026,1,J$2)+1
)</f>
        <v>0</v>
      </c>
      <c r="K9" s="110">
        <f>COUNTIFS(
DATA!$F:$F,$B9,
DATA!$B:$B,"&gt;="&amp;DATE(2026,1,K$2),
DATA!$B:$B,"&lt;"&amp;DATE(2026,1,K$2)+1
)</f>
        <v>0</v>
      </c>
      <c r="L9" s="110">
        <f>COUNTIFS(
DATA!$F:$F,$B9,
DATA!$B:$B,"&gt;="&amp;DATE(2026,1,L$2),
DATA!$B:$B,"&lt;"&amp;DATE(2026,1,L$2)+1
)</f>
        <v>0</v>
      </c>
      <c r="M9" s="110">
        <f>COUNTIFS(
DATA!$F:$F,$B9,
DATA!$B:$B,"&gt;="&amp;DATE(2026,1,M$2),
DATA!$B:$B,"&lt;"&amp;DATE(2026,1,M$2)+1
)</f>
        <v>0</v>
      </c>
      <c r="N9" s="110">
        <f>COUNTIFS(
DATA!$F:$F,$B9,
DATA!$B:$B,"&gt;="&amp;DATE(2026,1,N$2),
DATA!$B:$B,"&lt;"&amp;DATE(2026,1,N$2)+1
)</f>
        <v>0</v>
      </c>
      <c r="O9" s="111">
        <f t="shared" si="1"/>
        <v>13</v>
      </c>
    </row>
    <row r="10">
      <c r="A10" s="108">
        <v>5.0</v>
      </c>
      <c r="B10" s="97" t="s">
        <v>63</v>
      </c>
      <c r="C10" s="110">
        <f>COUNTIFS(
DATA!$F:$F,$B10,
DATA!$B:$B,"&gt;="&amp;DATE(2026,C$4,1),
DATA!$B:$B,"&lt;"&amp;EDATE(DATE(2026,C$4,1),1)
)</f>
        <v>49</v>
      </c>
      <c r="D10" s="110">
        <f>COUNTIFS(
DATA!$F:$F,$B10,
DATA!$B:$B,"&gt;="&amp;DATE(2026,D$4,1),
DATA!$B:$B,"&lt;"&amp;EDATE(DATE(2026,D$4,1),1)
)</f>
        <v>44</v>
      </c>
      <c r="E10" s="110">
        <f>COUNTIFS(
DATA!$F:$F,$B10,
DATA!$B:$B,"&gt;="&amp;DATE(2026,1,E$2),
DATA!$B:$B,"&lt;"&amp;DATE(2026,1,E$2)+1
)</f>
        <v>0</v>
      </c>
      <c r="F10" s="110">
        <f>COUNTIFS(
DATA!$F:$F,$B10,
DATA!$B:$B,"&gt;="&amp;DATE(2026,1,F$2),
DATA!$B:$B,"&lt;"&amp;DATE(2026,1,F$2)+1
)</f>
        <v>0</v>
      </c>
      <c r="G10" s="110">
        <f>COUNTIFS(
DATA!$F:$F,$B10,
DATA!$B:$B,"&gt;="&amp;DATE(2026,1,G$2),
DATA!$B:$B,"&lt;"&amp;DATE(2026,1,G$2)+1
)</f>
        <v>0</v>
      </c>
      <c r="H10" s="110">
        <f>COUNTIFS(
DATA!$F:$F,$B10,
DATA!$B:$B,"&gt;="&amp;DATE(2026,1,H$2),
DATA!$B:$B,"&lt;"&amp;DATE(2026,1,H$2)+1
)</f>
        <v>0</v>
      </c>
      <c r="I10" s="110">
        <f>COUNTIFS(
DATA!$F:$F,$B10,
DATA!$B:$B,"&gt;="&amp;DATE(2026,1,I$2),
DATA!$B:$B,"&lt;"&amp;DATE(2026,1,I$2)+1
)</f>
        <v>0</v>
      </c>
      <c r="J10" s="110">
        <f>COUNTIFS(
DATA!$F:$F,$B10,
DATA!$B:$B,"&gt;="&amp;DATE(2026,1,J$2),
DATA!$B:$B,"&lt;"&amp;DATE(2026,1,J$2)+1
)</f>
        <v>0</v>
      </c>
      <c r="K10" s="110">
        <f>COUNTIFS(
DATA!$F:$F,$B10,
DATA!$B:$B,"&gt;="&amp;DATE(2026,1,K$2),
DATA!$B:$B,"&lt;"&amp;DATE(2026,1,K$2)+1
)</f>
        <v>0</v>
      </c>
      <c r="L10" s="110">
        <f>COUNTIFS(
DATA!$F:$F,$B10,
DATA!$B:$B,"&gt;="&amp;DATE(2026,1,L$2),
DATA!$B:$B,"&lt;"&amp;DATE(2026,1,L$2)+1
)</f>
        <v>0</v>
      </c>
      <c r="M10" s="110">
        <f>COUNTIFS(
DATA!$F:$F,$B10,
DATA!$B:$B,"&gt;="&amp;DATE(2026,1,M$2),
DATA!$B:$B,"&lt;"&amp;DATE(2026,1,M$2)+1
)</f>
        <v>0</v>
      </c>
      <c r="N10" s="110">
        <f>COUNTIFS(
DATA!$F:$F,$B10,
DATA!$B:$B,"&gt;="&amp;DATE(2026,1,N$2),
DATA!$B:$B,"&lt;"&amp;DATE(2026,1,N$2)+1
)</f>
        <v>0</v>
      </c>
      <c r="O10" s="111">
        <f t="shared" si="1"/>
        <v>93</v>
      </c>
    </row>
    <row r="11">
      <c r="A11" s="108">
        <v>6.0</v>
      </c>
      <c r="B11" s="97" t="s">
        <v>67</v>
      </c>
      <c r="C11" s="110">
        <f>COUNTIFS(
DATA!$F:$F,$B11,
DATA!$B:$B,"&gt;="&amp;DATE(2026,C$4,1),
DATA!$B:$B,"&lt;"&amp;EDATE(DATE(2026,C$4,1),1)
)</f>
        <v>52</v>
      </c>
      <c r="D11" s="110">
        <f>COUNTIFS(
DATA!$F:$F,$B11,
DATA!$B:$B,"&gt;="&amp;DATE(2026,D$4,1),
DATA!$B:$B,"&lt;"&amp;EDATE(DATE(2026,D$4,1),1)
)</f>
        <v>42</v>
      </c>
      <c r="E11" s="110">
        <f>COUNTIFS(
DATA!$F:$F,$B11,
DATA!$B:$B,"&gt;="&amp;DATE(2026,1,E$2),
DATA!$B:$B,"&lt;"&amp;DATE(2026,1,E$2)+1
)</f>
        <v>0</v>
      </c>
      <c r="F11" s="110">
        <f>COUNTIFS(
DATA!$F:$F,$B11,
DATA!$B:$B,"&gt;="&amp;DATE(2026,1,F$2),
DATA!$B:$B,"&lt;"&amp;DATE(2026,1,F$2)+1
)</f>
        <v>0</v>
      </c>
      <c r="G11" s="110">
        <f>COUNTIFS(
DATA!$F:$F,$B11,
DATA!$B:$B,"&gt;="&amp;DATE(2026,1,G$2),
DATA!$B:$B,"&lt;"&amp;DATE(2026,1,G$2)+1
)</f>
        <v>0</v>
      </c>
      <c r="H11" s="110">
        <f>COUNTIFS(
DATA!$F:$F,$B11,
DATA!$B:$B,"&gt;="&amp;DATE(2026,1,H$2),
DATA!$B:$B,"&lt;"&amp;DATE(2026,1,H$2)+1
)</f>
        <v>0</v>
      </c>
      <c r="I11" s="110">
        <f>COUNTIFS(
DATA!$F:$F,$B11,
DATA!$B:$B,"&gt;="&amp;DATE(2026,1,I$2),
DATA!$B:$B,"&lt;"&amp;DATE(2026,1,I$2)+1
)</f>
        <v>0</v>
      </c>
      <c r="J11" s="110">
        <f>COUNTIFS(
DATA!$F:$F,$B11,
DATA!$B:$B,"&gt;="&amp;DATE(2026,1,J$2),
DATA!$B:$B,"&lt;"&amp;DATE(2026,1,J$2)+1
)</f>
        <v>0</v>
      </c>
      <c r="K11" s="110">
        <f>COUNTIFS(
DATA!$F:$F,$B11,
DATA!$B:$B,"&gt;="&amp;DATE(2026,1,K$2),
DATA!$B:$B,"&lt;"&amp;DATE(2026,1,K$2)+1
)</f>
        <v>0</v>
      </c>
      <c r="L11" s="110">
        <f>COUNTIFS(
DATA!$F:$F,$B11,
DATA!$B:$B,"&gt;="&amp;DATE(2026,1,L$2),
DATA!$B:$B,"&lt;"&amp;DATE(2026,1,L$2)+1
)</f>
        <v>0</v>
      </c>
      <c r="M11" s="110">
        <f>COUNTIFS(
DATA!$F:$F,$B11,
DATA!$B:$B,"&gt;="&amp;DATE(2026,1,M$2),
DATA!$B:$B,"&lt;"&amp;DATE(2026,1,M$2)+1
)</f>
        <v>0</v>
      </c>
      <c r="N11" s="110">
        <f>COUNTIFS(
DATA!$F:$F,$B11,
DATA!$B:$B,"&gt;="&amp;DATE(2026,1,N$2),
DATA!$B:$B,"&lt;"&amp;DATE(2026,1,N$2)+1
)</f>
        <v>0</v>
      </c>
      <c r="O11" s="111">
        <f t="shared" si="1"/>
        <v>94</v>
      </c>
    </row>
    <row r="12">
      <c r="A12" s="108">
        <v>7.0</v>
      </c>
      <c r="B12" s="97" t="s">
        <v>64</v>
      </c>
      <c r="C12" s="110">
        <f>COUNTIFS(
DATA!$F:$F,$B12,
DATA!$B:$B,"&gt;="&amp;DATE(2026,C$4,1),
DATA!$B:$B,"&lt;"&amp;EDATE(DATE(2026,C$4,1),1)
)</f>
        <v>53</v>
      </c>
      <c r="D12" s="110">
        <f>COUNTIFS(
DATA!$F:$F,$B12,
DATA!$B:$B,"&gt;="&amp;DATE(2026,D$4,1),
DATA!$B:$B,"&lt;"&amp;EDATE(DATE(2026,D$4,1),1)
)</f>
        <v>54</v>
      </c>
      <c r="E12" s="110">
        <f>COUNTIFS(
DATA!$F:$F,$B12,
DATA!$B:$B,"&gt;="&amp;DATE(2026,1,E$2),
DATA!$B:$B,"&lt;"&amp;DATE(2026,1,E$2)+1
)</f>
        <v>0</v>
      </c>
      <c r="F12" s="110">
        <f>COUNTIFS(
DATA!$F:$F,$B12,
DATA!$B:$B,"&gt;="&amp;DATE(2026,1,F$2),
DATA!$B:$B,"&lt;"&amp;DATE(2026,1,F$2)+1
)</f>
        <v>0</v>
      </c>
      <c r="G12" s="110">
        <f>COUNTIFS(
DATA!$F:$F,$B12,
DATA!$B:$B,"&gt;="&amp;DATE(2026,1,G$2),
DATA!$B:$B,"&lt;"&amp;DATE(2026,1,G$2)+1
)</f>
        <v>0</v>
      </c>
      <c r="H12" s="110">
        <f>COUNTIFS(
DATA!$F:$F,$B12,
DATA!$B:$B,"&gt;="&amp;DATE(2026,1,H$2),
DATA!$B:$B,"&lt;"&amp;DATE(2026,1,H$2)+1
)</f>
        <v>0</v>
      </c>
      <c r="I12" s="110">
        <f>COUNTIFS(
DATA!$F:$F,$B12,
DATA!$B:$B,"&gt;="&amp;DATE(2026,1,I$2),
DATA!$B:$B,"&lt;"&amp;DATE(2026,1,I$2)+1
)</f>
        <v>0</v>
      </c>
      <c r="J12" s="110">
        <f>COUNTIFS(
DATA!$F:$F,$B12,
DATA!$B:$B,"&gt;="&amp;DATE(2026,1,J$2),
DATA!$B:$B,"&lt;"&amp;DATE(2026,1,J$2)+1
)</f>
        <v>0</v>
      </c>
      <c r="K12" s="110">
        <f>COUNTIFS(
DATA!$F:$F,$B12,
DATA!$B:$B,"&gt;="&amp;DATE(2026,1,K$2),
DATA!$B:$B,"&lt;"&amp;DATE(2026,1,K$2)+1
)</f>
        <v>0</v>
      </c>
      <c r="L12" s="110">
        <f>COUNTIFS(
DATA!$F:$F,$B12,
DATA!$B:$B,"&gt;="&amp;DATE(2026,1,L$2),
DATA!$B:$B,"&lt;"&amp;DATE(2026,1,L$2)+1
)</f>
        <v>0</v>
      </c>
      <c r="M12" s="110">
        <f>COUNTIFS(
DATA!$F:$F,$B12,
DATA!$B:$B,"&gt;="&amp;DATE(2026,1,M$2),
DATA!$B:$B,"&lt;"&amp;DATE(2026,1,M$2)+1
)</f>
        <v>0</v>
      </c>
      <c r="N12" s="110">
        <f>COUNTIFS(
DATA!$F:$F,$B12,
DATA!$B:$B,"&gt;="&amp;DATE(2026,1,N$2),
DATA!$B:$B,"&lt;"&amp;DATE(2026,1,N$2)+1
)</f>
        <v>0</v>
      </c>
      <c r="O12" s="111">
        <f t="shared" si="1"/>
        <v>107</v>
      </c>
    </row>
    <row r="13">
      <c r="A13" s="112">
        <v>8.0</v>
      </c>
      <c r="B13" s="113" t="s">
        <v>65</v>
      </c>
      <c r="C13" s="110">
        <f>COUNTIFS(
DATA!$F:$F,$B13,
DATA!$B:$B,"&gt;="&amp;DATE(2026,C$4,1),
DATA!$B:$B,"&lt;"&amp;EDATE(DATE(2026,C$4,1),1)
)</f>
        <v>7</v>
      </c>
      <c r="D13" s="110">
        <f>COUNTIFS(
DATA!$F:$F,$B13,
DATA!$B:$B,"&gt;="&amp;DATE(2026,D$4,1),
DATA!$B:$B,"&lt;"&amp;EDATE(DATE(2026,D$4,1),1)
)</f>
        <v>178</v>
      </c>
      <c r="E13" s="110">
        <f>COUNTIFS(
DATA!$F:$F,$B13,
DATA!$B:$B,"&gt;="&amp;DATE(2026,1,E$2),
DATA!$B:$B,"&lt;"&amp;DATE(2026,1,E$2)+1
)</f>
        <v>0</v>
      </c>
      <c r="F13" s="110">
        <f>COUNTIFS(
DATA!$F:$F,$B13,
DATA!$B:$B,"&gt;="&amp;DATE(2026,1,F$2),
DATA!$B:$B,"&lt;"&amp;DATE(2026,1,F$2)+1
)</f>
        <v>0</v>
      </c>
      <c r="G13" s="110">
        <f>COUNTIFS(
DATA!$F:$F,$B13,
DATA!$B:$B,"&gt;="&amp;DATE(2026,1,G$2),
DATA!$B:$B,"&lt;"&amp;DATE(2026,1,G$2)+1
)</f>
        <v>0</v>
      </c>
      <c r="H13" s="110">
        <f>COUNTIFS(
DATA!$F:$F,$B13,
DATA!$B:$B,"&gt;="&amp;DATE(2026,1,H$2),
DATA!$B:$B,"&lt;"&amp;DATE(2026,1,H$2)+1
)</f>
        <v>0</v>
      </c>
      <c r="I13" s="110">
        <f>COUNTIFS(
DATA!$F:$F,$B13,
DATA!$B:$B,"&gt;="&amp;DATE(2026,1,I$2),
DATA!$B:$B,"&lt;"&amp;DATE(2026,1,I$2)+1
)</f>
        <v>0</v>
      </c>
      <c r="J13" s="110">
        <f>COUNTIFS(
DATA!$F:$F,$B13,
DATA!$B:$B,"&gt;="&amp;DATE(2026,1,J$2),
DATA!$B:$B,"&lt;"&amp;DATE(2026,1,J$2)+1
)</f>
        <v>0</v>
      </c>
      <c r="K13" s="110">
        <f>COUNTIFS(
DATA!$F:$F,$B13,
DATA!$B:$B,"&gt;="&amp;DATE(2026,1,K$2),
DATA!$B:$B,"&lt;"&amp;DATE(2026,1,K$2)+1
)</f>
        <v>0</v>
      </c>
      <c r="L13" s="110">
        <f>COUNTIFS(
DATA!$F:$F,$B13,
DATA!$B:$B,"&gt;="&amp;DATE(2026,1,L$2),
DATA!$B:$B,"&lt;"&amp;DATE(2026,1,L$2)+1
)</f>
        <v>0</v>
      </c>
      <c r="M13" s="110">
        <f>COUNTIFS(
DATA!$F:$F,$B13,
DATA!$B:$B,"&gt;="&amp;DATE(2026,1,M$2),
DATA!$B:$B,"&lt;"&amp;DATE(2026,1,M$2)+1
)</f>
        <v>0</v>
      </c>
      <c r="N13" s="110">
        <f>COUNTIFS(
DATA!$F:$F,$B13,
DATA!$B:$B,"&gt;="&amp;DATE(2026,1,N$2),
DATA!$B:$B,"&lt;"&amp;DATE(2026,1,N$2)+1
)</f>
        <v>0</v>
      </c>
      <c r="O13" s="111">
        <f t="shared" si="1"/>
        <v>185</v>
      </c>
    </row>
    <row r="14">
      <c r="A14" s="114" t="s">
        <v>69</v>
      </c>
      <c r="B14" s="105"/>
      <c r="C14" s="115">
        <f t="shared" ref="C14:N14" si="2">sum(C6:C13)</f>
        <v>233</v>
      </c>
      <c r="D14" s="115">
        <f t="shared" si="2"/>
        <v>379</v>
      </c>
      <c r="E14" s="115">
        <f t="shared" si="2"/>
        <v>0</v>
      </c>
      <c r="F14" s="115">
        <f t="shared" si="2"/>
        <v>0</v>
      </c>
      <c r="G14" s="115">
        <f t="shared" si="2"/>
        <v>0</v>
      </c>
      <c r="H14" s="115">
        <f t="shared" si="2"/>
        <v>0</v>
      </c>
      <c r="I14" s="115">
        <f t="shared" si="2"/>
        <v>0</v>
      </c>
      <c r="J14" s="115">
        <f t="shared" si="2"/>
        <v>0</v>
      </c>
      <c r="K14" s="115">
        <f t="shared" si="2"/>
        <v>0</v>
      </c>
      <c r="L14" s="115">
        <f t="shared" si="2"/>
        <v>0</v>
      </c>
      <c r="M14" s="115">
        <f t="shared" si="2"/>
        <v>0</v>
      </c>
      <c r="N14" s="115">
        <f t="shared" si="2"/>
        <v>0</v>
      </c>
      <c r="O14" s="111">
        <f t="shared" si="1"/>
        <v>612</v>
      </c>
    </row>
  </sheetData>
  <mergeCells count="5">
    <mergeCell ref="A3:A5"/>
    <mergeCell ref="B3:B5"/>
    <mergeCell ref="C3:N3"/>
    <mergeCell ref="O3:O5"/>
    <mergeCell ref="A14:B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2026-02-03T01:41:13Z</dcterms:created>
  <dc:creator>PLN</dc:creator>
</cp:coreProperties>
</file>